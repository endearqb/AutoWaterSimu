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_Dynamita\MODEL\trunk\Sumo\Process code\Model base\Museum\"/>
    </mc:Choice>
  </mc:AlternateContent>
  <bookViews>
    <workbookView xWindow="-120" yWindow="-120" windowWidth="29040" windowHeight="15840" tabRatio="815" firstSheet="1" activeTab="1"/>
  </bookViews>
  <sheets>
    <sheet name="systemcode_constants" sheetId="23" state="hidden" r:id="rId1"/>
    <sheet name="Help" sheetId="22" r:id="rId2"/>
    <sheet name="Parameters" sheetId="9" r:id="rId3"/>
    <sheet name="Model" sheetId="1" r:id="rId4"/>
    <sheet name="pH" sheetId="4" state="hidden" r:id="rId5"/>
    <sheet name="Tableau" sheetId="17" state="hidden" r:id="rId6"/>
    <sheet name="Components" sheetId="2" r:id="rId7"/>
    <sheet name="Algebraic model" sheetId="13" state="hidden" r:id="rId8"/>
    <sheet name="Expert knowledge" sheetId="14" state="hidden" r:id="rId9"/>
    <sheet name="Functions" sheetId="3" state="hidden" r:id="rId10"/>
    <sheet name="Calculated variables" sheetId="5" r:id="rId11"/>
    <sheet name="systemcode_functions" sheetId="18" state="hidden" r:id="rId12"/>
    <sheet name="other parameters" sheetId="20" state="hidden" r:id="rId13"/>
    <sheet name="Code" sheetId="10" state="hidden" r:id="rId14"/>
    <sheet name="Alert" sheetId="15" state="veryHidden" r:id="rId15"/>
    <sheet name="Security" sheetId="16" state="veryHidden" r:id="rId16"/>
    <sheet name="Species" sheetId="21" state="hidden" r:id="rId17"/>
  </sheets>
  <functionGroups builtInGroupCount="18"/>
  <definedNames>
    <definedName name="A_dvanced">Parameters!$D$6</definedName>
    <definedName name="A_H2O">systemcode_constants!$D$43</definedName>
    <definedName name="A_MAc">systemcode_constants!$D$179</definedName>
    <definedName name="A_MAg">systemcode_constants!$D$137</definedName>
    <definedName name="A_MAl">systemcode_constants!$D$103</definedName>
    <definedName name="A_MAm">systemcode_constants!$D$185</definedName>
    <definedName name="A_MAr">systemcode_constants!$D$108</definedName>
    <definedName name="A_MAs">systemcode_constants!$D$123</definedName>
    <definedName name="A_MAt">systemcode_constants!$D$175</definedName>
    <definedName name="A_MAu">systemcode_constants!$D$169</definedName>
    <definedName name="A_MB">systemcode_constants!$D$95</definedName>
    <definedName name="A_MBa">systemcode_constants!$D$146</definedName>
    <definedName name="A_MBe">systemcode_constants!$D$94</definedName>
    <definedName name="A_MBh">systemcode_constants!$D$197</definedName>
    <definedName name="A_MBi">systemcode_constants!$D$173</definedName>
    <definedName name="A_MBk">systemcode_constants!$D$187</definedName>
    <definedName name="A_MBr">systemcode_constants!$D$125</definedName>
    <definedName name="A_MC">systemcode_constants!$D$96</definedName>
    <definedName name="A_MCa">systemcode_constants!$D$110</definedName>
    <definedName name="A_MCd">systemcode_constants!$D$138</definedName>
    <definedName name="A_MCe">systemcode_constants!$D$148</definedName>
    <definedName name="A_MCf">systemcode_constants!$D$188</definedName>
    <definedName name="A_MCl">systemcode_constants!$D$107</definedName>
    <definedName name="A_MCm">systemcode_constants!$D$186</definedName>
    <definedName name="A_MCn">systemcode_constants!$D$202</definedName>
    <definedName name="A_MCo">systemcode_constants!$D$117</definedName>
    <definedName name="A_MCr">systemcode_constants!$D$114</definedName>
    <definedName name="A_MCu">systemcode_constants!$D$119</definedName>
    <definedName name="A_MCs">systemcode_constants!$D$145</definedName>
    <definedName name="A_MDb">systemcode_constants!$D$195</definedName>
    <definedName name="A_MDs">systemcode_constants!$D$200</definedName>
    <definedName name="A_MDy">systemcode_constants!$D$156</definedName>
    <definedName name="A_MEr">systemcode_constants!$D$158</definedName>
    <definedName name="A_MEs">systemcode_constants!$D$189</definedName>
    <definedName name="A_MEu">systemcode_constants!$D$153</definedName>
    <definedName name="A_MF">systemcode_constants!$D$99</definedName>
    <definedName name="A_MFe">systemcode_constants!$D$116</definedName>
    <definedName name="A_MFl">systemcode_constants!$D$204</definedName>
    <definedName name="A_MFm">systemcode_constants!$D$190</definedName>
    <definedName name="A_MFr">systemcode_constants!$D$177</definedName>
    <definedName name="A_MGa">systemcode_constants!$D$121</definedName>
    <definedName name="A_MGd">systemcode_constants!$D$154</definedName>
    <definedName name="A_MGe">systemcode_constants!$D$122</definedName>
    <definedName name="A_MH">systemcode_constants!$D$91</definedName>
    <definedName name="A_MHe">systemcode_constants!$D$92</definedName>
    <definedName name="A_MHf">systemcode_constants!$D$162</definedName>
    <definedName name="A_MHg">systemcode_constants!$D$170</definedName>
    <definedName name="A_MHo">systemcode_constants!$D$157</definedName>
    <definedName name="A_MHs">systemcode_constants!$D$198</definedName>
    <definedName name="A_MI">systemcode_constants!$D$143</definedName>
    <definedName name="A_MIn">systemcode_constants!$D$139</definedName>
    <definedName name="A_MIr">systemcode_constants!$D$167</definedName>
    <definedName name="A_MK">systemcode_constants!$D$109</definedName>
    <definedName name="A_MKr">systemcode_constants!$D$126</definedName>
    <definedName name="A_MLa">systemcode_constants!$D$147</definedName>
    <definedName name="A_MLi">systemcode_constants!$D$93</definedName>
    <definedName name="A_MLr">systemcode_constants!$D$193</definedName>
    <definedName name="A_MLu">systemcode_constants!$D$161</definedName>
    <definedName name="A_MLv">systemcode_constants!$D$206</definedName>
    <definedName name="A_MMd">systemcode_constants!$D$191</definedName>
    <definedName name="A_MMg">systemcode_constants!$D$102</definedName>
    <definedName name="A_MMn">systemcode_constants!$D$115</definedName>
    <definedName name="A_MMo">systemcode_constants!$D$132</definedName>
    <definedName name="A_MMt">systemcode_constants!$D$199</definedName>
    <definedName name="A_MN">systemcode_constants!$D$97</definedName>
    <definedName name="A_MNa">systemcode_constants!$D$101</definedName>
    <definedName name="A_MNb">systemcode_constants!$D$131</definedName>
    <definedName name="A_MNd">systemcode_constants!$D$150</definedName>
    <definedName name="A_MNe">systemcode_constants!$D$100</definedName>
    <definedName name="A_MNi">systemcode_constants!$D$118</definedName>
    <definedName name="A_MNo">systemcode_constants!$D$192</definedName>
    <definedName name="A_MNp">systemcode_constants!$D$183</definedName>
    <definedName name="A_MO">systemcode_constants!$D$98</definedName>
    <definedName name="A_MOs">systemcode_constants!$D$166</definedName>
    <definedName name="A_MP">systemcode_constants!$D$105</definedName>
    <definedName name="A_MPa">systemcode_constants!$D$181</definedName>
    <definedName name="A_MPb">systemcode_constants!$D$172</definedName>
    <definedName name="A_MPd">systemcode_constants!$D$136</definedName>
    <definedName name="A_MPm">systemcode_constants!$D$151</definedName>
    <definedName name="A_MPo">systemcode_constants!$D$174</definedName>
    <definedName name="A_MPr">systemcode_constants!$D$149</definedName>
    <definedName name="A_MPt">systemcode_constants!$D$168</definedName>
    <definedName name="A_MPu">systemcode_constants!$D$184</definedName>
    <definedName name="A_MRa">systemcode_constants!$D$178</definedName>
    <definedName name="A_MRb">systemcode_constants!$D$127</definedName>
    <definedName name="A_MRe">systemcode_constants!$D$165</definedName>
    <definedName name="A_MRf">systemcode_constants!$D$194</definedName>
    <definedName name="A_MRg">systemcode_constants!$D$201</definedName>
    <definedName name="A_MRh">systemcode_constants!$D$135</definedName>
    <definedName name="A_MRn">systemcode_constants!$D$176</definedName>
    <definedName name="A_MRu">systemcode_constants!$D$134</definedName>
    <definedName name="A_MS">systemcode_constants!$D$106</definedName>
    <definedName name="A_MSb">systemcode_constants!$D$141</definedName>
    <definedName name="A_MSc">systemcode_constants!$D$111</definedName>
    <definedName name="A_MSe">systemcode_constants!$D$124</definedName>
    <definedName name="A_MSg">systemcode_constants!$D$196</definedName>
    <definedName name="A_MSi">systemcode_constants!$D$104</definedName>
    <definedName name="A_MSm">systemcode_constants!$D$152</definedName>
    <definedName name="A_MSn">systemcode_constants!$D$140</definedName>
    <definedName name="A_MSr">systemcode_constants!$D$128</definedName>
    <definedName name="A_MTa">systemcode_constants!$D$163</definedName>
    <definedName name="A_MTb">systemcode_constants!$D$155</definedName>
    <definedName name="A_MTc">systemcode_constants!$D$133</definedName>
    <definedName name="A_MTe">systemcode_constants!$D$142</definedName>
    <definedName name="A_MTh">systemcode_constants!$D$180</definedName>
    <definedName name="A_MTi">systemcode_constants!$D$112</definedName>
    <definedName name="A_MTl">systemcode_constants!$D$171</definedName>
    <definedName name="A_MTm">systemcode_constants!$D$159</definedName>
    <definedName name="A_MU">systemcode_constants!$D$182</definedName>
    <definedName name="A_MUuo">systemcode_constants!$D$208</definedName>
    <definedName name="A_MUup">systemcode_constants!$D$205</definedName>
    <definedName name="A_MUus">systemcode_constants!$D$207</definedName>
    <definedName name="A_MUut">systemcode_constants!$D$203</definedName>
    <definedName name="A_MV">systemcode_constants!$D$113</definedName>
    <definedName name="A_MW">systemcode_constants!$D$164</definedName>
    <definedName name="A_MXe">systemcode_constants!$D$144</definedName>
    <definedName name="A_MY">systemcode_constants!$D$129</definedName>
    <definedName name="A_MYb">systemcode_constants!$D$160</definedName>
    <definedName name="A_MZn">systemcode_constants!$D$120</definedName>
    <definedName name="A_MZr">systemcode_constants!$D$130</definedName>
    <definedName name="A_UR">'Calculated variables'!$E$23</definedName>
    <definedName name="b_A">Parameters!$D$61</definedName>
    <definedName name="b_H">Parameters!$D$23</definedName>
    <definedName name="B_H2O">systemcode_constants!$D$44</definedName>
    <definedName name="c_cm_m">systemcode_constants!$D$371</definedName>
    <definedName name="c_cm2_m2">systemcode_constants!$D$372</definedName>
    <definedName name="c_cm3_m3">systemcode_constants!$D$373</definedName>
    <definedName name="c_g_kg">systemcode_constants!$D$366</definedName>
    <definedName name="c_h_d">systemcode_constants!$D$360</definedName>
    <definedName name="C_H2O">systemcode_constants!$D$45</definedName>
    <definedName name="c_kJ_MJ">systemcode_constants!$D$368</definedName>
    <definedName name="c_L_m3">systemcode_constants!$D$367</definedName>
    <definedName name="c_mg_g">systemcode_constants!$D$365</definedName>
    <definedName name="c_min_h">systemcode_constants!$D$359</definedName>
    <definedName name="c_ms_d">systemcode_constants!$D$361</definedName>
    <definedName name="c_ms_h">systemcode_constants!$D$362</definedName>
    <definedName name="c_ms_min">systemcode_constants!$D$363</definedName>
    <definedName name="c_ms_s">systemcode_constants!$D$364</definedName>
    <definedName name="c_p_water">systemcode_constants!$D$79</definedName>
    <definedName name="c_Pa_bar">systemcode_constants!$D$370</definedName>
    <definedName name="c_Pa_Hgmm">systemcode_constants!$D$369</definedName>
    <definedName name="c_percent_fraction">systemcode_constants!$D$356</definedName>
    <definedName name="c_percent_Vconc">systemcode_constants!$D$355</definedName>
    <definedName name="c_ppm_Vconc">systemcode_constants!$D$354</definedName>
    <definedName name="c_s_d">systemcode_constants!$D$357</definedName>
    <definedName name="c_s_h">systemcode_constants!$D$358</definedName>
    <definedName name="conc_Hp_Ieq">systemcode_constants!$D$346</definedName>
    <definedName name="D_CB">systemcode_constants!$D$451</definedName>
    <definedName name="D_CU">systemcode_constants!$D$452</definedName>
    <definedName name="D_GCH4_25">systemcode_constants!$D$36</definedName>
    <definedName name="D_GCO2_25">systemcode_constants!$D$34</definedName>
    <definedName name="D_GH2_25">systemcode_constants!$D$35</definedName>
    <definedName name="D_GH2S_25">systemcode_constants!$D$39</definedName>
    <definedName name="D_GN2_25">systemcode_constants!$D$32</definedName>
    <definedName name="D_GN2O_25">systemcode_constants!$D$38</definedName>
    <definedName name="D_GNH3_25">systemcode_constants!$D$33</definedName>
    <definedName name="D_GNO_25">systemcode_constants!$D$37</definedName>
    <definedName name="D_GO2_25">systemcode_constants!$D$31</definedName>
    <definedName name="d_HCaCO3">systemcode_constants!$D$424</definedName>
    <definedName name="d_HCaH2PO4p">systemcode_constants!$D$428</definedName>
    <definedName name="d_HCaHCO3p">systemcode_constants!$D$425</definedName>
    <definedName name="d_HCaHPO4">systemcode_constants!$D$427</definedName>
    <definedName name="d_HCaOHp">systemcode_constants!$D$423</definedName>
    <definedName name="d_HCaPO4m">systemcode_constants!$D$426</definedName>
    <definedName name="d_Hdiss_CO2_1">systemcode_constants!$D$413</definedName>
    <definedName name="d_Hdiss_CO2_2">systemcode_constants!$D$414</definedName>
    <definedName name="d_Hdiss_H2O">systemcode_constants!$D$410</definedName>
    <definedName name="d_Hdiss_NO2">systemcode_constants!$D$412</definedName>
    <definedName name="d_Hdiss_PO4_1">systemcode_constants!$D$415</definedName>
    <definedName name="d_Hdiss_PO4_2">systemcode_constants!$D$416</definedName>
    <definedName name="d_Hdiss_PO4_3">systemcode_constants!$D$417</definedName>
    <definedName name="d_Hdiss_S_1">systemcode_constants!$D$419</definedName>
    <definedName name="d_Hdiss_S_2">systemcode_constants!$D$420</definedName>
    <definedName name="d_Hdiss_SO4_1">systemcode_constants!$D$421</definedName>
    <definedName name="d_Hdiss_SO4_2">systemcode_constants!$D$422</definedName>
    <definedName name="d_Hdiss_VFA">systemcode_constants!$D$418</definedName>
    <definedName name="d_Hion_amm">systemcode_constants!$D$411</definedName>
    <definedName name="d_HMgCO3">systemcode_constants!$D$430</definedName>
    <definedName name="d_HMgH2PO4p">systemcode_constants!$D$434</definedName>
    <definedName name="d_HMgHCO3p">systemcode_constants!$D$431</definedName>
    <definedName name="d_HMgHPO4">systemcode_constants!$D$432</definedName>
    <definedName name="d_HMgOHp">systemcode_constants!$D$429</definedName>
    <definedName name="d_HMgPO4m">systemcode_constants!$D$433</definedName>
    <definedName name="d_HNaHPO4m">systemcode_constants!$D$435</definedName>
    <definedName name="D_NBS">systemcode_constants!$D$461</definedName>
    <definedName name="D_NH3">systemcode_constants!$D$456</definedName>
    <definedName name="D_NO3">systemcode_constants!$D$457</definedName>
    <definedName name="D_NUS">systemcode_constants!$D$460</definedName>
    <definedName name="D_PO4">systemcode_constants!$D$458</definedName>
    <definedName name="D_SA">systemcode_constants!$D$440</definedName>
    <definedName name="D_SALK">systemcode_constants!$D$484</definedName>
    <definedName name="D_SAN">systemcode_constants!$D$480</definedName>
    <definedName name="D_SB">systemcode_constants!$D$442</definedName>
    <definedName name="D_SB_mono">systemcode_constants!$D$443</definedName>
    <definedName name="D_SB_poly">systemcode_constants!$D$444</definedName>
    <definedName name="D_SBSA">systemcode_constants!$D$441</definedName>
    <definedName name="D_SBSC">systemcode_constants!$D$447</definedName>
    <definedName name="D_SCa">systemcode_constants!$D$477</definedName>
    <definedName name="D_SCAT">systemcode_constants!$D$479</definedName>
    <definedName name="D_SCH4">systemcode_constants!$D$473</definedName>
    <definedName name="D_SCO2">systemcode_constants!$D$475</definedName>
    <definedName name="D_SF">systemcode_constants!$D$446</definedName>
    <definedName name="D_SFe2">systemcode_constants!$D$483</definedName>
    <definedName name="D_SH2">systemcode_constants!$D$474</definedName>
    <definedName name="D_SH2S">systemcode_constants!$D$481</definedName>
    <definedName name="D_SI">systemcode_constants!$D$450</definedName>
    <definedName name="D_SK">systemcode_constants!$D$476</definedName>
    <definedName name="D_SMEOL">systemcode_constants!$D$448</definedName>
    <definedName name="D_SMg">systemcode_constants!$D$478</definedName>
    <definedName name="D_SMM_index">systemcode_constants!$D$485</definedName>
    <definedName name="D_SN_B">systemcode_constants!$D$467</definedName>
    <definedName name="D_SN2">systemcode_constants!$D$459</definedName>
    <definedName name="D_SND">systemcode_constants!$D$468</definedName>
    <definedName name="D_SNH">systemcode_constants!$D$455</definedName>
    <definedName name="D_SNH4">systemcode_constants!$D$454</definedName>
    <definedName name="D_SNHx">systemcode_constants!$D$453</definedName>
    <definedName name="D_SNO2">systemcode_constants!$D$465</definedName>
    <definedName name="D_SNO3">systemcode_constants!$D$466</definedName>
    <definedName name="D_SNOx">systemcode_constants!$D$463</definedName>
    <definedName name="D_SO2">systemcode_constants!$D$472</definedName>
    <definedName name="D_SP_B">systemcode_constants!$D$471</definedName>
    <definedName name="D_SPO">systemcode_constants!$D$470</definedName>
    <definedName name="D_SPO4">systemcode_constants!$D$469</definedName>
    <definedName name="D_SS">systemcode_constants!$D$445</definedName>
    <definedName name="D_SSO4">systemcode_constants!$D$482</definedName>
    <definedName name="D_SU">systemcode_constants!$D$449</definedName>
    <definedName name="D_SUS">systemcode_constants!$D$462</definedName>
    <definedName name="D_SVFA">systemcode_constants!$D$439</definedName>
    <definedName name="E_EQFe2">systemcode_constants!$D$331</definedName>
    <definedName name="E_EQH2S">systemcode_constants!$D$333</definedName>
    <definedName name="E_EQN2">systemcode_constants!$D$320</definedName>
    <definedName name="E_EQN2_N2O">systemcode_constants!$D$329</definedName>
    <definedName name="E_EQN2_NO2">systemcode_constants!$D$326</definedName>
    <definedName name="E_EQN2_NO3">systemcode_constants!$D$330</definedName>
    <definedName name="E_EQN2O">systemcode_constants!$D$321</definedName>
    <definedName name="E_EQN2O_NO">systemcode_constants!$D$328</definedName>
    <definedName name="E_EQNO">systemcode_constants!$D$322</definedName>
    <definedName name="E_EQNO_NO2">systemcode_constants!$D$327</definedName>
    <definedName name="E_EQNO2">systemcode_constants!$D$323</definedName>
    <definedName name="E_EQNO2_NO3">systemcode_constants!$D$325</definedName>
    <definedName name="E_EQNO3">systemcode_constants!$D$324</definedName>
    <definedName name="E_EQS">systemcode_constants!$D$332</definedName>
    <definedName name="F__">systemcode_constants!$D$77</definedName>
    <definedName name="f_Ar_air">systemcode_constants!$D$54</definedName>
    <definedName name="f_BOD5_BODult">Parameters!$D$127</definedName>
    <definedName name="f_CO2_air">systemcode_constants!$D$55</definedName>
    <definedName name="f_di_IS_an">systemcode_constants!$D$340</definedName>
    <definedName name="f_di_IS_cat">systemcode_constants!$D$339</definedName>
    <definedName name="f_GLY_max">Parameters!$D$40</definedName>
    <definedName name="f_mono_IS_an">systemcode_constants!$D$338</definedName>
    <definedName name="f_mono_IS_cat">systemcode_constants!$D$337</definedName>
    <definedName name="f_N2_air">systemcode_constants!$D$53</definedName>
    <definedName name="f_O2_air">systemcode_constants!$D$52</definedName>
    <definedName name="f_PP_max">Parameters!$D$37</definedName>
    <definedName name="f_SI">Parameters!$D$84</definedName>
    <definedName name="f_tri_IS_an">systemcode_constants!$D$342</definedName>
    <definedName name="f_tri_IS_cat">systemcode_constants!$D$341</definedName>
    <definedName name="f_XI_A">Parameters!$D$86</definedName>
    <definedName name="f_XI_H">Parameters!$D$85</definedName>
    <definedName name="G_CH4_atm">systemcode_constants!$D$63</definedName>
    <definedName name="G_CO2_atm">systemcode_constants!$D$62</definedName>
    <definedName name="g_grav">systemcode_constants!$D$78</definedName>
    <definedName name="G_H2_atm">systemcode_constants!$D$64</definedName>
    <definedName name="G_H2S_atm">systemcode_constants!$D$68</definedName>
    <definedName name="G_N2_atm">systemcode_constants!$D$67</definedName>
    <definedName name="G_NH3_atm">systemcode_constants!$D$66</definedName>
    <definedName name="G_O2_atm">systemcode_constants!$D$65</definedName>
    <definedName name="g_PP">Parameters!$D$36</definedName>
    <definedName name="H_Acm">systemcode_constants!$D$393</definedName>
    <definedName name="H_Ca2p">systemcode_constants!$D$400</definedName>
    <definedName name="H_CO32m">systemcode_constants!$D$387</definedName>
    <definedName name="H_enryGCH4_25">systemcode_constants!$D$22</definedName>
    <definedName name="H_enryGCH4_dt">systemcode_constants!$D$23</definedName>
    <definedName name="H_enryGCO2_25">systemcode_constants!$D$12</definedName>
    <definedName name="H_enryGCO2_dt">systemcode_constants!$D$13</definedName>
    <definedName name="H_enryGH2_25">systemcode_constants!$D$20</definedName>
    <definedName name="H_enryGH2_dt">systemcode_constants!$D$21</definedName>
    <definedName name="H_enryGH2S_25">systemcode_constants!$D$26</definedName>
    <definedName name="H_enryGH2S_dt">systemcode_constants!$D$27</definedName>
    <definedName name="H_enryGN2_25">systemcode_constants!$D$18</definedName>
    <definedName name="H_enryGN2_dt">systemcode_constants!$D$19</definedName>
    <definedName name="H_enryGN2O_25">systemcode_constants!$D$16</definedName>
    <definedName name="H_enryGN2O_dt">systemcode_constants!$D$17</definedName>
    <definedName name="H_enryGNH3_25">systemcode_constants!$D$24</definedName>
    <definedName name="H_enryGNH3_dt">systemcode_constants!$D$25</definedName>
    <definedName name="H_enryGNO_25">systemcode_constants!$D$14</definedName>
    <definedName name="H_enryGNO_dt">systemcode_constants!$D$15</definedName>
    <definedName name="H_enryGO2_25">systemcode_constants!$D$10</definedName>
    <definedName name="H_enryGO2_dt">systemcode_constants!$D$11</definedName>
    <definedName name="H_H2CO3">systemcode_constants!$D$385</definedName>
    <definedName name="H_H2O">systemcode_constants!$D$406</definedName>
    <definedName name="H_H2PO4m">systemcode_constants!$D$389</definedName>
    <definedName name="H_H2S">systemcode_constants!$D$394</definedName>
    <definedName name="H_H2SO4">systemcode_constants!$D$397</definedName>
    <definedName name="H_H3Op">systemcode_constants!$D$378</definedName>
    <definedName name="H_H3PO4">systemcode_constants!$D$388</definedName>
    <definedName name="H_HAc">systemcode_constants!$D$392</definedName>
    <definedName name="H_HCO3m">systemcode_constants!$D$386</definedName>
    <definedName name="H_HNO2">systemcode_constants!$D$382</definedName>
    <definedName name="H_Hp">systemcode_constants!$D$377</definedName>
    <definedName name="H_HPO42m">systemcode_constants!$D$390</definedName>
    <definedName name="H_HSm">systemcode_constants!$D$395</definedName>
    <definedName name="H_HSO4m">systemcode_constants!$D$398</definedName>
    <definedName name="H_Mg2p">systemcode_constants!$D$401</definedName>
    <definedName name="H_Nap">systemcode_constants!$D$402</definedName>
    <definedName name="H_NH3">systemcode_constants!$D$380</definedName>
    <definedName name="H_NH4p">systemcode_constants!$D$381</definedName>
    <definedName name="H_NO2m">systemcode_constants!$D$383</definedName>
    <definedName name="H_NO3m">systemcode_constants!$D$384</definedName>
    <definedName name="H_null">systemcode_constants!$D$6</definedName>
    <definedName name="H_OHm">systemcode_constants!$D$379</definedName>
    <definedName name="H_PO43m">systemcode_constants!$D$391</definedName>
    <definedName name="H_S2m">systemcode_constants!$D$396</definedName>
    <definedName name="H_SO42m">systemcode_constants!$D$399</definedName>
    <definedName name="H_STP">systemcode_constants!$D$83</definedName>
    <definedName name="i_Charge_SNHx">Parameters!$D$116</definedName>
    <definedName name="i_Charge_SNOx">Parameters!$D$117</definedName>
    <definedName name="i_Charge_SPO4">Parameters!$D$118</definedName>
    <definedName name="i_Charge_SVFA">Parameters!$D$115</definedName>
    <definedName name="i_Charge_XPAO_PP">Parameters!$D$119</definedName>
    <definedName name="i_COD_N2">Parameters!$D$114</definedName>
    <definedName name="i_COD_NO3">Parameters!$D$113</definedName>
    <definedName name="i_CV">Parameters!$D$123</definedName>
    <definedName name="i_CV_SA">Parameters!$D$125</definedName>
    <definedName name="i_CV_SF">Parameters!$D$124</definedName>
    <definedName name="i_CV_SI">Parameters!$D$126</definedName>
    <definedName name="i_N_BM">Parameters!$D$94</definedName>
    <definedName name="i_N_SF">Parameters!$D$90</definedName>
    <definedName name="i_N_SI">Parameters!$D$91</definedName>
    <definedName name="i_N_XI">Parameters!$D$92</definedName>
    <definedName name="i_N_XS">Parameters!$D$93</definedName>
    <definedName name="i_NO3_N2">Parameters!$D$112</definedName>
    <definedName name="i_P_BM">Parameters!$D$99</definedName>
    <definedName name="i_P_SF">Parameters!$D$95</definedName>
    <definedName name="i_P_SI">Parameters!$D$96</definedName>
    <definedName name="i_P_XI">Parameters!$D$97</definedName>
    <definedName name="i_P_XS">Parameters!$D$98</definedName>
    <definedName name="i_TSS_BM">Parameters!$D$106</definedName>
    <definedName name="i_TSS_GLY">Parameters!$D$108</definedName>
    <definedName name="i_TSS_PHA">Parameters!$D$105</definedName>
    <definedName name="i_TSS_PP">Parameters!$D$107</definedName>
    <definedName name="i_TSS_XI">Parameters!$D$103</definedName>
    <definedName name="i_TSS_XS">Parameters!$D$104</definedName>
    <definedName name="K_ac">Parameters!$D$48</definedName>
    <definedName name="K_Ac_param">systemcode_constants!$D$301</definedName>
    <definedName name="K_C1_param">systemcode_constants!$D$296</definedName>
    <definedName name="K_C2_param">systemcode_constants!$D$297</definedName>
    <definedName name="K_F">Parameters!$D$22</definedName>
    <definedName name="K_fe">Parameters!$D$24</definedName>
    <definedName name="K_fGLY">Parameters!$D$41</definedName>
    <definedName name="K_fPHA">Parameters!$D$42</definedName>
    <definedName name="K_fPP">Parameters!$D$38</definedName>
    <definedName name="K_GLY">Parameters!$D$55</definedName>
    <definedName name="K_H2S_param">systemcode_constants!$D$306</definedName>
    <definedName name="K_HCO_A">Parameters!$D$65</definedName>
    <definedName name="K_HCO_H">Parameters!$D$29</definedName>
    <definedName name="K_HCO_PAO">Parameters!$D$56</definedName>
    <definedName name="K_N_H">Parameters!$D$27</definedName>
    <definedName name="K_N_PAO">Parameters!$D$51</definedName>
    <definedName name="K_NH_A">Parameters!$D$63</definedName>
    <definedName name="K_NH3_param">systemcode_constants!$D$294</definedName>
    <definedName name="K_NO_H">Parameters!$D$26</definedName>
    <definedName name="K_NO_HYD">Parameters!$D$15</definedName>
    <definedName name="K_NO_PAO">Parameters!$D$50</definedName>
    <definedName name="K_NO2_param">systemcode_constants!$D$295</definedName>
    <definedName name="K_O_A">Parameters!$D$62</definedName>
    <definedName name="K_O_H">Parameters!$D$25</definedName>
    <definedName name="K_O_HYD">Parameters!$D$14</definedName>
    <definedName name="K_O_PAO">Parameters!$D$49</definedName>
    <definedName name="K_P_A">Parameters!$D$64</definedName>
    <definedName name="K_P_H">Parameters!$D$28</definedName>
    <definedName name="K_P_PAO">Parameters!$D$52</definedName>
    <definedName name="K_P1_param">systemcode_constants!$D$298</definedName>
    <definedName name="K_P2_param">systemcode_constants!$D$299</definedName>
    <definedName name="K_P3_param">systemcode_constants!$D$300</definedName>
    <definedName name="K_PHA">Parameters!$D$54</definedName>
    <definedName name="K_PP">Parameters!$D$53</definedName>
    <definedName name="K_S1_param">systemcode_constants!$D$302</definedName>
    <definedName name="K_S2_param">systemcode_constants!$D$303</definedName>
    <definedName name="K_SO41_param">systemcode_constants!$D$304</definedName>
    <definedName name="K_SO42_param">systemcode_constants!$D$305</definedName>
    <definedName name="K_sp_ACP_param">systemcode_constants!$D$312</definedName>
    <definedName name="K_sp_CaCO3_param">systemcode_constants!$D$310</definedName>
    <definedName name="K_sp_FeS_param">systemcode_constants!$D$314</definedName>
    <definedName name="K_sp_HDP_param">systemcode_constants!$D$315</definedName>
    <definedName name="K_sp_MKP_param">systemcode_constants!$D$316</definedName>
    <definedName name="K_sp_STR_param">systemcode_constants!$D$311</definedName>
    <definedName name="K_sp_Vivi_param">systemcode_constants!$D$313</definedName>
    <definedName name="K_W_param">systemcode_constants!$D$293</definedName>
    <definedName name="K_X">Parameters!$D$11</definedName>
    <definedName name="m_AN">Parameters!$D$47</definedName>
    <definedName name="M_inhSNO_KNO_H">'Calculated variables'!$E$58</definedName>
    <definedName name="M_inhSNO_KNO_HYD">'Calculated variables'!$E$56</definedName>
    <definedName name="M_inhSNO_KNO_PAO">'Calculated variables'!$E$59</definedName>
    <definedName name="M_inhSO_KO_H">'Calculated variables'!$E$57</definedName>
    <definedName name="M_inhSO_KO_HYD">'Calculated variables'!$E$55</definedName>
    <definedName name="M_inhSO_KO_PAO">'Calculated variables'!$E$60</definedName>
    <definedName name="M_MACP">systemcode_constants!$D$249</definedName>
    <definedName name="M_Mair">systemcode_constants!$D$212</definedName>
    <definedName name="M_MAlOH3">systemcode_constants!$D$234</definedName>
    <definedName name="M_MAlPO4">systemcode_constants!$D$235</definedName>
    <definedName name="M_MCaCO3">systemcode_constants!$D$248</definedName>
    <definedName name="M_MCaH2PO4">systemcode_constants!$D$264</definedName>
    <definedName name="M_MCaHCO3">systemcode_constants!$D$261</definedName>
    <definedName name="M_MCaHPO4">systemcode_constants!$D$263</definedName>
    <definedName name="M_MCaOH">systemcode_constants!$D$260</definedName>
    <definedName name="M_MCaPO4">systemcode_constants!$D$262</definedName>
    <definedName name="M_MCH3COOH">systemcode_constants!$D$247</definedName>
    <definedName name="M_MCH3OH">systemcode_constants!$D$246</definedName>
    <definedName name="M_MCO2">systemcode_constants!$D$237</definedName>
    <definedName name="M_MCO3">systemcode_constants!$D$238</definedName>
    <definedName name="M_MEQ_GCH4">systemcode_constants!$D$287</definedName>
    <definedName name="M_MEQ_GCO2">systemcode_constants!$D$285</definedName>
    <definedName name="M_MEQ_GH2">systemcode_constants!$D$288</definedName>
    <definedName name="M_MEQ_GH2S">systemcode_constants!$D$289</definedName>
    <definedName name="M_MEQ_GN2">systemcode_constants!$D$281</definedName>
    <definedName name="M_MEQ_GN2O">systemcode_constants!$D$284</definedName>
    <definedName name="M_MEQ_GNH3">systemcode_constants!$D$282</definedName>
    <definedName name="M_MEQ_GNO">systemcode_constants!$D$283</definedName>
    <definedName name="M_MEQ_GO2">systemcode_constants!$D$286</definedName>
    <definedName name="M_MFe2O3">systemcode_constants!$D$232</definedName>
    <definedName name="M_MFeCl2">systemcode_constants!$D$255</definedName>
    <definedName name="M_MFeCl3">systemcode_constants!$D$254</definedName>
    <definedName name="M_MFeOH3">systemcode_constants!$D$233</definedName>
    <definedName name="M_MFeS">systemcode_constants!$D$253</definedName>
    <definedName name="M_MFeSO4">systemcode_constants!$D$256</definedName>
    <definedName name="M_MGCH4">systemcode_constants!$D$214</definedName>
    <definedName name="M_MGCO2">systemcode_constants!$D$215</definedName>
    <definedName name="M_MGH2">systemcode_constants!$D$213</definedName>
    <definedName name="M_MGH2S">systemcode_constants!$D$221</definedName>
    <definedName name="M_MGN2">systemcode_constants!$D$217</definedName>
    <definedName name="M_MGN2O">systemcode_constants!$D$220</definedName>
    <definedName name="M_MGNH3">systemcode_constants!$D$216</definedName>
    <definedName name="M_MGNO">systemcode_constants!$D$219</definedName>
    <definedName name="M_MGO2">systemcode_constants!$D$218</definedName>
    <definedName name="M_MH2CO3">systemcode_constants!$D$240</definedName>
    <definedName name="M_MH2O">systemcode_constants!$D$225</definedName>
    <definedName name="M_MH2S">systemcode_constants!$D$244</definedName>
    <definedName name="M_MH2SO4">systemcode_constants!$D$243</definedName>
    <definedName name="M_MHAP">systemcode_constants!$D$259</definedName>
    <definedName name="M_MHCl">systemcode_constants!$D$245</definedName>
    <definedName name="M_MHCO3">systemcode_constants!$D$239</definedName>
    <definedName name="M_MHDP">systemcode_constants!$D$258</definedName>
    <definedName name="M_MHSO4">systemcode_constants!$D$242</definedName>
    <definedName name="M_MMgCO3">systemcode_constants!$D$267</definedName>
    <definedName name="M_MMgH2PO4">systemcode_constants!$D$271</definedName>
    <definedName name="M_MMgHCO3">systemcode_constants!$D$268</definedName>
    <definedName name="M_MMgHPO4">systemcode_constants!$D$269</definedName>
    <definedName name="M_MMgOH">systemcode_constants!$D$265</definedName>
    <definedName name="M_MMgOH2">systemcode_constants!$D$266</definedName>
    <definedName name="M_MMgPO4">systemcode_constants!$D$270</definedName>
    <definedName name="M_MMKP">systemcode_constants!$D$251</definedName>
    <definedName name="M_MMMC">systemcode_constants!$D$277</definedName>
    <definedName name="M_MN2">systemcode_constants!$D$227</definedName>
    <definedName name="M_MNa2CO3">systemcode_constants!$D$275</definedName>
    <definedName name="M_MNaCl">systemcode_constants!$D$273</definedName>
    <definedName name="M_MNaHCO3">systemcode_constants!$D$276</definedName>
    <definedName name="M_MNaHPO4">systemcode_constants!$D$272</definedName>
    <definedName name="M_MNaOH">systemcode_constants!$D$274</definedName>
    <definedName name="M_MNH3">systemcode_constants!$D$228</definedName>
    <definedName name="M_MNH4">systemcode_constants!$D$229</definedName>
    <definedName name="M_MNO2">systemcode_constants!$D$230</definedName>
    <definedName name="M_MNO3">systemcode_constants!$D$231</definedName>
    <definedName name="M_MO2">systemcode_constants!$D$226</definedName>
    <definedName name="M_MPO4">systemcode_constants!$D$236</definedName>
    <definedName name="M_MSiO2">systemcode_constants!$D$257</definedName>
    <definedName name="M_MSO4">systemcode_constants!$D$241</definedName>
    <definedName name="M_MSTR">systemcode_constants!$D$250</definedName>
    <definedName name="M_MVivi">systemcode_constants!$D$252</definedName>
    <definedName name="m_NO">Parameters!$D$46</definedName>
    <definedName name="m_O">Parameters!$D$45</definedName>
    <definedName name="M_RsatXGLY_XPAO_KfGLY">'Calculated variables'!$E$51</definedName>
    <definedName name="M_RsatXPHA_XPAO_KfPHA">'Calculated variables'!$E$49</definedName>
    <definedName name="M_RsatXPP_XPAO_KfPP">'Calculated variables'!$E$50</definedName>
    <definedName name="M_RsatXS_XH_XPAO_KX">'Calculated variables'!$E$52</definedName>
    <definedName name="M_satSA_KAc">'Calculated variables'!$E$36</definedName>
    <definedName name="M_satSF_KF">'Calculated variables'!$E$32</definedName>
    <definedName name="M_satSF_Kfe">'Calculated variables'!$E$33</definedName>
    <definedName name="M_satSHCO_KHCO_A">'Calculated variables'!$E$47</definedName>
    <definedName name="M_satSHCO_KHCO_H">'Calculated variables'!$E$35</definedName>
    <definedName name="M_satSHCO_KHCO_PAO">'Calculated variables'!$E$38</definedName>
    <definedName name="M_satSNH_KN_H">'Calculated variables'!$E$31</definedName>
    <definedName name="M_satSNH_KN_PAO">'Calculated variables'!$E$41</definedName>
    <definedName name="M_satSNH_KNH_A">'Calculated variables'!$E$45</definedName>
    <definedName name="M_satSNO_gPP_KNO_PAO">'Calculated variables'!$E$43</definedName>
    <definedName name="M_satSNO_KNO_H">'Calculated variables'!$E$30</definedName>
    <definedName name="M_satSNO_KNO_HYD">'Calculated variables'!$E$28</definedName>
    <definedName name="M_satSNO_KNO_PAO">'Calculated variables'!$E$40</definedName>
    <definedName name="M_satSO_gPP_KO_PAO">'Calculated variables'!$E$48</definedName>
    <definedName name="M_satSO_KO_A">'Calculated variables'!$E$44</definedName>
    <definedName name="M_satSO_KO_H">'Calculated variables'!$E$29</definedName>
    <definedName name="M_satSO_KO_HYD">'Calculated variables'!$E$27</definedName>
    <definedName name="M_satSO_KO_PAO">'Calculated variables'!$E$37</definedName>
    <definedName name="M_satSPO_KP_A">'Calculated variables'!$E$46</definedName>
    <definedName name="M_satSPO_KP_H">'Calculated variables'!$E$34</definedName>
    <definedName name="M_satSPO_KP_PAO">'Calculated variables'!$E$39</definedName>
    <definedName name="M_satXGLY_KGLY">'Calculated variables'!$E$42</definedName>
    <definedName name="M_satXPHA_KPHA">'Calculated variables'!$E$54</definedName>
    <definedName name="M_satXPP_KPP">'Calculated variables'!$E$53</definedName>
    <definedName name="N_UR">'Calculated variables'!$E$22</definedName>
    <definedName name="O_UR">'Calculated variables'!$E$21</definedName>
    <definedName name="p_i">systemcode_constants!$D$87</definedName>
    <definedName name="p_N">systemcode_constants!$D$58</definedName>
    <definedName name="p_St">systemcode_constants!$D$5</definedName>
    <definedName name="p_STP">systemcode_constants!$D$57</definedName>
    <definedName name="q_Ac">Parameters!$D$33</definedName>
    <definedName name="q_Ac_NO">Parameters!$D$34</definedName>
    <definedName name="q_fe">Parameters!$D$21</definedName>
    <definedName name="q_GLY">Parameters!$D$39</definedName>
    <definedName name="q_h">Parameters!$D$10</definedName>
    <definedName name="q_PHA">Parameters!$D$43</definedName>
    <definedName name="q_PP">Parameters!$D$35</definedName>
    <definedName name="R__">systemcode_constants!$D$73</definedName>
    <definedName name="r_1">Model!$W$39</definedName>
    <definedName name="r_10">Model!$W$48</definedName>
    <definedName name="r_11">Model!$W$49</definedName>
    <definedName name="r_12">Model!$W$50</definedName>
    <definedName name="r_13">Model!$W$51</definedName>
    <definedName name="r_14">Model!$W$52</definedName>
    <definedName name="r_15">Model!$W$53</definedName>
    <definedName name="r_16">Model!$W$54</definedName>
    <definedName name="r_17">Model!$W$55</definedName>
    <definedName name="r_18">Model!$W$56</definedName>
    <definedName name="r_19">Model!$W$57</definedName>
    <definedName name="r_2">Model!$W$40</definedName>
    <definedName name="r_20">Model!$W$58</definedName>
    <definedName name="r_21">Model!$W$59</definedName>
    <definedName name="r_22">Model!$W$60</definedName>
    <definedName name="r_3">Model!$W$41</definedName>
    <definedName name="r_4">Model!$W$42</definedName>
    <definedName name="r_5">Model!$W$43</definedName>
    <definedName name="r_6">Model!$W$44</definedName>
    <definedName name="r_7">Model!$W$45</definedName>
    <definedName name="r_8">Model!$W$46</definedName>
    <definedName name="r_9">Model!$W$47</definedName>
    <definedName name="R_air">systemcode_constants!$D$74</definedName>
    <definedName name="S_A">Components!$E$6</definedName>
    <definedName name="S_BOD_5">'Calculated variables'!$E$7</definedName>
    <definedName name="S_BOD_ult">'Calculated variables'!$E$4</definedName>
    <definedName name="S_COD">'Calculated variables'!$E$10</definedName>
    <definedName name="S_F">Components!$E$5</definedName>
    <definedName name="S_HCO">Components!$E$12</definedName>
    <definedName name="S_I">Components!$E$11</definedName>
    <definedName name="S_N2">Components!$E$9</definedName>
    <definedName name="S_NH">Components!$E$7</definedName>
    <definedName name="S_NO">Components!$E$8</definedName>
    <definedName name="S_O">Components!$E$4</definedName>
    <definedName name="S_PO">Components!$E$10</definedName>
    <definedName name="S_umo__pHEffects">'other parameters'!$D$7</definedName>
    <definedName name="T_BOD_5">'Calculated variables'!$E$9</definedName>
    <definedName name="T_BOD_ult">'Calculated variables'!$E$6</definedName>
    <definedName name="T_COD">'Calculated variables'!$E$12</definedName>
    <definedName name="T_KN">'Calculated variables'!$E$13</definedName>
    <definedName name="T_N">'Calculated variables'!$E$14</definedName>
    <definedName name="T_NTP_K">systemcode_constants!$D$81</definedName>
    <definedName name="T_null">systemcode_constants!$D$4</definedName>
    <definedName name="T_st_K">systemcode_constants!$D$80</definedName>
    <definedName name="T_STP_K">systemcode_constants!$D$82</definedName>
    <definedName name="v_1_SA">Model!$G$39</definedName>
    <definedName name="v_1_SF">Model!$F$39</definedName>
    <definedName name="v_1_SHCO">Model!$M$39</definedName>
    <definedName name="v_1_SI">Model!$L$39</definedName>
    <definedName name="v_1_SN2">Model!$J$39</definedName>
    <definedName name="v_1_SNH">Model!$H$39</definedName>
    <definedName name="v_1_SNO">Model!$I$39</definedName>
    <definedName name="v_1_SO">Model!$E$39</definedName>
    <definedName name="v_1_SPO">Model!$K$39</definedName>
    <definedName name="v_1_XA">Model!$U$39</definedName>
    <definedName name="v_1_XGLY">Model!$T$39</definedName>
    <definedName name="v_1_XH">Model!$P$39</definedName>
    <definedName name="v_1_XI">Model!$N$39</definedName>
    <definedName name="v_1_XPAO">Model!$Q$39</definedName>
    <definedName name="v_1_XPHA">Model!$S$39</definedName>
    <definedName name="v_1_XPP">Model!$R$39</definedName>
    <definedName name="v_1_XS">Model!$O$39</definedName>
    <definedName name="v_1_XTSS">Model!$V$39</definedName>
    <definedName name="v_10_SA">Model!$G$48</definedName>
    <definedName name="v_10_SF">Model!$F$48</definedName>
    <definedName name="v_10_SHCO">Model!$M$48</definedName>
    <definedName name="v_10_SI">Model!$L$48</definedName>
    <definedName name="v_10_SN2">Model!$J$48</definedName>
    <definedName name="v_10_SNH">Model!$H$48</definedName>
    <definedName name="v_10_SNO">Model!$I$48</definedName>
    <definedName name="v_10_SO">Model!$E$48</definedName>
    <definedName name="v_10_SPO">Model!$K$48</definedName>
    <definedName name="v_10_XA">Model!$U$48</definedName>
    <definedName name="v_10_XGLY">Model!$T$48</definedName>
    <definedName name="v_10_XH">Model!$P$48</definedName>
    <definedName name="v_10_XI">Model!$N$48</definedName>
    <definedName name="v_10_XPAO">Model!$Q$48</definedName>
    <definedName name="v_10_XPHA">Model!$S$48</definedName>
    <definedName name="v_10_XPP">Model!$R$48</definedName>
    <definedName name="v_10_XS">Model!$O$48</definedName>
    <definedName name="v_10_XTSS">Model!$V$48</definedName>
    <definedName name="v_11_SA">Model!$G$49</definedName>
    <definedName name="v_11_SF">Model!$F$49</definedName>
    <definedName name="v_11_SHCO">Model!$M$49</definedName>
    <definedName name="v_11_SI">Model!$L$49</definedName>
    <definedName name="v_11_SN2">Model!$J$49</definedName>
    <definedName name="v_11_SNH">Model!$H$49</definedName>
    <definedName name="v_11_SNO">Model!$I$49</definedName>
    <definedName name="v_11_SO">Model!$E$49</definedName>
    <definedName name="v_11_SPO">Model!$K$49</definedName>
    <definedName name="v_11_XA">Model!$U$49</definedName>
    <definedName name="v_11_XGLY">Model!$T$49</definedName>
    <definedName name="v_11_XH">Model!$P$49</definedName>
    <definedName name="v_11_XI">Model!$N$49</definedName>
    <definedName name="v_11_XPAO">Model!$Q$49</definedName>
    <definedName name="v_11_XPHA">Model!$S$49</definedName>
    <definedName name="v_11_XPP">Model!$R$49</definedName>
    <definedName name="v_11_XS">Model!$O$49</definedName>
    <definedName name="v_11_XTSS">Model!$V$49</definedName>
    <definedName name="v_12_SA">Model!$G$50</definedName>
    <definedName name="v_12_SF">Model!$F$50</definedName>
    <definedName name="v_12_SHCO">Model!$M$50</definedName>
    <definedName name="v_12_SI">Model!$L$50</definedName>
    <definedName name="v_12_SN2">Model!$J$50</definedName>
    <definedName name="v_12_SNH">Model!$H$50</definedName>
    <definedName name="v_12_SNO">Model!$I$50</definedName>
    <definedName name="v_12_SO">Model!$E$50</definedName>
    <definedName name="v_12_SPO">Model!$K$50</definedName>
    <definedName name="v_12_XA">Model!$U$50</definedName>
    <definedName name="v_12_XGLY">Model!$T$50</definedName>
    <definedName name="v_12_XH">Model!$P$50</definedName>
    <definedName name="v_12_XI">Model!$N$50</definedName>
    <definedName name="v_12_XPAO">Model!$Q$50</definedName>
    <definedName name="v_12_XPHA">Model!$S$50</definedName>
    <definedName name="v_12_XPP">Model!$R$50</definedName>
    <definedName name="v_12_XS">Model!$O$50</definedName>
    <definedName name="v_12_XTSS">Model!$V$50</definedName>
    <definedName name="v_13_SA">Model!$G$51</definedName>
    <definedName name="v_13_SF">Model!$F$51</definedName>
    <definedName name="v_13_SHCO">Model!$M$51</definedName>
    <definedName name="v_13_SI">Model!$L$51</definedName>
    <definedName name="v_13_SN2">Model!$J$51</definedName>
    <definedName name="v_13_SNH">Model!$H$51</definedName>
    <definedName name="v_13_SNO">Model!$I$51</definedName>
    <definedName name="v_13_SO">Model!$E$51</definedName>
    <definedName name="v_13_SPO">Model!$K$51</definedName>
    <definedName name="v_13_XA">Model!$U$51</definedName>
    <definedName name="v_13_XGLY">Model!$T$51</definedName>
    <definedName name="v_13_XH">Model!$P$51</definedName>
    <definedName name="v_13_XI">Model!$N$51</definedName>
    <definedName name="v_13_XPAO">Model!$Q$51</definedName>
    <definedName name="v_13_XPHA">Model!$S$51</definedName>
    <definedName name="v_13_XPP">Model!$R$51</definedName>
    <definedName name="v_13_XS">Model!$O$51</definedName>
    <definedName name="v_13_XTSS">Model!$V$51</definedName>
    <definedName name="v_14_SA">Model!$G$52</definedName>
    <definedName name="v_14_SF">Model!$F$52</definedName>
    <definedName name="v_14_SHCO">Model!$M$52</definedName>
    <definedName name="v_14_SI">Model!$L$52</definedName>
    <definedName name="v_14_SN2">Model!$J$52</definedName>
    <definedName name="v_14_SNH">Model!$H$52</definedName>
    <definedName name="v_14_SNO">Model!$I$52</definedName>
    <definedName name="v_14_SO">Model!$E$52</definedName>
    <definedName name="v_14_SPO">Model!$K$52</definedName>
    <definedName name="v_14_XA">Model!$U$52</definedName>
    <definedName name="v_14_XGLY">Model!$T$52</definedName>
    <definedName name="v_14_XH">Model!$P$52</definedName>
    <definedName name="v_14_XI">Model!$N$52</definedName>
    <definedName name="v_14_XPAO">Model!$Q$52</definedName>
    <definedName name="v_14_XPHA">Model!$S$52</definedName>
    <definedName name="v_14_XPP">Model!$R$52</definedName>
    <definedName name="v_14_XS">Model!$O$52</definedName>
    <definedName name="v_14_XTSS">Model!$V$52</definedName>
    <definedName name="v_15_SA">Model!$G$53</definedName>
    <definedName name="v_15_SF">Model!$F$53</definedName>
    <definedName name="v_15_SHCO">Model!$M$53</definedName>
    <definedName name="v_15_SI">Model!$L$53</definedName>
    <definedName name="v_15_SN2">Model!$J$53</definedName>
    <definedName name="v_15_SNH">Model!$H$53</definedName>
    <definedName name="v_15_SNO">Model!$I$53</definedName>
    <definedName name="v_15_SO">Model!$E$53</definedName>
    <definedName name="v_15_SPO">Model!$K$53</definedName>
    <definedName name="v_15_XA">Model!$U$53</definedName>
    <definedName name="v_15_XGLY">Model!$T$53</definedName>
    <definedName name="v_15_XH">Model!$P$53</definedName>
    <definedName name="v_15_XI">Model!$N$53</definedName>
    <definedName name="v_15_XPAO">Model!$Q$53</definedName>
    <definedName name="v_15_XPHA">Model!$S$53</definedName>
    <definedName name="v_15_XPP">Model!$R$53</definedName>
    <definedName name="v_15_XS">Model!$O$53</definedName>
    <definedName name="v_15_XTSS">Model!$V$53</definedName>
    <definedName name="v_16_SA">Model!$G$54</definedName>
    <definedName name="v_16_SF">Model!$F$54</definedName>
    <definedName name="v_16_SHCO">Model!$M$54</definedName>
    <definedName name="v_16_SI">Model!$L$54</definedName>
    <definedName name="v_16_SN2">Model!$J$54</definedName>
    <definedName name="v_16_SNH">Model!$H$54</definedName>
    <definedName name="v_16_SNO">Model!$I$54</definedName>
    <definedName name="v_16_SO">Model!$E$54</definedName>
    <definedName name="v_16_SPO">Model!$K$54</definedName>
    <definedName name="v_16_XA">Model!$U$54</definedName>
    <definedName name="v_16_XGLY">Model!$T$54</definedName>
    <definedName name="v_16_XH">Model!$P$54</definedName>
    <definedName name="v_16_XI">Model!$N$54</definedName>
    <definedName name="v_16_XPAO">Model!$Q$54</definedName>
    <definedName name="v_16_XPHA">Model!$S$54</definedName>
    <definedName name="v_16_XPP">Model!$R$54</definedName>
    <definedName name="v_16_XS">Model!$O$54</definedName>
    <definedName name="v_16_XTSS">Model!$V$54</definedName>
    <definedName name="v_17_SA">Model!$G$55</definedName>
    <definedName name="v_17_SF">Model!$F$55</definedName>
    <definedName name="v_17_SHCO">Model!$M$55</definedName>
    <definedName name="v_17_SI">Model!$L$55</definedName>
    <definedName name="v_17_SN2">Model!$J$55</definedName>
    <definedName name="v_17_SNH">Model!$H$55</definedName>
    <definedName name="v_17_SNO">Model!$I$55</definedName>
    <definedName name="v_17_SO">Model!$E$55</definedName>
    <definedName name="v_17_SPO">Model!$K$55</definedName>
    <definedName name="v_17_XA">Model!$U$55</definedName>
    <definedName name="v_17_XGLY">Model!$T$55</definedName>
    <definedName name="v_17_XH">Model!$P$55</definedName>
    <definedName name="v_17_XI">Model!$N$55</definedName>
    <definedName name="v_17_XPAO">Model!$Q$55</definedName>
    <definedName name="v_17_XPHA">Model!$S$55</definedName>
    <definedName name="v_17_XPP">Model!$R$55</definedName>
    <definedName name="v_17_XS">Model!$O$55</definedName>
    <definedName name="v_17_XTSS">Model!$V$55</definedName>
    <definedName name="v_18_SA">Model!$G$56</definedName>
    <definedName name="v_18_SF">Model!$F$56</definedName>
    <definedName name="v_18_SHCO">Model!$M$56</definedName>
    <definedName name="v_18_SI">Model!$L$56</definedName>
    <definedName name="v_18_SN2">Model!$J$56</definedName>
    <definedName name="v_18_SNH">Model!$H$56</definedName>
    <definedName name="v_18_SNO">Model!$I$56</definedName>
    <definedName name="v_18_SO">Model!$E$56</definedName>
    <definedName name="v_18_SPO">Model!$K$56</definedName>
    <definedName name="v_18_XA">Model!$U$56</definedName>
    <definedName name="v_18_XGLY">Model!$T$56</definedName>
    <definedName name="v_18_XH">Model!$P$56</definedName>
    <definedName name="v_18_XI">Model!$N$56</definedName>
    <definedName name="v_18_XPAO">Model!$Q$56</definedName>
    <definedName name="v_18_XPHA">Model!$S$56</definedName>
    <definedName name="v_18_XPP">Model!$R$56</definedName>
    <definedName name="v_18_XS">Model!$O$56</definedName>
    <definedName name="v_18_XTSS">Model!$V$56</definedName>
    <definedName name="v_19_SA">Model!$G$57</definedName>
    <definedName name="v_19_SF">Model!$F$57</definedName>
    <definedName name="v_19_SHCO">Model!$M$57</definedName>
    <definedName name="v_19_SI">Model!$L$57</definedName>
    <definedName name="v_19_SN2">Model!$J$57</definedName>
    <definedName name="v_19_SNH">Model!$H$57</definedName>
    <definedName name="v_19_SNO">Model!$I$57</definedName>
    <definedName name="v_19_SO">Model!$E$57</definedName>
    <definedName name="v_19_SPO">Model!$K$57</definedName>
    <definedName name="v_19_XA">Model!$U$57</definedName>
    <definedName name="v_19_XGLY">Model!$T$57</definedName>
    <definedName name="v_19_XH">Model!$P$57</definedName>
    <definedName name="v_19_XI">Model!$N$57</definedName>
    <definedName name="v_19_XPAO">Model!$Q$57</definedName>
    <definedName name="v_19_XPHA">Model!$S$57</definedName>
    <definedName name="v_19_XPP">Model!$R$57</definedName>
    <definedName name="v_19_XS">Model!$O$57</definedName>
    <definedName name="v_19_XTSS">Model!$V$57</definedName>
    <definedName name="v_2_SA">Model!$G$40</definedName>
    <definedName name="v_2_SF">Model!$F$40</definedName>
    <definedName name="v_2_SHCO">Model!$M$40</definedName>
    <definedName name="v_2_SI">Model!$L$40</definedName>
    <definedName name="v_2_SN2">Model!$J$40</definedName>
    <definedName name="v_2_SNH">Model!$H$40</definedName>
    <definedName name="v_2_SNO">Model!$I$40</definedName>
    <definedName name="v_2_SO">Model!$E$40</definedName>
    <definedName name="v_2_SPO">Model!$K$40</definedName>
    <definedName name="v_2_XA">Model!$U$40</definedName>
    <definedName name="v_2_XGLY">Model!$T$40</definedName>
    <definedName name="v_2_XH">Model!$P$40</definedName>
    <definedName name="v_2_XI">Model!$N$40</definedName>
    <definedName name="v_2_XPAO">Model!$Q$40</definedName>
    <definedName name="v_2_XPHA">Model!$S$40</definedName>
    <definedName name="v_2_XPP">Model!$R$40</definedName>
    <definedName name="v_2_XS">Model!$O$40</definedName>
    <definedName name="v_2_XTSS">Model!$V$40</definedName>
    <definedName name="v_20_SA">Model!$G$58</definedName>
    <definedName name="v_20_SF">Model!$F$58</definedName>
    <definedName name="v_20_SHCO">Model!$M$58</definedName>
    <definedName name="v_20_SI">Model!$L$58</definedName>
    <definedName name="v_20_SN2">Model!$J$58</definedName>
    <definedName name="v_20_SNH">Model!$H$58</definedName>
    <definedName name="v_20_SNO">Model!$I$58</definedName>
    <definedName name="v_20_SO">Model!$E$58</definedName>
    <definedName name="v_20_SPO">Model!$K$58</definedName>
    <definedName name="v_20_XA">Model!$U$58</definedName>
    <definedName name="v_20_XGLY">Model!$T$58</definedName>
    <definedName name="v_20_XH">Model!$P$58</definedName>
    <definedName name="v_20_XI">Model!$N$58</definedName>
    <definedName name="v_20_XPAO">Model!$Q$58</definedName>
    <definedName name="v_20_XPHA">Model!$S$58</definedName>
    <definedName name="v_20_XPP">Model!$R$58</definedName>
    <definedName name="v_20_XS">Model!$O$58</definedName>
    <definedName name="v_20_XTSS">Model!$V$58</definedName>
    <definedName name="v_21_SA">Model!$G$59</definedName>
    <definedName name="v_21_SF">Model!$F$59</definedName>
    <definedName name="v_21_SHCO">Model!$M$59</definedName>
    <definedName name="v_21_SI">Model!$L$59</definedName>
    <definedName name="v_21_SN2">Model!$J$59</definedName>
    <definedName name="v_21_SNH">Model!$H$59</definedName>
    <definedName name="v_21_SNO">Model!$I$59</definedName>
    <definedName name="v_21_SO">Model!$E$59</definedName>
    <definedName name="v_21_SPO">Model!$K$59</definedName>
    <definedName name="v_21_XA">Model!$U$59</definedName>
    <definedName name="v_21_XGLY">Model!$T$59</definedName>
    <definedName name="v_21_XH">Model!$P$59</definedName>
    <definedName name="v_21_XI">Model!$N$59</definedName>
    <definedName name="v_21_XPAO">Model!$Q$59</definedName>
    <definedName name="v_21_XPHA">Model!$S$59</definedName>
    <definedName name="v_21_XPP">Model!$R$59</definedName>
    <definedName name="v_21_XS">Model!$O$59</definedName>
    <definedName name="v_21_XTSS">Model!$V$59</definedName>
    <definedName name="v_22_SA">Model!$G$60</definedName>
    <definedName name="v_22_SF">Model!$F$60</definedName>
    <definedName name="v_22_SHCO">Model!$M$60</definedName>
    <definedName name="v_22_SI">Model!$L$60</definedName>
    <definedName name="v_22_SN2">Model!$J$60</definedName>
    <definedName name="v_22_SNH">Model!$H$60</definedName>
    <definedName name="v_22_SNO">Model!$I$60</definedName>
    <definedName name="v_22_SO">Model!$E$60</definedName>
    <definedName name="v_22_SPO">Model!$K$60</definedName>
    <definedName name="v_22_XA">Model!$U$60</definedName>
    <definedName name="v_22_XGLY">Model!$T$60</definedName>
    <definedName name="v_22_XH">Model!$P$60</definedName>
    <definedName name="v_22_XI">Model!$N$60</definedName>
    <definedName name="v_22_XPAO">Model!$Q$60</definedName>
    <definedName name="v_22_XPHA">Model!$S$60</definedName>
    <definedName name="v_22_XPP">Model!$R$60</definedName>
    <definedName name="v_22_XS">Model!$O$60</definedName>
    <definedName name="v_22_XTSS">Model!$V$60</definedName>
    <definedName name="v_3_SA">Model!$G$41</definedName>
    <definedName name="v_3_SF">Model!$F$41</definedName>
    <definedName name="v_3_SHCO">Model!$M$41</definedName>
    <definedName name="v_3_SI">Model!$L$41</definedName>
    <definedName name="v_3_SN2">Model!$J$41</definedName>
    <definedName name="v_3_SNH">Model!$H$41</definedName>
    <definedName name="v_3_SNO">Model!$I$41</definedName>
    <definedName name="v_3_SO">Model!$E$41</definedName>
    <definedName name="v_3_SPO">Model!$K$41</definedName>
    <definedName name="v_3_XA">Model!$U$41</definedName>
    <definedName name="v_3_XGLY">Model!$T$41</definedName>
    <definedName name="v_3_XH">Model!$P$41</definedName>
    <definedName name="v_3_XI">Model!$N$41</definedName>
    <definedName name="v_3_XPAO">Model!$Q$41</definedName>
    <definedName name="v_3_XPHA">Model!$S$41</definedName>
    <definedName name="v_3_XPP">Model!$R$41</definedName>
    <definedName name="v_3_XS">Model!$O$41</definedName>
    <definedName name="v_3_XTSS">Model!$V$41</definedName>
    <definedName name="v_4_SA">Model!$G$42</definedName>
    <definedName name="v_4_SF">Model!$F$42</definedName>
    <definedName name="v_4_SHCO">Model!$M$42</definedName>
    <definedName name="v_4_SI">Model!$L$42</definedName>
    <definedName name="v_4_SN2">Model!$J$42</definedName>
    <definedName name="v_4_SNH">Model!$H$42</definedName>
    <definedName name="v_4_SNO">Model!$I$42</definedName>
    <definedName name="v_4_SO">Model!$E$42</definedName>
    <definedName name="v_4_SPO">Model!$K$42</definedName>
    <definedName name="v_4_XA">Model!$U$42</definedName>
    <definedName name="v_4_XGLY">Model!$T$42</definedName>
    <definedName name="v_4_XH">Model!$P$42</definedName>
    <definedName name="v_4_XI">Model!$N$42</definedName>
    <definedName name="v_4_XPAO">Model!$Q$42</definedName>
    <definedName name="v_4_XPHA">Model!$S$42</definedName>
    <definedName name="v_4_XPP">Model!$R$42</definedName>
    <definedName name="v_4_XS">Model!$O$42</definedName>
    <definedName name="v_4_XTSS">Model!$V$42</definedName>
    <definedName name="v_5_SA">Model!$G$43</definedName>
    <definedName name="v_5_SF">Model!$F$43</definedName>
    <definedName name="v_5_SHCO">Model!$M$43</definedName>
    <definedName name="v_5_SI">Model!$L$43</definedName>
    <definedName name="v_5_SN2">Model!$J$43</definedName>
    <definedName name="v_5_SNH">Model!$H$43</definedName>
    <definedName name="v_5_SNO">Model!$I$43</definedName>
    <definedName name="v_5_SO">Model!$E$43</definedName>
    <definedName name="v_5_SPO">Model!$K$43</definedName>
    <definedName name="v_5_XA">Model!$U$43</definedName>
    <definedName name="v_5_XGLY">Model!$T$43</definedName>
    <definedName name="v_5_XH">Model!$P$43</definedName>
    <definedName name="v_5_XI">Model!$N$43</definedName>
    <definedName name="v_5_XPAO">Model!$Q$43</definedName>
    <definedName name="v_5_XPHA">Model!$S$43</definedName>
    <definedName name="v_5_XPP">Model!$R$43</definedName>
    <definedName name="v_5_XS">Model!$O$43</definedName>
    <definedName name="v_5_XTSS">Model!$V$43</definedName>
    <definedName name="v_6_SA">Model!$G$44</definedName>
    <definedName name="v_6_SF">Model!$F$44</definedName>
    <definedName name="v_6_SHCO">Model!$M$44</definedName>
    <definedName name="v_6_SI">Model!$L$44</definedName>
    <definedName name="v_6_SN2">Model!$J$44</definedName>
    <definedName name="v_6_SNH">Model!$H$44</definedName>
    <definedName name="v_6_SNO">Model!$I$44</definedName>
    <definedName name="v_6_SO">Model!$E$44</definedName>
    <definedName name="v_6_SPO">Model!$K$44</definedName>
    <definedName name="v_6_XA">Model!$U$44</definedName>
    <definedName name="v_6_XGLY">Model!$T$44</definedName>
    <definedName name="v_6_XH">Model!$P$44</definedName>
    <definedName name="v_6_XI">Model!$N$44</definedName>
    <definedName name="v_6_XPAO">Model!$Q$44</definedName>
    <definedName name="v_6_XPHA">Model!$S$44</definedName>
    <definedName name="v_6_XPP">Model!$R$44</definedName>
    <definedName name="v_6_XS">Model!$O$44</definedName>
    <definedName name="v_6_XTSS">Model!$V$44</definedName>
    <definedName name="v_7_SA">Model!$G$45</definedName>
    <definedName name="v_7_SF">Model!$F$45</definedName>
    <definedName name="v_7_SHCO">Model!$M$45</definedName>
    <definedName name="v_7_SI">Model!$L$45</definedName>
    <definedName name="v_7_SN2">Model!$J$45</definedName>
    <definedName name="v_7_SNH">Model!$H$45</definedName>
    <definedName name="v_7_SNO">Model!$I$45</definedName>
    <definedName name="v_7_SO">Model!$E$45</definedName>
    <definedName name="v_7_SPO">Model!$K$45</definedName>
    <definedName name="v_7_XA">Model!$U$45</definedName>
    <definedName name="v_7_XGLY">Model!$T$45</definedName>
    <definedName name="v_7_XH">Model!$P$45</definedName>
    <definedName name="v_7_XI">Model!$N$45</definedName>
    <definedName name="v_7_XPAO">Model!$Q$45</definedName>
    <definedName name="v_7_XPHA">Model!$S$45</definedName>
    <definedName name="v_7_XPP">Model!$R$45</definedName>
    <definedName name="v_7_XS">Model!$O$45</definedName>
    <definedName name="v_7_XTSS">Model!$V$45</definedName>
    <definedName name="v_8_SA">Model!$G$46</definedName>
    <definedName name="v_8_SF">Model!$F$46</definedName>
    <definedName name="v_8_SHCO">Model!$M$46</definedName>
    <definedName name="v_8_SI">Model!$L$46</definedName>
    <definedName name="v_8_SN2">Model!$J$46</definedName>
    <definedName name="v_8_SNH">Model!$H$46</definedName>
    <definedName name="v_8_SNO">Model!$I$46</definedName>
    <definedName name="v_8_SO">Model!$E$46</definedName>
    <definedName name="v_8_SPO">Model!$K$46</definedName>
    <definedName name="v_8_XA">Model!$U$46</definedName>
    <definedName name="v_8_XGLY">Model!$T$46</definedName>
    <definedName name="v_8_XH">Model!$P$46</definedName>
    <definedName name="v_8_XI">Model!$N$46</definedName>
    <definedName name="v_8_XPAO">Model!$Q$46</definedName>
    <definedName name="v_8_XPHA">Model!$S$46</definedName>
    <definedName name="v_8_XPP">Model!$R$46</definedName>
    <definedName name="v_8_XS">Model!$O$46</definedName>
    <definedName name="v_8_XTSS">Model!$V$46</definedName>
    <definedName name="v_9_SA">Model!$G$47</definedName>
    <definedName name="v_9_SF">Model!$F$47</definedName>
    <definedName name="v_9_SHCO">Model!$M$47</definedName>
    <definedName name="v_9_SI">Model!$L$47</definedName>
    <definedName name="v_9_SN2">Model!$J$47</definedName>
    <definedName name="v_9_SNH">Model!$H$47</definedName>
    <definedName name="v_9_SNO">Model!$I$47</definedName>
    <definedName name="v_9_SO">Model!$E$47</definedName>
    <definedName name="v_9_SPO">Model!$K$47</definedName>
    <definedName name="v_9_XA">Model!$U$47</definedName>
    <definedName name="v_9_XGLY">Model!$T$47</definedName>
    <definedName name="v_9_XH">Model!$P$47</definedName>
    <definedName name="v_9_XI">Model!$N$47</definedName>
    <definedName name="v_9_XPAO">Model!$Q$47</definedName>
    <definedName name="v_9_XPHA">Model!$S$47</definedName>
    <definedName name="v_9_XPP">Model!$R$47</definedName>
    <definedName name="v_9_XS">Model!$O$47</definedName>
    <definedName name="v_9_XTSS">Model!$V$47</definedName>
    <definedName name="V_mol_N">systemcode_constants!$D$75</definedName>
    <definedName name="X_A">Components!$E$20</definedName>
    <definedName name="X_BOD_5">'Calculated variables'!$E$8</definedName>
    <definedName name="X_BOD_ult">'Calculated variables'!$E$5</definedName>
    <definedName name="X_COD">'Calculated variables'!$E$11</definedName>
    <definedName name="X_DM">'Calculated variables'!$E$17</definedName>
    <definedName name="X_GLY">Components!$E$19</definedName>
    <definedName name="X_H">Components!$E$15</definedName>
    <definedName name="X_I">Components!$E$13</definedName>
    <definedName name="X_ISS">'Calculated variables'!$E$16</definedName>
    <definedName name="X_PAO">Components!$E$16</definedName>
    <definedName name="X_PHA">Components!$E$18</definedName>
    <definedName name="X_PP">Components!$E$17</definedName>
    <definedName name="X_S">Components!$E$14</definedName>
    <definedName name="X_TSS">Components!$E$21</definedName>
    <definedName name="X_VSS">'Calculated variables'!$E$15</definedName>
    <definedName name="Y_A">Parameters!$D$80</definedName>
    <definedName name="Y_GLY_NO">Parameters!$D$78</definedName>
    <definedName name="Y_GLY_O">Parameters!$D$79</definedName>
    <definedName name="Y_H">Parameters!$D$69</definedName>
    <definedName name="Y_PHA_NO">Parameters!$D$71</definedName>
    <definedName name="Y_PHA_O">Parameters!$D$70</definedName>
    <definedName name="Y_PO_AN">Parameters!$D$76</definedName>
    <definedName name="Y_PO_NO">Parameters!$D$77</definedName>
    <definedName name="Y_PP_NO">Parameters!$D$72</definedName>
    <definedName name="Y_PP_O">Parameters!$D$73</definedName>
    <definedName name="Y_SA_AN">Parameters!$D$74</definedName>
    <definedName name="Y_SA_NO">Parameters!$D$75</definedName>
    <definedName name="Δ_atm">systemcode_constants!$D$69</definedName>
    <definedName name="η_fe">Parameters!$D$13</definedName>
    <definedName name="η_H2O">systemcode_constants!$D$48</definedName>
    <definedName name="η_NO_H">Parameters!$D$20</definedName>
    <definedName name="η_NO_HYD">Parameters!$D$12</definedName>
    <definedName name="η_NO_PAO">Parameters!$D$44</definedName>
    <definedName name="κ__">systemcode_constants!$D$76</definedName>
    <definedName name="λ_H">systemcode_constants!$D$350</definedName>
    <definedName name="μ_A">Parameters!$D$60</definedName>
    <definedName name="μ_H">Parameters!$D$19</definedName>
    <definedName name="ρ_air">systemcode_constants!$D$56</definedName>
    <definedName name="ρ_H2O">systemcode_constants!$D$47</definedName>
    <definedName name="σ_H2O">systemcode_constants!$D$46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60" i="5" l="1"/>
  <c r="E59" i="5"/>
  <c r="E58" i="5"/>
  <c r="E57" i="5"/>
  <c r="E56" i="5"/>
  <c r="E55" i="5"/>
  <c r="W41" i="1" s="1"/>
  <c r="E54" i="5"/>
  <c r="E53" i="5"/>
  <c r="E52" i="5"/>
  <c r="E51" i="5"/>
  <c r="E50" i="5"/>
  <c r="E49" i="5"/>
  <c r="E48" i="5"/>
  <c r="E47" i="5"/>
  <c r="E46" i="5"/>
  <c r="E45" i="5"/>
  <c r="E44" i="5"/>
  <c r="W59" i="1" s="1"/>
  <c r="E43" i="5"/>
  <c r="E42" i="5"/>
  <c r="E41" i="5"/>
  <c r="E40" i="5"/>
  <c r="W54" i="1" s="1"/>
  <c r="E39" i="5"/>
  <c r="E38" i="5"/>
  <c r="E37" i="5"/>
  <c r="E36" i="5"/>
  <c r="E35" i="5"/>
  <c r="E34" i="5"/>
  <c r="E33" i="5"/>
  <c r="E32" i="5"/>
  <c r="E31" i="5"/>
  <c r="E30" i="5"/>
  <c r="E29" i="5"/>
  <c r="E28" i="5"/>
  <c r="E27" i="5"/>
  <c r="E17" i="5"/>
  <c r="E16" i="5"/>
  <c r="E15" i="5"/>
  <c r="E14" i="5"/>
  <c r="E13" i="5"/>
  <c r="E12" i="5"/>
  <c r="E11" i="5"/>
  <c r="E10" i="5"/>
  <c r="E9" i="5"/>
  <c r="E8" i="5"/>
  <c r="E7" i="5"/>
  <c r="E6" i="5"/>
  <c r="E5" i="5"/>
  <c r="E4" i="5"/>
  <c r="AC60" i="1"/>
  <c r="AB60" i="1"/>
  <c r="AA60" i="1"/>
  <c r="Z60" i="1"/>
  <c r="Y60" i="1"/>
  <c r="AC59" i="1"/>
  <c r="AB59" i="1"/>
  <c r="AA59" i="1"/>
  <c r="Z59" i="1"/>
  <c r="Y59" i="1"/>
  <c r="AC58" i="1"/>
  <c r="AB58" i="1"/>
  <c r="AA58" i="1"/>
  <c r="Z58" i="1"/>
  <c r="Y58" i="1"/>
  <c r="AC57" i="1"/>
  <c r="AB57" i="1"/>
  <c r="AA57" i="1"/>
  <c r="Z57" i="1"/>
  <c r="Y57" i="1"/>
  <c r="AC56" i="1"/>
  <c r="AB56" i="1"/>
  <c r="AA56" i="1"/>
  <c r="Z56" i="1"/>
  <c r="Y56" i="1"/>
  <c r="AC55" i="1"/>
  <c r="AB55" i="1"/>
  <c r="AA55" i="1"/>
  <c r="Z55" i="1"/>
  <c r="Y55" i="1"/>
  <c r="AC54" i="1"/>
  <c r="AB54" i="1"/>
  <c r="AA54" i="1"/>
  <c r="Z54" i="1"/>
  <c r="Y54" i="1"/>
  <c r="AC53" i="1"/>
  <c r="AB53" i="1"/>
  <c r="AA53" i="1"/>
  <c r="Z53" i="1"/>
  <c r="Y53" i="1"/>
  <c r="AC52" i="1"/>
  <c r="AB52" i="1"/>
  <c r="AA52" i="1"/>
  <c r="Z52" i="1"/>
  <c r="Y52" i="1"/>
  <c r="AC51" i="1"/>
  <c r="AB51" i="1"/>
  <c r="AA51" i="1"/>
  <c r="Z51" i="1"/>
  <c r="Y51" i="1"/>
  <c r="AC50" i="1"/>
  <c r="AB50" i="1"/>
  <c r="AA50" i="1"/>
  <c r="Z50" i="1"/>
  <c r="Y50" i="1"/>
  <c r="AC49" i="1"/>
  <c r="AB49" i="1"/>
  <c r="AA49" i="1"/>
  <c r="Z49" i="1"/>
  <c r="Y49" i="1"/>
  <c r="AC48" i="1"/>
  <c r="AB48" i="1"/>
  <c r="AA48" i="1"/>
  <c r="Z48" i="1"/>
  <c r="Y48" i="1"/>
  <c r="AC47" i="1"/>
  <c r="AB47" i="1"/>
  <c r="AA47" i="1"/>
  <c r="Z47" i="1"/>
  <c r="Y47" i="1"/>
  <c r="AC46" i="1"/>
  <c r="AB46" i="1"/>
  <c r="AA46" i="1"/>
  <c r="Z46" i="1"/>
  <c r="Y46" i="1"/>
  <c r="AC45" i="1"/>
  <c r="AB45" i="1"/>
  <c r="AA45" i="1"/>
  <c r="Z45" i="1"/>
  <c r="Y45" i="1"/>
  <c r="AC44" i="1"/>
  <c r="AB44" i="1"/>
  <c r="AA44" i="1"/>
  <c r="Z44" i="1"/>
  <c r="Y44" i="1"/>
  <c r="AC43" i="1"/>
  <c r="AB43" i="1"/>
  <c r="AA43" i="1"/>
  <c r="Z43" i="1"/>
  <c r="Y43" i="1"/>
  <c r="AC42" i="1"/>
  <c r="AB42" i="1"/>
  <c r="AA42" i="1"/>
  <c r="Z42" i="1"/>
  <c r="Y42" i="1"/>
  <c r="AC41" i="1"/>
  <c r="AB41" i="1"/>
  <c r="AA41" i="1"/>
  <c r="Z41" i="1"/>
  <c r="Y41" i="1"/>
  <c r="AC40" i="1"/>
  <c r="AB40" i="1"/>
  <c r="AA40" i="1"/>
  <c r="Z40" i="1"/>
  <c r="Y40" i="1"/>
  <c r="AC39" i="1"/>
  <c r="AB39" i="1"/>
  <c r="AA39" i="1"/>
  <c r="Z39" i="1"/>
  <c r="Y39" i="1"/>
  <c r="U68" i="1"/>
  <c r="T68" i="1"/>
  <c r="S68" i="1"/>
  <c r="R68" i="1"/>
  <c r="Q68" i="1"/>
  <c r="P68" i="1"/>
  <c r="O68" i="1"/>
  <c r="N68" i="1"/>
  <c r="R67" i="1"/>
  <c r="K67" i="1"/>
  <c r="I67" i="1"/>
  <c r="H67" i="1"/>
  <c r="G67" i="1"/>
  <c r="U66" i="1"/>
  <c r="Q66" i="1"/>
  <c r="P66" i="1"/>
  <c r="O66" i="1"/>
  <c r="N66" i="1"/>
  <c r="L66" i="1"/>
  <c r="F66" i="1"/>
  <c r="U65" i="1"/>
  <c r="Q65" i="1"/>
  <c r="P65" i="1"/>
  <c r="O65" i="1"/>
  <c r="N65" i="1"/>
  <c r="L65" i="1"/>
  <c r="F65" i="1"/>
  <c r="J64" i="1"/>
  <c r="I64" i="1"/>
  <c r="W60" i="1"/>
  <c r="W58" i="1"/>
  <c r="W47" i="1"/>
  <c r="W39" i="1"/>
  <c r="V60" i="1"/>
  <c r="V59" i="1"/>
  <c r="V58" i="1"/>
  <c r="V57" i="1"/>
  <c r="V56" i="1"/>
  <c r="V55" i="1"/>
  <c r="V54" i="1"/>
  <c r="V53" i="1"/>
  <c r="V52" i="1"/>
  <c r="V51" i="1"/>
  <c r="V50" i="1"/>
  <c r="V49" i="1"/>
  <c r="V48" i="1"/>
  <c r="V47" i="1"/>
  <c r="V46" i="1"/>
  <c r="V45" i="1"/>
  <c r="V44" i="1"/>
  <c r="V43" i="1"/>
  <c r="V42" i="1"/>
  <c r="V41" i="1"/>
  <c r="V40" i="1"/>
  <c r="V39" i="1"/>
  <c r="U60" i="1"/>
  <c r="U59" i="1"/>
  <c r="U58" i="1"/>
  <c r="U57" i="1"/>
  <c r="U56" i="1"/>
  <c r="U55" i="1"/>
  <c r="U54" i="1"/>
  <c r="U53" i="1"/>
  <c r="U52" i="1"/>
  <c r="U51" i="1"/>
  <c r="U50" i="1"/>
  <c r="U49" i="1"/>
  <c r="U48" i="1"/>
  <c r="U47" i="1"/>
  <c r="U46" i="1"/>
  <c r="U45" i="1"/>
  <c r="U44" i="1"/>
  <c r="U43" i="1"/>
  <c r="U42" i="1"/>
  <c r="U41" i="1"/>
  <c r="U40" i="1"/>
  <c r="U39" i="1"/>
  <c r="T60" i="1"/>
  <c r="T59" i="1"/>
  <c r="T58" i="1"/>
  <c r="T57" i="1"/>
  <c r="T56" i="1"/>
  <c r="T55" i="1"/>
  <c r="T54" i="1"/>
  <c r="T53" i="1"/>
  <c r="T52" i="1"/>
  <c r="T51" i="1"/>
  <c r="T50" i="1"/>
  <c r="T49" i="1"/>
  <c r="T48" i="1"/>
  <c r="T47" i="1"/>
  <c r="T46" i="1"/>
  <c r="T45" i="1"/>
  <c r="T44" i="1"/>
  <c r="T43" i="1"/>
  <c r="T42" i="1"/>
  <c r="T41" i="1"/>
  <c r="T40" i="1"/>
  <c r="T39" i="1"/>
  <c r="S60" i="1"/>
  <c r="S59" i="1"/>
  <c r="S58" i="1"/>
  <c r="S57" i="1"/>
  <c r="S56" i="1"/>
  <c r="S55" i="1"/>
  <c r="S54" i="1"/>
  <c r="S53" i="1"/>
  <c r="S52" i="1"/>
  <c r="S51" i="1"/>
  <c r="S50" i="1"/>
  <c r="S49" i="1"/>
  <c r="S48" i="1"/>
  <c r="S47" i="1"/>
  <c r="S46" i="1"/>
  <c r="S45" i="1"/>
  <c r="S44" i="1"/>
  <c r="S43" i="1"/>
  <c r="S42" i="1"/>
  <c r="S41" i="1"/>
  <c r="S40" i="1"/>
  <c r="S39" i="1"/>
  <c r="R60" i="1"/>
  <c r="R59" i="1"/>
  <c r="R58" i="1"/>
  <c r="R57" i="1"/>
  <c r="R56" i="1"/>
  <c r="R55" i="1"/>
  <c r="R54" i="1"/>
  <c r="R53" i="1"/>
  <c r="R52" i="1"/>
  <c r="R51" i="1"/>
  <c r="R50" i="1"/>
  <c r="R49" i="1"/>
  <c r="R48" i="1"/>
  <c r="R47" i="1"/>
  <c r="R46" i="1"/>
  <c r="R45" i="1"/>
  <c r="R44" i="1"/>
  <c r="R43" i="1"/>
  <c r="R42" i="1"/>
  <c r="R41" i="1"/>
  <c r="R40" i="1"/>
  <c r="R39" i="1"/>
  <c r="Q60" i="1"/>
  <c r="Q59" i="1"/>
  <c r="Q58" i="1"/>
  <c r="Q57" i="1"/>
  <c r="Q56" i="1"/>
  <c r="Q55" i="1"/>
  <c r="Q54" i="1"/>
  <c r="Q53" i="1"/>
  <c r="Q52" i="1"/>
  <c r="Q51" i="1"/>
  <c r="Q50" i="1"/>
  <c r="Q49" i="1"/>
  <c r="Q48" i="1"/>
  <c r="Q47" i="1"/>
  <c r="Q46" i="1"/>
  <c r="Q45" i="1"/>
  <c r="Q44" i="1"/>
  <c r="Q43" i="1"/>
  <c r="Q42" i="1"/>
  <c r="Q41" i="1"/>
  <c r="Q40" i="1"/>
  <c r="Q39" i="1"/>
  <c r="P60" i="1"/>
  <c r="P59" i="1"/>
  <c r="P58" i="1"/>
  <c r="P57" i="1"/>
  <c r="P56" i="1"/>
  <c r="P55" i="1"/>
  <c r="P54" i="1"/>
  <c r="P53" i="1"/>
  <c r="P52" i="1"/>
  <c r="P51" i="1"/>
  <c r="P50" i="1"/>
  <c r="P49" i="1"/>
  <c r="P48" i="1"/>
  <c r="P47" i="1"/>
  <c r="P46" i="1"/>
  <c r="P45" i="1"/>
  <c r="P44" i="1"/>
  <c r="P43" i="1"/>
  <c r="P42" i="1"/>
  <c r="P41" i="1"/>
  <c r="P40" i="1"/>
  <c r="P39" i="1"/>
  <c r="O60" i="1"/>
  <c r="O59" i="1"/>
  <c r="O58" i="1"/>
  <c r="O57" i="1"/>
  <c r="O56" i="1"/>
  <c r="O55" i="1"/>
  <c r="O54" i="1"/>
  <c r="O53" i="1"/>
  <c r="O52" i="1"/>
  <c r="O51" i="1"/>
  <c r="O50" i="1"/>
  <c r="O49" i="1"/>
  <c r="O48" i="1"/>
  <c r="O47" i="1"/>
  <c r="O46" i="1"/>
  <c r="O45" i="1"/>
  <c r="O44" i="1"/>
  <c r="O43" i="1"/>
  <c r="O42" i="1"/>
  <c r="O41" i="1"/>
  <c r="O40" i="1"/>
  <c r="O39" i="1"/>
  <c r="N60" i="1"/>
  <c r="N59" i="1"/>
  <c r="N58" i="1"/>
  <c r="N57" i="1"/>
  <c r="N56" i="1"/>
  <c r="N55" i="1"/>
  <c r="N54" i="1"/>
  <c r="N53" i="1"/>
  <c r="N52" i="1"/>
  <c r="N51" i="1"/>
  <c r="N50" i="1"/>
  <c r="N49" i="1"/>
  <c r="N48" i="1"/>
  <c r="N47" i="1"/>
  <c r="N46" i="1"/>
  <c r="N45" i="1"/>
  <c r="N44" i="1"/>
  <c r="N43" i="1"/>
  <c r="N42" i="1"/>
  <c r="N41" i="1"/>
  <c r="N40" i="1"/>
  <c r="N39" i="1"/>
  <c r="M60" i="1"/>
  <c r="M59" i="1"/>
  <c r="M58" i="1"/>
  <c r="M57" i="1"/>
  <c r="M56" i="1"/>
  <c r="M55" i="1"/>
  <c r="M54" i="1"/>
  <c r="M53" i="1"/>
  <c r="M52" i="1"/>
  <c r="M51" i="1"/>
  <c r="M50" i="1"/>
  <c r="M49" i="1"/>
  <c r="M48" i="1"/>
  <c r="M47" i="1"/>
  <c r="M46" i="1"/>
  <c r="M45" i="1"/>
  <c r="M44" i="1"/>
  <c r="M43" i="1"/>
  <c r="M42" i="1"/>
  <c r="M41" i="1"/>
  <c r="M40" i="1"/>
  <c r="M39" i="1"/>
  <c r="L60" i="1"/>
  <c r="L59" i="1"/>
  <c r="L58" i="1"/>
  <c r="L57" i="1"/>
  <c r="L56" i="1"/>
  <c r="L55" i="1"/>
  <c r="L54" i="1"/>
  <c r="L53" i="1"/>
  <c r="L52" i="1"/>
  <c r="L51" i="1"/>
  <c r="L50" i="1"/>
  <c r="L49" i="1"/>
  <c r="L48" i="1"/>
  <c r="L47" i="1"/>
  <c r="L46" i="1"/>
  <c r="L45" i="1"/>
  <c r="L44" i="1"/>
  <c r="L43" i="1"/>
  <c r="L42" i="1"/>
  <c r="L41" i="1"/>
  <c r="L40" i="1"/>
  <c r="L39" i="1"/>
  <c r="K60" i="1"/>
  <c r="K59" i="1"/>
  <c r="K58" i="1"/>
  <c r="K57" i="1"/>
  <c r="K56" i="1"/>
  <c r="K55" i="1"/>
  <c r="K54" i="1"/>
  <c r="K53" i="1"/>
  <c r="K52" i="1"/>
  <c r="K51" i="1"/>
  <c r="K50" i="1"/>
  <c r="K49" i="1"/>
  <c r="K48" i="1"/>
  <c r="K47" i="1"/>
  <c r="K46" i="1"/>
  <c r="K45" i="1"/>
  <c r="K44" i="1"/>
  <c r="K43" i="1"/>
  <c r="K42" i="1"/>
  <c r="K41" i="1"/>
  <c r="K40" i="1"/>
  <c r="K39" i="1"/>
  <c r="J60" i="1"/>
  <c r="J59" i="1"/>
  <c r="J58" i="1"/>
  <c r="J57" i="1"/>
  <c r="J56" i="1"/>
  <c r="J55" i="1"/>
  <c r="J54" i="1"/>
  <c r="J53" i="1"/>
  <c r="J52" i="1"/>
  <c r="J51" i="1"/>
  <c r="J50" i="1"/>
  <c r="J49" i="1"/>
  <c r="J48" i="1"/>
  <c r="J47" i="1"/>
  <c r="J46" i="1"/>
  <c r="J45" i="1"/>
  <c r="J44" i="1"/>
  <c r="J43" i="1"/>
  <c r="J42" i="1"/>
  <c r="J41" i="1"/>
  <c r="J40" i="1"/>
  <c r="J39" i="1"/>
  <c r="I60" i="1"/>
  <c r="I59" i="1"/>
  <c r="I58" i="1"/>
  <c r="I57" i="1"/>
  <c r="I56" i="1"/>
  <c r="I55" i="1"/>
  <c r="I54" i="1"/>
  <c r="I53" i="1"/>
  <c r="I52" i="1"/>
  <c r="I51" i="1"/>
  <c r="I50" i="1"/>
  <c r="I49" i="1"/>
  <c r="I48" i="1"/>
  <c r="I47" i="1"/>
  <c r="I46" i="1"/>
  <c r="I45" i="1"/>
  <c r="I44" i="1"/>
  <c r="I43" i="1"/>
  <c r="I42" i="1"/>
  <c r="I41" i="1"/>
  <c r="I40" i="1"/>
  <c r="I39" i="1"/>
  <c r="H60" i="1"/>
  <c r="H59" i="1"/>
  <c r="H58" i="1"/>
  <c r="H57" i="1"/>
  <c r="H56" i="1"/>
  <c r="H55" i="1"/>
  <c r="H54" i="1"/>
  <c r="H53" i="1"/>
  <c r="H52" i="1"/>
  <c r="H51" i="1"/>
  <c r="H50" i="1"/>
  <c r="H49" i="1"/>
  <c r="H48" i="1"/>
  <c r="H47" i="1"/>
  <c r="H46" i="1"/>
  <c r="H45" i="1"/>
  <c r="H44" i="1"/>
  <c r="H43" i="1"/>
  <c r="H42" i="1"/>
  <c r="H41" i="1"/>
  <c r="H40" i="1"/>
  <c r="H39" i="1"/>
  <c r="G60" i="1"/>
  <c r="G59" i="1"/>
  <c r="G58" i="1"/>
  <c r="G57" i="1"/>
  <c r="G56" i="1"/>
  <c r="G55" i="1"/>
  <c r="G54" i="1"/>
  <c r="G53" i="1"/>
  <c r="G52" i="1"/>
  <c r="G51" i="1"/>
  <c r="G50" i="1"/>
  <c r="G49" i="1"/>
  <c r="G48" i="1"/>
  <c r="G47" i="1"/>
  <c r="G46" i="1"/>
  <c r="G45" i="1"/>
  <c r="G44" i="1"/>
  <c r="G43" i="1"/>
  <c r="G42" i="1"/>
  <c r="G41" i="1"/>
  <c r="G40" i="1"/>
  <c r="G39" i="1"/>
  <c r="F60" i="1"/>
  <c r="F59" i="1"/>
  <c r="F58" i="1"/>
  <c r="F57" i="1"/>
  <c r="F56" i="1"/>
  <c r="F55" i="1"/>
  <c r="F54" i="1"/>
  <c r="F53" i="1"/>
  <c r="F52" i="1"/>
  <c r="F51" i="1"/>
  <c r="F50" i="1"/>
  <c r="F49" i="1"/>
  <c r="F48" i="1"/>
  <c r="F47" i="1"/>
  <c r="F46" i="1"/>
  <c r="F45" i="1"/>
  <c r="F44" i="1"/>
  <c r="F43" i="1"/>
  <c r="F42" i="1"/>
  <c r="F41" i="1"/>
  <c r="F40" i="1"/>
  <c r="F39" i="1"/>
  <c r="E60" i="1"/>
  <c r="E59" i="1"/>
  <c r="E58" i="1"/>
  <c r="E57" i="1"/>
  <c r="E56" i="1"/>
  <c r="E55" i="1"/>
  <c r="E54" i="1"/>
  <c r="E53" i="1"/>
  <c r="E52" i="1"/>
  <c r="E51" i="1"/>
  <c r="E50" i="1"/>
  <c r="E49" i="1"/>
  <c r="E48" i="1"/>
  <c r="E47" i="1"/>
  <c r="E46" i="1"/>
  <c r="E45" i="1"/>
  <c r="E44" i="1"/>
  <c r="E43" i="1"/>
  <c r="E42" i="1"/>
  <c r="E41" i="1"/>
  <c r="E40" i="1"/>
  <c r="E39" i="1"/>
  <c r="W53" i="1" l="1"/>
  <c r="W49" i="1"/>
  <c r="W46" i="1"/>
  <c r="W40" i="1"/>
  <c r="W52" i="1"/>
  <c r="W56" i="1"/>
  <c r="W57" i="1"/>
  <c r="W55" i="1"/>
  <c r="W51" i="1"/>
  <c r="W50" i="1"/>
  <c r="W43" i="1"/>
  <c r="W48" i="1"/>
  <c r="W45" i="1"/>
  <c r="W42" i="1"/>
  <c r="W44" i="1"/>
  <c r="L422" i="23"/>
  <c r="L421" i="23"/>
  <c r="L420" i="23"/>
  <c r="L419" i="23"/>
  <c r="L418" i="23"/>
  <c r="L417" i="23"/>
  <c r="L416" i="23"/>
  <c r="L415" i="23"/>
  <c r="L414" i="23"/>
  <c r="L413" i="23"/>
  <c r="L412" i="23"/>
  <c r="L411" i="23"/>
  <c r="L410" i="23"/>
  <c r="D333" i="23"/>
  <c r="D332" i="23"/>
  <c r="D331" i="23"/>
  <c r="D330" i="23"/>
  <c r="D329" i="23"/>
  <c r="D328" i="23"/>
  <c r="D327" i="23"/>
  <c r="D326" i="23"/>
  <c r="D325" i="23"/>
  <c r="D324" i="23"/>
  <c r="D323" i="23"/>
  <c r="D322" i="23"/>
  <c r="D321" i="23"/>
  <c r="D320" i="23"/>
  <c r="D316" i="23"/>
  <c r="D314" i="23"/>
  <c r="D310" i="23"/>
  <c r="D306" i="23"/>
  <c r="D305" i="23"/>
  <c r="D304" i="23"/>
  <c r="D303" i="23"/>
  <c r="D302" i="23"/>
  <c r="D301" i="23"/>
  <c r="D300" i="23"/>
  <c r="D299" i="23"/>
  <c r="D298" i="23"/>
  <c r="D297" i="23"/>
  <c r="D296" i="23"/>
  <c r="D295" i="23"/>
  <c r="D294" i="23"/>
  <c r="D293" i="23"/>
  <c r="D289" i="23"/>
  <c r="D288" i="23"/>
  <c r="D286" i="23"/>
  <c r="D284" i="23"/>
  <c r="D283" i="23"/>
  <c r="D282" i="23"/>
  <c r="D281" i="23"/>
  <c r="D277" i="23"/>
  <c r="D276" i="23"/>
  <c r="D275" i="23"/>
  <c r="D274" i="23"/>
  <c r="D273" i="23"/>
  <c r="D272" i="23"/>
  <c r="D271" i="23"/>
  <c r="D270" i="23"/>
  <c r="D269" i="23"/>
  <c r="D268" i="23"/>
  <c r="D267" i="23"/>
  <c r="D266" i="23"/>
  <c r="D265" i="23"/>
  <c r="D264" i="23"/>
  <c r="D263" i="23"/>
  <c r="D262" i="23"/>
  <c r="D261" i="23"/>
  <c r="D260" i="23"/>
  <c r="D259" i="23"/>
  <c r="D258" i="23"/>
  <c r="D257" i="23"/>
  <c r="D255" i="23"/>
  <c r="D254" i="23"/>
  <c r="D253" i="23"/>
  <c r="D251" i="23"/>
  <c r="D248" i="23"/>
  <c r="D247" i="23"/>
  <c r="D246" i="23"/>
  <c r="D245" i="23"/>
  <c r="D244" i="23"/>
  <c r="D243" i="23"/>
  <c r="D242" i="23"/>
  <c r="D241" i="23"/>
  <c r="D256" i="23" s="1"/>
  <c r="D240" i="23"/>
  <c r="D239" i="23"/>
  <c r="D238" i="23"/>
  <c r="D237" i="23"/>
  <c r="D236" i="23"/>
  <c r="D235" i="23"/>
  <c r="D234" i="23"/>
  <c r="D233" i="23"/>
  <c r="D232" i="23"/>
  <c r="D231" i="23"/>
  <c r="D230" i="23"/>
  <c r="D229" i="23"/>
  <c r="D228" i="23"/>
  <c r="D227" i="23"/>
  <c r="D226" i="23"/>
  <c r="D225" i="23"/>
  <c r="D250" i="23" s="1"/>
  <c r="D221" i="23"/>
  <c r="D220" i="23"/>
  <c r="D219" i="23"/>
  <c r="D218" i="23"/>
  <c r="D217" i="23"/>
  <c r="D216" i="23"/>
  <c r="D215" i="23"/>
  <c r="D214" i="23"/>
  <c r="D213" i="23"/>
  <c r="D75" i="23"/>
  <c r="D48" i="23"/>
  <c r="D33" i="23"/>
  <c r="E23" i="5" l="1"/>
  <c r="E21" i="5"/>
  <c r="E22" i="5"/>
  <c r="D252" i="23"/>
  <c r="D249" i="23"/>
</calcChain>
</file>

<file path=xl/comments1.xml><?xml version="1.0" encoding="utf-8"?>
<comments xmlns="http://schemas.openxmlformats.org/spreadsheetml/2006/main">
  <authors>
    <author>Szerző</author>
  </authors>
  <commentList>
    <comment ref="D27" authorId="0" shapeId="0">
      <text>
        <r>
          <rPr>
            <sz val="9"/>
            <color indexed="81"/>
            <rFont val="Tahoma"/>
            <family val="2"/>
          </rPr>
          <t>COD, N, P, O, H, Charge, etc)</t>
        </r>
      </text>
    </comment>
    <comment ref="D63" authorId="0" shapeId="0">
      <text>
        <r>
          <rPr>
            <sz val="9"/>
            <color indexed="81"/>
            <rFont val="Tahoma"/>
            <family val="2"/>
          </rPr>
          <t>COD, N, P, O, H, Charge, etc)</t>
        </r>
      </text>
    </comment>
  </commentList>
</comments>
</file>

<file path=xl/sharedStrings.xml><?xml version="1.0" encoding="utf-8"?>
<sst xmlns="http://schemas.openxmlformats.org/spreadsheetml/2006/main" count="3460" uniqueCount="1950">
  <si>
    <t>Symbol</t>
  </si>
  <si>
    <t>Name</t>
  </si>
  <si>
    <t>Unit</t>
  </si>
  <si>
    <t>Handling</t>
  </si>
  <si>
    <t>Expression</t>
  </si>
  <si>
    <t>Elemental composition</t>
  </si>
  <si>
    <t>Chemical formula</t>
  </si>
  <si>
    <t>Equilibrium species</t>
  </si>
  <si>
    <t>Charge</t>
  </si>
  <si>
    <t>Reaction</t>
  </si>
  <si>
    <t>The elemental composition matrix should have as many columns as the kinetic matrix (minus Rate and Reaction)</t>
  </si>
  <si>
    <t>Influent</t>
  </si>
  <si>
    <t>Initial concentration</t>
  </si>
  <si>
    <t>Phase</t>
  </si>
  <si>
    <t>(order is relevant)</t>
  </si>
  <si>
    <t>This button checks if the column names of the equilibrium matrix are the same as the names of the equilibrium species</t>
  </si>
  <si>
    <t>The macro expects the elemental composition matrix to be under the kinetic matrix somewhere started in column D</t>
  </si>
  <si>
    <t>The elemental composition matrix starts with the string 'Elemental composition' (not case-sensitive) in column D</t>
  </si>
  <si>
    <t>If every value is under the absolute limit (by default 1E-15) the matrix passed the check</t>
  </si>
  <si>
    <t>The equilibrium species should start in cell E3 and end in the first column that has an empty cell in the 3rd row</t>
  </si>
  <si>
    <t>The first row of the equilibrium matrix should be the 4th and the last should be the one before the first empty cell in column C after the 4th row</t>
  </si>
  <si>
    <r>
      <t>Cell names such as H3 are not allowed in the equilibrium matrix but parameters like NH</t>
    </r>
    <r>
      <rPr>
        <vertAlign val="subscript"/>
        <sz val="11"/>
        <color indexed="8"/>
        <rFont val="Calibri"/>
        <family val="2"/>
        <charset val="238"/>
      </rPr>
      <t>3</t>
    </r>
    <r>
      <rPr>
        <sz val="11"/>
        <color indexed="8"/>
        <rFont val="Calibri"/>
        <family val="2"/>
        <charset val="238"/>
      </rPr>
      <t xml:space="preserve"> can be used.</t>
    </r>
  </si>
  <si>
    <t>The macro creates a numerical copy of the equilibrium matrix and calculates ionic strength and charge balance.</t>
  </si>
  <si>
    <t>Everything under the datatable declared as free area and will be deleted</t>
  </si>
  <si>
    <t>a</t>
  </si>
  <si>
    <t>HOW TO USE MODEL SHEETS</t>
  </si>
  <si>
    <t>A</t>
  </si>
  <si>
    <t>Starting a new model: Kinetic setup</t>
  </si>
  <si>
    <t>Under State variables form heading</t>
  </si>
  <si>
    <t>Insert new rows for new State variables</t>
  </si>
  <si>
    <t>Name "Initial concentration" cells from symbols (use CTRL-M [Mark Name] shortcut)</t>
  </si>
  <si>
    <t>Press "Create Kinetic matrix"</t>
  </si>
  <si>
    <t>Insert new rows under state variable names for new rate expressions</t>
  </si>
  <si>
    <t>(3)</t>
  </si>
  <si>
    <t>Optional: Fill in reactions if model is fully elementally balanced</t>
  </si>
  <si>
    <t>Insert new rows under elemental composition for the balancing features desired (C, N, P,charge, etc)</t>
  </si>
  <si>
    <t>On the Parameters Tab</t>
  </si>
  <si>
    <t>Insert new rows for Kinetic and Stoichiometric parameters</t>
  </si>
  <si>
    <t>Fill in names, other information (values required)</t>
  </si>
  <si>
    <t>Name "Default" cells from symbols (use CTRL-M [Mark Name] shortcut)</t>
  </si>
  <si>
    <t>Fill in Elemental Composition matrix (preferentially using stoichiometric parameter names fom Parameter tab - alternatively values can be used)</t>
  </si>
  <si>
    <t>Check cells marked red for balancing errors if necessary</t>
  </si>
  <si>
    <t>Under Equilibrium species form heading</t>
  </si>
  <si>
    <t>Insert new rows for new Equlibrium species</t>
  </si>
  <si>
    <t>Fill in symbols (subscript, etc. formatting OK)</t>
  </si>
  <si>
    <t>Press "Prepare pH check"</t>
  </si>
  <si>
    <t>B</t>
  </si>
  <si>
    <t>Modifying an existing model: Kinetic setup</t>
  </si>
  <si>
    <t>Insert or delete rows for State variables as required</t>
  </si>
  <si>
    <t>Option 1:</t>
  </si>
  <si>
    <t>Press "Create Kinetic matrix". This will delete the existing kinetic matrix and prepare a new list of matrix headings</t>
  </si>
  <si>
    <t xml:space="preserve">Option 2: </t>
  </si>
  <si>
    <t>Press "Check States" Any discrepancy between the two lists will be reported</t>
  </si>
  <si>
    <t>Insert or delete rows under state variable names for rate expressions for the modifications</t>
  </si>
  <si>
    <t>Insert or delete rows under elemental composition for the balancing features desired (C, N, P,charge, etc)</t>
  </si>
  <si>
    <t>Insert or delete rows for Kinetic and Stoichiometric parameters</t>
  </si>
  <si>
    <t>Modifying an existing model: Equilibrium setup (skip with models without pH modelling)</t>
  </si>
  <si>
    <t>Insert or delete rows for Equlibrium species as required</t>
  </si>
  <si>
    <t>Press "Create Equilibrium matrix". This will delete the existing Equilibrium matrix and prepare a new list of matrix headings</t>
  </si>
  <si>
    <t>In the Equilibrium Matrix tab, insert or delete columns in the existing model matrix so that matrix columns match with Equilibrium species list in States Tab</t>
  </si>
  <si>
    <t>Press "Check Species" Any discrepancy between the two lists will be reported</t>
  </si>
  <si>
    <t>Insert or delete rows under equilibrium species names for dissociation/precipitation expressions as required</t>
  </si>
  <si>
    <t>BUILT IN MACRO FUNCTIONALITY</t>
  </si>
  <si>
    <t>CTRL-M</t>
  </si>
  <si>
    <t>Mark Name:</t>
  </si>
  <si>
    <t>In a selection box, assigns names to the rightmost column of cells from leftmost column of cell contents</t>
  </si>
  <si>
    <t>b</t>
  </si>
  <si>
    <t>c</t>
  </si>
  <si>
    <t>d</t>
  </si>
  <si>
    <t>Create Kinetic Matrix</t>
  </si>
  <si>
    <t>After a warning message, the existing kinetic matrix's columns will be deleted and new ones will be created from the state variables. Rate expressions and reactions are not affected</t>
  </si>
  <si>
    <t>The table headings cannot be changed</t>
  </si>
  <si>
    <t>The columns will be coloured - Integrated variables are blue, others are orange</t>
  </si>
  <si>
    <t>Check Kinetic Matrix</t>
  </si>
  <si>
    <t>This button checks if the names of the state variables are the same as the column names of the kinetic matrix</t>
  </si>
  <si>
    <t>Create Equilibrium Matrix</t>
  </si>
  <si>
    <t>After a warning message, the existing equilibrium matrix's columns will be deleted and new ones will be created from the equilibrium variables</t>
  </si>
  <si>
    <t>Check Equilibrium Matrix</t>
  </si>
  <si>
    <t>When the button is pressed, the macro counts the rows and columns of the kinetic matrix</t>
  </si>
  <si>
    <t>In the Kinetic matrix the states variables start in cell E3 and ends in the first column in the 3rd row that's first 4 character are 'Rate' or 'Reac'</t>
  </si>
  <si>
    <t>The first row of the kinetic matrix should be the 4th row and the last is the first empty cell in column C</t>
  </si>
  <si>
    <t>The elemental composition's last row is defined by the first empty cell in column C after the string 'Elemental Composition'</t>
  </si>
  <si>
    <t>Everything under the elemental composition matrix  will be deleted</t>
  </si>
  <si>
    <t>Prepare pH check</t>
  </si>
  <si>
    <t>This macro will prepare the necessary setup for the solver to determine the current pH and ionic strength</t>
  </si>
  <si>
    <t>When the button is pressed, the macro counts the rows and columns of the equilibrium matrix</t>
  </si>
  <si>
    <t>The macro expects the datatable under the matrix including pH, IS and CH as well as all the names used in the equilibrium matrix</t>
  </si>
  <si>
    <r>
      <t>This is to determine if e.g. NH3 is a cell or a parameter that is called NH3_ (Excel name of NH</t>
    </r>
    <r>
      <rPr>
        <vertAlign val="subscript"/>
        <sz val="11"/>
        <color indexed="8"/>
        <rFont val="Calibri"/>
        <family val="2"/>
        <charset val="238"/>
      </rPr>
      <t>3</t>
    </r>
    <r>
      <rPr>
        <sz val="11"/>
        <color indexed="8"/>
        <rFont val="Calibri"/>
        <family val="2"/>
      </rPr>
      <t>)</t>
    </r>
  </si>
  <si>
    <t>The totals are linked back to the datatable so you can use the solver extension to calculate current pH and IS</t>
  </si>
  <si>
    <t>activity coefficients</t>
  </si>
  <si>
    <t>ionic strength (IS)</t>
  </si>
  <si>
    <t>j</t>
  </si>
  <si>
    <t>Known problems and solutions</t>
  </si>
  <si>
    <t>Go to View -&gt; Macros -&gt; Show macros</t>
  </si>
  <si>
    <t>Click on MarkNames macro then on the button labeled 'Others'</t>
  </si>
  <si>
    <t>Here you can set the shortcut key</t>
  </si>
  <si>
    <r>
      <t xml:space="preserve">Ctrl-M doesn't work </t>
    </r>
    <r>
      <rPr>
        <sz val="11"/>
        <color indexed="8"/>
        <rFont val="Calibri"/>
        <family val="2"/>
        <charset val="238"/>
      </rPr>
      <t>(this usually happens when you open two documents and Excel rebinds Ctrl-M to something else)</t>
    </r>
  </si>
  <si>
    <t>Press "Check Continuity and Rates"</t>
  </si>
  <si>
    <t>The macro creates a numerical copy of the kinetic matrix under the compositon matrix, then it creates the balancing matrix to the right of the numerical copy</t>
  </si>
  <si>
    <t>Fill in symbols (subscripts, and other formatting can be used), and other fields, "Handling" and "Initial concentration" are required fields</t>
  </si>
  <si>
    <t>Fill in symbols for new States (subscripts, and other formatting can be used), and other fields, "Handling" and "Initial concentration" are required fields</t>
  </si>
  <si>
    <t>The columns will be recoloured (red means failed)</t>
  </si>
  <si>
    <t>Check Continuity and Rates</t>
  </si>
  <si>
    <t>This macro will prepare a continuity check on the kinetic matrix and will calculate numerical values for the rate expressions based on initial conditions</t>
  </si>
  <si>
    <t>The macro checks and calculates rate expressions too.</t>
  </si>
  <si>
    <t>EQSRBGJPMU</t>
  </si>
  <si>
    <t>EFVSNZETB</t>
  </si>
  <si>
    <t>Macros must be enabled to view and operate this Model Tool. See Security Warning Options... above.
If you just disabled macros, you need to close and reload this document.
Once you have enabled macros, select Continue.</t>
  </si>
  <si>
    <t>IEAZTPZI</t>
  </si>
  <si>
    <t>Symbols should look like this:</t>
  </si>
  <si>
    <t>If a type (and ':') is ommitted, the default type is double</t>
  </si>
  <si>
    <t>FJYCEHEZW</t>
  </si>
  <si>
    <t>functionname(arg1:type1; arg2:type2; …):type</t>
  </si>
  <si>
    <t>Code section</t>
  </si>
  <si>
    <t>Rule</t>
  </si>
  <si>
    <t>Principle/comment</t>
  </si>
  <si>
    <t>Codelocation(Algebraic blocksection #1)</t>
  </si>
  <si>
    <t>Press "Create Equilibrium matrix"</t>
  </si>
  <si>
    <t>UYCEVBLMNN</t>
  </si>
  <si>
    <t>On the Algebraic Model Tab</t>
  </si>
  <si>
    <t>Check Expressions</t>
  </si>
  <si>
    <t>This macro will calculate the value of algebraic expressions if it can.</t>
  </si>
  <si>
    <t>The macro warns if there are some typos in the expression</t>
  </si>
  <si>
    <t>Please note that names with spaces and names ending with zeros are not recommended.</t>
  </si>
  <si>
    <t>UMVMLPHFQV</t>
  </si>
  <si>
    <t>IZLBOCQYUXB</t>
  </si>
  <si>
    <t>Gujer kinetic matrix</t>
  </si>
  <si>
    <t>BKJAALFJYDEB</t>
  </si>
  <si>
    <t>Helene Haduc</t>
  </si>
  <si>
    <t>GQSJAHVFDFP</t>
  </si>
  <si>
    <t>Imre Takacs</t>
  </si>
  <si>
    <t>Local functions</t>
  </si>
  <si>
    <t>Tableau</t>
  </si>
  <si>
    <t>H</t>
  </si>
  <si>
    <t>NH3</t>
  </si>
  <si>
    <t>Cl-</t>
  </si>
  <si>
    <t>NO3-</t>
  </si>
  <si>
    <t>Cat</t>
  </si>
  <si>
    <t>An</t>
  </si>
  <si>
    <t>logK</t>
  </si>
  <si>
    <t>Cl</t>
  </si>
  <si>
    <t>NO3</t>
  </si>
  <si>
    <t>OH</t>
  </si>
  <si>
    <t>NH4</t>
  </si>
  <si>
    <t>Total Concentrations</t>
  </si>
  <si>
    <t>Initial Guesses</t>
  </si>
  <si>
    <t>COD</t>
  </si>
  <si>
    <t>Temperature sensitivity</t>
  </si>
  <si>
    <t>theta^(temp-tbase)</t>
  </si>
  <si>
    <t>Arrh(theta;temp;tbase)</t>
  </si>
  <si>
    <t>Value</t>
  </si>
  <si>
    <t>REFERENCE</t>
  </si>
  <si>
    <t>Name "Initial concentration" cells from symbols (use CTRL-M [Mark Name] shortcut, see below)</t>
  </si>
  <si>
    <t xml:space="preserve">Fill in matrix stoichiometry and kinetic rates (library or new defined functions and kinetic calculated variables can be used) </t>
  </si>
  <si>
    <t>If you used functions, check them using the button</t>
  </si>
  <si>
    <t>Fill in column B (under symbol j) with unique values (like 1, 2, 3, etc)</t>
  </si>
  <si>
    <t>In column C, place rate names (cannot start with numbers, i.e. r1 OK, 1 is not OK)</t>
  </si>
  <si>
    <t>(5)</t>
  </si>
  <si>
    <t>On the Calculated variables Tab</t>
  </si>
  <si>
    <t>If you defined calculated variables to be used in the matrix (e.g. KSmonod = S/K+S), check them using the checking button</t>
  </si>
  <si>
    <t>Insert new rows under equilibrium species names for new dissociation expressions</t>
  </si>
  <si>
    <t>Fill in matrix with algebraic expressions to calculate each species from pH and IS  (1 equation in each column)</t>
  </si>
  <si>
    <t>Use solver to calculate pH and IS (ionic strength) for current solution (from initial concentrations in States Tab)</t>
  </si>
  <si>
    <t>Msat(var; k)</t>
  </si>
  <si>
    <t>Monod saturation</t>
  </si>
  <si>
    <t>var / (k + var)</t>
  </si>
  <si>
    <t>Minh(var; k)</t>
  </si>
  <si>
    <t>Monod inhibition</t>
  </si>
  <si>
    <t>k / (k + var)</t>
  </si>
  <si>
    <t>Bellinh(var; Klo; Khi)</t>
  </si>
  <si>
    <t>Bell-shaped inhibition</t>
  </si>
  <si>
    <t>(1 + 2 * 10^(0.5 * (Klo - Khi))) / (1 + 10^(var - Khi) + 10^(Klo - var))</t>
  </si>
  <si>
    <t>Logsat(var; slope; halfval)</t>
  </si>
  <si>
    <t>Logistic saturation</t>
  </si>
  <si>
    <t>1 / (1 + exp((halfval - var) / slope))</t>
  </si>
  <si>
    <t>Loginh(var; slope; halfval)</t>
  </si>
  <si>
    <t>Logistic inhibition</t>
  </si>
  <si>
    <t>1 / (1 + exp((var - halfval) / slope))</t>
  </si>
  <si>
    <t>Lin(var;m;b)</t>
  </si>
  <si>
    <t>Straight line</t>
  </si>
  <si>
    <t>m*var+b</t>
  </si>
  <si>
    <t>Hardbound(var;lolim;hilim)</t>
  </si>
  <si>
    <t>Hard bounding</t>
  </si>
  <si>
    <t>max(lolim;min(hilim;var))</t>
  </si>
  <si>
    <t>MinuslogVar(x)</t>
  </si>
  <si>
    <t>Equilibrium constants</t>
  </si>
  <si>
    <t>10^(-x)</t>
  </si>
  <si>
    <t>These functions are automatically mapped to C++ syntax and can be used as well:</t>
  </si>
  <si>
    <t>Max(a;b)</t>
  </si>
  <si>
    <t>maximum</t>
  </si>
  <si>
    <t>max(a,b)</t>
  </si>
  <si>
    <t>Pow(a;b)</t>
  </si>
  <si>
    <t>power</t>
  </si>
  <si>
    <t>pow(a,b)</t>
  </si>
  <si>
    <t>Abs(x)</t>
  </si>
  <si>
    <t>abs</t>
  </si>
  <si>
    <t>abs(x)</t>
  </si>
  <si>
    <t>Exp(x)</t>
  </si>
  <si>
    <t>natural base exponent</t>
  </si>
  <si>
    <t>exp(x)</t>
  </si>
  <si>
    <t>Mod(x;y)</t>
  </si>
  <si>
    <t>Modulo operator</t>
  </si>
  <si>
    <t>fmod(x,y)</t>
  </si>
  <si>
    <t>Log10(x)</t>
  </si>
  <si>
    <t>10 based logarithm</t>
  </si>
  <si>
    <t>log10(x)</t>
  </si>
  <si>
    <t>There are other C++ functions predefined in the library - however if those are used, Excel will be unable to check the validity of the matrix</t>
  </si>
  <si>
    <t>Any changes to this sheet will turn Create Functions button gray which means you can't use the custom functions in kinetic matrix unless you press it and it turns green</t>
  </si>
  <si>
    <t>Calculate</t>
  </si>
  <si>
    <t>This macro will calculate the value of algebraic expressions and place it in the Value column if it can. It will also name Calculated variable cells so they can be used in other tabs</t>
  </si>
  <si>
    <t xml:space="preserve">QUICK REMINDER </t>
  </si>
  <si>
    <t>Clear existing names if any (Formulas - Name Manager - Select All - Delete)</t>
  </si>
  <si>
    <t>ASM2D_TUD</t>
  </si>
  <si>
    <t>Maximum specific hydrolysis rate</t>
  </si>
  <si>
    <t>Correction factor for hydrolysis under anoxic conditions</t>
  </si>
  <si>
    <t>-</t>
  </si>
  <si>
    <t>Correction factor for hydrolysis under anaerobic conditions</t>
  </si>
  <si>
    <t>Rate of fermentation</t>
  </si>
  <si>
    <t>Reduction factor for denitrifying processes</t>
  </si>
  <si>
    <r>
      <t>f</t>
    </r>
    <r>
      <rPr>
        <vertAlign val="subscript"/>
        <sz val="12"/>
        <rFont val="Arial"/>
        <family val="2"/>
      </rPr>
      <t>SI</t>
    </r>
  </si>
  <si>
    <t>Fraction of inert COD generated in hydrolysis</t>
  </si>
  <si>
    <r>
      <t>f</t>
    </r>
    <r>
      <rPr>
        <vertAlign val="subscript"/>
        <sz val="12"/>
        <rFont val="Arial"/>
        <family val="2"/>
      </rPr>
      <t>XI,H</t>
    </r>
  </si>
  <si>
    <r>
      <t>Y</t>
    </r>
    <r>
      <rPr>
        <vertAlign val="subscript"/>
        <sz val="12"/>
        <rFont val="Arial"/>
        <family val="2"/>
      </rPr>
      <t>SA,AN</t>
    </r>
  </si>
  <si>
    <r>
      <t>Y</t>
    </r>
    <r>
      <rPr>
        <vertAlign val="subscript"/>
        <sz val="12"/>
        <rFont val="Arial"/>
        <family val="2"/>
      </rPr>
      <t>PO,AN</t>
    </r>
  </si>
  <si>
    <r>
      <t>f</t>
    </r>
    <r>
      <rPr>
        <vertAlign val="subscript"/>
        <sz val="12"/>
        <rFont val="Arial"/>
        <family val="2"/>
      </rPr>
      <t>XI,A</t>
    </r>
  </si>
  <si>
    <r>
      <t>i</t>
    </r>
    <r>
      <rPr>
        <vertAlign val="subscript"/>
        <sz val="12"/>
        <rFont val="Arial"/>
        <family val="2"/>
      </rPr>
      <t>N,SF</t>
    </r>
  </si>
  <si>
    <r>
      <t>i</t>
    </r>
    <r>
      <rPr>
        <vertAlign val="subscript"/>
        <sz val="12"/>
        <rFont val="Arial"/>
        <family val="2"/>
      </rPr>
      <t>N,BM</t>
    </r>
  </si>
  <si>
    <r>
      <t>i</t>
    </r>
    <r>
      <rPr>
        <vertAlign val="subscript"/>
        <sz val="12"/>
        <rFont val="Arial"/>
        <family val="2"/>
      </rPr>
      <t>P,SF</t>
    </r>
  </si>
  <si>
    <r>
      <t>i</t>
    </r>
    <r>
      <rPr>
        <vertAlign val="subscript"/>
        <sz val="12"/>
        <rFont val="Arial"/>
        <family val="2"/>
      </rPr>
      <t>P,BM</t>
    </r>
  </si>
  <si>
    <r>
      <t>i</t>
    </r>
    <r>
      <rPr>
        <vertAlign val="subscript"/>
        <sz val="12"/>
        <rFont val="Arial"/>
        <family val="2"/>
      </rPr>
      <t>TSS,BM</t>
    </r>
  </si>
  <si>
    <t>Conversion factor biomass into TSS</t>
  </si>
  <si>
    <t>Particulate COD to VSS ratio</t>
  </si>
  <si>
    <r>
      <t>S</t>
    </r>
    <r>
      <rPr>
        <b/>
        <vertAlign val="subscript"/>
        <sz val="12"/>
        <rFont val="Arial"/>
        <family val="2"/>
      </rPr>
      <t>F</t>
    </r>
  </si>
  <si>
    <r>
      <t>S</t>
    </r>
    <r>
      <rPr>
        <b/>
        <vertAlign val="subscript"/>
        <sz val="12"/>
        <rFont val="Arial"/>
        <family val="2"/>
      </rPr>
      <t>A</t>
    </r>
  </si>
  <si>
    <r>
      <t>S</t>
    </r>
    <r>
      <rPr>
        <b/>
        <vertAlign val="subscript"/>
        <sz val="12"/>
        <rFont val="Arial"/>
        <family val="2"/>
      </rPr>
      <t>NH</t>
    </r>
  </si>
  <si>
    <r>
      <t>S</t>
    </r>
    <r>
      <rPr>
        <b/>
        <vertAlign val="subscript"/>
        <sz val="12"/>
        <rFont val="Arial"/>
        <family val="2"/>
      </rPr>
      <t>N2</t>
    </r>
  </si>
  <si>
    <r>
      <t>S</t>
    </r>
    <r>
      <rPr>
        <b/>
        <vertAlign val="subscript"/>
        <sz val="12"/>
        <rFont val="Arial"/>
        <family val="2"/>
      </rPr>
      <t>PO</t>
    </r>
  </si>
  <si>
    <r>
      <t>S</t>
    </r>
    <r>
      <rPr>
        <b/>
        <vertAlign val="subscript"/>
        <sz val="12"/>
        <rFont val="Arial"/>
        <family val="2"/>
      </rPr>
      <t>I</t>
    </r>
  </si>
  <si>
    <r>
      <t>X</t>
    </r>
    <r>
      <rPr>
        <b/>
        <vertAlign val="subscript"/>
        <sz val="12"/>
        <rFont val="Arial"/>
        <family val="2"/>
      </rPr>
      <t>S</t>
    </r>
  </si>
  <si>
    <r>
      <t>X</t>
    </r>
    <r>
      <rPr>
        <b/>
        <vertAlign val="subscript"/>
        <sz val="12"/>
        <rFont val="Arial"/>
        <family val="2"/>
      </rPr>
      <t>H</t>
    </r>
  </si>
  <si>
    <r>
      <t>X</t>
    </r>
    <r>
      <rPr>
        <b/>
        <vertAlign val="subscript"/>
        <sz val="12"/>
        <rFont val="Arial"/>
        <family val="2"/>
      </rPr>
      <t>PAO</t>
    </r>
  </si>
  <si>
    <r>
      <t>X</t>
    </r>
    <r>
      <rPr>
        <b/>
        <vertAlign val="subscript"/>
        <sz val="12"/>
        <rFont val="Arial"/>
        <family val="2"/>
      </rPr>
      <t>PP</t>
    </r>
  </si>
  <si>
    <r>
      <t>X</t>
    </r>
    <r>
      <rPr>
        <b/>
        <vertAlign val="subscript"/>
        <sz val="12"/>
        <rFont val="Arial"/>
        <family val="2"/>
      </rPr>
      <t>PHA</t>
    </r>
  </si>
  <si>
    <r>
      <t>X</t>
    </r>
    <r>
      <rPr>
        <b/>
        <vertAlign val="subscript"/>
        <sz val="12"/>
        <rFont val="Arial"/>
        <family val="2"/>
      </rPr>
      <t>GLY</t>
    </r>
  </si>
  <si>
    <r>
      <t>X</t>
    </r>
    <r>
      <rPr>
        <b/>
        <vertAlign val="subscript"/>
        <sz val="12"/>
        <rFont val="Arial"/>
        <family val="2"/>
      </rPr>
      <t>A</t>
    </r>
  </si>
  <si>
    <r>
      <t>X</t>
    </r>
    <r>
      <rPr>
        <b/>
        <vertAlign val="subscript"/>
        <sz val="12"/>
        <rFont val="Arial"/>
        <family val="2"/>
      </rPr>
      <t>TSS</t>
    </r>
  </si>
  <si>
    <t>1</t>
  </si>
  <si>
    <t>r1</t>
  </si>
  <si>
    <t>Aerobic hydrolysis</t>
  </si>
  <si>
    <r>
      <t>1-</t>
    </r>
    <r>
      <rPr>
        <i/>
        <sz val="12"/>
        <rFont val="Arial"/>
        <family val="2"/>
      </rPr>
      <t>f</t>
    </r>
    <r>
      <rPr>
        <vertAlign val="subscript"/>
        <sz val="12"/>
        <rFont val="Arial"/>
        <family val="2"/>
      </rPr>
      <t>SI</t>
    </r>
  </si>
  <si>
    <r>
      <t>i</t>
    </r>
    <r>
      <rPr>
        <vertAlign val="subscript"/>
        <sz val="12"/>
        <rFont val="Arial"/>
        <family val="2"/>
      </rPr>
      <t>N,XS</t>
    </r>
    <r>
      <rPr>
        <i/>
        <sz val="12"/>
        <rFont val="Arial"/>
        <family val="2"/>
      </rPr>
      <t>-i</t>
    </r>
    <r>
      <rPr>
        <vertAlign val="subscript"/>
        <sz val="12"/>
        <rFont val="Arial"/>
        <family val="2"/>
      </rPr>
      <t>N,SI</t>
    </r>
    <r>
      <rPr>
        <sz val="12"/>
        <rFont val="Arial"/>
        <family val="2"/>
      </rPr>
      <t>*</t>
    </r>
    <r>
      <rPr>
        <i/>
        <sz val="12"/>
        <rFont val="Arial"/>
        <family val="2"/>
      </rPr>
      <t>f</t>
    </r>
    <r>
      <rPr>
        <vertAlign val="subscript"/>
        <sz val="12"/>
        <rFont val="Arial"/>
        <family val="2"/>
      </rPr>
      <t>SI</t>
    </r>
    <r>
      <rPr>
        <sz val="12"/>
        <rFont val="Arial"/>
        <family val="2"/>
      </rPr>
      <t>-</t>
    </r>
    <r>
      <rPr>
        <i/>
        <sz val="12"/>
        <rFont val="Arial"/>
        <family val="2"/>
      </rPr>
      <t>i</t>
    </r>
    <r>
      <rPr>
        <vertAlign val="subscript"/>
        <sz val="12"/>
        <rFont val="Arial"/>
        <family val="2"/>
      </rPr>
      <t>N,SF</t>
    </r>
    <r>
      <rPr>
        <i/>
        <sz val="12"/>
        <rFont val="Arial"/>
        <family val="2"/>
      </rPr>
      <t>*</t>
    </r>
    <r>
      <rPr>
        <sz val="12"/>
        <rFont val="Arial"/>
        <family val="2"/>
      </rPr>
      <t>(1-</t>
    </r>
    <r>
      <rPr>
        <i/>
        <sz val="12"/>
        <rFont val="Arial"/>
        <family val="2"/>
      </rPr>
      <t>f</t>
    </r>
    <r>
      <rPr>
        <vertAlign val="subscript"/>
        <sz val="12"/>
        <rFont val="Arial"/>
        <family val="2"/>
      </rPr>
      <t>SI</t>
    </r>
    <r>
      <rPr>
        <sz val="12"/>
        <rFont val="Arial"/>
        <family val="2"/>
      </rPr>
      <t>)</t>
    </r>
  </si>
  <si>
    <r>
      <t>i</t>
    </r>
    <r>
      <rPr>
        <vertAlign val="subscript"/>
        <sz val="12"/>
        <rFont val="Arial"/>
        <family val="2"/>
      </rPr>
      <t>P,XS</t>
    </r>
    <r>
      <rPr>
        <i/>
        <sz val="12"/>
        <rFont val="Arial"/>
        <family val="2"/>
      </rPr>
      <t>-i</t>
    </r>
    <r>
      <rPr>
        <vertAlign val="subscript"/>
        <sz val="12"/>
        <rFont val="Arial"/>
        <family val="2"/>
      </rPr>
      <t>P,SI</t>
    </r>
    <r>
      <rPr>
        <sz val="12"/>
        <rFont val="Arial"/>
        <family val="2"/>
      </rPr>
      <t>*</t>
    </r>
    <r>
      <rPr>
        <i/>
        <sz val="12"/>
        <rFont val="Arial"/>
        <family val="2"/>
      </rPr>
      <t>f</t>
    </r>
    <r>
      <rPr>
        <vertAlign val="subscript"/>
        <sz val="12"/>
        <rFont val="Arial"/>
        <family val="2"/>
      </rPr>
      <t>SI</t>
    </r>
    <r>
      <rPr>
        <sz val="12"/>
        <rFont val="Arial"/>
        <family val="2"/>
      </rPr>
      <t>-</t>
    </r>
    <r>
      <rPr>
        <i/>
        <sz val="12"/>
        <rFont val="Arial"/>
        <family val="2"/>
      </rPr>
      <t>i</t>
    </r>
    <r>
      <rPr>
        <vertAlign val="subscript"/>
        <sz val="12"/>
        <rFont val="Arial"/>
        <family val="2"/>
      </rPr>
      <t>P,SF</t>
    </r>
    <r>
      <rPr>
        <i/>
        <sz val="12"/>
        <rFont val="Arial"/>
        <family val="2"/>
      </rPr>
      <t>*</t>
    </r>
    <r>
      <rPr>
        <sz val="12"/>
        <rFont val="Arial"/>
        <family val="2"/>
      </rPr>
      <t>(1-</t>
    </r>
    <r>
      <rPr>
        <i/>
        <sz val="12"/>
        <rFont val="Arial"/>
        <family val="2"/>
      </rPr>
      <t>f</t>
    </r>
    <r>
      <rPr>
        <vertAlign val="subscript"/>
        <sz val="12"/>
        <rFont val="Arial"/>
        <family val="2"/>
      </rPr>
      <t>SI</t>
    </r>
    <r>
      <rPr>
        <sz val="12"/>
        <rFont val="Arial"/>
        <family val="2"/>
      </rPr>
      <t>)</t>
    </r>
  </si>
  <si>
    <r>
      <t>-</t>
    </r>
    <r>
      <rPr>
        <i/>
        <sz val="12"/>
        <rFont val="Arial"/>
        <family val="2"/>
      </rPr>
      <t>i</t>
    </r>
    <r>
      <rPr>
        <vertAlign val="subscript"/>
        <sz val="12"/>
        <rFont val="Arial"/>
        <family val="2"/>
      </rPr>
      <t>TSS,XS</t>
    </r>
  </si>
  <si>
    <t>2</t>
  </si>
  <si>
    <t>r2</t>
  </si>
  <si>
    <t>Anoxic hydrolysis</t>
  </si>
  <si>
    <t>3</t>
  </si>
  <si>
    <t>r3</t>
  </si>
  <si>
    <t>Anaerobic hydrolysis</t>
  </si>
  <si>
    <t>4</t>
  </si>
  <si>
    <t>r4</t>
  </si>
  <si>
    <r>
      <t>Aerobic growth of X</t>
    </r>
    <r>
      <rPr>
        <b/>
        <vertAlign val="subscript"/>
        <sz val="12"/>
        <rFont val="Arial"/>
        <family val="2"/>
      </rPr>
      <t>H</t>
    </r>
    <r>
      <rPr>
        <b/>
        <sz val="12"/>
        <rFont val="Arial"/>
        <family val="2"/>
      </rPr>
      <t xml:space="preserve"> on S</t>
    </r>
    <r>
      <rPr>
        <b/>
        <vertAlign val="subscript"/>
        <sz val="12"/>
        <rFont val="Arial"/>
        <family val="2"/>
      </rPr>
      <t>F</t>
    </r>
  </si>
  <si>
    <r>
      <t>-(1-</t>
    </r>
    <r>
      <rPr>
        <i/>
        <sz val="12"/>
        <rFont val="Arial"/>
        <family val="2"/>
      </rPr>
      <t>Y</t>
    </r>
    <r>
      <rPr>
        <vertAlign val="subscript"/>
        <sz val="12"/>
        <rFont val="Arial"/>
        <family val="2"/>
      </rPr>
      <t>H</t>
    </r>
    <r>
      <rPr>
        <sz val="12"/>
        <rFont val="Arial"/>
        <family val="2"/>
      </rPr>
      <t>)</t>
    </r>
    <r>
      <rPr>
        <i/>
        <sz val="12"/>
        <rFont val="Arial"/>
        <family val="2"/>
      </rPr>
      <t>/Y</t>
    </r>
    <r>
      <rPr>
        <vertAlign val="subscript"/>
        <sz val="12"/>
        <rFont val="Arial"/>
        <family val="2"/>
      </rPr>
      <t>H</t>
    </r>
  </si>
  <si>
    <r>
      <t>-1/</t>
    </r>
    <r>
      <rPr>
        <i/>
        <sz val="12"/>
        <rFont val="Arial"/>
        <family val="2"/>
      </rPr>
      <t>Y</t>
    </r>
    <r>
      <rPr>
        <vertAlign val="subscript"/>
        <sz val="12"/>
        <rFont val="Arial"/>
        <family val="2"/>
      </rPr>
      <t>H</t>
    </r>
  </si>
  <si>
    <r>
      <t>i</t>
    </r>
    <r>
      <rPr>
        <vertAlign val="subscript"/>
        <sz val="12"/>
        <rFont val="Arial"/>
        <family val="2"/>
      </rPr>
      <t>N,SF</t>
    </r>
    <r>
      <rPr>
        <i/>
        <sz val="12"/>
        <rFont val="Arial"/>
        <family val="2"/>
      </rPr>
      <t>/Y</t>
    </r>
    <r>
      <rPr>
        <vertAlign val="subscript"/>
        <sz val="12"/>
        <rFont val="Arial"/>
        <family val="2"/>
      </rPr>
      <t>H</t>
    </r>
    <r>
      <rPr>
        <sz val="12"/>
        <rFont val="Arial"/>
        <family val="2"/>
      </rPr>
      <t>-</t>
    </r>
    <r>
      <rPr>
        <i/>
        <sz val="12"/>
        <rFont val="Arial"/>
        <family val="2"/>
      </rPr>
      <t>i</t>
    </r>
    <r>
      <rPr>
        <vertAlign val="subscript"/>
        <sz val="12"/>
        <rFont val="Arial"/>
        <family val="2"/>
      </rPr>
      <t>N,BM</t>
    </r>
  </si>
  <si>
    <r>
      <t>i</t>
    </r>
    <r>
      <rPr>
        <vertAlign val="subscript"/>
        <sz val="12"/>
        <rFont val="Arial"/>
        <family val="2"/>
      </rPr>
      <t>P,SF</t>
    </r>
    <r>
      <rPr>
        <i/>
        <sz val="12"/>
        <rFont val="Arial"/>
        <family val="2"/>
      </rPr>
      <t>/Y</t>
    </r>
    <r>
      <rPr>
        <vertAlign val="subscript"/>
        <sz val="12"/>
        <rFont val="Arial"/>
        <family val="2"/>
      </rPr>
      <t>H</t>
    </r>
    <r>
      <rPr>
        <sz val="12"/>
        <rFont val="Arial"/>
        <family val="2"/>
      </rPr>
      <t>-</t>
    </r>
    <r>
      <rPr>
        <i/>
        <sz val="12"/>
        <rFont val="Arial"/>
        <family val="2"/>
      </rPr>
      <t>i</t>
    </r>
    <r>
      <rPr>
        <vertAlign val="subscript"/>
        <sz val="12"/>
        <rFont val="Arial"/>
        <family val="2"/>
      </rPr>
      <t>P,BM</t>
    </r>
  </si>
  <si>
    <t>5</t>
  </si>
  <si>
    <t>r5</t>
  </si>
  <si>
    <r>
      <t>Aerobic growth of X</t>
    </r>
    <r>
      <rPr>
        <b/>
        <vertAlign val="subscript"/>
        <sz val="12"/>
        <rFont val="Arial"/>
        <family val="2"/>
      </rPr>
      <t>H</t>
    </r>
    <r>
      <rPr>
        <b/>
        <sz val="12"/>
        <rFont val="Arial"/>
        <family val="2"/>
      </rPr>
      <t xml:space="preserve"> on S</t>
    </r>
    <r>
      <rPr>
        <b/>
        <vertAlign val="subscript"/>
        <sz val="12"/>
        <rFont val="Arial"/>
        <family val="2"/>
      </rPr>
      <t>A</t>
    </r>
  </si>
  <si>
    <r>
      <t>-</t>
    </r>
    <r>
      <rPr>
        <i/>
        <sz val="12"/>
        <rFont val="Arial"/>
        <family val="2"/>
      </rPr>
      <t>i</t>
    </r>
    <r>
      <rPr>
        <vertAlign val="subscript"/>
        <sz val="12"/>
        <rFont val="Arial"/>
        <family val="2"/>
      </rPr>
      <t>N,BM</t>
    </r>
  </si>
  <si>
    <r>
      <t>-</t>
    </r>
    <r>
      <rPr>
        <i/>
        <sz val="12"/>
        <rFont val="Arial"/>
        <family val="2"/>
      </rPr>
      <t>i</t>
    </r>
    <r>
      <rPr>
        <vertAlign val="subscript"/>
        <sz val="12"/>
        <rFont val="Arial"/>
        <family val="2"/>
      </rPr>
      <t>P,BM</t>
    </r>
  </si>
  <si>
    <t>6</t>
  </si>
  <si>
    <t>r6</t>
  </si>
  <si>
    <r>
      <t>Anoxic growth of X</t>
    </r>
    <r>
      <rPr>
        <b/>
        <vertAlign val="subscript"/>
        <sz val="12"/>
        <rFont val="Arial"/>
        <family val="2"/>
      </rPr>
      <t>H</t>
    </r>
    <r>
      <rPr>
        <b/>
        <sz val="12"/>
        <rFont val="Arial"/>
        <family val="2"/>
      </rPr>
      <t xml:space="preserve"> on S</t>
    </r>
    <r>
      <rPr>
        <b/>
        <vertAlign val="subscript"/>
        <sz val="12"/>
        <rFont val="Arial"/>
        <family val="2"/>
      </rPr>
      <t>F</t>
    </r>
  </si>
  <si>
    <r>
      <t>-(1-</t>
    </r>
    <r>
      <rPr>
        <i/>
        <sz val="12"/>
        <rFont val="Arial"/>
        <family val="2"/>
      </rPr>
      <t>Y</t>
    </r>
    <r>
      <rPr>
        <vertAlign val="subscript"/>
        <sz val="12"/>
        <rFont val="Arial"/>
        <family val="2"/>
      </rPr>
      <t>H</t>
    </r>
    <r>
      <rPr>
        <sz val="12"/>
        <rFont val="Arial"/>
        <family val="2"/>
      </rPr>
      <t>)/(</t>
    </r>
    <r>
      <rPr>
        <i/>
        <sz val="12"/>
        <rFont val="Arial"/>
        <family val="2"/>
      </rPr>
      <t>i</t>
    </r>
    <r>
      <rPr>
        <vertAlign val="subscript"/>
        <sz val="12"/>
        <rFont val="Arial"/>
        <family val="2"/>
      </rPr>
      <t>NO3,N2</t>
    </r>
    <r>
      <rPr>
        <sz val="12"/>
        <rFont val="Arial"/>
        <family val="2"/>
      </rPr>
      <t>*</t>
    </r>
    <r>
      <rPr>
        <i/>
        <sz val="12"/>
        <rFont val="Arial"/>
        <family val="2"/>
      </rPr>
      <t>Y</t>
    </r>
    <r>
      <rPr>
        <vertAlign val="subscript"/>
        <sz val="12"/>
        <rFont val="Arial"/>
        <family val="2"/>
      </rPr>
      <t>H</t>
    </r>
    <r>
      <rPr>
        <sz val="12"/>
        <rFont val="Arial"/>
        <family val="2"/>
      </rPr>
      <t>)</t>
    </r>
  </si>
  <si>
    <r>
      <t>(1-</t>
    </r>
    <r>
      <rPr>
        <i/>
        <sz val="12"/>
        <rFont val="Arial"/>
        <family val="2"/>
      </rPr>
      <t>Y</t>
    </r>
    <r>
      <rPr>
        <vertAlign val="subscript"/>
        <sz val="12"/>
        <rFont val="Arial"/>
        <family val="2"/>
      </rPr>
      <t>H</t>
    </r>
    <r>
      <rPr>
        <sz val="12"/>
        <rFont val="Arial"/>
        <family val="2"/>
      </rPr>
      <t>)/(</t>
    </r>
    <r>
      <rPr>
        <i/>
        <sz val="12"/>
        <rFont val="Arial"/>
        <family val="2"/>
      </rPr>
      <t>i</t>
    </r>
    <r>
      <rPr>
        <vertAlign val="subscript"/>
        <sz val="12"/>
        <rFont val="Arial"/>
        <family val="2"/>
      </rPr>
      <t>NO3,N2</t>
    </r>
    <r>
      <rPr>
        <sz val="12"/>
        <rFont val="Arial"/>
        <family val="2"/>
      </rPr>
      <t>*</t>
    </r>
    <r>
      <rPr>
        <i/>
        <sz val="12"/>
        <rFont val="Arial"/>
        <family val="2"/>
      </rPr>
      <t>Y</t>
    </r>
    <r>
      <rPr>
        <vertAlign val="subscript"/>
        <sz val="12"/>
        <rFont val="Arial"/>
        <family val="2"/>
      </rPr>
      <t>H</t>
    </r>
    <r>
      <rPr>
        <sz val="12"/>
        <rFont val="Arial"/>
        <family val="2"/>
      </rPr>
      <t>)</t>
    </r>
  </si>
  <si>
    <t>7</t>
  </si>
  <si>
    <t>r7</t>
  </si>
  <si>
    <r>
      <t>Anoxic growth of X</t>
    </r>
    <r>
      <rPr>
        <b/>
        <vertAlign val="subscript"/>
        <sz val="12"/>
        <rFont val="Arial"/>
        <family val="2"/>
      </rPr>
      <t>H</t>
    </r>
    <r>
      <rPr>
        <b/>
        <sz val="12"/>
        <rFont val="Arial"/>
        <family val="2"/>
      </rPr>
      <t xml:space="preserve"> on S</t>
    </r>
    <r>
      <rPr>
        <b/>
        <vertAlign val="subscript"/>
        <sz val="12"/>
        <rFont val="Arial"/>
        <family val="2"/>
      </rPr>
      <t>A</t>
    </r>
  </si>
  <si>
    <t>8</t>
  </si>
  <si>
    <t>r8</t>
  </si>
  <si>
    <t>Fermentation</t>
  </si>
  <si>
    <t>9</t>
  </si>
  <si>
    <t>r9</t>
  </si>
  <si>
    <t>Lysis</t>
  </si>
  <si>
    <r>
      <t>i</t>
    </r>
    <r>
      <rPr>
        <vertAlign val="subscript"/>
        <sz val="12"/>
        <rFont val="Arial"/>
        <family val="2"/>
      </rPr>
      <t>N,BM</t>
    </r>
    <r>
      <rPr>
        <i/>
        <sz val="12"/>
        <rFont val="Arial"/>
        <family val="2"/>
      </rPr>
      <t>-i</t>
    </r>
    <r>
      <rPr>
        <vertAlign val="subscript"/>
        <sz val="12"/>
        <rFont val="Arial"/>
        <family val="2"/>
      </rPr>
      <t>N,XI</t>
    </r>
    <r>
      <rPr>
        <sz val="12"/>
        <rFont val="Arial"/>
        <family val="2"/>
      </rPr>
      <t>*</t>
    </r>
    <r>
      <rPr>
        <i/>
        <sz val="12"/>
        <rFont val="Arial"/>
        <family val="2"/>
      </rPr>
      <t>f</t>
    </r>
    <r>
      <rPr>
        <vertAlign val="subscript"/>
        <sz val="12"/>
        <rFont val="Arial"/>
        <family val="2"/>
      </rPr>
      <t>XI,H</t>
    </r>
    <r>
      <rPr>
        <sz val="12"/>
        <rFont val="Arial"/>
        <family val="2"/>
      </rPr>
      <t>-</t>
    </r>
    <r>
      <rPr>
        <i/>
        <sz val="12"/>
        <rFont val="Arial"/>
        <family val="2"/>
      </rPr>
      <t>i</t>
    </r>
    <r>
      <rPr>
        <vertAlign val="subscript"/>
        <sz val="12"/>
        <rFont val="Arial"/>
        <family val="2"/>
      </rPr>
      <t>N,XS</t>
    </r>
    <r>
      <rPr>
        <i/>
        <sz val="12"/>
        <rFont val="Arial"/>
        <family val="2"/>
      </rPr>
      <t>*</t>
    </r>
    <r>
      <rPr>
        <sz val="12"/>
        <rFont val="Arial"/>
        <family val="2"/>
      </rPr>
      <t>(1-</t>
    </r>
    <r>
      <rPr>
        <i/>
        <sz val="12"/>
        <rFont val="Arial"/>
        <family val="2"/>
      </rPr>
      <t>f</t>
    </r>
    <r>
      <rPr>
        <vertAlign val="subscript"/>
        <sz val="12"/>
        <rFont val="Arial"/>
        <family val="2"/>
      </rPr>
      <t>XI,H</t>
    </r>
    <r>
      <rPr>
        <sz val="12"/>
        <rFont val="Arial"/>
        <family val="2"/>
      </rPr>
      <t>)</t>
    </r>
  </si>
  <si>
    <r>
      <t>i</t>
    </r>
    <r>
      <rPr>
        <vertAlign val="subscript"/>
        <sz val="12"/>
        <rFont val="Arial"/>
        <family val="2"/>
      </rPr>
      <t>P,BM</t>
    </r>
    <r>
      <rPr>
        <i/>
        <sz val="12"/>
        <rFont val="Arial"/>
        <family val="2"/>
      </rPr>
      <t>-i</t>
    </r>
    <r>
      <rPr>
        <vertAlign val="subscript"/>
        <sz val="12"/>
        <rFont val="Arial"/>
        <family val="2"/>
      </rPr>
      <t>P,XI</t>
    </r>
    <r>
      <rPr>
        <sz val="12"/>
        <rFont val="Arial"/>
        <family val="2"/>
      </rPr>
      <t>*</t>
    </r>
    <r>
      <rPr>
        <i/>
        <sz val="12"/>
        <rFont val="Arial"/>
        <family val="2"/>
      </rPr>
      <t>f</t>
    </r>
    <r>
      <rPr>
        <vertAlign val="subscript"/>
        <sz val="12"/>
        <rFont val="Arial"/>
        <family val="2"/>
      </rPr>
      <t>XI,H</t>
    </r>
    <r>
      <rPr>
        <sz val="12"/>
        <rFont val="Arial"/>
        <family val="2"/>
      </rPr>
      <t>-</t>
    </r>
    <r>
      <rPr>
        <i/>
        <sz val="12"/>
        <rFont val="Arial"/>
        <family val="2"/>
      </rPr>
      <t>i</t>
    </r>
    <r>
      <rPr>
        <vertAlign val="subscript"/>
        <sz val="12"/>
        <rFont val="Arial"/>
        <family val="2"/>
      </rPr>
      <t>P,XS</t>
    </r>
    <r>
      <rPr>
        <i/>
        <sz val="12"/>
        <rFont val="Arial"/>
        <family val="2"/>
      </rPr>
      <t>*</t>
    </r>
    <r>
      <rPr>
        <sz val="12"/>
        <rFont val="Arial"/>
        <family val="2"/>
      </rPr>
      <t>(1-</t>
    </r>
    <r>
      <rPr>
        <i/>
        <sz val="12"/>
        <rFont val="Arial"/>
        <family val="2"/>
      </rPr>
      <t>f</t>
    </r>
    <r>
      <rPr>
        <vertAlign val="subscript"/>
        <sz val="12"/>
        <rFont val="Arial"/>
        <family val="2"/>
      </rPr>
      <t>XI,H</t>
    </r>
    <r>
      <rPr>
        <sz val="12"/>
        <rFont val="Arial"/>
        <family val="2"/>
      </rPr>
      <t>)</t>
    </r>
  </si>
  <si>
    <r>
      <t>1-</t>
    </r>
    <r>
      <rPr>
        <i/>
        <sz val="12"/>
        <rFont val="Arial"/>
        <family val="2"/>
      </rPr>
      <t>f</t>
    </r>
    <r>
      <rPr>
        <vertAlign val="subscript"/>
        <sz val="12"/>
        <rFont val="Arial"/>
        <family val="2"/>
      </rPr>
      <t>XI,H</t>
    </r>
  </si>
  <si>
    <r>
      <t>i</t>
    </r>
    <r>
      <rPr>
        <vertAlign val="subscript"/>
        <sz val="12"/>
        <rFont val="Arial"/>
        <family val="2"/>
      </rPr>
      <t>TSS,XI</t>
    </r>
    <r>
      <rPr>
        <i/>
        <sz val="12"/>
        <rFont val="Arial"/>
        <family val="2"/>
      </rPr>
      <t>*f</t>
    </r>
    <r>
      <rPr>
        <vertAlign val="subscript"/>
        <sz val="12"/>
        <rFont val="Arial"/>
        <family val="2"/>
      </rPr>
      <t>XI,H</t>
    </r>
    <r>
      <rPr>
        <sz val="12"/>
        <rFont val="Arial"/>
        <family val="2"/>
      </rPr>
      <t>+</t>
    </r>
    <r>
      <rPr>
        <i/>
        <sz val="12"/>
        <rFont val="Arial"/>
        <family val="2"/>
      </rPr>
      <t>i</t>
    </r>
    <r>
      <rPr>
        <vertAlign val="subscript"/>
        <sz val="12"/>
        <rFont val="Arial"/>
        <family val="2"/>
      </rPr>
      <t>TSS,XS</t>
    </r>
    <r>
      <rPr>
        <sz val="12"/>
        <rFont val="Arial"/>
        <family val="2"/>
      </rPr>
      <t>*</t>
    </r>
    <r>
      <rPr>
        <i/>
        <sz val="12"/>
        <rFont val="Arial"/>
        <family val="2"/>
      </rPr>
      <t>(</t>
    </r>
    <r>
      <rPr>
        <sz val="12"/>
        <rFont val="Arial"/>
        <family val="2"/>
      </rPr>
      <t>1-</t>
    </r>
    <r>
      <rPr>
        <i/>
        <sz val="12"/>
        <rFont val="Arial"/>
        <family val="2"/>
      </rPr>
      <t>f</t>
    </r>
    <r>
      <rPr>
        <vertAlign val="subscript"/>
        <sz val="12"/>
        <rFont val="Arial"/>
        <family val="2"/>
      </rPr>
      <t>XI,H</t>
    </r>
    <r>
      <rPr>
        <sz val="12"/>
        <rFont val="Arial"/>
        <family val="2"/>
      </rPr>
      <t>)-</t>
    </r>
    <r>
      <rPr>
        <i/>
        <sz val="12"/>
        <rFont val="Arial"/>
        <family val="2"/>
      </rPr>
      <t>i</t>
    </r>
    <r>
      <rPr>
        <vertAlign val="subscript"/>
        <sz val="12"/>
        <rFont val="Arial"/>
        <family val="2"/>
      </rPr>
      <t>TSS,BM</t>
    </r>
  </si>
  <si>
    <r>
      <t>b</t>
    </r>
    <r>
      <rPr>
        <vertAlign val="subscript"/>
        <sz val="12"/>
        <rFont val="Arial"/>
        <family val="2"/>
      </rPr>
      <t>H</t>
    </r>
    <r>
      <rPr>
        <sz val="12"/>
        <rFont val="Arial"/>
        <family val="2"/>
      </rPr>
      <t>*</t>
    </r>
    <r>
      <rPr>
        <i/>
        <sz val="12"/>
        <rFont val="Arial"/>
        <family val="2"/>
      </rPr>
      <t>X</t>
    </r>
    <r>
      <rPr>
        <vertAlign val="subscript"/>
        <sz val="12"/>
        <rFont val="Arial"/>
        <family val="2"/>
      </rPr>
      <t>H</t>
    </r>
  </si>
  <si>
    <t>10</t>
  </si>
  <si>
    <t>r10</t>
  </si>
  <si>
    <t>Anaerobic storage of SA</t>
  </si>
  <si>
    <r>
      <t>-</t>
    </r>
    <r>
      <rPr>
        <i/>
        <sz val="12"/>
        <rFont val="Arial"/>
        <family val="2"/>
      </rPr>
      <t>Y</t>
    </r>
    <r>
      <rPr>
        <vertAlign val="subscript"/>
        <sz val="12"/>
        <rFont val="Arial"/>
        <family val="2"/>
      </rPr>
      <t>PO,AN</t>
    </r>
  </si>
  <si>
    <r>
      <t>1-</t>
    </r>
    <r>
      <rPr>
        <i/>
        <sz val="12"/>
        <rFont val="Arial"/>
        <family val="2"/>
      </rPr>
      <t>Y</t>
    </r>
    <r>
      <rPr>
        <vertAlign val="subscript"/>
        <sz val="12"/>
        <rFont val="Arial"/>
        <family val="2"/>
      </rPr>
      <t>SA,AN</t>
    </r>
  </si>
  <si>
    <r>
      <t>i</t>
    </r>
    <r>
      <rPr>
        <vertAlign val="subscript"/>
        <sz val="12"/>
        <rFont val="Arial"/>
        <family val="2"/>
      </rPr>
      <t>TSS,PP</t>
    </r>
    <r>
      <rPr>
        <sz val="12"/>
        <rFont val="Arial"/>
        <family val="2"/>
      </rPr>
      <t>*(</t>
    </r>
    <r>
      <rPr>
        <i/>
        <sz val="12"/>
        <rFont val="Arial"/>
        <family val="2"/>
      </rPr>
      <t>-Y</t>
    </r>
    <r>
      <rPr>
        <vertAlign val="subscript"/>
        <sz val="12"/>
        <rFont val="Arial"/>
        <family val="2"/>
      </rPr>
      <t>PO,AN</t>
    </r>
    <r>
      <rPr>
        <i/>
        <sz val="12"/>
        <rFont val="Arial"/>
        <family val="2"/>
      </rPr>
      <t>)</t>
    </r>
    <r>
      <rPr>
        <sz val="12"/>
        <rFont val="Arial"/>
        <family val="2"/>
      </rPr>
      <t>+</t>
    </r>
    <r>
      <rPr>
        <i/>
        <sz val="12"/>
        <rFont val="Arial"/>
        <family val="2"/>
      </rPr>
      <t>i</t>
    </r>
    <r>
      <rPr>
        <vertAlign val="subscript"/>
        <sz val="12"/>
        <rFont val="Arial"/>
        <family val="2"/>
      </rPr>
      <t>TSS,PHA</t>
    </r>
    <r>
      <rPr>
        <sz val="12"/>
        <rFont val="Arial"/>
        <family val="2"/>
      </rPr>
      <t>*</t>
    </r>
    <r>
      <rPr>
        <i/>
        <sz val="12"/>
        <rFont val="Arial"/>
        <family val="2"/>
      </rPr>
      <t>Y</t>
    </r>
    <r>
      <rPr>
        <vertAlign val="subscript"/>
        <sz val="12"/>
        <rFont val="Arial"/>
        <family val="2"/>
      </rPr>
      <t>SA,AN</t>
    </r>
    <r>
      <rPr>
        <sz val="12"/>
        <rFont val="Arial"/>
        <family val="2"/>
      </rPr>
      <t>+</t>
    </r>
    <r>
      <rPr>
        <i/>
        <sz val="12"/>
        <rFont val="Arial"/>
        <family val="2"/>
      </rPr>
      <t>i</t>
    </r>
    <r>
      <rPr>
        <vertAlign val="subscript"/>
        <sz val="12"/>
        <rFont val="Arial"/>
        <family val="2"/>
      </rPr>
      <t>TSS,GLY</t>
    </r>
    <r>
      <rPr>
        <sz val="12"/>
        <rFont val="Arial"/>
        <family val="2"/>
      </rPr>
      <t>*(1-</t>
    </r>
    <r>
      <rPr>
        <i/>
        <sz val="12"/>
        <rFont val="Arial"/>
        <family val="2"/>
      </rPr>
      <t>Y</t>
    </r>
    <r>
      <rPr>
        <vertAlign val="subscript"/>
        <sz val="12"/>
        <rFont val="Arial"/>
        <family val="2"/>
      </rPr>
      <t>SA,AN</t>
    </r>
    <r>
      <rPr>
        <sz val="12"/>
        <rFont val="Arial"/>
        <family val="2"/>
      </rPr>
      <t>)</t>
    </r>
  </si>
  <si>
    <t>11</t>
  </si>
  <si>
    <t>r11</t>
  </si>
  <si>
    <t>Anaerobic maintenance</t>
  </si>
  <si>
    <r>
      <t>-</t>
    </r>
    <r>
      <rPr>
        <i/>
        <sz val="12"/>
        <rFont val="Arial"/>
        <family val="2"/>
      </rPr>
      <t>i</t>
    </r>
    <r>
      <rPr>
        <vertAlign val="subscript"/>
        <sz val="12"/>
        <rFont val="Arial"/>
        <family val="2"/>
      </rPr>
      <t>TSS,PP</t>
    </r>
  </si>
  <si>
    <t>12</t>
  </si>
  <si>
    <t>r12</t>
  </si>
  <si>
    <r>
      <t>Anoxic storage of S</t>
    </r>
    <r>
      <rPr>
        <b/>
        <vertAlign val="subscript"/>
        <sz val="12"/>
        <rFont val="Arial"/>
        <family val="2"/>
      </rPr>
      <t>A</t>
    </r>
  </si>
  <si>
    <t>13</t>
  </si>
  <si>
    <t>r13</t>
  </si>
  <si>
    <t>Anoxic PHA consumption</t>
  </si>
  <si>
    <t>14</t>
  </si>
  <si>
    <t>r14</t>
  </si>
  <si>
    <t>Anoxic storage of XPP</t>
  </si>
  <si>
    <t>15</t>
  </si>
  <si>
    <t>r15</t>
  </si>
  <si>
    <t>Anoxic glycogen formation</t>
  </si>
  <si>
    <t>16</t>
  </si>
  <si>
    <t>r16</t>
  </si>
  <si>
    <t>Anoxic maintenance</t>
  </si>
  <si>
    <r>
      <t>-1/</t>
    </r>
    <r>
      <rPr>
        <i/>
        <sz val="12"/>
        <rFont val="Arial"/>
        <family val="2"/>
      </rPr>
      <t>i</t>
    </r>
    <r>
      <rPr>
        <vertAlign val="subscript"/>
        <sz val="12"/>
        <rFont val="Arial"/>
        <family val="2"/>
      </rPr>
      <t>NO3,N2</t>
    </r>
  </si>
  <si>
    <r>
      <t>1/</t>
    </r>
    <r>
      <rPr>
        <i/>
        <sz val="12"/>
        <rFont val="Arial"/>
        <family val="2"/>
      </rPr>
      <t>i</t>
    </r>
    <r>
      <rPr>
        <vertAlign val="subscript"/>
        <sz val="12"/>
        <rFont val="Arial"/>
        <family val="2"/>
      </rPr>
      <t>NO3,N2</t>
    </r>
  </si>
  <si>
    <r>
      <t>-</t>
    </r>
    <r>
      <rPr>
        <i/>
        <sz val="12"/>
        <rFont val="Arial"/>
        <family val="2"/>
      </rPr>
      <t>i</t>
    </r>
    <r>
      <rPr>
        <vertAlign val="subscript"/>
        <sz val="12"/>
        <rFont val="Arial"/>
        <family val="2"/>
      </rPr>
      <t>TSS,BM</t>
    </r>
  </si>
  <si>
    <t>17</t>
  </si>
  <si>
    <t>r17</t>
  </si>
  <si>
    <t>Aerobic PHA consumption</t>
  </si>
  <si>
    <r>
      <t>-1+1/</t>
    </r>
    <r>
      <rPr>
        <i/>
        <sz val="12"/>
        <rFont val="Arial"/>
        <family val="2"/>
      </rPr>
      <t>Y</t>
    </r>
    <r>
      <rPr>
        <vertAlign val="subscript"/>
        <sz val="12"/>
        <rFont val="Arial"/>
        <family val="2"/>
      </rPr>
      <t>PHA,O</t>
    </r>
  </si>
  <si>
    <r>
      <t>-</t>
    </r>
    <r>
      <rPr>
        <i/>
        <sz val="12"/>
        <rFont val="Arial"/>
        <family val="2"/>
      </rPr>
      <t>i</t>
    </r>
    <r>
      <rPr>
        <vertAlign val="subscript"/>
        <sz val="12"/>
        <rFont val="Arial"/>
        <family val="2"/>
      </rPr>
      <t>N,BM</t>
    </r>
    <r>
      <rPr>
        <i/>
        <sz val="12"/>
        <rFont val="Arial"/>
        <family val="2"/>
      </rPr>
      <t>/Y</t>
    </r>
    <r>
      <rPr>
        <vertAlign val="subscript"/>
        <sz val="12"/>
        <rFont val="Arial"/>
        <family val="2"/>
      </rPr>
      <t>PHA,O</t>
    </r>
  </si>
  <si>
    <r>
      <t>-</t>
    </r>
    <r>
      <rPr>
        <i/>
        <sz val="12"/>
        <rFont val="Arial"/>
        <family val="2"/>
      </rPr>
      <t>i</t>
    </r>
    <r>
      <rPr>
        <vertAlign val="subscript"/>
        <sz val="12"/>
        <rFont val="Arial"/>
        <family val="2"/>
      </rPr>
      <t>P,BM</t>
    </r>
    <r>
      <rPr>
        <i/>
        <sz val="12"/>
        <rFont val="Arial"/>
        <family val="2"/>
      </rPr>
      <t>/Y</t>
    </r>
    <r>
      <rPr>
        <vertAlign val="subscript"/>
        <sz val="12"/>
        <rFont val="Arial"/>
        <family val="2"/>
      </rPr>
      <t>PHA,O</t>
    </r>
  </si>
  <si>
    <r>
      <t>1/</t>
    </r>
    <r>
      <rPr>
        <i/>
        <sz val="12"/>
        <rFont val="Arial"/>
        <family val="2"/>
      </rPr>
      <t>Y</t>
    </r>
    <r>
      <rPr>
        <vertAlign val="subscript"/>
        <sz val="12"/>
        <rFont val="Arial"/>
        <family val="2"/>
      </rPr>
      <t>PHA,O</t>
    </r>
  </si>
  <si>
    <r>
      <t>i</t>
    </r>
    <r>
      <rPr>
        <vertAlign val="subscript"/>
        <sz val="12"/>
        <rFont val="Arial"/>
        <family val="2"/>
      </rPr>
      <t>TSS,BM</t>
    </r>
    <r>
      <rPr>
        <i/>
        <sz val="12"/>
        <rFont val="Arial"/>
        <family val="2"/>
      </rPr>
      <t>/Y</t>
    </r>
    <r>
      <rPr>
        <vertAlign val="subscript"/>
        <sz val="12"/>
        <rFont val="Arial"/>
        <family val="2"/>
      </rPr>
      <t>PHA,O</t>
    </r>
    <r>
      <rPr>
        <sz val="12"/>
        <rFont val="Arial"/>
        <family val="2"/>
      </rPr>
      <t>-</t>
    </r>
    <r>
      <rPr>
        <i/>
        <sz val="12"/>
        <rFont val="Arial"/>
        <family val="2"/>
      </rPr>
      <t>i</t>
    </r>
    <r>
      <rPr>
        <vertAlign val="subscript"/>
        <sz val="12"/>
        <rFont val="Arial"/>
        <family val="2"/>
      </rPr>
      <t>TSS,PHA</t>
    </r>
  </si>
  <si>
    <t>18</t>
  </si>
  <si>
    <t>r18</t>
  </si>
  <si>
    <t>Aerobic storage of XPP</t>
  </si>
  <si>
    <r>
      <t>-1/</t>
    </r>
    <r>
      <rPr>
        <i/>
        <sz val="12"/>
        <rFont val="Arial"/>
        <family val="2"/>
      </rPr>
      <t>Y</t>
    </r>
    <r>
      <rPr>
        <vertAlign val="subscript"/>
        <sz val="12"/>
        <rFont val="Arial"/>
        <family val="2"/>
      </rPr>
      <t>PP,O</t>
    </r>
  </si>
  <si>
    <r>
      <t>i</t>
    </r>
    <r>
      <rPr>
        <vertAlign val="subscript"/>
        <sz val="12"/>
        <rFont val="Arial"/>
        <family val="2"/>
      </rPr>
      <t>N,BM</t>
    </r>
    <r>
      <rPr>
        <i/>
        <sz val="12"/>
        <rFont val="Arial"/>
        <family val="2"/>
      </rPr>
      <t>/Y</t>
    </r>
    <r>
      <rPr>
        <vertAlign val="subscript"/>
        <sz val="12"/>
        <rFont val="Arial"/>
        <family val="2"/>
      </rPr>
      <t>PP,O</t>
    </r>
  </si>
  <si>
    <r>
      <t>i</t>
    </r>
    <r>
      <rPr>
        <vertAlign val="subscript"/>
        <sz val="12"/>
        <rFont val="Arial"/>
        <family val="2"/>
      </rPr>
      <t>P,BM</t>
    </r>
    <r>
      <rPr>
        <i/>
        <sz val="12"/>
        <rFont val="Arial"/>
        <family val="2"/>
      </rPr>
      <t>/Y</t>
    </r>
    <r>
      <rPr>
        <vertAlign val="subscript"/>
        <sz val="12"/>
        <rFont val="Arial"/>
        <family val="2"/>
      </rPr>
      <t>PP,O</t>
    </r>
    <r>
      <rPr>
        <sz val="12"/>
        <rFont val="Arial"/>
        <family val="2"/>
      </rPr>
      <t>-1</t>
    </r>
  </si>
  <si>
    <r>
      <t>-</t>
    </r>
    <r>
      <rPr>
        <i/>
        <sz val="12"/>
        <rFont val="Arial"/>
        <family val="2"/>
      </rPr>
      <t>i</t>
    </r>
    <r>
      <rPr>
        <vertAlign val="subscript"/>
        <sz val="12"/>
        <rFont val="Arial"/>
        <family val="2"/>
      </rPr>
      <t>TSS,BM</t>
    </r>
    <r>
      <rPr>
        <i/>
        <sz val="12"/>
        <rFont val="Arial"/>
        <family val="2"/>
      </rPr>
      <t>/Y</t>
    </r>
    <r>
      <rPr>
        <vertAlign val="subscript"/>
        <sz val="12"/>
        <rFont val="Arial"/>
        <family val="2"/>
      </rPr>
      <t>PP,O</t>
    </r>
    <r>
      <rPr>
        <sz val="12"/>
        <rFont val="Arial"/>
        <family val="2"/>
      </rPr>
      <t>+</t>
    </r>
    <r>
      <rPr>
        <i/>
        <sz val="12"/>
        <rFont val="Arial"/>
        <family val="2"/>
      </rPr>
      <t>i</t>
    </r>
    <r>
      <rPr>
        <vertAlign val="subscript"/>
        <sz val="12"/>
        <rFont val="Arial"/>
        <family val="2"/>
      </rPr>
      <t>TSS,PP</t>
    </r>
  </si>
  <si>
    <t>19</t>
  </si>
  <si>
    <t>r19</t>
  </si>
  <si>
    <t>Aerobic glycogen formation</t>
  </si>
  <si>
    <r>
      <t>-(1-</t>
    </r>
    <r>
      <rPr>
        <i/>
        <sz val="12"/>
        <rFont val="Arial"/>
        <family val="2"/>
      </rPr>
      <t>Y</t>
    </r>
    <r>
      <rPr>
        <vertAlign val="subscript"/>
        <sz val="12"/>
        <rFont val="Arial"/>
        <family val="2"/>
      </rPr>
      <t>GLY,O</t>
    </r>
    <r>
      <rPr>
        <sz val="12"/>
        <rFont val="Arial"/>
        <family val="2"/>
      </rPr>
      <t>)</t>
    </r>
    <r>
      <rPr>
        <i/>
        <sz val="12"/>
        <rFont val="Arial"/>
        <family val="2"/>
      </rPr>
      <t>/Y</t>
    </r>
    <r>
      <rPr>
        <vertAlign val="subscript"/>
        <sz val="12"/>
        <rFont val="Arial"/>
        <family val="2"/>
      </rPr>
      <t>GLY,O</t>
    </r>
  </si>
  <si>
    <r>
      <t>i</t>
    </r>
    <r>
      <rPr>
        <vertAlign val="subscript"/>
        <sz val="12"/>
        <rFont val="Arial"/>
        <family val="2"/>
      </rPr>
      <t>N,BM</t>
    </r>
    <r>
      <rPr>
        <i/>
        <sz val="12"/>
        <rFont val="Arial"/>
        <family val="2"/>
      </rPr>
      <t>/Y</t>
    </r>
    <r>
      <rPr>
        <vertAlign val="subscript"/>
        <sz val="12"/>
        <rFont val="Arial"/>
        <family val="2"/>
      </rPr>
      <t>GLY,O</t>
    </r>
  </si>
  <si>
    <r>
      <t>i</t>
    </r>
    <r>
      <rPr>
        <vertAlign val="subscript"/>
        <sz val="12"/>
        <rFont val="Arial"/>
        <family val="2"/>
      </rPr>
      <t>P,BM</t>
    </r>
    <r>
      <rPr>
        <i/>
        <sz val="12"/>
        <rFont val="Arial"/>
        <family val="2"/>
      </rPr>
      <t>/Y</t>
    </r>
    <r>
      <rPr>
        <vertAlign val="subscript"/>
        <sz val="12"/>
        <rFont val="Arial"/>
        <family val="2"/>
      </rPr>
      <t>GLY,O</t>
    </r>
  </si>
  <si>
    <r>
      <t>-1/</t>
    </r>
    <r>
      <rPr>
        <i/>
        <sz val="12"/>
        <rFont val="Arial"/>
        <family val="2"/>
      </rPr>
      <t>Y</t>
    </r>
    <r>
      <rPr>
        <vertAlign val="subscript"/>
        <sz val="12"/>
        <rFont val="Arial"/>
        <family val="2"/>
      </rPr>
      <t>GLY,O</t>
    </r>
  </si>
  <si>
    <r>
      <t>-</t>
    </r>
    <r>
      <rPr>
        <i/>
        <sz val="12"/>
        <rFont val="Arial"/>
        <family val="2"/>
      </rPr>
      <t>i</t>
    </r>
    <r>
      <rPr>
        <vertAlign val="subscript"/>
        <sz val="12"/>
        <rFont val="Arial"/>
        <family val="2"/>
      </rPr>
      <t>TSS,BM</t>
    </r>
    <r>
      <rPr>
        <i/>
        <sz val="12"/>
        <rFont val="Arial"/>
        <family val="2"/>
      </rPr>
      <t>/Y</t>
    </r>
    <r>
      <rPr>
        <vertAlign val="subscript"/>
        <sz val="12"/>
        <rFont val="Arial"/>
        <family val="2"/>
      </rPr>
      <t>GLY,O</t>
    </r>
    <r>
      <rPr>
        <sz val="12"/>
        <rFont val="Arial"/>
        <family val="2"/>
      </rPr>
      <t>+</t>
    </r>
    <r>
      <rPr>
        <i/>
        <sz val="12"/>
        <rFont val="Arial"/>
        <family val="2"/>
      </rPr>
      <t>i</t>
    </r>
    <r>
      <rPr>
        <vertAlign val="subscript"/>
        <sz val="12"/>
        <rFont val="Arial"/>
        <family val="2"/>
      </rPr>
      <t>TSS,GLY</t>
    </r>
  </si>
  <si>
    <t>20</t>
  </si>
  <si>
    <t>r20</t>
  </si>
  <si>
    <t>Aerobic maintenance</t>
  </si>
  <si>
    <t>21</t>
  </si>
  <si>
    <t>r21</t>
  </si>
  <si>
    <r>
      <t>Aerobic growth of X</t>
    </r>
    <r>
      <rPr>
        <b/>
        <vertAlign val="subscript"/>
        <sz val="12"/>
        <rFont val="Arial"/>
        <family val="2"/>
      </rPr>
      <t>A</t>
    </r>
  </si>
  <si>
    <r>
      <t>-(-</t>
    </r>
    <r>
      <rPr>
        <i/>
        <sz val="12"/>
        <rFont val="Arial"/>
        <family val="2"/>
      </rPr>
      <t>i</t>
    </r>
    <r>
      <rPr>
        <vertAlign val="subscript"/>
        <sz val="12"/>
        <rFont val="Arial"/>
        <family val="2"/>
      </rPr>
      <t>COD_NO3</t>
    </r>
    <r>
      <rPr>
        <sz val="12"/>
        <rFont val="Arial"/>
        <family val="2"/>
      </rPr>
      <t>-</t>
    </r>
    <r>
      <rPr>
        <i/>
        <sz val="12"/>
        <rFont val="Arial"/>
        <family val="2"/>
      </rPr>
      <t>Y</t>
    </r>
    <r>
      <rPr>
        <vertAlign val="subscript"/>
        <sz val="12"/>
        <rFont val="Arial"/>
        <family val="2"/>
      </rPr>
      <t>A</t>
    </r>
    <r>
      <rPr>
        <sz val="12"/>
        <rFont val="Arial"/>
        <family val="2"/>
      </rPr>
      <t>)/</t>
    </r>
    <r>
      <rPr>
        <i/>
        <sz val="12"/>
        <rFont val="Arial"/>
        <family val="2"/>
      </rPr>
      <t>Y</t>
    </r>
    <r>
      <rPr>
        <vertAlign val="subscript"/>
        <sz val="12"/>
        <rFont val="Arial"/>
        <family val="2"/>
      </rPr>
      <t>A</t>
    </r>
  </si>
  <si>
    <r>
      <t>-</t>
    </r>
    <r>
      <rPr>
        <i/>
        <sz val="12"/>
        <rFont val="Arial"/>
        <family val="2"/>
      </rPr>
      <t>i</t>
    </r>
    <r>
      <rPr>
        <vertAlign val="subscript"/>
        <sz val="12"/>
        <rFont val="Arial"/>
        <family val="2"/>
      </rPr>
      <t>N,BM</t>
    </r>
    <r>
      <rPr>
        <sz val="12"/>
        <rFont val="Arial"/>
        <family val="2"/>
      </rPr>
      <t>-1</t>
    </r>
    <r>
      <rPr>
        <i/>
        <sz val="12"/>
        <rFont val="Arial"/>
        <family val="2"/>
      </rPr>
      <t>/Y</t>
    </r>
    <r>
      <rPr>
        <vertAlign val="subscript"/>
        <sz val="12"/>
        <rFont val="Arial"/>
        <family val="2"/>
      </rPr>
      <t>A</t>
    </r>
  </si>
  <si>
    <r>
      <t>1/</t>
    </r>
    <r>
      <rPr>
        <i/>
        <sz val="12"/>
        <rFont val="Arial"/>
        <family val="2"/>
      </rPr>
      <t>Y</t>
    </r>
    <r>
      <rPr>
        <vertAlign val="subscript"/>
        <sz val="12"/>
        <rFont val="Arial"/>
        <family val="2"/>
      </rPr>
      <t>A</t>
    </r>
  </si>
  <si>
    <t>22</t>
  </si>
  <si>
    <t>r22</t>
  </si>
  <si>
    <r>
      <t>i</t>
    </r>
    <r>
      <rPr>
        <vertAlign val="subscript"/>
        <sz val="12"/>
        <rFont val="Arial"/>
        <family val="2"/>
      </rPr>
      <t>N,BM</t>
    </r>
    <r>
      <rPr>
        <i/>
        <sz val="12"/>
        <rFont val="Arial"/>
        <family val="2"/>
      </rPr>
      <t>-i</t>
    </r>
    <r>
      <rPr>
        <vertAlign val="subscript"/>
        <sz val="12"/>
        <rFont val="Arial"/>
        <family val="2"/>
      </rPr>
      <t>N,XI</t>
    </r>
    <r>
      <rPr>
        <sz val="12"/>
        <rFont val="Arial"/>
        <family val="2"/>
      </rPr>
      <t>*</t>
    </r>
    <r>
      <rPr>
        <i/>
        <sz val="12"/>
        <rFont val="Arial"/>
        <family val="2"/>
      </rPr>
      <t>f</t>
    </r>
    <r>
      <rPr>
        <vertAlign val="subscript"/>
        <sz val="12"/>
        <rFont val="Arial"/>
        <family val="2"/>
      </rPr>
      <t>XI,A</t>
    </r>
    <r>
      <rPr>
        <sz val="12"/>
        <rFont val="Arial"/>
        <family val="2"/>
      </rPr>
      <t>-</t>
    </r>
    <r>
      <rPr>
        <i/>
        <sz val="12"/>
        <rFont val="Arial"/>
        <family val="2"/>
      </rPr>
      <t>i</t>
    </r>
    <r>
      <rPr>
        <vertAlign val="subscript"/>
        <sz val="12"/>
        <rFont val="Arial"/>
        <family val="2"/>
      </rPr>
      <t>N,XS</t>
    </r>
    <r>
      <rPr>
        <i/>
        <sz val="12"/>
        <rFont val="Arial"/>
        <family val="2"/>
      </rPr>
      <t>*</t>
    </r>
    <r>
      <rPr>
        <sz val="12"/>
        <rFont val="Arial"/>
        <family val="2"/>
      </rPr>
      <t>(1-</t>
    </r>
    <r>
      <rPr>
        <i/>
        <sz val="12"/>
        <rFont val="Arial"/>
        <family val="2"/>
      </rPr>
      <t>f</t>
    </r>
    <r>
      <rPr>
        <vertAlign val="subscript"/>
        <sz val="12"/>
        <rFont val="Arial"/>
        <family val="2"/>
      </rPr>
      <t>XI,A</t>
    </r>
    <r>
      <rPr>
        <sz val="12"/>
        <rFont val="Arial"/>
        <family val="2"/>
      </rPr>
      <t>)</t>
    </r>
  </si>
  <si>
    <r>
      <t>i</t>
    </r>
    <r>
      <rPr>
        <vertAlign val="subscript"/>
        <sz val="12"/>
        <rFont val="Arial"/>
        <family val="2"/>
      </rPr>
      <t>P,BM</t>
    </r>
    <r>
      <rPr>
        <i/>
        <sz val="12"/>
        <rFont val="Arial"/>
        <family val="2"/>
      </rPr>
      <t>-i</t>
    </r>
    <r>
      <rPr>
        <vertAlign val="subscript"/>
        <sz val="12"/>
        <rFont val="Arial"/>
        <family val="2"/>
      </rPr>
      <t>P,XI</t>
    </r>
    <r>
      <rPr>
        <sz val="12"/>
        <rFont val="Arial"/>
        <family val="2"/>
      </rPr>
      <t>*</t>
    </r>
    <r>
      <rPr>
        <i/>
        <sz val="12"/>
        <rFont val="Arial"/>
        <family val="2"/>
      </rPr>
      <t>f</t>
    </r>
    <r>
      <rPr>
        <vertAlign val="subscript"/>
        <sz val="12"/>
        <rFont val="Arial"/>
        <family val="2"/>
      </rPr>
      <t>XI,A</t>
    </r>
    <r>
      <rPr>
        <sz val="12"/>
        <rFont val="Arial"/>
        <family val="2"/>
      </rPr>
      <t>-</t>
    </r>
    <r>
      <rPr>
        <i/>
        <sz val="12"/>
        <rFont val="Arial"/>
        <family val="2"/>
      </rPr>
      <t>i</t>
    </r>
    <r>
      <rPr>
        <vertAlign val="subscript"/>
        <sz val="12"/>
        <rFont val="Arial"/>
        <family val="2"/>
      </rPr>
      <t>P,XS</t>
    </r>
    <r>
      <rPr>
        <i/>
        <sz val="12"/>
        <rFont val="Arial"/>
        <family val="2"/>
      </rPr>
      <t>*</t>
    </r>
    <r>
      <rPr>
        <sz val="12"/>
        <rFont val="Arial"/>
        <family val="2"/>
      </rPr>
      <t>(1-</t>
    </r>
    <r>
      <rPr>
        <i/>
        <sz val="12"/>
        <rFont val="Arial"/>
        <family val="2"/>
      </rPr>
      <t>f</t>
    </r>
    <r>
      <rPr>
        <vertAlign val="subscript"/>
        <sz val="12"/>
        <rFont val="Arial"/>
        <family val="2"/>
      </rPr>
      <t>XI,A</t>
    </r>
    <r>
      <rPr>
        <sz val="12"/>
        <rFont val="Arial"/>
        <family val="2"/>
      </rPr>
      <t>)</t>
    </r>
  </si>
  <si>
    <r>
      <t>1-</t>
    </r>
    <r>
      <rPr>
        <i/>
        <sz val="12"/>
        <rFont val="Arial"/>
        <family val="2"/>
      </rPr>
      <t>f</t>
    </r>
    <r>
      <rPr>
        <vertAlign val="subscript"/>
        <sz val="12"/>
        <rFont val="Arial"/>
        <family val="2"/>
      </rPr>
      <t>XI,A</t>
    </r>
  </si>
  <si>
    <t>-1</t>
  </si>
  <si>
    <r>
      <t>i</t>
    </r>
    <r>
      <rPr>
        <vertAlign val="subscript"/>
        <sz val="12"/>
        <rFont val="Arial"/>
        <family val="2"/>
      </rPr>
      <t>TSS,XI</t>
    </r>
    <r>
      <rPr>
        <i/>
        <sz val="12"/>
        <rFont val="Arial"/>
        <family val="2"/>
      </rPr>
      <t>*f</t>
    </r>
    <r>
      <rPr>
        <vertAlign val="subscript"/>
        <sz val="12"/>
        <rFont val="Arial"/>
        <family val="2"/>
      </rPr>
      <t>XI,A</t>
    </r>
    <r>
      <rPr>
        <sz val="12"/>
        <rFont val="Arial"/>
        <family val="2"/>
      </rPr>
      <t>+</t>
    </r>
    <r>
      <rPr>
        <i/>
        <sz val="12"/>
        <rFont val="Arial"/>
        <family val="2"/>
      </rPr>
      <t>i</t>
    </r>
    <r>
      <rPr>
        <vertAlign val="subscript"/>
        <sz val="12"/>
        <rFont val="Arial"/>
        <family val="2"/>
      </rPr>
      <t>TSS,XS</t>
    </r>
    <r>
      <rPr>
        <sz val="12"/>
        <rFont val="Arial"/>
        <family val="2"/>
      </rPr>
      <t>*</t>
    </r>
    <r>
      <rPr>
        <i/>
        <sz val="12"/>
        <rFont val="Arial"/>
        <family val="2"/>
      </rPr>
      <t>(</t>
    </r>
    <r>
      <rPr>
        <sz val="12"/>
        <rFont val="Arial"/>
        <family val="2"/>
      </rPr>
      <t>1-</t>
    </r>
    <r>
      <rPr>
        <i/>
        <sz val="12"/>
        <rFont val="Arial"/>
        <family val="2"/>
      </rPr>
      <t>f</t>
    </r>
    <r>
      <rPr>
        <vertAlign val="subscript"/>
        <sz val="12"/>
        <rFont val="Arial"/>
        <family val="2"/>
      </rPr>
      <t>XI,A</t>
    </r>
    <r>
      <rPr>
        <sz val="12"/>
        <rFont val="Arial"/>
        <family val="2"/>
      </rPr>
      <t>)-</t>
    </r>
    <r>
      <rPr>
        <i/>
        <sz val="12"/>
        <rFont val="Arial"/>
        <family val="2"/>
      </rPr>
      <t>i</t>
    </r>
    <r>
      <rPr>
        <vertAlign val="subscript"/>
        <sz val="12"/>
        <rFont val="Arial"/>
        <family val="2"/>
      </rPr>
      <t>TSS,BM</t>
    </r>
  </si>
  <si>
    <r>
      <t>b</t>
    </r>
    <r>
      <rPr>
        <vertAlign val="subscript"/>
        <sz val="12"/>
        <rFont val="Arial"/>
        <family val="2"/>
      </rPr>
      <t>A</t>
    </r>
    <r>
      <rPr>
        <sz val="12"/>
        <rFont val="Arial"/>
        <family val="2"/>
      </rPr>
      <t>*</t>
    </r>
    <r>
      <rPr>
        <i/>
        <sz val="12"/>
        <rFont val="Arial"/>
        <family val="2"/>
      </rPr>
      <t>X</t>
    </r>
    <r>
      <rPr>
        <vertAlign val="subscript"/>
        <sz val="12"/>
        <rFont val="Arial"/>
        <family val="2"/>
      </rPr>
      <t>A</t>
    </r>
  </si>
  <si>
    <r>
      <t>i</t>
    </r>
    <r>
      <rPr>
        <vertAlign val="subscript"/>
        <sz val="12"/>
        <color indexed="8"/>
        <rFont val="Arial"/>
        <family val="2"/>
      </rPr>
      <t>COD_NO3</t>
    </r>
  </si>
  <si>
    <r>
      <t>i</t>
    </r>
    <r>
      <rPr>
        <vertAlign val="subscript"/>
        <sz val="12"/>
        <color indexed="8"/>
        <rFont val="Arial"/>
        <family val="2"/>
      </rPr>
      <t>COD_N2</t>
    </r>
  </si>
  <si>
    <t>N</t>
  </si>
  <si>
    <r>
      <t>i</t>
    </r>
    <r>
      <rPr>
        <vertAlign val="subscript"/>
        <sz val="12"/>
        <color indexed="8"/>
        <rFont val="Arial"/>
        <family val="2"/>
      </rPr>
      <t>N,SF</t>
    </r>
  </si>
  <si>
    <r>
      <t>i</t>
    </r>
    <r>
      <rPr>
        <vertAlign val="subscript"/>
        <sz val="12"/>
        <color indexed="8"/>
        <rFont val="Arial"/>
        <family val="2"/>
      </rPr>
      <t>N,SI</t>
    </r>
  </si>
  <si>
    <r>
      <t>i</t>
    </r>
    <r>
      <rPr>
        <vertAlign val="subscript"/>
        <sz val="12"/>
        <color indexed="8"/>
        <rFont val="Arial"/>
        <family val="2"/>
      </rPr>
      <t>N,XI</t>
    </r>
  </si>
  <si>
    <r>
      <t>i</t>
    </r>
    <r>
      <rPr>
        <vertAlign val="subscript"/>
        <sz val="12"/>
        <color indexed="8"/>
        <rFont val="Arial"/>
        <family val="2"/>
      </rPr>
      <t>N,XS</t>
    </r>
  </si>
  <si>
    <r>
      <t>i</t>
    </r>
    <r>
      <rPr>
        <vertAlign val="subscript"/>
        <sz val="12"/>
        <color indexed="8"/>
        <rFont val="Arial"/>
        <family val="2"/>
      </rPr>
      <t>N,BM</t>
    </r>
  </si>
  <si>
    <t>P</t>
  </si>
  <si>
    <r>
      <t>i</t>
    </r>
    <r>
      <rPr>
        <vertAlign val="subscript"/>
        <sz val="12"/>
        <color indexed="8"/>
        <rFont val="Arial"/>
        <family val="2"/>
      </rPr>
      <t>P,SF</t>
    </r>
  </si>
  <si>
    <r>
      <t>i</t>
    </r>
    <r>
      <rPr>
        <vertAlign val="subscript"/>
        <sz val="12"/>
        <color indexed="8"/>
        <rFont val="Arial"/>
        <family val="2"/>
      </rPr>
      <t>P,SI</t>
    </r>
  </si>
  <si>
    <r>
      <t>i</t>
    </r>
    <r>
      <rPr>
        <vertAlign val="subscript"/>
        <sz val="12"/>
        <color indexed="8"/>
        <rFont val="Arial"/>
        <family val="2"/>
      </rPr>
      <t>P,XI</t>
    </r>
  </si>
  <si>
    <r>
      <t>i</t>
    </r>
    <r>
      <rPr>
        <vertAlign val="subscript"/>
        <sz val="12"/>
        <color indexed="8"/>
        <rFont val="Arial"/>
        <family val="2"/>
      </rPr>
      <t>P,XS</t>
    </r>
  </si>
  <si>
    <r>
      <t>i</t>
    </r>
    <r>
      <rPr>
        <vertAlign val="subscript"/>
        <sz val="12"/>
        <color indexed="8"/>
        <rFont val="Arial"/>
        <family val="2"/>
      </rPr>
      <t>P,BM</t>
    </r>
  </si>
  <si>
    <r>
      <t>i</t>
    </r>
    <r>
      <rPr>
        <vertAlign val="subscript"/>
        <sz val="12"/>
        <color indexed="8"/>
        <rFont val="Arial"/>
        <family val="2"/>
      </rPr>
      <t>Charge_SVFA</t>
    </r>
  </si>
  <si>
    <r>
      <t>i</t>
    </r>
    <r>
      <rPr>
        <vertAlign val="subscript"/>
        <sz val="12"/>
        <color indexed="8"/>
        <rFont val="Arial"/>
        <family val="2"/>
      </rPr>
      <t>Charge_XPAO,PP</t>
    </r>
  </si>
  <si>
    <t>Total suspended solids (TSS)</t>
  </si>
  <si>
    <r>
      <t>i</t>
    </r>
    <r>
      <rPr>
        <vertAlign val="subscript"/>
        <sz val="12"/>
        <color indexed="8"/>
        <rFont val="Arial"/>
        <family val="2"/>
      </rPr>
      <t>TSS,XI</t>
    </r>
  </si>
  <si>
    <r>
      <t>i</t>
    </r>
    <r>
      <rPr>
        <vertAlign val="subscript"/>
        <sz val="12"/>
        <color indexed="8"/>
        <rFont val="Arial"/>
        <family val="2"/>
      </rPr>
      <t>TSS,XS</t>
    </r>
  </si>
  <si>
    <r>
      <t>i</t>
    </r>
    <r>
      <rPr>
        <vertAlign val="subscript"/>
        <sz val="12"/>
        <color indexed="8"/>
        <rFont val="Arial"/>
        <family val="2"/>
      </rPr>
      <t>TSS,BM</t>
    </r>
  </si>
  <si>
    <r>
      <t>i</t>
    </r>
    <r>
      <rPr>
        <vertAlign val="subscript"/>
        <sz val="12"/>
        <color indexed="8"/>
        <rFont val="Arial"/>
        <family val="2"/>
      </rPr>
      <t>TSS,PP</t>
    </r>
  </si>
  <si>
    <r>
      <t>i</t>
    </r>
    <r>
      <rPr>
        <vertAlign val="subscript"/>
        <sz val="12"/>
        <color indexed="8"/>
        <rFont val="Arial"/>
        <family val="2"/>
      </rPr>
      <t>TSS,PHA</t>
    </r>
  </si>
  <si>
    <r>
      <t>i</t>
    </r>
    <r>
      <rPr>
        <vertAlign val="subscript"/>
        <sz val="12"/>
        <color indexed="8"/>
        <rFont val="Arial"/>
        <family val="2"/>
      </rPr>
      <t>TSS,GLY</t>
    </r>
  </si>
  <si>
    <r>
      <t>Dissolved oxygen (O</t>
    </r>
    <r>
      <rPr>
        <vertAlign val="subscript"/>
        <sz val="11"/>
        <color rgb="FF000000"/>
        <rFont val="Calibri"/>
        <family val="2"/>
        <scheme val="minor"/>
      </rPr>
      <t>2</t>
    </r>
    <r>
      <rPr>
        <sz val="11"/>
        <color rgb="FF000000"/>
        <rFont val="Calibri"/>
        <family val="2"/>
        <charset val="238"/>
        <scheme val="minor"/>
      </rPr>
      <t>)</t>
    </r>
  </si>
  <si>
    <t>L</t>
  </si>
  <si>
    <t>S</t>
  </si>
  <si>
    <t>Fermentable organic matter</t>
  </si>
  <si>
    <t>Integrated</t>
  </si>
  <si>
    <t>Fermentation product (Volatile Fatty Acids)</t>
  </si>
  <si>
    <r>
      <t>Dissolved nitrogen (N</t>
    </r>
    <r>
      <rPr>
        <vertAlign val="subscript"/>
        <sz val="11"/>
        <color rgb="FF000000"/>
        <rFont val="Calibri"/>
        <family val="2"/>
        <scheme val="minor"/>
      </rPr>
      <t>2</t>
    </r>
    <r>
      <rPr>
        <sz val="11"/>
        <color rgb="FF000000"/>
        <rFont val="Calibri"/>
        <family val="2"/>
        <charset val="238"/>
        <scheme val="minor"/>
      </rPr>
      <t>)</t>
    </r>
  </si>
  <si>
    <t xml:space="preserve">Soluble inorganic phosphorus </t>
  </si>
  <si>
    <t>Soluble undegradable organics</t>
  </si>
  <si>
    <t>Particulate unbiodegradable organics</t>
  </si>
  <si>
    <t>X</t>
  </si>
  <si>
    <t>Particulate biodegradable organics</t>
  </si>
  <si>
    <t>Ordinary heterotrophic organisms (OHO)</t>
  </si>
  <si>
    <t>Phosphorus accumulating organisms (PAO)</t>
  </si>
  <si>
    <t>Stored polyphosphate (PP)</t>
  </si>
  <si>
    <t>Stored polyhydroxyalkanoates (PHA)</t>
  </si>
  <si>
    <t>Stored glycogen (GLY)</t>
  </si>
  <si>
    <r>
      <t>Autotrophic nitrifying organisms (NH4</t>
    </r>
    <r>
      <rPr>
        <vertAlign val="superscript"/>
        <sz val="11"/>
        <color rgb="FF000000"/>
        <rFont val="Calibri"/>
        <family val="2"/>
        <scheme val="minor"/>
      </rPr>
      <t>+</t>
    </r>
    <r>
      <rPr>
        <sz val="11"/>
        <color rgb="FF000000"/>
        <rFont val="Calibri"/>
        <family val="2"/>
        <charset val="238"/>
        <scheme val="minor"/>
      </rPr>
      <t xml:space="preserve"> to NO3</t>
    </r>
    <r>
      <rPr>
        <vertAlign val="superscript"/>
        <sz val="11"/>
        <color rgb="FF000000"/>
        <rFont val="Calibri"/>
        <family val="2"/>
        <scheme val="minor"/>
      </rPr>
      <t>-</t>
    </r>
    <r>
      <rPr>
        <sz val="11"/>
        <color rgb="FF000000"/>
        <rFont val="Calibri"/>
        <family val="2"/>
        <charset val="238"/>
        <scheme val="minor"/>
      </rPr>
      <t>)</t>
    </r>
  </si>
  <si>
    <t>Total suspended solids (TSS)</t>
  </si>
  <si>
    <t>OUR</t>
  </si>
  <si>
    <t>Reactive</t>
  </si>
  <si>
    <r>
      <t>X</t>
    </r>
    <r>
      <rPr>
        <vertAlign val="subscript"/>
        <sz val="11"/>
        <rFont val="Calibri"/>
        <family val="2"/>
      </rPr>
      <t>COD</t>
    </r>
  </si>
  <si>
    <r>
      <t>X</t>
    </r>
    <r>
      <rPr>
        <vertAlign val="subscript"/>
        <sz val="11"/>
        <rFont val="Calibri"/>
        <family val="2"/>
      </rPr>
      <t>I</t>
    </r>
    <r>
      <rPr>
        <sz val="11"/>
        <rFont val="Calibri"/>
        <family val="2"/>
      </rPr>
      <t>+X</t>
    </r>
    <r>
      <rPr>
        <vertAlign val="subscript"/>
        <sz val="11"/>
        <rFont val="Calibri"/>
        <family val="2"/>
      </rPr>
      <t>S</t>
    </r>
    <r>
      <rPr>
        <sz val="11"/>
        <rFont val="Calibri"/>
        <family val="2"/>
      </rPr>
      <t>+X</t>
    </r>
    <r>
      <rPr>
        <vertAlign val="subscript"/>
        <sz val="11"/>
        <rFont val="Calibri"/>
        <family val="2"/>
      </rPr>
      <t>H</t>
    </r>
    <r>
      <rPr>
        <sz val="11"/>
        <rFont val="Calibri"/>
        <family val="2"/>
      </rPr>
      <t>+X</t>
    </r>
    <r>
      <rPr>
        <vertAlign val="subscript"/>
        <sz val="11"/>
        <rFont val="Calibri"/>
        <family val="2"/>
      </rPr>
      <t>PAO</t>
    </r>
    <r>
      <rPr>
        <sz val="11"/>
        <rFont val="Calibri"/>
        <family val="2"/>
      </rPr>
      <t>+X</t>
    </r>
    <r>
      <rPr>
        <vertAlign val="subscript"/>
        <sz val="11"/>
        <rFont val="Calibri"/>
        <family val="2"/>
      </rPr>
      <t>PHA</t>
    </r>
    <r>
      <rPr>
        <sz val="11"/>
        <rFont val="Calibri"/>
        <family val="2"/>
      </rPr>
      <t>+X</t>
    </r>
    <r>
      <rPr>
        <vertAlign val="subscript"/>
        <sz val="11"/>
        <rFont val="Calibri"/>
        <family val="2"/>
      </rPr>
      <t>GLY</t>
    </r>
    <r>
      <rPr>
        <sz val="11"/>
        <rFont val="Calibri"/>
        <family val="2"/>
      </rPr>
      <t>+X</t>
    </r>
    <r>
      <rPr>
        <vertAlign val="subscript"/>
        <sz val="11"/>
        <rFont val="Calibri"/>
        <family val="2"/>
      </rPr>
      <t>A</t>
    </r>
  </si>
  <si>
    <r>
      <t>X</t>
    </r>
    <r>
      <rPr>
        <vertAlign val="subscript"/>
        <sz val="11"/>
        <rFont val="Calibri"/>
        <family val="2"/>
      </rPr>
      <t>VSS</t>
    </r>
  </si>
  <si>
    <r>
      <t>X</t>
    </r>
    <r>
      <rPr>
        <vertAlign val="subscript"/>
        <sz val="11"/>
        <rFont val="Calibri"/>
        <family val="2"/>
      </rPr>
      <t>COD</t>
    </r>
    <r>
      <rPr>
        <sz val="11"/>
        <rFont val="Calibri"/>
        <family val="2"/>
      </rPr>
      <t>/i</t>
    </r>
    <r>
      <rPr>
        <vertAlign val="subscript"/>
        <sz val="11"/>
        <rFont val="Calibri"/>
        <family val="2"/>
      </rPr>
      <t>CV</t>
    </r>
  </si>
  <si>
    <r>
      <t>X</t>
    </r>
    <r>
      <rPr>
        <b/>
        <i/>
        <vertAlign val="subscript"/>
        <sz val="12"/>
        <rFont val="Arial"/>
        <family val="2"/>
      </rPr>
      <t>I</t>
    </r>
  </si>
  <si>
    <t>Balances per processes</t>
  </si>
  <si>
    <t>Type(Kinetic)</t>
  </si>
  <si>
    <t>Hydrolysis</t>
  </si>
  <si>
    <r>
      <t>g N.m</t>
    </r>
    <r>
      <rPr>
        <vertAlign val="superscript"/>
        <sz val="11"/>
        <rFont val="Calibri"/>
        <family val="2"/>
      </rPr>
      <t>-3</t>
    </r>
  </si>
  <si>
    <r>
      <t>q</t>
    </r>
    <r>
      <rPr>
        <i/>
        <vertAlign val="subscript"/>
        <sz val="11"/>
        <rFont val="Calibri"/>
        <family val="2"/>
        <scheme val="minor"/>
      </rPr>
      <t>h</t>
    </r>
  </si>
  <si>
    <r>
      <t>K</t>
    </r>
    <r>
      <rPr>
        <vertAlign val="subscript"/>
        <sz val="11"/>
        <rFont val="Calibri"/>
        <family val="2"/>
        <scheme val="minor"/>
      </rPr>
      <t>X</t>
    </r>
  </si>
  <si>
    <r>
      <t>η</t>
    </r>
    <r>
      <rPr>
        <vertAlign val="subscript"/>
        <sz val="11"/>
        <rFont val="Calibri"/>
        <family val="2"/>
        <scheme val="minor"/>
      </rPr>
      <t>fe</t>
    </r>
  </si>
  <si>
    <r>
      <t>K</t>
    </r>
    <r>
      <rPr>
        <vertAlign val="subscript"/>
        <sz val="11"/>
        <rFont val="Calibri"/>
        <family val="2"/>
        <scheme val="minor"/>
      </rPr>
      <t>O,HYD</t>
    </r>
  </si>
  <si>
    <r>
      <t>g N.m</t>
    </r>
    <r>
      <rPr>
        <vertAlign val="superscript"/>
        <sz val="11"/>
        <rFont val="Calibri"/>
        <family val="2"/>
        <scheme val="minor"/>
      </rPr>
      <t>-3</t>
    </r>
  </si>
  <si>
    <r>
      <t>μ</t>
    </r>
    <r>
      <rPr>
        <vertAlign val="subscript"/>
        <sz val="11"/>
        <rFont val="Calibri"/>
        <family val="2"/>
        <scheme val="minor"/>
      </rPr>
      <t>H</t>
    </r>
  </si>
  <si>
    <r>
      <t>d</t>
    </r>
    <r>
      <rPr>
        <vertAlign val="superscript"/>
        <sz val="11"/>
        <rFont val="Calibri"/>
        <family val="2"/>
        <scheme val="minor"/>
      </rPr>
      <t>-1</t>
    </r>
  </si>
  <si>
    <r>
      <t>q</t>
    </r>
    <r>
      <rPr>
        <vertAlign val="subscript"/>
        <sz val="11"/>
        <rFont val="Calibri"/>
        <family val="2"/>
        <scheme val="minor"/>
      </rPr>
      <t>fe</t>
    </r>
  </si>
  <si>
    <r>
      <t>K</t>
    </r>
    <r>
      <rPr>
        <vertAlign val="subscript"/>
        <sz val="11"/>
        <rFont val="Calibri"/>
        <family val="2"/>
        <scheme val="minor"/>
      </rPr>
      <t>F</t>
    </r>
  </si>
  <si>
    <t>Half-saturation of SF</t>
  </si>
  <si>
    <r>
      <t>b</t>
    </r>
    <r>
      <rPr>
        <vertAlign val="subscript"/>
        <sz val="11"/>
        <rFont val="Calibri"/>
        <family val="2"/>
        <scheme val="minor"/>
      </rPr>
      <t>H</t>
    </r>
  </si>
  <si>
    <r>
      <t>K</t>
    </r>
    <r>
      <rPr>
        <vertAlign val="subscript"/>
        <sz val="11"/>
        <rFont val="Calibri"/>
        <family val="2"/>
        <scheme val="minor"/>
      </rPr>
      <t>fe</t>
    </r>
  </si>
  <si>
    <t>Half-saturation of fermentation of SF</t>
  </si>
  <si>
    <r>
      <t>K</t>
    </r>
    <r>
      <rPr>
        <vertAlign val="subscript"/>
        <sz val="11"/>
        <rFont val="Calibri"/>
        <family val="2"/>
        <scheme val="minor"/>
      </rPr>
      <t>O,H</t>
    </r>
  </si>
  <si>
    <r>
      <t>K</t>
    </r>
    <r>
      <rPr>
        <vertAlign val="subscript"/>
        <sz val="11"/>
        <rFont val="Calibri"/>
        <family val="2"/>
        <scheme val="minor"/>
      </rPr>
      <t>N,H</t>
    </r>
  </si>
  <si>
    <r>
      <t>K</t>
    </r>
    <r>
      <rPr>
        <vertAlign val="subscript"/>
        <sz val="11"/>
        <rFont val="Calibri"/>
        <family val="2"/>
        <scheme val="minor"/>
      </rPr>
      <t>P,H</t>
    </r>
  </si>
  <si>
    <r>
      <t>kmol HCO</t>
    </r>
    <r>
      <rPr>
        <vertAlign val="subscript"/>
        <sz val="11"/>
        <rFont val="Calibri"/>
        <family val="2"/>
        <scheme val="minor"/>
      </rPr>
      <t>3</t>
    </r>
    <r>
      <rPr>
        <vertAlign val="superscript"/>
        <sz val="11"/>
        <rFont val="Calibri"/>
        <family val="2"/>
        <scheme val="minor"/>
      </rPr>
      <t>-</t>
    </r>
    <r>
      <rPr>
        <sz val="11"/>
        <rFont val="Calibri"/>
        <family val="2"/>
        <scheme val="minor"/>
      </rPr>
      <t>.m</t>
    </r>
    <r>
      <rPr>
        <vertAlign val="superscript"/>
        <sz val="11"/>
        <rFont val="Calibri"/>
        <family val="2"/>
        <scheme val="minor"/>
      </rPr>
      <t>-3</t>
    </r>
  </si>
  <si>
    <r>
      <t>q</t>
    </r>
    <r>
      <rPr>
        <vertAlign val="subscript"/>
        <sz val="11"/>
        <rFont val="Calibri"/>
        <family val="2"/>
        <scheme val="minor"/>
      </rPr>
      <t>Ac</t>
    </r>
  </si>
  <si>
    <r>
      <t>q</t>
    </r>
    <r>
      <rPr>
        <vertAlign val="subscript"/>
        <sz val="11"/>
        <rFont val="Calibri"/>
        <family val="2"/>
        <scheme val="minor"/>
      </rPr>
      <t>Ac,NO</t>
    </r>
  </si>
  <si>
    <r>
      <t>q</t>
    </r>
    <r>
      <rPr>
        <i/>
        <vertAlign val="subscript"/>
        <sz val="11"/>
        <rFont val="Calibri"/>
        <family val="2"/>
        <scheme val="minor"/>
      </rPr>
      <t>PP</t>
    </r>
  </si>
  <si>
    <r>
      <t>g</t>
    </r>
    <r>
      <rPr>
        <vertAlign val="subscript"/>
        <sz val="11"/>
        <rFont val="Calibri"/>
        <family val="2"/>
        <scheme val="minor"/>
      </rPr>
      <t>PP</t>
    </r>
  </si>
  <si>
    <r>
      <t>f</t>
    </r>
    <r>
      <rPr>
        <vertAlign val="subscript"/>
        <sz val="11"/>
        <rFont val="Calibri"/>
        <family val="2"/>
        <scheme val="minor"/>
      </rPr>
      <t>PP,max</t>
    </r>
  </si>
  <si>
    <r>
      <t>q</t>
    </r>
    <r>
      <rPr>
        <i/>
        <vertAlign val="subscript"/>
        <sz val="11"/>
        <rFont val="Calibri"/>
        <family val="2"/>
        <scheme val="minor"/>
      </rPr>
      <t>GLY</t>
    </r>
  </si>
  <si>
    <r>
      <t>f</t>
    </r>
    <r>
      <rPr>
        <vertAlign val="subscript"/>
        <sz val="11"/>
        <rFont val="Calibri"/>
        <family val="2"/>
        <scheme val="minor"/>
      </rPr>
      <t>GLY,max</t>
    </r>
  </si>
  <si>
    <r>
      <t>Half-saturation of X</t>
    </r>
    <r>
      <rPr>
        <vertAlign val="subscript"/>
        <sz val="11"/>
        <color rgb="FF000000"/>
        <rFont val="Calibri"/>
        <family val="2"/>
        <scheme val="minor"/>
      </rPr>
      <t>PAO,Gly</t>
    </r>
    <r>
      <rPr>
        <sz val="11"/>
        <color rgb="FF000000"/>
        <rFont val="Calibri"/>
        <family val="2"/>
        <charset val="238"/>
        <scheme val="minor"/>
      </rPr>
      <t>/X</t>
    </r>
    <r>
      <rPr>
        <vertAlign val="subscript"/>
        <sz val="11"/>
        <color rgb="FF000000"/>
        <rFont val="Calibri"/>
        <family val="2"/>
        <scheme val="minor"/>
      </rPr>
      <t>PAO</t>
    </r>
  </si>
  <si>
    <r>
      <t>q</t>
    </r>
    <r>
      <rPr>
        <i/>
        <vertAlign val="subscript"/>
        <sz val="11"/>
        <rFont val="Calibri"/>
        <family val="2"/>
        <scheme val="minor"/>
      </rPr>
      <t>PHA</t>
    </r>
  </si>
  <si>
    <r>
      <t>m</t>
    </r>
    <r>
      <rPr>
        <vertAlign val="subscript"/>
        <sz val="11"/>
        <rFont val="Calibri"/>
        <family val="2"/>
        <scheme val="minor"/>
      </rPr>
      <t>O</t>
    </r>
  </si>
  <si>
    <r>
      <t>Maintenance rate for X</t>
    </r>
    <r>
      <rPr>
        <vertAlign val="subscript"/>
        <sz val="11"/>
        <rFont val="Calibri"/>
        <family val="2"/>
        <scheme val="minor"/>
      </rPr>
      <t>PAO</t>
    </r>
    <r>
      <rPr>
        <sz val="11"/>
        <rFont val="Calibri"/>
        <family val="2"/>
        <scheme val="minor"/>
      </rPr>
      <t xml:space="preserve"> (Aerobic)</t>
    </r>
  </si>
  <si>
    <r>
      <t>Maintenance rate for X</t>
    </r>
    <r>
      <rPr>
        <vertAlign val="subscript"/>
        <sz val="11"/>
        <rFont val="Calibri"/>
        <family val="2"/>
        <scheme val="minor"/>
      </rPr>
      <t>PAO</t>
    </r>
    <r>
      <rPr>
        <sz val="11"/>
        <rFont val="Calibri"/>
        <family val="2"/>
        <scheme val="minor"/>
      </rPr>
      <t xml:space="preserve"> (Anoxic)</t>
    </r>
  </si>
  <si>
    <r>
      <t>m</t>
    </r>
    <r>
      <rPr>
        <vertAlign val="subscript"/>
        <sz val="11"/>
        <rFont val="Calibri"/>
        <family val="2"/>
        <scheme val="minor"/>
      </rPr>
      <t>AN</t>
    </r>
  </si>
  <si>
    <r>
      <t>Maintenance rate for X</t>
    </r>
    <r>
      <rPr>
        <vertAlign val="subscript"/>
        <sz val="11"/>
        <rFont val="Calibri"/>
        <family val="2"/>
        <scheme val="minor"/>
      </rPr>
      <t>PAO</t>
    </r>
    <r>
      <rPr>
        <sz val="11"/>
        <rFont val="Calibri"/>
        <family val="2"/>
        <scheme val="minor"/>
      </rPr>
      <t xml:space="preserve"> (Anaerobic)</t>
    </r>
  </si>
  <si>
    <r>
      <t>g P.g X</t>
    </r>
    <r>
      <rPr>
        <vertAlign val="subscript"/>
        <sz val="11"/>
        <rFont val="Calibri"/>
        <family val="2"/>
        <scheme val="minor"/>
      </rPr>
      <t>PAO</t>
    </r>
    <r>
      <rPr>
        <vertAlign val="superscript"/>
        <sz val="11"/>
        <rFont val="Calibri"/>
        <family val="2"/>
        <scheme val="minor"/>
      </rPr>
      <t>-1</t>
    </r>
    <r>
      <rPr>
        <sz val="11"/>
        <rFont val="Calibri"/>
        <family val="2"/>
        <scheme val="minor"/>
      </rPr>
      <t>.d</t>
    </r>
    <r>
      <rPr>
        <vertAlign val="superscript"/>
        <sz val="11"/>
        <rFont val="Calibri"/>
        <family val="2"/>
        <scheme val="minor"/>
      </rPr>
      <t>-1</t>
    </r>
  </si>
  <si>
    <r>
      <t>K</t>
    </r>
    <r>
      <rPr>
        <vertAlign val="subscript"/>
        <sz val="11"/>
        <rFont val="Calibri"/>
        <family val="2"/>
        <scheme val="minor"/>
      </rPr>
      <t>O,PAO</t>
    </r>
  </si>
  <si>
    <r>
      <t>K</t>
    </r>
    <r>
      <rPr>
        <vertAlign val="subscript"/>
        <sz val="11"/>
        <rFont val="Calibri"/>
        <family val="2"/>
        <scheme val="minor"/>
      </rPr>
      <t>N,PAO</t>
    </r>
  </si>
  <si>
    <r>
      <t>K</t>
    </r>
    <r>
      <rPr>
        <vertAlign val="subscript"/>
        <sz val="11"/>
        <rFont val="Calibri"/>
        <family val="2"/>
        <scheme val="minor"/>
      </rPr>
      <t>P,PAO</t>
    </r>
  </si>
  <si>
    <r>
      <t>K</t>
    </r>
    <r>
      <rPr>
        <vertAlign val="subscript"/>
        <sz val="11"/>
        <rFont val="Calibri"/>
        <family val="2"/>
        <scheme val="minor"/>
      </rPr>
      <t>PP</t>
    </r>
  </si>
  <si>
    <r>
      <t>K</t>
    </r>
    <r>
      <rPr>
        <vertAlign val="subscript"/>
        <sz val="11"/>
        <rFont val="Calibri"/>
        <family val="2"/>
        <scheme val="minor"/>
      </rPr>
      <t>PHA</t>
    </r>
  </si>
  <si>
    <r>
      <t>μ</t>
    </r>
    <r>
      <rPr>
        <vertAlign val="subscript"/>
        <sz val="11"/>
        <rFont val="Calibri"/>
        <family val="2"/>
        <scheme val="minor"/>
      </rPr>
      <t>A</t>
    </r>
  </si>
  <si>
    <r>
      <t>b</t>
    </r>
    <r>
      <rPr>
        <vertAlign val="subscript"/>
        <sz val="11"/>
        <rFont val="Calibri"/>
        <family val="2"/>
        <scheme val="minor"/>
      </rPr>
      <t>A</t>
    </r>
  </si>
  <si>
    <r>
      <t>f</t>
    </r>
    <r>
      <rPr>
        <vertAlign val="subscript"/>
        <sz val="11"/>
        <rFont val="Calibri"/>
        <family val="2"/>
        <scheme val="minor"/>
      </rPr>
      <t>SI</t>
    </r>
  </si>
  <si>
    <r>
      <t>Y</t>
    </r>
    <r>
      <rPr>
        <vertAlign val="subscript"/>
        <sz val="11"/>
        <rFont val="Calibri"/>
        <family val="2"/>
        <scheme val="minor"/>
      </rPr>
      <t>H</t>
    </r>
  </si>
  <si>
    <r>
      <t>f</t>
    </r>
    <r>
      <rPr>
        <vertAlign val="subscript"/>
        <sz val="11"/>
        <rFont val="Calibri"/>
        <family val="2"/>
        <scheme val="minor"/>
      </rPr>
      <t>XI,H</t>
    </r>
  </si>
  <si>
    <r>
      <t>Y</t>
    </r>
    <r>
      <rPr>
        <vertAlign val="subscript"/>
        <sz val="11"/>
        <rFont val="Calibri"/>
        <family val="2"/>
        <scheme val="minor"/>
      </rPr>
      <t>PHA,O</t>
    </r>
  </si>
  <si>
    <r>
      <t>Y</t>
    </r>
    <r>
      <rPr>
        <vertAlign val="subscript"/>
        <sz val="11"/>
        <rFont val="Calibri"/>
        <family val="2"/>
        <scheme val="minor"/>
      </rPr>
      <t>PP,O</t>
    </r>
  </si>
  <si>
    <r>
      <t>Y</t>
    </r>
    <r>
      <rPr>
        <vertAlign val="subscript"/>
        <sz val="11"/>
        <rFont val="Calibri"/>
        <family val="2"/>
        <scheme val="minor"/>
      </rPr>
      <t>SA,AN</t>
    </r>
  </si>
  <si>
    <r>
      <t>Y</t>
    </r>
    <r>
      <rPr>
        <vertAlign val="subscript"/>
        <sz val="11"/>
        <rFont val="Calibri"/>
        <family val="2"/>
        <scheme val="minor"/>
      </rPr>
      <t>PO,AN</t>
    </r>
  </si>
  <si>
    <r>
      <t>Y</t>
    </r>
    <r>
      <rPr>
        <vertAlign val="subscript"/>
        <sz val="11"/>
        <rFont val="Calibri"/>
        <family val="2"/>
        <scheme val="minor"/>
      </rPr>
      <t>GLY,O</t>
    </r>
  </si>
  <si>
    <r>
      <t>Y</t>
    </r>
    <r>
      <rPr>
        <vertAlign val="subscript"/>
        <sz val="11"/>
        <rFont val="Calibri"/>
        <family val="2"/>
        <scheme val="minor"/>
      </rPr>
      <t>A</t>
    </r>
  </si>
  <si>
    <r>
      <t>f</t>
    </r>
    <r>
      <rPr>
        <vertAlign val="subscript"/>
        <sz val="11"/>
        <rFont val="Calibri"/>
        <family val="2"/>
        <scheme val="minor"/>
      </rPr>
      <t>XI,A</t>
    </r>
  </si>
  <si>
    <r>
      <t>i</t>
    </r>
    <r>
      <rPr>
        <vertAlign val="subscript"/>
        <sz val="11"/>
        <rFont val="Calibri"/>
        <family val="2"/>
        <scheme val="minor"/>
      </rPr>
      <t>N,SF</t>
    </r>
  </si>
  <si>
    <r>
      <t>N content of S</t>
    </r>
    <r>
      <rPr>
        <vertAlign val="subscript"/>
        <sz val="11"/>
        <rFont val="Calibri"/>
        <family val="2"/>
        <scheme val="minor"/>
      </rPr>
      <t>F</t>
    </r>
  </si>
  <si>
    <r>
      <t>i</t>
    </r>
    <r>
      <rPr>
        <vertAlign val="subscript"/>
        <sz val="11"/>
        <rFont val="Calibri"/>
        <family val="2"/>
        <scheme val="minor"/>
      </rPr>
      <t>N,SI</t>
    </r>
  </si>
  <si>
    <r>
      <t>i</t>
    </r>
    <r>
      <rPr>
        <vertAlign val="subscript"/>
        <sz val="11"/>
        <rFont val="Calibri"/>
        <family val="2"/>
        <scheme val="minor"/>
      </rPr>
      <t>N,XI</t>
    </r>
  </si>
  <si>
    <r>
      <t>i</t>
    </r>
    <r>
      <rPr>
        <vertAlign val="subscript"/>
        <sz val="11"/>
        <rFont val="Calibri"/>
        <family val="2"/>
        <scheme val="minor"/>
      </rPr>
      <t>N,XS</t>
    </r>
  </si>
  <si>
    <r>
      <t>i</t>
    </r>
    <r>
      <rPr>
        <vertAlign val="subscript"/>
        <sz val="11"/>
        <rFont val="Calibri"/>
        <family val="2"/>
        <scheme val="minor"/>
      </rPr>
      <t>N,BM</t>
    </r>
  </si>
  <si>
    <r>
      <t>i</t>
    </r>
    <r>
      <rPr>
        <vertAlign val="subscript"/>
        <sz val="11"/>
        <rFont val="Calibri"/>
        <family val="2"/>
        <scheme val="minor"/>
      </rPr>
      <t>P,SF</t>
    </r>
  </si>
  <si>
    <r>
      <t>P content of S</t>
    </r>
    <r>
      <rPr>
        <vertAlign val="subscript"/>
        <sz val="11"/>
        <rFont val="Calibri"/>
        <family val="2"/>
        <scheme val="minor"/>
      </rPr>
      <t>F</t>
    </r>
  </si>
  <si>
    <r>
      <t>i</t>
    </r>
    <r>
      <rPr>
        <vertAlign val="subscript"/>
        <sz val="11"/>
        <rFont val="Calibri"/>
        <family val="2"/>
        <scheme val="minor"/>
      </rPr>
      <t>P,SI</t>
    </r>
  </si>
  <si>
    <r>
      <t>i</t>
    </r>
    <r>
      <rPr>
        <vertAlign val="subscript"/>
        <sz val="11"/>
        <rFont val="Calibri"/>
        <family val="2"/>
        <scheme val="minor"/>
      </rPr>
      <t>P,XI</t>
    </r>
  </si>
  <si>
    <r>
      <t>i</t>
    </r>
    <r>
      <rPr>
        <vertAlign val="subscript"/>
        <sz val="11"/>
        <rFont val="Calibri"/>
        <family val="2"/>
        <scheme val="minor"/>
      </rPr>
      <t>P,XS</t>
    </r>
  </si>
  <si>
    <r>
      <t>i</t>
    </r>
    <r>
      <rPr>
        <vertAlign val="subscript"/>
        <sz val="11"/>
        <rFont val="Calibri"/>
        <family val="2"/>
        <scheme val="minor"/>
      </rPr>
      <t>P,BM</t>
    </r>
  </si>
  <si>
    <r>
      <t>i</t>
    </r>
    <r>
      <rPr>
        <vertAlign val="subscript"/>
        <sz val="11"/>
        <rFont val="Calibri"/>
        <family val="2"/>
        <scheme val="minor"/>
      </rPr>
      <t>TSS,XI</t>
    </r>
  </si>
  <si>
    <r>
      <t>i</t>
    </r>
    <r>
      <rPr>
        <vertAlign val="subscript"/>
        <sz val="11"/>
        <rFont val="Calibri"/>
        <family val="2"/>
        <scheme val="minor"/>
      </rPr>
      <t>TSS,XS</t>
    </r>
  </si>
  <si>
    <r>
      <t>i</t>
    </r>
    <r>
      <rPr>
        <vertAlign val="subscript"/>
        <sz val="11"/>
        <rFont val="Calibri"/>
        <family val="2"/>
        <scheme val="minor"/>
      </rPr>
      <t>TSS,PHA</t>
    </r>
  </si>
  <si>
    <r>
      <t>i</t>
    </r>
    <r>
      <rPr>
        <vertAlign val="subscript"/>
        <sz val="11"/>
        <rFont val="Calibri"/>
        <family val="2"/>
        <scheme val="minor"/>
      </rPr>
      <t>TSS,BM</t>
    </r>
  </si>
  <si>
    <r>
      <t>i</t>
    </r>
    <r>
      <rPr>
        <vertAlign val="subscript"/>
        <sz val="11"/>
        <rFont val="Calibri"/>
        <family val="2"/>
        <scheme val="minor"/>
      </rPr>
      <t>TSS,PP</t>
    </r>
  </si>
  <si>
    <r>
      <t>i</t>
    </r>
    <r>
      <rPr>
        <vertAlign val="subscript"/>
        <sz val="11"/>
        <rFont val="Calibri"/>
        <family val="2"/>
        <scheme val="minor"/>
      </rPr>
      <t>TSS,GLY</t>
    </r>
  </si>
  <si>
    <r>
      <t>i</t>
    </r>
    <r>
      <rPr>
        <vertAlign val="subscript"/>
        <sz val="11"/>
        <rFont val="Calibri"/>
        <family val="2"/>
        <scheme val="minor"/>
      </rPr>
      <t>NO3,N2</t>
    </r>
  </si>
  <si>
    <t>Conversion factor for NO3 reduction to N2</t>
  </si>
  <si>
    <r>
      <t>g COD.g N</t>
    </r>
    <r>
      <rPr>
        <vertAlign val="superscript"/>
        <sz val="11"/>
        <rFont val="Calibri"/>
        <family val="2"/>
        <scheme val="minor"/>
      </rPr>
      <t>-1</t>
    </r>
  </si>
  <si>
    <r>
      <t>i</t>
    </r>
    <r>
      <rPr>
        <vertAlign val="subscript"/>
        <sz val="11"/>
        <rFont val="Calibri"/>
        <family val="2"/>
        <scheme val="minor"/>
      </rPr>
      <t>COD_NO3</t>
    </r>
  </si>
  <si>
    <t>Conversion factor for NO3 into COD</t>
  </si>
  <si>
    <r>
      <t>i</t>
    </r>
    <r>
      <rPr>
        <vertAlign val="subscript"/>
        <sz val="11"/>
        <rFont val="Calibri"/>
        <family val="2"/>
        <scheme val="minor"/>
      </rPr>
      <t>COD_N2</t>
    </r>
  </si>
  <si>
    <t>Conversion factor for N2 into COD</t>
  </si>
  <si>
    <r>
      <t>i</t>
    </r>
    <r>
      <rPr>
        <vertAlign val="subscript"/>
        <sz val="11"/>
        <rFont val="Calibri"/>
        <family val="2"/>
        <scheme val="minor"/>
      </rPr>
      <t>Charge_SVFA</t>
    </r>
  </si>
  <si>
    <r>
      <t>kCharge.g COD</t>
    </r>
    <r>
      <rPr>
        <vertAlign val="superscript"/>
        <sz val="11"/>
        <rFont val="Calibri"/>
        <family val="2"/>
        <scheme val="minor"/>
      </rPr>
      <t>-1</t>
    </r>
  </si>
  <si>
    <r>
      <t>kCharge.g N</t>
    </r>
    <r>
      <rPr>
        <vertAlign val="superscript"/>
        <sz val="11"/>
        <rFont val="Calibri"/>
        <family val="2"/>
        <scheme val="minor"/>
      </rPr>
      <t>-1</t>
    </r>
  </si>
  <si>
    <r>
      <t>kCharge.g P</t>
    </r>
    <r>
      <rPr>
        <vertAlign val="superscript"/>
        <sz val="11"/>
        <rFont val="Calibri"/>
        <family val="2"/>
        <scheme val="minor"/>
      </rPr>
      <t>-1</t>
    </r>
  </si>
  <si>
    <r>
      <t>i</t>
    </r>
    <r>
      <rPr>
        <vertAlign val="subscript"/>
        <sz val="11"/>
        <rFont val="Calibri"/>
        <family val="2"/>
        <scheme val="minor"/>
      </rPr>
      <t>Charge_XPAO,PP</t>
    </r>
  </si>
  <si>
    <r>
      <t>i</t>
    </r>
    <r>
      <rPr>
        <i/>
        <vertAlign val="subscript"/>
        <sz val="11"/>
        <rFont val="Calibri"/>
        <family val="2"/>
        <scheme val="minor"/>
      </rPr>
      <t>CV</t>
    </r>
  </si>
  <si>
    <r>
      <t>g COD.g VSS</t>
    </r>
    <r>
      <rPr>
        <vertAlign val="superscript"/>
        <sz val="11"/>
        <rFont val="Calibri"/>
        <family val="2"/>
        <scheme val="minor"/>
      </rPr>
      <t>-1</t>
    </r>
  </si>
  <si>
    <t>Decimals</t>
  </si>
  <si>
    <t>Growth and decay of phosphorus accumulating organisms</t>
  </si>
  <si>
    <t>Yields</t>
  </si>
  <si>
    <t>Inert fractions</t>
  </si>
  <si>
    <t>Nitrogen and phosphorus contents</t>
  </si>
  <si>
    <t>TSS contents</t>
  </si>
  <si>
    <t>Charge and electron acceptor conversion factors</t>
  </si>
  <si>
    <t>Type(Stoichiometric)</t>
  </si>
  <si>
    <t>Calculated variable ratios</t>
  </si>
  <si>
    <r>
      <t>BOD</t>
    </r>
    <r>
      <rPr>
        <vertAlign val="subscript"/>
        <sz val="11"/>
        <rFont val="Calibri"/>
        <family val="2"/>
        <scheme val="minor"/>
      </rPr>
      <t>5</t>
    </r>
    <r>
      <rPr>
        <sz val="11"/>
        <rFont val="Calibri"/>
        <family val="2"/>
        <scheme val="minor"/>
      </rPr>
      <t xml:space="preserve"> to ultimate BOD ratio</t>
    </r>
  </si>
  <si>
    <r>
      <t>gCOD.gCOD</t>
    </r>
    <r>
      <rPr>
        <vertAlign val="superscript"/>
        <sz val="11"/>
        <rFont val="Calibri"/>
        <family val="2"/>
        <scheme val="minor"/>
      </rPr>
      <t>-1</t>
    </r>
  </si>
  <si>
    <t>AUR</t>
  </si>
  <si>
    <t>Ammonia uptake rate (AUR)</t>
  </si>
  <si>
    <t>Oxygen uptake rate (OUR)</t>
  </si>
  <si>
    <r>
      <t>S</t>
    </r>
    <r>
      <rPr>
        <vertAlign val="subscript"/>
        <sz val="11"/>
        <rFont val="Calibri"/>
        <family val="2"/>
        <scheme val="minor"/>
      </rPr>
      <t>BOD,5</t>
    </r>
  </si>
  <si>
    <r>
      <t>X</t>
    </r>
    <r>
      <rPr>
        <vertAlign val="subscript"/>
        <sz val="11"/>
        <rFont val="Calibri"/>
        <family val="2"/>
        <scheme val="minor"/>
      </rPr>
      <t>BOD,5</t>
    </r>
  </si>
  <si>
    <r>
      <t>T</t>
    </r>
    <r>
      <rPr>
        <vertAlign val="subscript"/>
        <sz val="11"/>
        <rFont val="Calibri"/>
        <family val="2"/>
        <scheme val="minor"/>
      </rPr>
      <t>BOD,5</t>
    </r>
  </si>
  <si>
    <r>
      <t>S</t>
    </r>
    <r>
      <rPr>
        <vertAlign val="subscript"/>
        <sz val="11"/>
        <rFont val="Calibri"/>
        <family val="2"/>
        <scheme val="minor"/>
      </rPr>
      <t>COD</t>
    </r>
  </si>
  <si>
    <r>
      <t>T</t>
    </r>
    <r>
      <rPr>
        <vertAlign val="subscript"/>
        <sz val="11"/>
        <rFont val="Calibri"/>
        <family val="2"/>
      </rPr>
      <t>COD</t>
    </r>
  </si>
  <si>
    <r>
      <t>T</t>
    </r>
    <r>
      <rPr>
        <vertAlign val="subscript"/>
        <sz val="11"/>
        <rFont val="Calibri"/>
        <family val="2"/>
      </rPr>
      <t>KN</t>
    </r>
  </si>
  <si>
    <r>
      <t>T</t>
    </r>
    <r>
      <rPr>
        <vertAlign val="subscript"/>
        <sz val="11"/>
        <rFont val="Calibri"/>
        <family val="2"/>
      </rPr>
      <t>N</t>
    </r>
  </si>
  <si>
    <t>Filtered ultimate biochemical oxygen demand</t>
  </si>
  <si>
    <t>Particulate ultimate biochemical oxygen demand</t>
  </si>
  <si>
    <t>Filtered flocculated chemical oxygen demand</t>
  </si>
  <si>
    <t>COD of particulates</t>
  </si>
  <si>
    <t>Total chemical oxygen demand</t>
  </si>
  <si>
    <t>Total Kjeldahl nitrogen (TKN)</t>
  </si>
  <si>
    <t>Total nitrogen</t>
  </si>
  <si>
    <t>Volatile suspended solids (VSS)</t>
  </si>
  <si>
    <r>
      <t>g COD.m</t>
    </r>
    <r>
      <rPr>
        <vertAlign val="superscript"/>
        <sz val="11"/>
        <rFont val="Calibri"/>
        <family val="2"/>
      </rPr>
      <t>-3</t>
    </r>
  </si>
  <si>
    <r>
      <t>g.m</t>
    </r>
    <r>
      <rPr>
        <vertAlign val="superscript"/>
        <sz val="11"/>
        <rFont val="Calibri"/>
        <family val="2"/>
      </rPr>
      <t>-3</t>
    </r>
  </si>
  <si>
    <r>
      <t>X</t>
    </r>
    <r>
      <rPr>
        <vertAlign val="subscript"/>
        <sz val="11"/>
        <rFont val="Calibri"/>
        <family val="2"/>
      </rPr>
      <t>S</t>
    </r>
    <r>
      <rPr>
        <sz val="11"/>
        <rFont val="Calibri"/>
        <family val="2"/>
      </rPr>
      <t>+X</t>
    </r>
    <r>
      <rPr>
        <vertAlign val="subscript"/>
        <sz val="11"/>
        <rFont val="Calibri"/>
        <family val="2"/>
      </rPr>
      <t>H</t>
    </r>
    <r>
      <rPr>
        <sz val="11"/>
        <rFont val="Calibri"/>
        <family val="2"/>
      </rPr>
      <t>+X</t>
    </r>
    <r>
      <rPr>
        <vertAlign val="subscript"/>
        <sz val="11"/>
        <rFont val="Calibri"/>
        <family val="2"/>
      </rPr>
      <t>PAO</t>
    </r>
    <r>
      <rPr>
        <sz val="11"/>
        <rFont val="Calibri"/>
        <family val="2"/>
      </rPr>
      <t>+X</t>
    </r>
    <r>
      <rPr>
        <vertAlign val="subscript"/>
        <sz val="11"/>
        <rFont val="Calibri"/>
        <family val="2"/>
      </rPr>
      <t>PHA</t>
    </r>
    <r>
      <rPr>
        <sz val="11"/>
        <rFont val="Calibri"/>
        <family val="2"/>
      </rPr>
      <t>+X</t>
    </r>
    <r>
      <rPr>
        <vertAlign val="subscript"/>
        <sz val="11"/>
        <rFont val="Calibri"/>
        <family val="2"/>
      </rPr>
      <t>GLY</t>
    </r>
    <r>
      <rPr>
        <sz val="11"/>
        <rFont val="Calibri"/>
        <family val="2"/>
      </rPr>
      <t>+X</t>
    </r>
    <r>
      <rPr>
        <vertAlign val="subscript"/>
        <sz val="11"/>
        <rFont val="Calibri"/>
        <family val="2"/>
      </rPr>
      <t>A</t>
    </r>
  </si>
  <si>
    <r>
      <t>S</t>
    </r>
    <r>
      <rPr>
        <vertAlign val="subscript"/>
        <sz val="11"/>
        <rFont val="Calibri"/>
        <family val="2"/>
        <scheme val="minor"/>
      </rPr>
      <t>NH</t>
    </r>
    <r>
      <rPr>
        <sz val="11"/>
        <rFont val="Calibri"/>
        <family val="2"/>
        <scheme val="minor"/>
      </rPr>
      <t xml:space="preserve"> + i</t>
    </r>
    <r>
      <rPr>
        <vertAlign val="subscript"/>
        <sz val="11"/>
        <rFont val="Calibri"/>
        <family val="2"/>
        <scheme val="minor"/>
      </rPr>
      <t>N,SF</t>
    </r>
    <r>
      <rPr>
        <sz val="11"/>
        <rFont val="Calibri"/>
        <family val="2"/>
        <scheme val="minor"/>
      </rPr>
      <t>*S</t>
    </r>
    <r>
      <rPr>
        <vertAlign val="subscript"/>
        <sz val="11"/>
        <rFont val="Calibri"/>
        <family val="2"/>
        <scheme val="minor"/>
      </rPr>
      <t>F</t>
    </r>
    <r>
      <rPr>
        <sz val="11"/>
        <rFont val="Calibri"/>
        <family val="2"/>
        <scheme val="minor"/>
      </rPr>
      <t xml:space="preserve"> + i</t>
    </r>
    <r>
      <rPr>
        <vertAlign val="subscript"/>
        <sz val="11"/>
        <rFont val="Calibri"/>
        <family val="2"/>
        <scheme val="minor"/>
      </rPr>
      <t>N,SI</t>
    </r>
    <r>
      <rPr>
        <sz val="11"/>
        <rFont val="Calibri"/>
        <family val="2"/>
        <scheme val="minor"/>
      </rPr>
      <t>*S</t>
    </r>
    <r>
      <rPr>
        <vertAlign val="subscript"/>
        <sz val="11"/>
        <rFont val="Calibri"/>
        <family val="2"/>
        <scheme val="minor"/>
      </rPr>
      <t>I</t>
    </r>
    <r>
      <rPr>
        <sz val="11"/>
        <rFont val="Calibri"/>
        <family val="2"/>
        <scheme val="minor"/>
      </rPr>
      <t xml:space="preserve"> + i</t>
    </r>
    <r>
      <rPr>
        <vertAlign val="subscript"/>
        <sz val="11"/>
        <rFont val="Calibri"/>
        <family val="2"/>
        <scheme val="minor"/>
      </rPr>
      <t>N,XI</t>
    </r>
    <r>
      <rPr>
        <sz val="11"/>
        <rFont val="Calibri"/>
        <family val="2"/>
        <scheme val="minor"/>
      </rPr>
      <t>*X</t>
    </r>
    <r>
      <rPr>
        <vertAlign val="subscript"/>
        <sz val="11"/>
        <rFont val="Calibri"/>
        <family val="2"/>
        <scheme val="minor"/>
      </rPr>
      <t>I</t>
    </r>
    <r>
      <rPr>
        <sz val="11"/>
        <rFont val="Calibri"/>
        <family val="2"/>
        <scheme val="minor"/>
      </rPr>
      <t xml:space="preserve"> + i</t>
    </r>
    <r>
      <rPr>
        <vertAlign val="subscript"/>
        <sz val="11"/>
        <rFont val="Calibri"/>
        <family val="2"/>
        <scheme val="minor"/>
      </rPr>
      <t>N,XS</t>
    </r>
    <r>
      <rPr>
        <sz val="11"/>
        <rFont val="Calibri"/>
        <family val="2"/>
        <scheme val="minor"/>
      </rPr>
      <t>*X</t>
    </r>
    <r>
      <rPr>
        <vertAlign val="subscript"/>
        <sz val="11"/>
        <rFont val="Calibri"/>
        <family val="2"/>
        <scheme val="minor"/>
      </rPr>
      <t>S</t>
    </r>
    <r>
      <rPr>
        <sz val="11"/>
        <rFont val="Calibri"/>
        <family val="2"/>
        <scheme val="minor"/>
      </rPr>
      <t xml:space="preserve"> + i</t>
    </r>
    <r>
      <rPr>
        <vertAlign val="subscript"/>
        <sz val="11"/>
        <rFont val="Calibri"/>
        <family val="2"/>
        <scheme val="minor"/>
      </rPr>
      <t>N,BM</t>
    </r>
    <r>
      <rPr>
        <sz val="11"/>
        <rFont val="Calibri"/>
        <family val="2"/>
        <scheme val="minor"/>
      </rPr>
      <t>*(X</t>
    </r>
    <r>
      <rPr>
        <vertAlign val="subscript"/>
        <sz val="11"/>
        <rFont val="Calibri"/>
        <family val="2"/>
        <scheme val="minor"/>
      </rPr>
      <t>H</t>
    </r>
    <r>
      <rPr>
        <sz val="11"/>
        <rFont val="Calibri"/>
        <family val="2"/>
        <scheme val="minor"/>
      </rPr>
      <t xml:space="preserve"> + X</t>
    </r>
    <r>
      <rPr>
        <vertAlign val="subscript"/>
        <sz val="11"/>
        <rFont val="Calibri"/>
        <family val="2"/>
        <scheme val="minor"/>
      </rPr>
      <t>A</t>
    </r>
    <r>
      <rPr>
        <sz val="11"/>
        <rFont val="Calibri"/>
        <family val="2"/>
        <scheme val="minor"/>
      </rPr>
      <t xml:space="preserve"> + X</t>
    </r>
    <r>
      <rPr>
        <vertAlign val="subscript"/>
        <sz val="11"/>
        <rFont val="Calibri"/>
        <family val="2"/>
        <scheme val="minor"/>
      </rPr>
      <t>PAO</t>
    </r>
    <r>
      <rPr>
        <sz val="11"/>
        <rFont val="Calibri"/>
        <family val="2"/>
        <scheme val="minor"/>
      </rPr>
      <t>)</t>
    </r>
  </si>
  <si>
    <t>Uptake rates</t>
  </si>
  <si>
    <t>SUMO functions</t>
  </si>
  <si>
    <t>Sumo functions used both by Excel and C++</t>
  </si>
  <si>
    <t>Monod saturation with check for pH availability</t>
  </si>
  <si>
    <t>Monod inhibition with check for pH availability</t>
  </si>
  <si>
    <t>MRsat(s;x;k)</t>
  </si>
  <si>
    <t>Monod ratio saturation</t>
  </si>
  <si>
    <t>(s/x)/(s/x+k)</t>
  </si>
  <si>
    <t>MRinh(s;x;k)</t>
  </si>
  <si>
    <t>Monod ratio inhibition</t>
  </si>
  <si>
    <t>BellinhpH(var; Klo; Khi)</t>
  </si>
  <si>
    <t>Bell-shaped inhibition with check for pH availability</t>
  </si>
  <si>
    <t>Max(lolim;Min(hilim;var))</t>
  </si>
  <si>
    <t>Sign(x)</t>
  </si>
  <si>
    <t>Sign</t>
  </si>
  <si>
    <t>If(x&gt;0;1;If(x&lt;0;-1;0))</t>
  </si>
  <si>
    <t>this can be used in Excel from FuncEngine 1.5.2</t>
  </si>
  <si>
    <r>
      <t>Temperature dependent Henry coefficient for O</t>
    </r>
    <r>
      <rPr>
        <vertAlign val="subscript"/>
        <sz val="11"/>
        <rFont val="Calibri"/>
        <family val="2"/>
        <scheme val="minor"/>
      </rPr>
      <t>2</t>
    </r>
  </si>
  <si>
    <r>
      <t>Temperature dependent Henry coefficient for CO</t>
    </r>
    <r>
      <rPr>
        <vertAlign val="subscript"/>
        <sz val="11"/>
        <rFont val="Calibri"/>
        <family val="2"/>
        <scheme val="minor"/>
      </rPr>
      <t>2</t>
    </r>
  </si>
  <si>
    <t>Temperature dependent Henry coefficient for NO</t>
  </si>
  <si>
    <r>
      <t>Temperature dependent Henry coefficient for N</t>
    </r>
    <r>
      <rPr>
        <vertAlign val="subscript"/>
        <sz val="11"/>
        <rFont val="Calibri"/>
        <family val="2"/>
        <scheme val="minor"/>
      </rPr>
      <t>2</t>
    </r>
    <r>
      <rPr>
        <sz val="11"/>
        <rFont val="Calibri"/>
        <family val="2"/>
        <scheme val="minor"/>
      </rPr>
      <t>O</t>
    </r>
  </si>
  <si>
    <r>
      <t>Temperature dependent Henry coefficient for N</t>
    </r>
    <r>
      <rPr>
        <vertAlign val="subscript"/>
        <sz val="11"/>
        <rFont val="Calibri"/>
        <family val="2"/>
        <scheme val="minor"/>
      </rPr>
      <t>2</t>
    </r>
  </si>
  <si>
    <r>
      <t>Temperature dependent Henry coefficient for H</t>
    </r>
    <r>
      <rPr>
        <vertAlign val="subscript"/>
        <sz val="11"/>
        <rFont val="Calibri"/>
        <family val="2"/>
        <scheme val="minor"/>
      </rPr>
      <t>2</t>
    </r>
  </si>
  <si>
    <r>
      <t>Temperature dependent Henry coefficient for CH</t>
    </r>
    <r>
      <rPr>
        <vertAlign val="subscript"/>
        <sz val="11"/>
        <rFont val="Calibri"/>
        <family val="2"/>
        <scheme val="minor"/>
      </rPr>
      <t>4</t>
    </r>
  </si>
  <si>
    <t>Henry coefficients</t>
  </si>
  <si>
    <t>Low limit</t>
  </si>
  <si>
    <t>High limit</t>
  </si>
  <si>
    <r>
      <t>Henry coefficient for O</t>
    </r>
    <r>
      <rPr>
        <vertAlign val="subscript"/>
        <sz val="11"/>
        <rFont val="Calibri"/>
        <family val="2"/>
        <scheme val="minor"/>
      </rPr>
      <t xml:space="preserve">2 </t>
    </r>
    <r>
      <rPr>
        <sz val="11"/>
        <rFont val="Calibri"/>
        <family val="2"/>
        <scheme val="minor"/>
      </rPr>
      <t>@25°C</t>
    </r>
  </si>
  <si>
    <r>
      <t>mol.L</t>
    </r>
    <r>
      <rPr>
        <vertAlign val="superscript"/>
        <sz val="11"/>
        <rFont val="Calibri"/>
        <family val="2"/>
        <scheme val="minor"/>
      </rPr>
      <t>-1</t>
    </r>
    <r>
      <rPr>
        <sz val="11"/>
        <rFont val="Calibri"/>
        <family val="2"/>
        <scheme val="minor"/>
      </rPr>
      <t>.bar</t>
    </r>
    <r>
      <rPr>
        <vertAlign val="superscript"/>
        <sz val="11"/>
        <rFont val="Calibri"/>
        <family val="2"/>
        <scheme val="minor"/>
      </rPr>
      <t>-1</t>
    </r>
  </si>
  <si>
    <r>
      <t>Temperature dependency factor for O</t>
    </r>
    <r>
      <rPr>
        <vertAlign val="subscript"/>
        <sz val="11"/>
        <rFont val="Calibri"/>
        <family val="2"/>
        <scheme val="minor"/>
      </rPr>
      <t>2</t>
    </r>
    <r>
      <rPr>
        <sz val="11"/>
        <rFont val="Calibri"/>
        <family val="2"/>
        <scheme val="minor"/>
      </rPr>
      <t xml:space="preserve"> Henry coefficient</t>
    </r>
  </si>
  <si>
    <t>K</t>
  </si>
  <si>
    <r>
      <t>Henry coefficient for CO</t>
    </r>
    <r>
      <rPr>
        <vertAlign val="subscript"/>
        <sz val="11"/>
        <rFont val="Calibri"/>
        <family val="2"/>
        <scheme val="minor"/>
      </rPr>
      <t xml:space="preserve">2 </t>
    </r>
    <r>
      <rPr>
        <sz val="11"/>
        <rFont val="Calibri"/>
        <family val="2"/>
        <scheme val="minor"/>
      </rPr>
      <t>@25°C</t>
    </r>
  </si>
  <si>
    <r>
      <t>Temperature dependency factor for N</t>
    </r>
    <r>
      <rPr>
        <vertAlign val="subscript"/>
        <sz val="11"/>
        <rFont val="Calibri"/>
        <family val="2"/>
        <scheme val="minor"/>
      </rPr>
      <t>2</t>
    </r>
    <r>
      <rPr>
        <sz val="11"/>
        <rFont val="Calibri"/>
        <family val="2"/>
        <scheme val="minor"/>
      </rPr>
      <t>O Henry coefficient</t>
    </r>
  </si>
  <si>
    <t>Henry coefficient for NO @25°C</t>
  </si>
  <si>
    <t>Temperature dependency factor for NO Henry coefficient</t>
  </si>
  <si>
    <r>
      <t>Henry coefficient for N</t>
    </r>
    <r>
      <rPr>
        <vertAlign val="subscript"/>
        <sz val="11"/>
        <rFont val="Calibri"/>
        <family val="2"/>
        <scheme val="minor"/>
      </rPr>
      <t>2</t>
    </r>
    <r>
      <rPr>
        <sz val="11"/>
        <rFont val="Calibri"/>
        <family val="2"/>
        <scheme val="minor"/>
      </rPr>
      <t>O @25°C</t>
    </r>
  </si>
  <si>
    <r>
      <t>Henry coefficient for N</t>
    </r>
    <r>
      <rPr>
        <vertAlign val="subscript"/>
        <sz val="11"/>
        <rFont val="Calibri"/>
        <family val="2"/>
        <scheme val="minor"/>
      </rPr>
      <t xml:space="preserve">2 </t>
    </r>
    <r>
      <rPr>
        <sz val="11"/>
        <rFont val="Calibri"/>
        <family val="2"/>
        <scheme val="minor"/>
      </rPr>
      <t>@25°C</t>
    </r>
  </si>
  <si>
    <r>
      <t>Temperature dependency factor for N</t>
    </r>
    <r>
      <rPr>
        <vertAlign val="subscript"/>
        <sz val="11"/>
        <rFont val="Calibri"/>
        <family val="2"/>
        <scheme val="minor"/>
      </rPr>
      <t>2</t>
    </r>
    <r>
      <rPr>
        <sz val="11"/>
        <rFont val="Calibri"/>
        <family val="2"/>
        <scheme val="minor"/>
      </rPr>
      <t xml:space="preserve"> Henry coefficient</t>
    </r>
  </si>
  <si>
    <r>
      <t>Henry coefficient for H</t>
    </r>
    <r>
      <rPr>
        <vertAlign val="subscript"/>
        <sz val="11"/>
        <rFont val="Calibri"/>
        <family val="2"/>
        <scheme val="minor"/>
      </rPr>
      <t xml:space="preserve">2 </t>
    </r>
    <r>
      <rPr>
        <sz val="11"/>
        <rFont val="Calibri"/>
        <family val="2"/>
        <scheme val="minor"/>
      </rPr>
      <t>@25°C</t>
    </r>
  </si>
  <si>
    <r>
      <t>Temperature dependency factor for H</t>
    </r>
    <r>
      <rPr>
        <vertAlign val="subscript"/>
        <sz val="11"/>
        <rFont val="Calibri"/>
        <family val="2"/>
        <scheme val="minor"/>
      </rPr>
      <t>2</t>
    </r>
    <r>
      <rPr>
        <sz val="11"/>
        <rFont val="Calibri"/>
        <family val="2"/>
        <scheme val="minor"/>
      </rPr>
      <t xml:space="preserve"> Henry coefficient</t>
    </r>
  </si>
  <si>
    <r>
      <t>Henry coefficient for CH</t>
    </r>
    <r>
      <rPr>
        <vertAlign val="subscript"/>
        <sz val="11"/>
        <rFont val="Calibri"/>
        <family val="2"/>
        <scheme val="minor"/>
      </rPr>
      <t xml:space="preserve">4 </t>
    </r>
    <r>
      <rPr>
        <sz val="11"/>
        <rFont val="Calibri"/>
        <family val="2"/>
        <scheme val="minor"/>
      </rPr>
      <t>@25°C</t>
    </r>
  </si>
  <si>
    <r>
      <t>Temperature dependency factor for CH</t>
    </r>
    <r>
      <rPr>
        <vertAlign val="subscript"/>
        <sz val="11"/>
        <rFont val="Calibri"/>
        <family val="2"/>
        <scheme val="minor"/>
      </rPr>
      <t>4</t>
    </r>
    <r>
      <rPr>
        <sz val="11"/>
        <rFont val="Calibri"/>
        <family val="2"/>
        <scheme val="minor"/>
      </rPr>
      <t xml:space="preserve"> Henry coefficient</t>
    </r>
  </si>
  <si>
    <t>Diffusion coefficient of oxygen in water</t>
  </si>
  <si>
    <r>
      <t>m</t>
    </r>
    <r>
      <rPr>
        <vertAlign val="superscript"/>
        <sz val="11"/>
        <rFont val="Calibri"/>
        <family val="2"/>
        <scheme val="minor"/>
      </rPr>
      <t>2</t>
    </r>
    <r>
      <rPr>
        <sz val="11"/>
        <rFont val="Calibri"/>
        <family val="2"/>
        <scheme val="minor"/>
      </rPr>
      <t>.d</t>
    </r>
    <r>
      <rPr>
        <vertAlign val="superscript"/>
        <sz val="11"/>
        <rFont val="Calibri"/>
        <family val="2"/>
        <scheme val="minor"/>
      </rPr>
      <t>-1</t>
    </r>
  </si>
  <si>
    <t>Diffusion coefficient of nitrogen in water</t>
  </si>
  <si>
    <t>Diffusion coefficient of carbon dioxide in water</t>
  </si>
  <si>
    <t>Diffusion coefficient of hydrogen in water @ 25°C</t>
  </si>
  <si>
    <r>
      <t>m</t>
    </r>
    <r>
      <rPr>
        <vertAlign val="superscript"/>
        <sz val="11"/>
        <rFont val="Calibri"/>
        <family val="2"/>
      </rPr>
      <t>2</t>
    </r>
    <r>
      <rPr>
        <sz val="11"/>
        <rFont val="Calibri"/>
        <family val="2"/>
      </rPr>
      <t>.d</t>
    </r>
    <r>
      <rPr>
        <vertAlign val="superscript"/>
        <sz val="11"/>
        <rFont val="Calibri"/>
        <family val="2"/>
      </rPr>
      <t>-1</t>
    </r>
  </si>
  <si>
    <t>Diffusion coefficient of methane in water @ 25°C</t>
  </si>
  <si>
    <t>Diffusion coefficient of NO in water @ 25°C</t>
  </si>
  <si>
    <t>Physical constants - water</t>
  </si>
  <si>
    <r>
      <t>A</t>
    </r>
    <r>
      <rPr>
        <vertAlign val="subscript"/>
        <sz val="11"/>
        <rFont val="Calibri"/>
        <family val="2"/>
        <scheme val="minor"/>
      </rPr>
      <t>H2O</t>
    </r>
  </si>
  <si>
    <t>Antoine constant 'A'</t>
  </si>
  <si>
    <r>
      <t>B</t>
    </r>
    <r>
      <rPr>
        <vertAlign val="subscript"/>
        <sz val="11"/>
        <rFont val="Calibri"/>
        <family val="2"/>
        <scheme val="minor"/>
      </rPr>
      <t>H2O</t>
    </r>
  </si>
  <si>
    <t>Antoine constant 'B'</t>
  </si>
  <si>
    <r>
      <t>C</t>
    </r>
    <r>
      <rPr>
        <vertAlign val="subscript"/>
        <sz val="11"/>
        <rFont val="Calibri"/>
        <family val="2"/>
        <scheme val="minor"/>
      </rPr>
      <t>H2O</t>
    </r>
  </si>
  <si>
    <t>Antoine constant 'C'</t>
  </si>
  <si>
    <r>
      <rPr>
        <sz val="11"/>
        <rFont val="Calibri"/>
        <family val="2"/>
      </rPr>
      <t>ρ</t>
    </r>
    <r>
      <rPr>
        <vertAlign val="subscript"/>
        <sz val="11"/>
        <rFont val="Calibri"/>
        <family val="2"/>
        <scheme val="minor"/>
      </rPr>
      <t>H2O</t>
    </r>
  </si>
  <si>
    <r>
      <t>g.m</t>
    </r>
    <r>
      <rPr>
        <vertAlign val="superscript"/>
        <sz val="11"/>
        <rFont val="Calibri"/>
        <family val="2"/>
        <scheme val="minor"/>
      </rPr>
      <t>-3</t>
    </r>
  </si>
  <si>
    <t>Physical constants - air</t>
  </si>
  <si>
    <r>
      <t>f</t>
    </r>
    <r>
      <rPr>
        <vertAlign val="subscript"/>
        <sz val="11"/>
        <rFont val="Calibri"/>
        <family val="2"/>
      </rPr>
      <t>O2,air</t>
    </r>
  </si>
  <si>
    <t>Oxygen content of air</t>
  </si>
  <si>
    <r>
      <t>m</t>
    </r>
    <r>
      <rPr>
        <vertAlign val="superscript"/>
        <sz val="11"/>
        <rFont val="Calibri"/>
        <family val="2"/>
      </rPr>
      <t>3</t>
    </r>
    <r>
      <rPr>
        <sz val="11"/>
        <rFont val="Calibri"/>
        <family val="2"/>
      </rPr>
      <t>.m</t>
    </r>
    <r>
      <rPr>
        <vertAlign val="superscript"/>
        <sz val="11"/>
        <rFont val="Calibri"/>
        <family val="2"/>
      </rPr>
      <t>-3</t>
    </r>
  </si>
  <si>
    <r>
      <t>f</t>
    </r>
    <r>
      <rPr>
        <vertAlign val="subscript"/>
        <sz val="11"/>
        <rFont val="Calibri"/>
        <family val="2"/>
      </rPr>
      <t>N2,air</t>
    </r>
  </si>
  <si>
    <t>Nitrogen content of air</t>
  </si>
  <si>
    <r>
      <t>f</t>
    </r>
    <r>
      <rPr>
        <vertAlign val="subscript"/>
        <sz val="11"/>
        <rFont val="Calibri"/>
        <family val="2"/>
      </rPr>
      <t>Ar,air</t>
    </r>
  </si>
  <si>
    <t>Argon content of air</t>
  </si>
  <si>
    <r>
      <t>f</t>
    </r>
    <r>
      <rPr>
        <vertAlign val="subscript"/>
        <sz val="11"/>
        <rFont val="Calibri"/>
        <family val="2"/>
      </rPr>
      <t>CO2,air</t>
    </r>
  </si>
  <si>
    <t>Carbon dioxide content of air</t>
  </si>
  <si>
    <r>
      <t>p</t>
    </r>
    <r>
      <rPr>
        <vertAlign val="subscript"/>
        <sz val="11"/>
        <rFont val="Calibri"/>
        <family val="2"/>
      </rPr>
      <t>St</t>
    </r>
  </si>
  <si>
    <t>Standard barometric pressure</t>
  </si>
  <si>
    <t>Pa</t>
  </si>
  <si>
    <t>Physical constants</t>
  </si>
  <si>
    <t>R</t>
  </si>
  <si>
    <t>Ideal gas constant</t>
  </si>
  <si>
    <r>
      <t>J.mol</t>
    </r>
    <r>
      <rPr>
        <vertAlign val="superscript"/>
        <sz val="11"/>
        <rFont val="Calibri"/>
        <family val="2"/>
        <scheme val="minor"/>
      </rPr>
      <t>-1</t>
    </r>
    <r>
      <rPr>
        <sz val="11"/>
        <rFont val="Calibri"/>
        <family val="2"/>
        <scheme val="minor"/>
      </rPr>
      <t>.K</t>
    </r>
    <r>
      <rPr>
        <vertAlign val="superscript"/>
        <sz val="11"/>
        <rFont val="Calibri"/>
        <family val="2"/>
        <scheme val="minor"/>
      </rPr>
      <t>-1</t>
    </r>
  </si>
  <si>
    <t>F</t>
  </si>
  <si>
    <t>Faraday constant</t>
  </si>
  <si>
    <r>
      <t>C.mol</t>
    </r>
    <r>
      <rPr>
        <vertAlign val="superscript"/>
        <sz val="11"/>
        <rFont val="Calibri"/>
        <family val="2"/>
        <scheme val="minor"/>
      </rPr>
      <t>-1</t>
    </r>
  </si>
  <si>
    <r>
      <t>g</t>
    </r>
    <r>
      <rPr>
        <vertAlign val="subscript"/>
        <sz val="11"/>
        <rFont val="Calibri"/>
        <family val="2"/>
        <scheme val="minor"/>
      </rPr>
      <t>grav</t>
    </r>
  </si>
  <si>
    <t>Gravity acceleration constant</t>
  </si>
  <si>
    <r>
      <t>m.s</t>
    </r>
    <r>
      <rPr>
        <vertAlign val="superscript"/>
        <sz val="11"/>
        <rFont val="Calibri"/>
        <family val="2"/>
        <scheme val="minor"/>
      </rPr>
      <t>-2</t>
    </r>
  </si>
  <si>
    <t>Mathematical constants</t>
  </si>
  <si>
    <t>pi</t>
  </si>
  <si>
    <t>Pi number</t>
  </si>
  <si>
    <t>Atomic masses</t>
  </si>
  <si>
    <r>
      <t>AM</t>
    </r>
    <r>
      <rPr>
        <vertAlign val="subscript"/>
        <sz val="11"/>
        <rFont val="Calibri"/>
        <family val="2"/>
        <scheme val="minor"/>
      </rPr>
      <t>H</t>
    </r>
  </si>
  <si>
    <t>Atomic mass of hydrogen</t>
  </si>
  <si>
    <r>
      <t>g.mol</t>
    </r>
    <r>
      <rPr>
        <vertAlign val="superscript"/>
        <sz val="11"/>
        <rFont val="Calibri"/>
        <family val="2"/>
        <scheme val="minor"/>
      </rPr>
      <t>-1</t>
    </r>
  </si>
  <si>
    <r>
      <t>AM</t>
    </r>
    <r>
      <rPr>
        <vertAlign val="subscript"/>
        <sz val="11"/>
        <rFont val="Calibri"/>
        <family val="2"/>
        <scheme val="minor"/>
      </rPr>
      <t>He</t>
    </r>
  </si>
  <si>
    <t>Atomic mass of helium</t>
  </si>
  <si>
    <r>
      <t>AM</t>
    </r>
    <r>
      <rPr>
        <vertAlign val="subscript"/>
        <sz val="11"/>
        <rFont val="Calibri"/>
        <family val="2"/>
        <scheme val="minor"/>
      </rPr>
      <t>Li</t>
    </r>
  </si>
  <si>
    <t>Atomic mass of lithium</t>
  </si>
  <si>
    <r>
      <t>AM</t>
    </r>
    <r>
      <rPr>
        <vertAlign val="subscript"/>
        <sz val="11"/>
        <rFont val="Calibri"/>
        <family val="2"/>
        <scheme val="minor"/>
      </rPr>
      <t>Be</t>
    </r>
  </si>
  <si>
    <t>Atomic mass of beryllium</t>
  </si>
  <si>
    <r>
      <t>AM</t>
    </r>
    <r>
      <rPr>
        <vertAlign val="subscript"/>
        <sz val="11"/>
        <rFont val="Calibri"/>
        <family val="2"/>
        <scheme val="minor"/>
      </rPr>
      <t>B</t>
    </r>
  </si>
  <si>
    <t>Atomic mass of boron</t>
  </si>
  <si>
    <r>
      <t>AM</t>
    </r>
    <r>
      <rPr>
        <vertAlign val="subscript"/>
        <sz val="11"/>
        <rFont val="Calibri"/>
        <family val="2"/>
        <scheme val="minor"/>
      </rPr>
      <t>C</t>
    </r>
  </si>
  <si>
    <t>Atomic mass of carbon</t>
  </si>
  <si>
    <r>
      <t>AM</t>
    </r>
    <r>
      <rPr>
        <vertAlign val="subscript"/>
        <sz val="11"/>
        <rFont val="Calibri"/>
        <family val="2"/>
        <scheme val="minor"/>
      </rPr>
      <t>N</t>
    </r>
  </si>
  <si>
    <t>Atomic mass of nitrogen</t>
  </si>
  <si>
    <r>
      <t>AM</t>
    </r>
    <r>
      <rPr>
        <vertAlign val="subscript"/>
        <sz val="11"/>
        <rFont val="Calibri"/>
        <family val="2"/>
        <scheme val="minor"/>
      </rPr>
      <t>O</t>
    </r>
  </si>
  <si>
    <t>Atomic mass of oxygen</t>
  </si>
  <si>
    <r>
      <t>AM</t>
    </r>
    <r>
      <rPr>
        <vertAlign val="subscript"/>
        <sz val="11"/>
        <rFont val="Calibri"/>
        <family val="2"/>
        <scheme val="minor"/>
      </rPr>
      <t>F</t>
    </r>
  </si>
  <si>
    <t>Atomic mass of fluorine</t>
  </si>
  <si>
    <r>
      <t>AM</t>
    </r>
    <r>
      <rPr>
        <vertAlign val="subscript"/>
        <sz val="11"/>
        <rFont val="Calibri"/>
        <family val="2"/>
        <scheme val="minor"/>
      </rPr>
      <t>Ne</t>
    </r>
  </si>
  <si>
    <t>Atomic mass of neon</t>
  </si>
  <si>
    <r>
      <t>AM</t>
    </r>
    <r>
      <rPr>
        <vertAlign val="subscript"/>
        <sz val="11"/>
        <rFont val="Calibri"/>
        <family val="2"/>
        <scheme val="minor"/>
      </rPr>
      <t>Na</t>
    </r>
  </si>
  <si>
    <t>Atomic mass of sodium</t>
  </si>
  <si>
    <r>
      <t>AM</t>
    </r>
    <r>
      <rPr>
        <vertAlign val="subscript"/>
        <sz val="11"/>
        <rFont val="Calibri"/>
        <family val="2"/>
        <scheme val="minor"/>
      </rPr>
      <t>Mg</t>
    </r>
  </si>
  <si>
    <t>Atomic mass of magnesium</t>
  </si>
  <si>
    <r>
      <t>AM</t>
    </r>
    <r>
      <rPr>
        <vertAlign val="subscript"/>
        <sz val="11"/>
        <rFont val="Calibri"/>
        <family val="2"/>
        <scheme val="minor"/>
      </rPr>
      <t>Al</t>
    </r>
  </si>
  <si>
    <t>Atomic mass of aluminium</t>
  </si>
  <si>
    <r>
      <t>AM</t>
    </r>
    <r>
      <rPr>
        <vertAlign val="subscript"/>
        <sz val="11"/>
        <rFont val="Calibri"/>
        <family val="2"/>
        <scheme val="minor"/>
      </rPr>
      <t>Si</t>
    </r>
  </si>
  <si>
    <t>Atomic mass of silicon</t>
  </si>
  <si>
    <r>
      <t>AM</t>
    </r>
    <r>
      <rPr>
        <vertAlign val="subscript"/>
        <sz val="11"/>
        <rFont val="Calibri"/>
        <family val="2"/>
        <scheme val="minor"/>
      </rPr>
      <t>P</t>
    </r>
  </si>
  <si>
    <t>Atomic mass of phosphorus</t>
  </si>
  <si>
    <r>
      <t>AM</t>
    </r>
    <r>
      <rPr>
        <vertAlign val="subscript"/>
        <sz val="11"/>
        <rFont val="Calibri"/>
        <family val="2"/>
        <scheme val="minor"/>
      </rPr>
      <t>S</t>
    </r>
  </si>
  <si>
    <t>Atomic mass of sulphur</t>
  </si>
  <si>
    <r>
      <t>AM</t>
    </r>
    <r>
      <rPr>
        <vertAlign val="subscript"/>
        <sz val="11"/>
        <rFont val="Calibri"/>
        <family val="2"/>
        <scheme val="minor"/>
      </rPr>
      <t>Cl</t>
    </r>
  </si>
  <si>
    <t>Atomic mass of chlorine</t>
  </si>
  <si>
    <r>
      <t>AM</t>
    </r>
    <r>
      <rPr>
        <vertAlign val="subscript"/>
        <sz val="11"/>
        <rFont val="Calibri"/>
        <family val="2"/>
        <scheme val="minor"/>
      </rPr>
      <t>Ar</t>
    </r>
  </si>
  <si>
    <t>Atomic mass of argon</t>
  </si>
  <si>
    <r>
      <t>AM</t>
    </r>
    <r>
      <rPr>
        <vertAlign val="subscript"/>
        <sz val="11"/>
        <rFont val="Calibri"/>
        <family val="2"/>
        <scheme val="minor"/>
      </rPr>
      <t>K</t>
    </r>
  </si>
  <si>
    <t>Atomic mass of potassium</t>
  </si>
  <si>
    <r>
      <t>AM</t>
    </r>
    <r>
      <rPr>
        <vertAlign val="subscript"/>
        <sz val="11"/>
        <rFont val="Calibri"/>
        <family val="2"/>
        <scheme val="minor"/>
      </rPr>
      <t>Ca</t>
    </r>
  </si>
  <si>
    <t>Atomic mass of calcium</t>
  </si>
  <si>
    <r>
      <t>AM</t>
    </r>
    <r>
      <rPr>
        <vertAlign val="subscript"/>
        <sz val="11"/>
        <rFont val="Calibri"/>
        <family val="2"/>
        <scheme val="minor"/>
      </rPr>
      <t>Sc</t>
    </r>
  </si>
  <si>
    <t>Atomic mass of scandium</t>
  </si>
  <si>
    <r>
      <t>AM</t>
    </r>
    <r>
      <rPr>
        <vertAlign val="subscript"/>
        <sz val="11"/>
        <rFont val="Calibri"/>
        <family val="2"/>
        <scheme val="minor"/>
      </rPr>
      <t>Ti</t>
    </r>
  </si>
  <si>
    <t>Atomic mass of titanium</t>
  </si>
  <si>
    <r>
      <t>AM</t>
    </r>
    <r>
      <rPr>
        <vertAlign val="subscript"/>
        <sz val="11"/>
        <rFont val="Calibri"/>
        <family val="2"/>
        <scheme val="minor"/>
      </rPr>
      <t>V</t>
    </r>
  </si>
  <si>
    <t>Atomic mass of vanadium</t>
  </si>
  <si>
    <r>
      <t>AM</t>
    </r>
    <r>
      <rPr>
        <vertAlign val="subscript"/>
        <sz val="11"/>
        <rFont val="Calibri"/>
        <family val="2"/>
        <scheme val="minor"/>
      </rPr>
      <t>Cr</t>
    </r>
  </si>
  <si>
    <t>Atomic mass of chromium</t>
  </si>
  <si>
    <r>
      <t>AM</t>
    </r>
    <r>
      <rPr>
        <vertAlign val="subscript"/>
        <sz val="11"/>
        <rFont val="Calibri"/>
        <family val="2"/>
        <scheme val="minor"/>
      </rPr>
      <t>Mn</t>
    </r>
  </si>
  <si>
    <t>Atomic mass of manganese</t>
  </si>
  <si>
    <r>
      <rPr>
        <sz val="11"/>
        <rFont val="Calibri"/>
        <family val="2"/>
        <scheme val="minor"/>
      </rPr>
      <t>AM</t>
    </r>
    <r>
      <rPr>
        <vertAlign val="subscript"/>
        <sz val="11"/>
        <rFont val="Calibri"/>
        <family val="2"/>
        <scheme val="minor"/>
      </rPr>
      <t>Fe</t>
    </r>
  </si>
  <si>
    <t>Atomic mass of iron</t>
  </si>
  <si>
    <r>
      <t>AM</t>
    </r>
    <r>
      <rPr>
        <vertAlign val="subscript"/>
        <sz val="11"/>
        <rFont val="Calibri"/>
        <family val="2"/>
        <scheme val="minor"/>
      </rPr>
      <t>Co</t>
    </r>
  </si>
  <si>
    <t>Atomic mass of cobalt</t>
  </si>
  <si>
    <r>
      <t>AM</t>
    </r>
    <r>
      <rPr>
        <vertAlign val="subscript"/>
        <sz val="11"/>
        <rFont val="Calibri"/>
        <family val="2"/>
        <scheme val="minor"/>
      </rPr>
      <t>Ni</t>
    </r>
  </si>
  <si>
    <t>Atomic mass of nickel</t>
  </si>
  <si>
    <r>
      <t>AM</t>
    </r>
    <r>
      <rPr>
        <vertAlign val="subscript"/>
        <sz val="11"/>
        <rFont val="Calibri"/>
        <family val="2"/>
        <scheme val="minor"/>
      </rPr>
      <t>Cu</t>
    </r>
  </si>
  <si>
    <t>Atomic mass of copper</t>
  </si>
  <si>
    <r>
      <t>AM</t>
    </r>
    <r>
      <rPr>
        <vertAlign val="subscript"/>
        <sz val="11"/>
        <rFont val="Calibri"/>
        <family val="2"/>
        <scheme val="minor"/>
      </rPr>
      <t>Zn</t>
    </r>
  </si>
  <si>
    <t>Atomic mass of zinc</t>
  </si>
  <si>
    <r>
      <t>AM</t>
    </r>
    <r>
      <rPr>
        <vertAlign val="subscript"/>
        <sz val="11"/>
        <rFont val="Calibri"/>
        <family val="2"/>
        <scheme val="minor"/>
      </rPr>
      <t>Ga</t>
    </r>
  </si>
  <si>
    <t>Atomic mass of gallium</t>
  </si>
  <si>
    <r>
      <t>AM</t>
    </r>
    <r>
      <rPr>
        <vertAlign val="subscript"/>
        <sz val="11"/>
        <rFont val="Calibri"/>
        <family val="2"/>
        <scheme val="minor"/>
      </rPr>
      <t>Ge</t>
    </r>
  </si>
  <si>
    <t>Atomic mass of germanium</t>
  </si>
  <si>
    <r>
      <t>AM</t>
    </r>
    <r>
      <rPr>
        <vertAlign val="subscript"/>
        <sz val="11"/>
        <rFont val="Calibri"/>
        <family val="2"/>
        <scheme val="minor"/>
      </rPr>
      <t>As</t>
    </r>
  </si>
  <si>
    <t>Atomic mass of arsenic</t>
  </si>
  <si>
    <r>
      <t>AM</t>
    </r>
    <r>
      <rPr>
        <vertAlign val="subscript"/>
        <sz val="11"/>
        <rFont val="Calibri"/>
        <family val="2"/>
        <scheme val="minor"/>
      </rPr>
      <t>Se</t>
    </r>
  </si>
  <si>
    <t>Atomic mass of selenium</t>
  </si>
  <si>
    <r>
      <t>AM</t>
    </r>
    <r>
      <rPr>
        <vertAlign val="subscript"/>
        <sz val="11"/>
        <rFont val="Calibri"/>
        <family val="2"/>
        <scheme val="minor"/>
      </rPr>
      <t>Br</t>
    </r>
  </si>
  <si>
    <t>Atomic mass of bromine</t>
  </si>
  <si>
    <r>
      <t>AM</t>
    </r>
    <r>
      <rPr>
        <vertAlign val="subscript"/>
        <sz val="11"/>
        <rFont val="Calibri"/>
        <family val="2"/>
        <scheme val="minor"/>
      </rPr>
      <t>Kr</t>
    </r>
  </si>
  <si>
    <t>Atomic mass of krypton</t>
  </si>
  <si>
    <r>
      <t>AM</t>
    </r>
    <r>
      <rPr>
        <vertAlign val="subscript"/>
        <sz val="11"/>
        <rFont val="Calibri"/>
        <family val="2"/>
        <scheme val="minor"/>
      </rPr>
      <t>Rb</t>
    </r>
  </si>
  <si>
    <t>Atomic mass of rubidium</t>
  </si>
  <si>
    <r>
      <t>AM</t>
    </r>
    <r>
      <rPr>
        <vertAlign val="subscript"/>
        <sz val="11"/>
        <rFont val="Calibri"/>
        <family val="2"/>
        <scheme val="minor"/>
      </rPr>
      <t>Sr</t>
    </r>
  </si>
  <si>
    <t>Atomic mass of strontium</t>
  </si>
  <si>
    <r>
      <t>AM</t>
    </r>
    <r>
      <rPr>
        <vertAlign val="subscript"/>
        <sz val="11"/>
        <rFont val="Calibri"/>
        <family val="2"/>
        <scheme val="minor"/>
      </rPr>
      <t>Y</t>
    </r>
  </si>
  <si>
    <t>Atomic mass of yttrium</t>
  </si>
  <si>
    <r>
      <t>AM</t>
    </r>
    <r>
      <rPr>
        <vertAlign val="subscript"/>
        <sz val="11"/>
        <rFont val="Calibri"/>
        <family val="2"/>
        <scheme val="minor"/>
      </rPr>
      <t>Zr</t>
    </r>
  </si>
  <si>
    <t>Atomic mass of zirconium</t>
  </si>
  <si>
    <r>
      <t>AM</t>
    </r>
    <r>
      <rPr>
        <vertAlign val="subscript"/>
        <sz val="11"/>
        <rFont val="Calibri"/>
        <family val="2"/>
        <scheme val="minor"/>
      </rPr>
      <t>Nb</t>
    </r>
  </si>
  <si>
    <t>Atomic mass of niobium</t>
  </si>
  <si>
    <r>
      <t>AM</t>
    </r>
    <r>
      <rPr>
        <vertAlign val="subscript"/>
        <sz val="11"/>
        <rFont val="Calibri"/>
        <family val="2"/>
        <scheme val="minor"/>
      </rPr>
      <t>Mo</t>
    </r>
  </si>
  <si>
    <t>Atomic mass of molybdenum</t>
  </si>
  <si>
    <r>
      <t>AM</t>
    </r>
    <r>
      <rPr>
        <vertAlign val="subscript"/>
        <sz val="11"/>
        <rFont val="Calibri"/>
        <family val="2"/>
        <scheme val="minor"/>
      </rPr>
      <t>Tc</t>
    </r>
  </si>
  <si>
    <t>Atomic mass of technetium</t>
  </si>
  <si>
    <r>
      <t>AM</t>
    </r>
    <r>
      <rPr>
        <vertAlign val="subscript"/>
        <sz val="11"/>
        <rFont val="Calibri"/>
        <family val="2"/>
        <scheme val="minor"/>
      </rPr>
      <t>Ru</t>
    </r>
  </si>
  <si>
    <t>Atomic mass of ruthenium</t>
  </si>
  <si>
    <r>
      <t>AM</t>
    </r>
    <r>
      <rPr>
        <vertAlign val="subscript"/>
        <sz val="11"/>
        <rFont val="Calibri"/>
        <family val="2"/>
        <scheme val="minor"/>
      </rPr>
      <t>Rh</t>
    </r>
  </si>
  <si>
    <t>Atomic mass of rhodium</t>
  </si>
  <si>
    <r>
      <t>AM</t>
    </r>
    <r>
      <rPr>
        <vertAlign val="subscript"/>
        <sz val="11"/>
        <rFont val="Calibri"/>
        <family val="2"/>
        <scheme val="minor"/>
      </rPr>
      <t>Pd</t>
    </r>
  </si>
  <si>
    <t>Atomic mass of palladium</t>
  </si>
  <si>
    <r>
      <t>AM</t>
    </r>
    <r>
      <rPr>
        <vertAlign val="subscript"/>
        <sz val="11"/>
        <rFont val="Calibri"/>
        <family val="2"/>
        <scheme val="minor"/>
      </rPr>
      <t>Ag</t>
    </r>
  </si>
  <si>
    <t>Atomic mass of silver</t>
  </si>
  <si>
    <r>
      <t>AM</t>
    </r>
    <r>
      <rPr>
        <vertAlign val="subscript"/>
        <sz val="11"/>
        <rFont val="Calibri"/>
        <family val="2"/>
        <scheme val="minor"/>
      </rPr>
      <t>Cd</t>
    </r>
  </si>
  <si>
    <t>Atomic mass of cadmium</t>
  </si>
  <si>
    <r>
      <t>AM</t>
    </r>
    <r>
      <rPr>
        <vertAlign val="subscript"/>
        <sz val="11"/>
        <rFont val="Calibri"/>
        <family val="2"/>
        <scheme val="minor"/>
      </rPr>
      <t>In</t>
    </r>
  </si>
  <si>
    <t>Atomic mass of indium</t>
  </si>
  <si>
    <r>
      <t>AM</t>
    </r>
    <r>
      <rPr>
        <vertAlign val="subscript"/>
        <sz val="11"/>
        <rFont val="Calibri"/>
        <family val="2"/>
        <scheme val="minor"/>
      </rPr>
      <t>Sn</t>
    </r>
  </si>
  <si>
    <t>Atomic mass of tin</t>
  </si>
  <si>
    <r>
      <t>AM</t>
    </r>
    <r>
      <rPr>
        <vertAlign val="subscript"/>
        <sz val="11"/>
        <rFont val="Calibri"/>
        <family val="2"/>
        <scheme val="minor"/>
      </rPr>
      <t>Sb</t>
    </r>
  </si>
  <si>
    <t>Atomic mass of antimony</t>
  </si>
  <si>
    <r>
      <t>AM</t>
    </r>
    <r>
      <rPr>
        <vertAlign val="subscript"/>
        <sz val="11"/>
        <rFont val="Calibri"/>
        <family val="2"/>
        <scheme val="minor"/>
      </rPr>
      <t>Te</t>
    </r>
  </si>
  <si>
    <t>Atomic mass of tellurium</t>
  </si>
  <si>
    <r>
      <t>AM</t>
    </r>
    <r>
      <rPr>
        <vertAlign val="subscript"/>
        <sz val="11"/>
        <rFont val="Calibri"/>
        <family val="2"/>
        <scheme val="minor"/>
      </rPr>
      <t>I</t>
    </r>
  </si>
  <si>
    <t>Atomic mass of iodine</t>
  </si>
  <si>
    <r>
      <t>AM</t>
    </r>
    <r>
      <rPr>
        <vertAlign val="subscript"/>
        <sz val="11"/>
        <rFont val="Calibri"/>
        <family val="2"/>
        <scheme val="minor"/>
      </rPr>
      <t>Xe</t>
    </r>
  </si>
  <si>
    <t>Atomic mass of xenon</t>
  </si>
  <si>
    <r>
      <t>AM</t>
    </r>
    <r>
      <rPr>
        <vertAlign val="subscript"/>
        <sz val="11"/>
        <rFont val="Calibri"/>
        <family val="2"/>
        <scheme val="minor"/>
      </rPr>
      <t>Cs</t>
    </r>
  </si>
  <si>
    <t>Atomic mass of cesium</t>
  </si>
  <si>
    <r>
      <t>AM</t>
    </r>
    <r>
      <rPr>
        <vertAlign val="subscript"/>
        <sz val="11"/>
        <rFont val="Calibri"/>
        <family val="2"/>
        <scheme val="minor"/>
      </rPr>
      <t>Ba</t>
    </r>
  </si>
  <si>
    <t>Atomic mass of barium</t>
  </si>
  <si>
    <r>
      <t>AM</t>
    </r>
    <r>
      <rPr>
        <vertAlign val="subscript"/>
        <sz val="11"/>
        <rFont val="Calibri"/>
        <family val="2"/>
        <scheme val="minor"/>
      </rPr>
      <t>La</t>
    </r>
  </si>
  <si>
    <t>Atomic mass of lanthanum</t>
  </si>
  <si>
    <r>
      <t>AM</t>
    </r>
    <r>
      <rPr>
        <vertAlign val="subscript"/>
        <sz val="11"/>
        <rFont val="Calibri"/>
        <family val="2"/>
        <scheme val="minor"/>
      </rPr>
      <t>Ce</t>
    </r>
  </si>
  <si>
    <t>Atomic mass of cerium</t>
  </si>
  <si>
    <r>
      <t>AM</t>
    </r>
    <r>
      <rPr>
        <vertAlign val="subscript"/>
        <sz val="11"/>
        <rFont val="Calibri"/>
        <family val="2"/>
        <scheme val="minor"/>
      </rPr>
      <t>Pr</t>
    </r>
  </si>
  <si>
    <t>Atomic mass of praseodymium</t>
  </si>
  <si>
    <r>
      <t>AM</t>
    </r>
    <r>
      <rPr>
        <vertAlign val="subscript"/>
        <sz val="11"/>
        <rFont val="Calibri"/>
        <family val="2"/>
        <scheme val="minor"/>
      </rPr>
      <t>Nd</t>
    </r>
  </si>
  <si>
    <t>Atomic mass of neodymium</t>
  </si>
  <si>
    <r>
      <t>AM</t>
    </r>
    <r>
      <rPr>
        <vertAlign val="subscript"/>
        <sz val="11"/>
        <rFont val="Calibri"/>
        <family val="2"/>
        <scheme val="minor"/>
      </rPr>
      <t>Pm</t>
    </r>
  </si>
  <si>
    <t>Atomic mass of promethium</t>
  </si>
  <si>
    <r>
      <t>AM</t>
    </r>
    <r>
      <rPr>
        <vertAlign val="subscript"/>
        <sz val="11"/>
        <rFont val="Calibri"/>
        <family val="2"/>
        <scheme val="minor"/>
      </rPr>
      <t>Sm</t>
    </r>
  </si>
  <si>
    <t>Atomic mass of samarium</t>
  </si>
  <si>
    <r>
      <t>AM</t>
    </r>
    <r>
      <rPr>
        <vertAlign val="subscript"/>
        <sz val="11"/>
        <rFont val="Calibri"/>
        <family val="2"/>
        <scheme val="minor"/>
      </rPr>
      <t>Eu</t>
    </r>
  </si>
  <si>
    <t>Atomic mass of europium</t>
  </si>
  <si>
    <r>
      <t>AM</t>
    </r>
    <r>
      <rPr>
        <vertAlign val="subscript"/>
        <sz val="11"/>
        <rFont val="Calibri"/>
        <family val="2"/>
        <scheme val="minor"/>
      </rPr>
      <t>Gd</t>
    </r>
  </si>
  <si>
    <t>Atomic mass of gadolinium</t>
  </si>
  <si>
    <r>
      <t>AM</t>
    </r>
    <r>
      <rPr>
        <vertAlign val="subscript"/>
        <sz val="11"/>
        <rFont val="Calibri"/>
        <family val="2"/>
        <scheme val="minor"/>
      </rPr>
      <t>Tb</t>
    </r>
  </si>
  <si>
    <t>Atomic mass of terbium</t>
  </si>
  <si>
    <r>
      <t>AM</t>
    </r>
    <r>
      <rPr>
        <vertAlign val="subscript"/>
        <sz val="11"/>
        <rFont val="Calibri"/>
        <family val="2"/>
        <scheme val="minor"/>
      </rPr>
      <t>Dy</t>
    </r>
  </si>
  <si>
    <t>Atomic mass of dysprosium</t>
  </si>
  <si>
    <r>
      <t>AM</t>
    </r>
    <r>
      <rPr>
        <vertAlign val="subscript"/>
        <sz val="11"/>
        <rFont val="Calibri"/>
        <family val="2"/>
        <scheme val="minor"/>
      </rPr>
      <t>Ho</t>
    </r>
  </si>
  <si>
    <t>Atomic mass of holmium</t>
  </si>
  <si>
    <r>
      <t>AM</t>
    </r>
    <r>
      <rPr>
        <vertAlign val="subscript"/>
        <sz val="11"/>
        <rFont val="Calibri"/>
        <family val="2"/>
        <scheme val="minor"/>
      </rPr>
      <t>Er</t>
    </r>
  </si>
  <si>
    <t>Atomic mass of erbium</t>
  </si>
  <si>
    <r>
      <t>AM</t>
    </r>
    <r>
      <rPr>
        <vertAlign val="subscript"/>
        <sz val="11"/>
        <rFont val="Calibri"/>
        <family val="2"/>
        <scheme val="minor"/>
      </rPr>
      <t>Tm</t>
    </r>
  </si>
  <si>
    <t>Atomic mass of thulium</t>
  </si>
  <si>
    <r>
      <t>AM</t>
    </r>
    <r>
      <rPr>
        <vertAlign val="subscript"/>
        <sz val="11"/>
        <rFont val="Calibri"/>
        <family val="2"/>
        <scheme val="minor"/>
      </rPr>
      <t>Yb</t>
    </r>
  </si>
  <si>
    <t>Atomic mass of ytterbium</t>
  </si>
  <si>
    <r>
      <t>AM</t>
    </r>
    <r>
      <rPr>
        <vertAlign val="subscript"/>
        <sz val="11"/>
        <rFont val="Calibri"/>
        <family val="2"/>
        <scheme val="minor"/>
      </rPr>
      <t>Lu</t>
    </r>
  </si>
  <si>
    <t>Atomic mass of lutetium</t>
  </si>
  <si>
    <r>
      <t>AM</t>
    </r>
    <r>
      <rPr>
        <vertAlign val="subscript"/>
        <sz val="11"/>
        <rFont val="Calibri"/>
        <family val="2"/>
        <scheme val="minor"/>
      </rPr>
      <t>Hf</t>
    </r>
  </si>
  <si>
    <t>Atomic mass of hafnium</t>
  </si>
  <si>
    <r>
      <t>AM</t>
    </r>
    <r>
      <rPr>
        <vertAlign val="subscript"/>
        <sz val="11"/>
        <rFont val="Calibri"/>
        <family val="2"/>
        <scheme val="minor"/>
      </rPr>
      <t>Ta</t>
    </r>
  </si>
  <si>
    <t xml:space="preserve">Atomic mass of tantalum </t>
  </si>
  <si>
    <r>
      <t>AM</t>
    </r>
    <r>
      <rPr>
        <vertAlign val="subscript"/>
        <sz val="11"/>
        <rFont val="Calibri"/>
        <family val="2"/>
        <scheme val="minor"/>
      </rPr>
      <t>W</t>
    </r>
  </si>
  <si>
    <t>Atomic mass of tungsten</t>
  </si>
  <si>
    <r>
      <t>AM</t>
    </r>
    <r>
      <rPr>
        <vertAlign val="subscript"/>
        <sz val="11"/>
        <rFont val="Calibri"/>
        <family val="2"/>
        <scheme val="minor"/>
      </rPr>
      <t>Re</t>
    </r>
  </si>
  <si>
    <t>Atomic mass of rhenium</t>
  </si>
  <si>
    <r>
      <t>AM</t>
    </r>
    <r>
      <rPr>
        <vertAlign val="subscript"/>
        <sz val="11"/>
        <rFont val="Calibri"/>
        <family val="2"/>
        <scheme val="minor"/>
      </rPr>
      <t>Os</t>
    </r>
  </si>
  <si>
    <t>Atomic mass of osmium</t>
  </si>
  <si>
    <r>
      <t>AM</t>
    </r>
    <r>
      <rPr>
        <vertAlign val="subscript"/>
        <sz val="11"/>
        <rFont val="Calibri"/>
        <family val="2"/>
        <scheme val="minor"/>
      </rPr>
      <t>Ir</t>
    </r>
  </si>
  <si>
    <t>Atomic mass of iridium</t>
  </si>
  <si>
    <r>
      <t>AM</t>
    </r>
    <r>
      <rPr>
        <vertAlign val="subscript"/>
        <sz val="11"/>
        <rFont val="Calibri"/>
        <family val="2"/>
        <scheme val="minor"/>
      </rPr>
      <t>Pt</t>
    </r>
  </si>
  <si>
    <t>Atomic mass of platinum</t>
  </si>
  <si>
    <r>
      <t>AM</t>
    </r>
    <r>
      <rPr>
        <vertAlign val="subscript"/>
        <sz val="11"/>
        <rFont val="Calibri"/>
        <family val="2"/>
        <scheme val="minor"/>
      </rPr>
      <t>Au</t>
    </r>
  </si>
  <si>
    <t>Atomic mass of gold</t>
  </si>
  <si>
    <r>
      <t>AM</t>
    </r>
    <r>
      <rPr>
        <vertAlign val="subscript"/>
        <sz val="11"/>
        <rFont val="Calibri"/>
        <family val="2"/>
        <scheme val="minor"/>
      </rPr>
      <t>Hg</t>
    </r>
  </si>
  <si>
    <t>Atomic mass of mercury</t>
  </si>
  <si>
    <r>
      <t>AM</t>
    </r>
    <r>
      <rPr>
        <vertAlign val="subscript"/>
        <sz val="11"/>
        <rFont val="Calibri"/>
        <family val="2"/>
        <scheme val="minor"/>
      </rPr>
      <t>Tl</t>
    </r>
  </si>
  <si>
    <t>Atomic mass of thallium</t>
  </si>
  <si>
    <r>
      <t>AM</t>
    </r>
    <r>
      <rPr>
        <vertAlign val="subscript"/>
        <sz val="11"/>
        <rFont val="Calibri"/>
        <family val="2"/>
        <scheme val="minor"/>
      </rPr>
      <t>Pb</t>
    </r>
  </si>
  <si>
    <t>Atomic mass of lead</t>
  </si>
  <si>
    <r>
      <t>AM</t>
    </r>
    <r>
      <rPr>
        <vertAlign val="subscript"/>
        <sz val="11"/>
        <rFont val="Calibri"/>
        <family val="2"/>
        <scheme val="minor"/>
      </rPr>
      <t>Bi</t>
    </r>
  </si>
  <si>
    <t>Atomic mass of bismuth</t>
  </si>
  <si>
    <r>
      <t>AM</t>
    </r>
    <r>
      <rPr>
        <vertAlign val="subscript"/>
        <sz val="11"/>
        <rFont val="Calibri"/>
        <family val="2"/>
        <scheme val="minor"/>
      </rPr>
      <t>Po</t>
    </r>
  </si>
  <si>
    <t>Atomic mass of polonium</t>
  </si>
  <si>
    <r>
      <t>AM</t>
    </r>
    <r>
      <rPr>
        <vertAlign val="subscript"/>
        <sz val="11"/>
        <rFont val="Calibri"/>
        <family val="2"/>
        <scheme val="minor"/>
      </rPr>
      <t>At</t>
    </r>
  </si>
  <si>
    <t>Atomic mass of astatine</t>
  </si>
  <si>
    <r>
      <t>AM</t>
    </r>
    <r>
      <rPr>
        <vertAlign val="subscript"/>
        <sz val="11"/>
        <rFont val="Calibri"/>
        <family val="2"/>
        <scheme val="minor"/>
      </rPr>
      <t>Rn</t>
    </r>
  </si>
  <si>
    <t>Atomic mass of radon</t>
  </si>
  <si>
    <r>
      <t>AM</t>
    </r>
    <r>
      <rPr>
        <vertAlign val="subscript"/>
        <sz val="11"/>
        <rFont val="Calibri"/>
        <family val="2"/>
        <scheme val="minor"/>
      </rPr>
      <t>Fr</t>
    </r>
  </si>
  <si>
    <t>Atomic mass of francium</t>
  </si>
  <si>
    <r>
      <t>AM</t>
    </r>
    <r>
      <rPr>
        <vertAlign val="subscript"/>
        <sz val="11"/>
        <rFont val="Calibri"/>
        <family val="2"/>
        <scheme val="minor"/>
      </rPr>
      <t>Ra</t>
    </r>
  </si>
  <si>
    <t>Atomic mass of radium</t>
  </si>
  <si>
    <r>
      <t>AM</t>
    </r>
    <r>
      <rPr>
        <vertAlign val="subscript"/>
        <sz val="11"/>
        <rFont val="Calibri"/>
        <family val="2"/>
        <scheme val="minor"/>
      </rPr>
      <t>Ac</t>
    </r>
  </si>
  <si>
    <t>Atomic mass of actinium</t>
  </si>
  <si>
    <r>
      <t>AM</t>
    </r>
    <r>
      <rPr>
        <vertAlign val="subscript"/>
        <sz val="11"/>
        <rFont val="Calibri"/>
        <family val="2"/>
        <scheme val="minor"/>
      </rPr>
      <t>Th</t>
    </r>
  </si>
  <si>
    <t>Atomic mass of thorium</t>
  </si>
  <si>
    <r>
      <t>AM</t>
    </r>
    <r>
      <rPr>
        <vertAlign val="subscript"/>
        <sz val="11"/>
        <rFont val="Calibri"/>
        <family val="2"/>
        <scheme val="minor"/>
      </rPr>
      <t>Pa</t>
    </r>
  </si>
  <si>
    <t>Atomic mass of protactinium</t>
  </si>
  <si>
    <r>
      <t>AM</t>
    </r>
    <r>
      <rPr>
        <vertAlign val="subscript"/>
        <sz val="11"/>
        <rFont val="Calibri"/>
        <family val="2"/>
        <scheme val="minor"/>
      </rPr>
      <t>U</t>
    </r>
  </si>
  <si>
    <t>Atomic mass of uranium</t>
  </si>
  <si>
    <r>
      <t>AM</t>
    </r>
    <r>
      <rPr>
        <vertAlign val="subscript"/>
        <sz val="11"/>
        <rFont val="Calibri"/>
        <family val="2"/>
        <scheme val="minor"/>
      </rPr>
      <t>Np</t>
    </r>
  </si>
  <si>
    <t>Atomic mass of neptunium</t>
  </si>
  <si>
    <r>
      <t>AM</t>
    </r>
    <r>
      <rPr>
        <vertAlign val="subscript"/>
        <sz val="11"/>
        <rFont val="Calibri"/>
        <family val="2"/>
        <scheme val="minor"/>
      </rPr>
      <t>Pu</t>
    </r>
  </si>
  <si>
    <t>Atomic mass of plutonium</t>
  </si>
  <si>
    <r>
      <t>AM</t>
    </r>
    <r>
      <rPr>
        <vertAlign val="subscript"/>
        <sz val="11"/>
        <rFont val="Calibri"/>
        <family val="2"/>
        <scheme val="minor"/>
      </rPr>
      <t>Am</t>
    </r>
  </si>
  <si>
    <t>Atomic mass of americium</t>
  </si>
  <si>
    <r>
      <t>AM</t>
    </r>
    <r>
      <rPr>
        <vertAlign val="subscript"/>
        <sz val="11"/>
        <rFont val="Calibri"/>
        <family val="2"/>
        <scheme val="minor"/>
      </rPr>
      <t>Cm</t>
    </r>
  </si>
  <si>
    <t>Atomic mass of curium</t>
  </si>
  <si>
    <r>
      <t>AM</t>
    </r>
    <r>
      <rPr>
        <vertAlign val="subscript"/>
        <sz val="11"/>
        <rFont val="Calibri"/>
        <family val="2"/>
        <scheme val="minor"/>
      </rPr>
      <t>Bk</t>
    </r>
  </si>
  <si>
    <t>Atomic mass of berkelium</t>
  </si>
  <si>
    <r>
      <t>AM</t>
    </r>
    <r>
      <rPr>
        <vertAlign val="subscript"/>
        <sz val="11"/>
        <rFont val="Calibri"/>
        <family val="2"/>
        <scheme val="minor"/>
      </rPr>
      <t>Cf</t>
    </r>
  </si>
  <si>
    <t>Atomic mass of californium</t>
  </si>
  <si>
    <r>
      <t>AM</t>
    </r>
    <r>
      <rPr>
        <vertAlign val="subscript"/>
        <sz val="11"/>
        <rFont val="Calibri"/>
        <family val="2"/>
        <scheme val="minor"/>
      </rPr>
      <t>Es</t>
    </r>
  </si>
  <si>
    <t>Atomic mass of einsteinium</t>
  </si>
  <si>
    <r>
      <t>AM</t>
    </r>
    <r>
      <rPr>
        <vertAlign val="subscript"/>
        <sz val="11"/>
        <rFont val="Calibri"/>
        <family val="2"/>
        <scheme val="minor"/>
      </rPr>
      <t>Fm</t>
    </r>
  </si>
  <si>
    <t>Atomic mass of fermium</t>
  </si>
  <si>
    <r>
      <t>AM</t>
    </r>
    <r>
      <rPr>
        <vertAlign val="subscript"/>
        <sz val="11"/>
        <rFont val="Calibri"/>
        <family val="2"/>
        <scheme val="minor"/>
      </rPr>
      <t>Md</t>
    </r>
  </si>
  <si>
    <t>Atomic mass of mendelevium</t>
  </si>
  <si>
    <r>
      <t>AM</t>
    </r>
    <r>
      <rPr>
        <vertAlign val="subscript"/>
        <sz val="11"/>
        <rFont val="Calibri"/>
        <family val="2"/>
        <scheme val="minor"/>
      </rPr>
      <t>No</t>
    </r>
  </si>
  <si>
    <t>Atomic mass of nobelium</t>
  </si>
  <si>
    <r>
      <t>AM</t>
    </r>
    <r>
      <rPr>
        <vertAlign val="subscript"/>
        <sz val="11"/>
        <rFont val="Calibri"/>
        <family val="2"/>
        <scheme val="minor"/>
      </rPr>
      <t>Lr</t>
    </r>
  </si>
  <si>
    <t>Atomic mass of lawrencium</t>
  </si>
  <si>
    <r>
      <t>AM</t>
    </r>
    <r>
      <rPr>
        <vertAlign val="subscript"/>
        <sz val="11"/>
        <rFont val="Calibri"/>
        <family val="2"/>
        <scheme val="minor"/>
      </rPr>
      <t>Rf</t>
    </r>
  </si>
  <si>
    <t>Atomic mass of rutherfordium</t>
  </si>
  <si>
    <r>
      <t>AM</t>
    </r>
    <r>
      <rPr>
        <vertAlign val="subscript"/>
        <sz val="11"/>
        <rFont val="Calibri"/>
        <family val="2"/>
        <scheme val="minor"/>
      </rPr>
      <t>Db</t>
    </r>
  </si>
  <si>
    <t>Atomic mass of dubnium</t>
  </si>
  <si>
    <r>
      <t>AM</t>
    </r>
    <r>
      <rPr>
        <vertAlign val="subscript"/>
        <sz val="11"/>
        <rFont val="Calibri"/>
        <family val="2"/>
        <scheme val="minor"/>
      </rPr>
      <t>Sg</t>
    </r>
  </si>
  <si>
    <t>Atomic mass of seaborgium</t>
  </si>
  <si>
    <r>
      <t>AM</t>
    </r>
    <r>
      <rPr>
        <vertAlign val="subscript"/>
        <sz val="11"/>
        <rFont val="Calibri"/>
        <family val="2"/>
        <scheme val="minor"/>
      </rPr>
      <t>Bh</t>
    </r>
  </si>
  <si>
    <t>Atomic mass of bohrium</t>
  </si>
  <si>
    <r>
      <t>AM</t>
    </r>
    <r>
      <rPr>
        <vertAlign val="subscript"/>
        <sz val="11"/>
        <rFont val="Calibri"/>
        <family val="2"/>
        <scheme val="minor"/>
      </rPr>
      <t>Hs</t>
    </r>
  </si>
  <si>
    <t>Atomic mass of hassium</t>
  </si>
  <si>
    <r>
      <t>AM</t>
    </r>
    <r>
      <rPr>
        <vertAlign val="subscript"/>
        <sz val="11"/>
        <rFont val="Calibri"/>
        <family val="2"/>
        <scheme val="minor"/>
      </rPr>
      <t>Mt</t>
    </r>
  </si>
  <si>
    <t>Atomic mass of meitnerium</t>
  </si>
  <si>
    <r>
      <t>AM</t>
    </r>
    <r>
      <rPr>
        <vertAlign val="subscript"/>
        <sz val="11"/>
        <rFont val="Calibri"/>
        <family val="2"/>
        <scheme val="minor"/>
      </rPr>
      <t>Ds</t>
    </r>
  </si>
  <si>
    <t>Atomic mass of darmstadtium</t>
  </si>
  <si>
    <r>
      <t>AM</t>
    </r>
    <r>
      <rPr>
        <vertAlign val="subscript"/>
        <sz val="11"/>
        <rFont val="Calibri"/>
        <family val="2"/>
        <scheme val="minor"/>
      </rPr>
      <t>Rg</t>
    </r>
  </si>
  <si>
    <t>Atomic mass of roentgenium</t>
  </si>
  <si>
    <r>
      <t>AM</t>
    </r>
    <r>
      <rPr>
        <vertAlign val="subscript"/>
        <sz val="11"/>
        <rFont val="Calibri"/>
        <family val="2"/>
        <scheme val="minor"/>
      </rPr>
      <t>Cn</t>
    </r>
  </si>
  <si>
    <t>Atomic mass of copernicium</t>
  </si>
  <si>
    <r>
      <t>AM</t>
    </r>
    <r>
      <rPr>
        <vertAlign val="subscript"/>
        <sz val="11"/>
        <rFont val="Calibri"/>
        <family val="2"/>
        <scheme val="minor"/>
      </rPr>
      <t>Uut</t>
    </r>
  </si>
  <si>
    <t>Atomic mass of ununtrium</t>
  </si>
  <si>
    <r>
      <t>AM</t>
    </r>
    <r>
      <rPr>
        <vertAlign val="subscript"/>
        <sz val="11"/>
        <rFont val="Calibri"/>
        <family val="2"/>
        <scheme val="minor"/>
      </rPr>
      <t>Fl</t>
    </r>
  </si>
  <si>
    <t>Atomic mass of flerovium</t>
  </si>
  <si>
    <r>
      <t>AM</t>
    </r>
    <r>
      <rPr>
        <vertAlign val="subscript"/>
        <sz val="11"/>
        <rFont val="Calibri"/>
        <family val="2"/>
        <scheme val="minor"/>
      </rPr>
      <t>Uup</t>
    </r>
  </si>
  <si>
    <t>Atomic mass of ununpentium</t>
  </si>
  <si>
    <r>
      <t>AM</t>
    </r>
    <r>
      <rPr>
        <vertAlign val="subscript"/>
        <sz val="11"/>
        <rFont val="Calibri"/>
        <family val="2"/>
        <scheme val="minor"/>
      </rPr>
      <t>Lv</t>
    </r>
  </si>
  <si>
    <t>Atomic mass of livermorium</t>
  </si>
  <si>
    <r>
      <t>AM</t>
    </r>
    <r>
      <rPr>
        <vertAlign val="subscript"/>
        <sz val="11"/>
        <rFont val="Calibri"/>
        <family val="2"/>
        <scheme val="minor"/>
      </rPr>
      <t>Uus</t>
    </r>
  </si>
  <si>
    <t>Atomic mass of ununseptium</t>
  </si>
  <si>
    <r>
      <t>AM</t>
    </r>
    <r>
      <rPr>
        <vertAlign val="subscript"/>
        <sz val="11"/>
        <rFont val="Calibri"/>
        <family val="2"/>
        <scheme val="minor"/>
      </rPr>
      <t>Uuo</t>
    </r>
  </si>
  <si>
    <t>Atomic mass of ununoctium</t>
  </si>
  <si>
    <t>Molecular masses (gas phase)</t>
  </si>
  <si>
    <r>
      <t>MM</t>
    </r>
    <r>
      <rPr>
        <vertAlign val="subscript"/>
        <sz val="11"/>
        <rFont val="Calibri"/>
        <family val="2"/>
        <scheme val="minor"/>
      </rPr>
      <t>GH2</t>
    </r>
  </si>
  <si>
    <t>Molecular mass of hydrogen</t>
  </si>
  <si>
    <r>
      <t>MM</t>
    </r>
    <r>
      <rPr>
        <vertAlign val="subscript"/>
        <sz val="11"/>
        <rFont val="Calibri"/>
        <family val="2"/>
        <scheme val="minor"/>
      </rPr>
      <t>GCH4</t>
    </r>
  </si>
  <si>
    <t>Molecular mass of methane</t>
  </si>
  <si>
    <r>
      <t>MM</t>
    </r>
    <r>
      <rPr>
        <vertAlign val="subscript"/>
        <sz val="11"/>
        <rFont val="Calibri"/>
        <family val="2"/>
        <scheme val="minor"/>
      </rPr>
      <t>GCO2</t>
    </r>
  </si>
  <si>
    <t>Molecular mass of carbon dioxide</t>
  </si>
  <si>
    <r>
      <t>MM</t>
    </r>
    <r>
      <rPr>
        <vertAlign val="subscript"/>
        <sz val="11"/>
        <rFont val="Calibri"/>
        <family val="2"/>
        <scheme val="minor"/>
      </rPr>
      <t>GN2</t>
    </r>
  </si>
  <si>
    <t>Molecular mass of nitrogen</t>
  </si>
  <si>
    <r>
      <t>MM</t>
    </r>
    <r>
      <rPr>
        <vertAlign val="subscript"/>
        <sz val="11"/>
        <rFont val="Calibri"/>
        <family val="2"/>
        <scheme val="minor"/>
      </rPr>
      <t>GO2</t>
    </r>
  </si>
  <si>
    <t>Molecular mass of oxygen</t>
  </si>
  <si>
    <t>GO2 is a workaround - we should equip SMT with a mechanism to be able to handle GO2, SO2, etc. similarly when it is about finding molecular mass</t>
  </si>
  <si>
    <r>
      <t>MM</t>
    </r>
    <r>
      <rPr>
        <vertAlign val="subscript"/>
        <sz val="11"/>
        <rFont val="Calibri"/>
        <family val="2"/>
        <scheme val="minor"/>
      </rPr>
      <t>GNO</t>
    </r>
  </si>
  <si>
    <t>Molecular mass of nitric oxide</t>
  </si>
  <si>
    <t>GNO is a workaround - we should equip SMT with a mechanism to be able to handle GNO, SNO, etc. similarly when it is about finding molecular mass</t>
  </si>
  <si>
    <r>
      <t>MM</t>
    </r>
    <r>
      <rPr>
        <vertAlign val="subscript"/>
        <sz val="11"/>
        <rFont val="Calibri"/>
        <family val="2"/>
        <scheme val="minor"/>
      </rPr>
      <t>GN2O</t>
    </r>
  </si>
  <si>
    <t>Molecular mass of nitrous oxide</t>
  </si>
  <si>
    <t>GN2O is a workaround - we should equip SMT with a mechanism to be able to handle GN2O, SN2O, etc. similarly when it is about finding molecular mass</t>
  </si>
  <si>
    <t>Molecular masses</t>
  </si>
  <si>
    <r>
      <t>MM</t>
    </r>
    <r>
      <rPr>
        <vertAlign val="subscript"/>
        <sz val="11"/>
        <rFont val="Calibri"/>
        <family val="2"/>
        <scheme val="minor"/>
      </rPr>
      <t>O2</t>
    </r>
  </si>
  <si>
    <r>
      <t>MM</t>
    </r>
    <r>
      <rPr>
        <vertAlign val="subscript"/>
        <sz val="11"/>
        <rFont val="Calibri"/>
        <family val="2"/>
        <scheme val="minor"/>
      </rPr>
      <t>N2</t>
    </r>
  </si>
  <si>
    <r>
      <t>MM</t>
    </r>
    <r>
      <rPr>
        <vertAlign val="subscript"/>
        <sz val="11"/>
        <rFont val="Calibri"/>
        <family val="2"/>
        <scheme val="minor"/>
      </rPr>
      <t>NH3</t>
    </r>
  </si>
  <si>
    <t>Molecular mass of ammonia</t>
  </si>
  <si>
    <t>Molecular mass of phosphate</t>
  </si>
  <si>
    <r>
      <t>MM</t>
    </r>
    <r>
      <rPr>
        <vertAlign val="subscript"/>
        <sz val="11"/>
        <rFont val="Calibri"/>
        <family val="2"/>
        <scheme val="minor"/>
      </rPr>
      <t>CH3OH</t>
    </r>
  </si>
  <si>
    <t>Molecular mass of methanol</t>
  </si>
  <si>
    <r>
      <t>MM</t>
    </r>
    <r>
      <rPr>
        <vertAlign val="subscript"/>
        <sz val="11"/>
        <rFont val="Calibri"/>
        <family val="2"/>
        <scheme val="minor"/>
      </rPr>
      <t>CH3COOH</t>
    </r>
  </si>
  <si>
    <t>Molecular mass of acetic acid</t>
  </si>
  <si>
    <t>Specific molecular masses</t>
  </si>
  <si>
    <r>
      <t>MM</t>
    </r>
    <r>
      <rPr>
        <vertAlign val="subscript"/>
        <sz val="11"/>
        <rFont val="Calibri"/>
        <family val="2"/>
        <scheme val="minor"/>
      </rPr>
      <t>EQ,GCH4</t>
    </r>
  </si>
  <si>
    <r>
      <t>MM</t>
    </r>
    <r>
      <rPr>
        <vertAlign val="subscript"/>
        <sz val="11"/>
        <rFont val="Calibri"/>
        <family val="2"/>
        <scheme val="minor"/>
      </rPr>
      <t>EQ,GH2</t>
    </r>
  </si>
  <si>
    <t>Dissociation constants</t>
  </si>
  <si>
    <t>Electron equivalences</t>
  </si>
  <si>
    <r>
      <t>EEQ</t>
    </r>
    <r>
      <rPr>
        <vertAlign val="subscript"/>
        <sz val="11"/>
        <rFont val="Calibri"/>
        <family val="2"/>
      </rPr>
      <t>N2</t>
    </r>
  </si>
  <si>
    <r>
      <t>Electron equivalence of N</t>
    </r>
    <r>
      <rPr>
        <vertAlign val="subscript"/>
        <sz val="11"/>
        <rFont val="Calibri"/>
        <family val="2"/>
      </rPr>
      <t>2</t>
    </r>
  </si>
  <si>
    <t>base is ammonia</t>
  </si>
  <si>
    <r>
      <t>EEQ</t>
    </r>
    <r>
      <rPr>
        <vertAlign val="subscript"/>
        <sz val="11"/>
        <rFont val="Calibri"/>
        <family val="2"/>
      </rPr>
      <t>N2O</t>
    </r>
  </si>
  <si>
    <r>
      <t>Electron equivalence of N</t>
    </r>
    <r>
      <rPr>
        <vertAlign val="subscript"/>
        <sz val="11"/>
        <rFont val="Calibri"/>
        <family val="2"/>
      </rPr>
      <t>2</t>
    </r>
    <r>
      <rPr>
        <sz val="11"/>
        <rFont val="Calibri"/>
        <family val="2"/>
      </rPr>
      <t>O</t>
    </r>
  </si>
  <si>
    <r>
      <t>EEQ</t>
    </r>
    <r>
      <rPr>
        <vertAlign val="subscript"/>
        <sz val="11"/>
        <rFont val="Calibri"/>
        <family val="2"/>
      </rPr>
      <t>NO</t>
    </r>
  </si>
  <si>
    <t>Electron equivalence of NO</t>
  </si>
  <si>
    <r>
      <t>EEQ</t>
    </r>
    <r>
      <rPr>
        <vertAlign val="subscript"/>
        <sz val="11"/>
        <rFont val="Calibri"/>
        <family val="2"/>
      </rPr>
      <t>NO2</t>
    </r>
  </si>
  <si>
    <r>
      <t>Electron equivalence of NO</t>
    </r>
    <r>
      <rPr>
        <vertAlign val="subscript"/>
        <sz val="11"/>
        <rFont val="Calibri"/>
        <family val="2"/>
      </rPr>
      <t>2</t>
    </r>
  </si>
  <si>
    <r>
      <t>EEQ</t>
    </r>
    <r>
      <rPr>
        <vertAlign val="subscript"/>
        <sz val="11"/>
        <rFont val="Calibri"/>
        <family val="2"/>
      </rPr>
      <t>NO3</t>
    </r>
  </si>
  <si>
    <r>
      <t>Electron equivalence of NO</t>
    </r>
    <r>
      <rPr>
        <vertAlign val="subscript"/>
        <sz val="11"/>
        <rFont val="Calibri"/>
        <family val="2"/>
      </rPr>
      <t>3</t>
    </r>
  </si>
  <si>
    <r>
      <t>Electron equivalence of NO</t>
    </r>
    <r>
      <rPr>
        <vertAlign val="subscript"/>
        <sz val="11"/>
        <rFont val="Calibri"/>
        <family val="2"/>
      </rPr>
      <t>2</t>
    </r>
    <r>
      <rPr>
        <sz val="11"/>
        <rFont val="Calibri"/>
        <family val="2"/>
      </rPr>
      <t xml:space="preserve"> to NO</t>
    </r>
    <r>
      <rPr>
        <vertAlign val="subscript"/>
        <sz val="11"/>
        <rFont val="Calibri"/>
        <family val="2"/>
      </rPr>
      <t>3</t>
    </r>
  </si>
  <si>
    <r>
      <t>Electron equivalence of N</t>
    </r>
    <r>
      <rPr>
        <vertAlign val="subscript"/>
        <sz val="11"/>
        <rFont val="Calibri"/>
        <family val="2"/>
      </rPr>
      <t>2</t>
    </r>
    <r>
      <rPr>
        <sz val="11"/>
        <rFont val="Calibri"/>
        <family val="2"/>
      </rPr>
      <t xml:space="preserve"> to NO</t>
    </r>
    <r>
      <rPr>
        <vertAlign val="subscript"/>
        <sz val="11"/>
        <rFont val="Calibri"/>
        <family val="2"/>
      </rPr>
      <t>2</t>
    </r>
  </si>
  <si>
    <r>
      <t>Electron equivalence of NO to NO</t>
    </r>
    <r>
      <rPr>
        <vertAlign val="subscript"/>
        <sz val="11"/>
        <rFont val="Calibri"/>
        <family val="2"/>
      </rPr>
      <t>2</t>
    </r>
  </si>
  <si>
    <r>
      <t>Electron equivalence of N</t>
    </r>
    <r>
      <rPr>
        <vertAlign val="subscript"/>
        <sz val="11"/>
        <rFont val="Calibri"/>
        <family val="2"/>
      </rPr>
      <t>2</t>
    </r>
    <r>
      <rPr>
        <sz val="11"/>
        <rFont val="Calibri"/>
        <family val="2"/>
      </rPr>
      <t>O to NO</t>
    </r>
  </si>
  <si>
    <r>
      <t>Electron equivalence of N</t>
    </r>
    <r>
      <rPr>
        <vertAlign val="subscript"/>
        <sz val="11"/>
        <rFont val="Calibri"/>
        <family val="2"/>
      </rPr>
      <t>2</t>
    </r>
    <r>
      <rPr>
        <sz val="11"/>
        <rFont val="Calibri"/>
        <family val="2"/>
      </rPr>
      <t xml:space="preserve"> to N</t>
    </r>
    <r>
      <rPr>
        <vertAlign val="subscript"/>
        <sz val="11"/>
        <rFont val="Calibri"/>
        <family val="2"/>
      </rPr>
      <t>2</t>
    </r>
    <r>
      <rPr>
        <sz val="11"/>
        <rFont val="Calibri"/>
        <family val="2"/>
      </rPr>
      <t>O</t>
    </r>
  </si>
  <si>
    <r>
      <t>Electron equivalence of N</t>
    </r>
    <r>
      <rPr>
        <vertAlign val="subscript"/>
        <sz val="11"/>
        <rFont val="Calibri"/>
        <family val="2"/>
      </rPr>
      <t>2</t>
    </r>
    <r>
      <rPr>
        <sz val="11"/>
        <rFont val="Calibri"/>
        <family val="2"/>
        <scheme val="minor"/>
      </rPr>
      <t xml:space="preserve"> to NO</t>
    </r>
    <r>
      <rPr>
        <vertAlign val="subscript"/>
        <sz val="11"/>
        <rFont val="Calibri"/>
        <family val="2"/>
      </rPr>
      <t>3</t>
    </r>
  </si>
  <si>
    <t>Other parameters</t>
  </si>
  <si>
    <t>pH effects on/not on from systemcode</t>
  </si>
  <si>
    <t>Boolean</t>
  </si>
  <si>
    <r>
      <t>g COD</t>
    </r>
    <r>
      <rPr>
        <sz val="11"/>
        <rFont val="Calibri"/>
        <family val="2"/>
        <scheme val="minor"/>
      </rPr>
      <t>.g COD</t>
    </r>
    <r>
      <rPr>
        <vertAlign val="superscript"/>
        <sz val="11"/>
        <rFont val="Calibri"/>
        <family val="2"/>
        <scheme val="minor"/>
      </rPr>
      <t>-1</t>
    </r>
  </si>
  <si>
    <r>
      <t>Half-saturation of X</t>
    </r>
    <r>
      <rPr>
        <vertAlign val="subscript"/>
        <sz val="11"/>
        <color rgb="FF000000"/>
        <rFont val="Calibri"/>
        <family val="2"/>
        <scheme val="minor"/>
      </rPr>
      <t>COD</t>
    </r>
    <r>
      <rPr>
        <sz val="11"/>
        <color rgb="FF000000"/>
        <rFont val="Calibri"/>
        <family val="2"/>
        <charset val="238"/>
        <scheme val="minor"/>
      </rPr>
      <t>/X</t>
    </r>
    <r>
      <rPr>
        <vertAlign val="subscript"/>
        <sz val="11"/>
        <color rgb="FF000000"/>
        <rFont val="Calibri"/>
        <family val="2"/>
        <scheme val="minor"/>
      </rPr>
      <t>H</t>
    </r>
  </si>
  <si>
    <r>
      <t>g O</t>
    </r>
    <r>
      <rPr>
        <vertAlign val="subscript"/>
        <sz val="11"/>
        <rFont val="Calibri"/>
        <family val="2"/>
        <scheme val="minor"/>
      </rPr>
      <t>2</t>
    </r>
    <r>
      <rPr>
        <sz val="11"/>
        <rFont val="Calibri"/>
        <family val="2"/>
        <scheme val="minor"/>
      </rPr>
      <t>.m</t>
    </r>
    <r>
      <rPr>
        <vertAlign val="superscript"/>
        <sz val="11"/>
        <rFont val="Calibri"/>
        <family val="2"/>
        <scheme val="minor"/>
      </rPr>
      <t>-3</t>
    </r>
  </si>
  <si>
    <t>Growth and decay of heterotrophic organisms</t>
  </si>
  <si>
    <r>
      <t>g COD.g COD</t>
    </r>
    <r>
      <rPr>
        <vertAlign val="superscript"/>
        <sz val="11"/>
        <rFont val="Calibri"/>
        <family val="2"/>
        <scheme val="minor"/>
      </rPr>
      <t>-1</t>
    </r>
    <r>
      <rPr>
        <sz val="11"/>
        <rFont val="Calibri"/>
        <family val="2"/>
        <scheme val="minor"/>
      </rPr>
      <t>.d</t>
    </r>
    <r>
      <rPr>
        <vertAlign val="superscript"/>
        <sz val="11"/>
        <rFont val="Calibri"/>
        <family val="2"/>
        <scheme val="minor"/>
      </rPr>
      <t>-1</t>
    </r>
  </si>
  <si>
    <r>
      <t>g COD</t>
    </r>
    <r>
      <rPr>
        <sz val="11"/>
        <rFont val="Calibri"/>
        <family val="2"/>
        <scheme val="minor"/>
      </rPr>
      <t>.m</t>
    </r>
    <r>
      <rPr>
        <vertAlign val="superscript"/>
        <sz val="11"/>
        <rFont val="Calibri"/>
        <family val="2"/>
        <scheme val="minor"/>
      </rPr>
      <t>-3</t>
    </r>
  </si>
  <si>
    <r>
      <t>g N m</t>
    </r>
    <r>
      <rPr>
        <vertAlign val="superscript"/>
        <sz val="11"/>
        <rFont val="Calibri"/>
        <family val="2"/>
        <scheme val="minor"/>
      </rPr>
      <t>-3</t>
    </r>
  </si>
  <si>
    <r>
      <t>g N</t>
    </r>
    <r>
      <rPr>
        <sz val="11"/>
        <rFont val="Calibri"/>
        <family val="2"/>
        <scheme val="minor"/>
      </rPr>
      <t>.m</t>
    </r>
    <r>
      <rPr>
        <vertAlign val="superscript"/>
        <sz val="11"/>
        <rFont val="Calibri"/>
        <family val="2"/>
        <scheme val="minor"/>
      </rPr>
      <t>-3</t>
    </r>
  </si>
  <si>
    <r>
      <t>g P</t>
    </r>
    <r>
      <rPr>
        <sz val="11"/>
        <rFont val="Calibri"/>
        <family val="2"/>
        <scheme val="minor"/>
      </rPr>
      <t>.m</t>
    </r>
    <r>
      <rPr>
        <vertAlign val="superscript"/>
        <sz val="11"/>
        <rFont val="Calibri"/>
        <family val="2"/>
        <scheme val="minor"/>
      </rPr>
      <t>-3</t>
    </r>
  </si>
  <si>
    <t>Endogenous respiration rate of heterotrophs</t>
  </si>
  <si>
    <t>Maximum specific growth rate of heterotrophs</t>
  </si>
  <si>
    <t>Reduction factor for anoxic growth of heterotrophs</t>
  </si>
  <si>
    <r>
      <t>g COD</t>
    </r>
    <r>
      <rPr>
        <sz val="11"/>
        <rFont val="Calibri"/>
        <family val="2"/>
        <scheme val="minor"/>
      </rPr>
      <t>.g X</t>
    </r>
    <r>
      <rPr>
        <vertAlign val="subscript"/>
        <sz val="11"/>
        <rFont val="Calibri"/>
        <family val="2"/>
        <scheme val="minor"/>
      </rPr>
      <t>PAO</t>
    </r>
    <r>
      <rPr>
        <vertAlign val="superscript"/>
        <sz val="11"/>
        <rFont val="Calibri"/>
        <family val="2"/>
        <scheme val="minor"/>
      </rPr>
      <t>-1</t>
    </r>
    <r>
      <rPr>
        <sz val="11"/>
        <rFont val="Calibri"/>
        <family val="2"/>
        <scheme val="minor"/>
      </rPr>
      <t>.d</t>
    </r>
    <r>
      <rPr>
        <vertAlign val="superscript"/>
        <sz val="11"/>
        <rFont val="Calibri"/>
        <family val="2"/>
        <scheme val="minor"/>
      </rPr>
      <t>-1</t>
    </r>
  </si>
  <si>
    <r>
      <t>g P</t>
    </r>
    <r>
      <rPr>
        <sz val="11"/>
        <rFont val="Calibri"/>
        <family val="2"/>
        <scheme val="minor"/>
      </rPr>
      <t>.g X</t>
    </r>
    <r>
      <rPr>
        <vertAlign val="subscript"/>
        <sz val="11"/>
        <rFont val="Calibri"/>
        <family val="2"/>
        <scheme val="minor"/>
      </rPr>
      <t>PAO</t>
    </r>
    <r>
      <rPr>
        <vertAlign val="superscript"/>
        <sz val="11"/>
        <rFont val="Calibri"/>
        <family val="2"/>
        <scheme val="minor"/>
      </rPr>
      <t>-1</t>
    </r>
    <r>
      <rPr>
        <sz val="11"/>
        <rFont val="Calibri"/>
        <family val="2"/>
        <scheme val="minor"/>
      </rPr>
      <t>.d</t>
    </r>
    <r>
      <rPr>
        <vertAlign val="superscript"/>
        <sz val="11"/>
        <rFont val="Calibri"/>
        <family val="2"/>
        <scheme val="minor"/>
      </rPr>
      <t>-1</t>
    </r>
  </si>
  <si>
    <t>Rate of PP storage</t>
  </si>
  <si>
    <r>
      <t>Reduction factor for half-saturation of O</t>
    </r>
    <r>
      <rPr>
        <vertAlign val="subscript"/>
        <sz val="11"/>
        <color rgb="FF000000"/>
        <rFont val="Calibri"/>
        <family val="2"/>
        <scheme val="minor"/>
      </rPr>
      <t>2</t>
    </r>
    <r>
      <rPr>
        <sz val="11"/>
        <color rgb="FF000000"/>
        <rFont val="Calibri"/>
        <family val="2"/>
        <charset val="238"/>
        <scheme val="minor"/>
      </rPr>
      <t xml:space="preserve"> and NO</t>
    </r>
    <r>
      <rPr>
        <vertAlign val="subscript"/>
        <sz val="11"/>
        <color rgb="FF000000"/>
        <rFont val="Calibri"/>
        <family val="2"/>
        <scheme val="minor"/>
      </rPr>
      <t>3</t>
    </r>
    <r>
      <rPr>
        <sz val="11"/>
        <color rgb="FF000000"/>
        <rFont val="Calibri"/>
        <family val="2"/>
        <charset val="238"/>
        <scheme val="minor"/>
      </rPr>
      <t xml:space="preserve"> for PAO for X</t>
    </r>
    <r>
      <rPr>
        <vertAlign val="subscript"/>
        <sz val="11"/>
        <color rgb="FF000000"/>
        <rFont val="Calibri"/>
        <family val="2"/>
        <scheme val="minor"/>
      </rPr>
      <t>PP</t>
    </r>
    <r>
      <rPr>
        <sz val="11"/>
        <color rgb="FF000000"/>
        <rFont val="Calibri"/>
        <family val="2"/>
        <charset val="238"/>
        <scheme val="minor"/>
      </rPr>
      <t xml:space="preserve"> formation</t>
    </r>
  </si>
  <si>
    <r>
      <t>Maximum ratio of X</t>
    </r>
    <r>
      <rPr>
        <vertAlign val="subscript"/>
        <sz val="11"/>
        <rFont val="Calibri"/>
        <family val="2"/>
        <scheme val="minor"/>
      </rPr>
      <t>PP</t>
    </r>
    <r>
      <rPr>
        <sz val="11"/>
        <rFont val="Calibri"/>
        <family val="2"/>
        <scheme val="minor"/>
      </rPr>
      <t>/X</t>
    </r>
    <r>
      <rPr>
        <vertAlign val="subscript"/>
        <sz val="11"/>
        <rFont val="Calibri"/>
        <family val="2"/>
        <scheme val="minor"/>
      </rPr>
      <t>PAO</t>
    </r>
  </si>
  <si>
    <t>Half-inhibition of XPP/XPAO</t>
  </si>
  <si>
    <t>Rate of glycogen storage</t>
  </si>
  <si>
    <r>
      <t>Maximum ratio of X</t>
    </r>
    <r>
      <rPr>
        <vertAlign val="subscript"/>
        <sz val="11"/>
        <rFont val="Calibri"/>
        <family val="2"/>
        <scheme val="minor"/>
      </rPr>
      <t>GLY</t>
    </r>
    <r>
      <rPr>
        <sz val="11"/>
        <rFont val="Calibri"/>
        <family val="2"/>
        <scheme val="minor"/>
      </rPr>
      <t>/X</t>
    </r>
    <r>
      <rPr>
        <vertAlign val="subscript"/>
        <sz val="11"/>
        <rFont val="Calibri"/>
        <family val="2"/>
        <scheme val="minor"/>
      </rPr>
      <t>PAO</t>
    </r>
  </si>
  <si>
    <r>
      <t>Half-saturation coefficient for X</t>
    </r>
    <r>
      <rPr>
        <vertAlign val="subscript"/>
        <sz val="11"/>
        <rFont val="Calibri"/>
        <family val="2"/>
        <scheme val="minor"/>
      </rPr>
      <t>PHA</t>
    </r>
    <r>
      <rPr>
        <sz val="11"/>
        <rFont val="Calibri"/>
        <family val="2"/>
        <scheme val="minor"/>
      </rPr>
      <t>/X</t>
    </r>
    <r>
      <rPr>
        <vertAlign val="subscript"/>
        <sz val="11"/>
        <rFont val="Calibri"/>
        <family val="2"/>
        <scheme val="minor"/>
      </rPr>
      <t xml:space="preserve">PAO </t>
    </r>
  </si>
  <si>
    <t>Rate of PAO growth</t>
  </si>
  <si>
    <t>Half-saturation of oxygen</t>
  </si>
  <si>
    <t>Half-saturation of nitrate</t>
  </si>
  <si>
    <t>Half-saturation of ammonia</t>
  </si>
  <si>
    <r>
      <t>Half-saturation of PO</t>
    </r>
    <r>
      <rPr>
        <vertAlign val="subscript"/>
        <sz val="11"/>
        <color rgb="FF000000"/>
        <rFont val="Calibri"/>
        <family val="2"/>
        <scheme val="minor"/>
      </rPr>
      <t>4</t>
    </r>
    <r>
      <rPr>
        <sz val="11"/>
        <color rgb="FF000000"/>
        <rFont val="Calibri"/>
        <family val="2"/>
        <charset val="238"/>
        <scheme val="minor"/>
      </rPr>
      <t xml:space="preserve"> as nutrient (PAO growth)</t>
    </r>
  </si>
  <si>
    <r>
      <t>Half-saturation coefficient for X</t>
    </r>
    <r>
      <rPr>
        <vertAlign val="subscript"/>
        <sz val="11"/>
        <rFont val="Calibri"/>
        <family val="2"/>
        <scheme val="minor"/>
      </rPr>
      <t>PP</t>
    </r>
    <r>
      <rPr>
        <sz val="11"/>
        <rFont val="Calibri"/>
        <family val="2"/>
        <scheme val="minor"/>
      </rPr>
      <t xml:space="preserve"> </t>
    </r>
  </si>
  <si>
    <r>
      <t>Half-saturation coefficient for X</t>
    </r>
    <r>
      <rPr>
        <vertAlign val="subscript"/>
        <sz val="11"/>
        <rFont val="Calibri"/>
        <family val="2"/>
        <scheme val="minor"/>
      </rPr>
      <t xml:space="preserve">PHA </t>
    </r>
  </si>
  <si>
    <t>Half-saturation of glycogen</t>
  </si>
  <si>
    <r>
      <t>Half-saturation of PO</t>
    </r>
    <r>
      <rPr>
        <vertAlign val="subscript"/>
        <sz val="11"/>
        <color rgb="FF000000"/>
        <rFont val="Calibri"/>
        <family val="2"/>
        <scheme val="minor"/>
      </rPr>
      <t xml:space="preserve">4 </t>
    </r>
  </si>
  <si>
    <t>Half-saturation of oxygen</t>
  </si>
  <si>
    <t>Half-saturation of nitrate</t>
  </si>
  <si>
    <r>
      <t>Rate of S</t>
    </r>
    <r>
      <rPr>
        <vertAlign val="subscript"/>
        <sz val="11"/>
        <color rgb="FF000000"/>
        <rFont val="Calibri"/>
        <family val="2"/>
        <scheme val="minor"/>
      </rPr>
      <t>A</t>
    </r>
    <r>
      <rPr>
        <sz val="11"/>
        <color rgb="FF000000"/>
        <rFont val="Calibri"/>
        <family val="2"/>
        <charset val="238"/>
        <scheme val="minor"/>
      </rPr>
      <t xml:space="preserve"> storage into PHA for PAOs (anaerobic)</t>
    </r>
  </si>
  <si>
    <r>
      <t>Rate of S</t>
    </r>
    <r>
      <rPr>
        <vertAlign val="subscript"/>
        <sz val="11"/>
        <color rgb="FF000000"/>
        <rFont val="Calibri"/>
        <family val="2"/>
        <scheme val="minor"/>
      </rPr>
      <t>A</t>
    </r>
    <r>
      <rPr>
        <sz val="11"/>
        <color rgb="FF000000"/>
        <rFont val="Calibri"/>
        <family val="2"/>
        <charset val="238"/>
        <scheme val="minor"/>
      </rPr>
      <t xml:space="preserve"> storage into PHA for PAOs (anoxic)</t>
    </r>
  </si>
  <si>
    <t>Half-saturation of VFA</t>
  </si>
  <si>
    <r>
      <t>g P</t>
    </r>
    <r>
      <rPr>
        <sz val="11"/>
        <rFont val="Calibri"/>
        <family val="2"/>
        <scheme val="minor"/>
      </rPr>
      <t>.g X</t>
    </r>
    <r>
      <rPr>
        <vertAlign val="subscript"/>
        <sz val="11"/>
        <rFont val="Calibri"/>
        <family val="2"/>
        <scheme val="minor"/>
      </rPr>
      <t>PAO</t>
    </r>
    <r>
      <rPr>
        <vertAlign val="superscript"/>
        <sz val="11"/>
        <rFont val="Calibri"/>
        <family val="2"/>
        <scheme val="minor"/>
      </rPr>
      <t>-1</t>
    </r>
  </si>
  <si>
    <r>
      <t>g COD</t>
    </r>
    <r>
      <rPr>
        <sz val="11"/>
        <rFont val="Calibri"/>
        <family val="2"/>
        <scheme val="minor"/>
      </rPr>
      <t>.g X</t>
    </r>
    <r>
      <rPr>
        <vertAlign val="subscript"/>
        <sz val="11"/>
        <rFont val="Calibri"/>
        <family val="2"/>
        <scheme val="minor"/>
      </rPr>
      <t>PAO</t>
    </r>
    <r>
      <rPr>
        <vertAlign val="superscript"/>
        <sz val="11"/>
        <rFont val="Calibri"/>
        <family val="2"/>
        <scheme val="minor"/>
      </rPr>
      <t>-1</t>
    </r>
  </si>
  <si>
    <t>Growth and decay of autotrophic nitrifying organisms</t>
  </si>
  <si>
    <t>Maximum specific growth rate of autotrophs</t>
  </si>
  <si>
    <t>Decay rate of autotrophs</t>
  </si>
  <si>
    <r>
      <t>Yield for X</t>
    </r>
    <r>
      <rPr>
        <vertAlign val="subscript"/>
        <sz val="11"/>
        <rFont val="Calibri"/>
        <family val="2"/>
        <scheme val="minor"/>
      </rPr>
      <t>H</t>
    </r>
    <r>
      <rPr>
        <sz val="11"/>
        <rFont val="Calibri"/>
        <family val="2"/>
        <scheme val="minor"/>
      </rPr>
      <t xml:space="preserve"> growth</t>
    </r>
  </si>
  <si>
    <r>
      <t>Yield for consumption of X</t>
    </r>
    <r>
      <rPr>
        <vertAlign val="subscript"/>
        <sz val="11"/>
        <rFont val="Calibri"/>
        <family val="2"/>
        <scheme val="minor"/>
      </rPr>
      <t>PHA</t>
    </r>
    <r>
      <rPr>
        <sz val="11"/>
        <rFont val="Calibri"/>
        <family val="2"/>
        <scheme val="minor"/>
      </rPr>
      <t xml:space="preserve"> per X</t>
    </r>
    <r>
      <rPr>
        <vertAlign val="subscript"/>
        <sz val="11"/>
        <rFont val="Calibri"/>
        <family val="2"/>
        <scheme val="minor"/>
      </rPr>
      <t>PAO</t>
    </r>
    <r>
      <rPr>
        <sz val="11"/>
        <rFont val="Calibri"/>
        <family val="2"/>
        <scheme val="minor"/>
      </rPr>
      <t xml:space="preserve"> formation (Aerobic)</t>
    </r>
  </si>
  <si>
    <r>
      <t>Yield for consumption of X</t>
    </r>
    <r>
      <rPr>
        <vertAlign val="subscript"/>
        <sz val="11"/>
        <rFont val="Calibri"/>
        <family val="2"/>
        <scheme val="minor"/>
      </rPr>
      <t>PHA</t>
    </r>
    <r>
      <rPr>
        <sz val="11"/>
        <rFont val="Calibri"/>
        <family val="2"/>
        <scheme val="minor"/>
      </rPr>
      <t xml:space="preserve"> per X</t>
    </r>
    <r>
      <rPr>
        <vertAlign val="subscript"/>
        <sz val="11"/>
        <rFont val="Calibri"/>
        <family val="2"/>
        <scheme val="minor"/>
      </rPr>
      <t>PAO</t>
    </r>
    <r>
      <rPr>
        <sz val="11"/>
        <rFont val="Calibri"/>
        <family val="2"/>
        <scheme val="minor"/>
      </rPr>
      <t xml:space="preserve"> formation (Anoxic)</t>
    </r>
  </si>
  <si>
    <r>
      <t>Yield for X</t>
    </r>
    <r>
      <rPr>
        <vertAlign val="subscript"/>
        <sz val="11"/>
        <rFont val="Calibri"/>
        <family val="2"/>
        <scheme val="minor"/>
      </rPr>
      <t>PP</t>
    </r>
    <r>
      <rPr>
        <sz val="11"/>
        <rFont val="Calibri"/>
        <family val="2"/>
        <scheme val="minor"/>
      </rPr>
      <t xml:space="preserve"> formation per X</t>
    </r>
    <r>
      <rPr>
        <vertAlign val="subscript"/>
        <sz val="11"/>
        <rFont val="Calibri"/>
        <family val="2"/>
        <scheme val="minor"/>
      </rPr>
      <t>PAO</t>
    </r>
    <r>
      <rPr>
        <sz val="11"/>
        <rFont val="Calibri"/>
        <family val="2"/>
        <scheme val="minor"/>
      </rPr>
      <t xml:space="preserve"> (Anoxic)</t>
    </r>
  </si>
  <si>
    <r>
      <t>Yield for X</t>
    </r>
    <r>
      <rPr>
        <vertAlign val="subscript"/>
        <sz val="11"/>
        <rFont val="Calibri"/>
        <family val="2"/>
        <scheme val="minor"/>
      </rPr>
      <t>PP</t>
    </r>
    <r>
      <rPr>
        <sz val="11"/>
        <rFont val="Calibri"/>
        <family val="2"/>
        <scheme val="minor"/>
      </rPr>
      <t xml:space="preserve"> formation per X</t>
    </r>
    <r>
      <rPr>
        <vertAlign val="subscript"/>
        <sz val="11"/>
        <rFont val="Calibri"/>
        <family val="2"/>
        <scheme val="minor"/>
      </rPr>
      <t>PAO</t>
    </r>
    <r>
      <rPr>
        <sz val="11"/>
        <rFont val="Calibri"/>
        <family val="2"/>
        <scheme val="minor"/>
      </rPr>
      <t xml:space="preserve"> (Aerobic)</t>
    </r>
  </si>
  <si>
    <r>
      <t>Yield for X</t>
    </r>
    <r>
      <rPr>
        <vertAlign val="subscript"/>
        <sz val="11"/>
        <rFont val="Calibri"/>
        <family val="2"/>
        <scheme val="minor"/>
      </rPr>
      <t>PHA</t>
    </r>
    <r>
      <rPr>
        <sz val="11"/>
        <rFont val="Calibri"/>
        <family val="2"/>
        <scheme val="minor"/>
      </rPr>
      <t xml:space="preserve"> storage per S</t>
    </r>
    <r>
      <rPr>
        <vertAlign val="subscript"/>
        <sz val="11"/>
        <rFont val="Calibri"/>
        <family val="2"/>
        <scheme val="minor"/>
      </rPr>
      <t>A</t>
    </r>
    <r>
      <rPr>
        <sz val="11"/>
        <rFont val="Calibri"/>
        <family val="2"/>
        <scheme val="minor"/>
      </rPr>
      <t xml:space="preserve"> (Anoxic)</t>
    </r>
  </si>
  <si>
    <r>
      <t>Yield for X</t>
    </r>
    <r>
      <rPr>
        <vertAlign val="subscript"/>
        <sz val="11"/>
        <rFont val="Calibri"/>
        <family val="2"/>
        <scheme val="minor"/>
      </rPr>
      <t>PHA</t>
    </r>
    <r>
      <rPr>
        <sz val="11"/>
        <rFont val="Calibri"/>
        <family val="2"/>
        <scheme val="minor"/>
      </rPr>
      <t xml:space="preserve"> storage per S</t>
    </r>
    <r>
      <rPr>
        <vertAlign val="subscript"/>
        <sz val="11"/>
        <rFont val="Calibri"/>
        <family val="2"/>
        <scheme val="minor"/>
      </rPr>
      <t>A</t>
    </r>
    <r>
      <rPr>
        <sz val="11"/>
        <rFont val="Calibri"/>
        <family val="2"/>
        <scheme val="minor"/>
      </rPr>
      <t xml:space="preserve"> (Anaerobic)</t>
    </r>
  </si>
  <si>
    <r>
      <t>Yield for X</t>
    </r>
    <r>
      <rPr>
        <vertAlign val="subscript"/>
        <sz val="11"/>
        <rFont val="Calibri"/>
        <family val="2"/>
        <scheme val="minor"/>
      </rPr>
      <t>PP</t>
    </r>
    <r>
      <rPr>
        <sz val="11"/>
        <rFont val="Calibri"/>
        <family val="2"/>
        <scheme val="minor"/>
      </rPr>
      <t xml:space="preserve"> requirement (S</t>
    </r>
    <r>
      <rPr>
        <vertAlign val="subscript"/>
        <sz val="11"/>
        <rFont val="Calibri"/>
        <family val="2"/>
        <scheme val="minor"/>
      </rPr>
      <t>PO</t>
    </r>
    <r>
      <rPr>
        <sz val="11"/>
        <rFont val="Calibri"/>
        <family val="2"/>
        <scheme val="minor"/>
      </rPr>
      <t xml:space="preserve"> release) per X</t>
    </r>
    <r>
      <rPr>
        <vertAlign val="subscript"/>
        <sz val="11"/>
        <rFont val="Calibri"/>
        <family val="2"/>
        <scheme val="minor"/>
      </rPr>
      <t>PHA</t>
    </r>
    <r>
      <rPr>
        <sz val="11"/>
        <rFont val="Calibri"/>
        <family val="2"/>
        <scheme val="minor"/>
      </rPr>
      <t xml:space="preserve"> stored (S</t>
    </r>
    <r>
      <rPr>
        <vertAlign val="subscript"/>
        <sz val="11"/>
        <rFont val="Calibri"/>
        <family val="2"/>
        <scheme val="minor"/>
      </rPr>
      <t>A</t>
    </r>
    <r>
      <rPr>
        <sz val="11"/>
        <rFont val="Calibri"/>
        <family val="2"/>
        <scheme val="minor"/>
      </rPr>
      <t xml:space="preserve"> utilized) (Anoxic)</t>
    </r>
  </si>
  <si>
    <r>
      <t>Yield for X</t>
    </r>
    <r>
      <rPr>
        <vertAlign val="subscript"/>
        <sz val="11"/>
        <rFont val="Calibri"/>
        <family val="2"/>
        <scheme val="minor"/>
      </rPr>
      <t>PP</t>
    </r>
    <r>
      <rPr>
        <sz val="11"/>
        <rFont val="Calibri"/>
        <family val="2"/>
        <scheme val="minor"/>
      </rPr>
      <t xml:space="preserve"> requirement (S</t>
    </r>
    <r>
      <rPr>
        <vertAlign val="subscript"/>
        <sz val="11"/>
        <rFont val="Calibri"/>
        <family val="2"/>
        <scheme val="minor"/>
      </rPr>
      <t>PO</t>
    </r>
    <r>
      <rPr>
        <sz val="11"/>
        <rFont val="Calibri"/>
        <family val="2"/>
        <scheme val="minor"/>
      </rPr>
      <t xml:space="preserve"> release) per X</t>
    </r>
    <r>
      <rPr>
        <vertAlign val="subscript"/>
        <sz val="11"/>
        <rFont val="Calibri"/>
        <family val="2"/>
        <scheme val="minor"/>
      </rPr>
      <t>PHA</t>
    </r>
    <r>
      <rPr>
        <sz val="11"/>
        <rFont val="Calibri"/>
        <family val="2"/>
        <scheme val="minor"/>
      </rPr>
      <t xml:space="preserve"> stored (S</t>
    </r>
    <r>
      <rPr>
        <vertAlign val="subscript"/>
        <sz val="11"/>
        <rFont val="Calibri"/>
        <family val="2"/>
        <scheme val="minor"/>
      </rPr>
      <t>A</t>
    </r>
    <r>
      <rPr>
        <sz val="11"/>
        <rFont val="Calibri"/>
        <family val="2"/>
        <scheme val="minor"/>
      </rPr>
      <t xml:space="preserve"> utilized) (Anaerobic)</t>
    </r>
  </si>
  <si>
    <r>
      <t>Yield for formation of X</t>
    </r>
    <r>
      <rPr>
        <vertAlign val="subscript"/>
        <sz val="11"/>
        <rFont val="Calibri"/>
        <family val="2"/>
        <scheme val="minor"/>
      </rPr>
      <t>GLY</t>
    </r>
    <r>
      <rPr>
        <sz val="11"/>
        <rFont val="Calibri"/>
        <family val="2"/>
        <scheme val="minor"/>
      </rPr>
      <t xml:space="preserve"> (Anoxic)</t>
    </r>
  </si>
  <si>
    <r>
      <t>Yield for formation of X</t>
    </r>
    <r>
      <rPr>
        <vertAlign val="subscript"/>
        <sz val="11"/>
        <rFont val="Calibri"/>
        <family val="2"/>
        <scheme val="minor"/>
      </rPr>
      <t>GLY</t>
    </r>
    <r>
      <rPr>
        <sz val="11"/>
        <rFont val="Calibri"/>
        <family val="2"/>
        <scheme val="minor"/>
      </rPr>
      <t xml:space="preserve"> (Aerobic)</t>
    </r>
  </si>
  <si>
    <r>
      <t>Yield of X</t>
    </r>
    <r>
      <rPr>
        <vertAlign val="subscript"/>
        <sz val="11"/>
        <rFont val="Calibri"/>
        <family val="2"/>
        <scheme val="minor"/>
      </rPr>
      <t>A</t>
    </r>
    <r>
      <rPr>
        <sz val="11"/>
        <rFont val="Calibri"/>
        <family val="2"/>
        <scheme val="minor"/>
      </rPr>
      <t xml:space="preserve"> growth per S</t>
    </r>
    <r>
      <rPr>
        <vertAlign val="subscript"/>
        <sz val="11"/>
        <rFont val="Calibri"/>
        <family val="2"/>
        <scheme val="minor"/>
      </rPr>
      <t>NO</t>
    </r>
  </si>
  <si>
    <r>
      <t>g COD.g COD</t>
    </r>
    <r>
      <rPr>
        <vertAlign val="superscript"/>
        <sz val="11"/>
        <rFont val="Calibri"/>
        <family val="2"/>
        <charset val="238"/>
        <scheme val="minor"/>
      </rPr>
      <t>-1</t>
    </r>
  </si>
  <si>
    <r>
      <t>g P g COD</t>
    </r>
    <r>
      <rPr>
        <vertAlign val="superscript"/>
        <sz val="11"/>
        <rFont val="Calibri"/>
        <family val="2"/>
        <charset val="238"/>
        <scheme val="minor"/>
      </rPr>
      <t>-1</t>
    </r>
  </si>
  <si>
    <r>
      <t>g COD.g N</t>
    </r>
    <r>
      <rPr>
        <vertAlign val="superscript"/>
        <sz val="11"/>
        <rFont val="Calibri"/>
        <family val="2"/>
        <charset val="238"/>
        <scheme val="minor"/>
      </rPr>
      <t>-1</t>
    </r>
  </si>
  <si>
    <r>
      <t>Fraction of X</t>
    </r>
    <r>
      <rPr>
        <vertAlign val="subscript"/>
        <sz val="11"/>
        <rFont val="Calibri"/>
        <family val="2"/>
        <scheme val="minor"/>
      </rPr>
      <t>I</t>
    </r>
    <r>
      <rPr>
        <sz val="11"/>
        <rFont val="Calibri"/>
        <family val="2"/>
        <scheme val="minor"/>
      </rPr>
      <t xml:space="preserve"> generated in heterotrophic biomass decay</t>
    </r>
  </si>
  <si>
    <r>
      <t>Fraction of X</t>
    </r>
    <r>
      <rPr>
        <vertAlign val="subscript"/>
        <sz val="11"/>
        <rFont val="Calibri"/>
        <family val="2"/>
        <scheme val="minor"/>
      </rPr>
      <t>I</t>
    </r>
    <r>
      <rPr>
        <sz val="11"/>
        <rFont val="Calibri"/>
        <family val="2"/>
        <scheme val="minor"/>
      </rPr>
      <t xml:space="preserve"> generated in X</t>
    </r>
    <r>
      <rPr>
        <vertAlign val="subscript"/>
        <sz val="11"/>
        <rFont val="Calibri"/>
        <family val="2"/>
        <scheme val="minor"/>
      </rPr>
      <t>A</t>
    </r>
    <r>
      <rPr>
        <sz val="11"/>
        <rFont val="Calibri"/>
        <family val="2"/>
        <scheme val="minor"/>
      </rPr>
      <t xml:space="preserve"> decay</t>
    </r>
  </si>
  <si>
    <r>
      <t>N content of S</t>
    </r>
    <r>
      <rPr>
        <vertAlign val="subscript"/>
        <sz val="11"/>
        <rFont val="Calibri"/>
        <family val="2"/>
        <scheme val="minor"/>
      </rPr>
      <t>I</t>
    </r>
  </si>
  <si>
    <r>
      <t>N content of X</t>
    </r>
    <r>
      <rPr>
        <vertAlign val="subscript"/>
        <sz val="11"/>
        <rFont val="Calibri"/>
        <family val="2"/>
        <scheme val="minor"/>
      </rPr>
      <t>I</t>
    </r>
  </si>
  <si>
    <t>N content of biomasses</t>
  </si>
  <si>
    <r>
      <t>P content of S</t>
    </r>
    <r>
      <rPr>
        <vertAlign val="subscript"/>
        <sz val="11"/>
        <rFont val="Calibri"/>
        <family val="2"/>
        <scheme val="minor"/>
      </rPr>
      <t>I</t>
    </r>
  </si>
  <si>
    <r>
      <t>P content of X</t>
    </r>
    <r>
      <rPr>
        <vertAlign val="subscript"/>
        <sz val="11"/>
        <rFont val="Calibri"/>
        <family val="2"/>
        <scheme val="minor"/>
      </rPr>
      <t>I</t>
    </r>
  </si>
  <si>
    <r>
      <t>P content of X</t>
    </r>
    <r>
      <rPr>
        <vertAlign val="subscript"/>
        <sz val="11"/>
        <rFont val="Calibri"/>
        <family val="2"/>
        <scheme val="minor"/>
      </rPr>
      <t>S</t>
    </r>
  </si>
  <si>
    <r>
      <t>N content of X</t>
    </r>
    <r>
      <rPr>
        <vertAlign val="subscript"/>
        <sz val="11"/>
        <rFont val="Calibri"/>
        <family val="2"/>
        <scheme val="minor"/>
      </rPr>
      <t>S</t>
    </r>
  </si>
  <si>
    <t>P content of biomasses</t>
  </si>
  <si>
    <r>
      <t>g N.g COD</t>
    </r>
    <r>
      <rPr>
        <vertAlign val="superscript"/>
        <sz val="11"/>
        <rFont val="Calibri"/>
        <family val="2"/>
        <scheme val="minor"/>
      </rPr>
      <t>-1</t>
    </r>
  </si>
  <si>
    <r>
      <t>g P.g COD</t>
    </r>
    <r>
      <rPr>
        <vertAlign val="superscript"/>
        <sz val="11"/>
        <rFont val="Calibri"/>
        <family val="2"/>
        <scheme val="minor"/>
      </rPr>
      <t>-1</t>
    </r>
  </si>
  <si>
    <t>Conversion factor XI into TSS</t>
  </si>
  <si>
    <t>Conversion factor XS into TSS</t>
  </si>
  <si>
    <t>Conversion factor XPHA into TSS</t>
  </si>
  <si>
    <t>Conversion factor XPP into TSS</t>
  </si>
  <si>
    <t>Conversion factor XGLY into TSS</t>
  </si>
  <si>
    <r>
      <t>g TSS.g COD</t>
    </r>
    <r>
      <rPr>
        <vertAlign val="superscript"/>
        <sz val="11"/>
        <rFont val="Calibri"/>
        <family val="2"/>
        <charset val="238"/>
        <scheme val="minor"/>
      </rPr>
      <t>-1</t>
    </r>
  </si>
  <si>
    <r>
      <t>g TSS.g P</t>
    </r>
    <r>
      <rPr>
        <vertAlign val="superscript"/>
        <sz val="11"/>
        <rFont val="Calibri"/>
        <family val="2"/>
        <charset val="238"/>
        <scheme val="minor"/>
      </rPr>
      <t>-1</t>
    </r>
  </si>
  <si>
    <t>Conversion factor for SA (CH3COO-) into charge</t>
  </si>
  <si>
    <t>Conversion factor for SPO into charge</t>
  </si>
  <si>
    <t>Conversion factor for SNO into charge</t>
  </si>
  <si>
    <t>Conversion factor for SNH into charge</t>
  </si>
  <si>
    <t>Conversion factor for XPP (K0.33Mg0.33PO3)n into charge</t>
  </si>
  <si>
    <t>If(Sumo__pHEffects; (1 + 2 * 10^(0.5 * (Klo - Khi))) / (1 + 10^(var - Khi) + 10^(Klo - var)); 1)</t>
  </si>
  <si>
    <t>Sumo__pHEffects</t>
  </si>
  <si>
    <t>On the Components Tab</t>
  </si>
  <si>
    <t>On the Model Tab</t>
  </si>
  <si>
    <t>Starting a new model: pH setup (skip with models without pH modelling)</t>
  </si>
  <si>
    <t>On the Species Tab</t>
  </si>
  <si>
    <t>On the pH Tab</t>
  </si>
  <si>
    <r>
      <rPr>
        <b/>
        <sz val="11"/>
        <color indexed="8"/>
        <rFont val="Calibri"/>
        <family val="2"/>
      </rPr>
      <t>Functions</t>
    </r>
    <r>
      <rPr>
        <sz val="11"/>
        <color indexed="8"/>
        <rFont val="Calibri"/>
        <family val="2"/>
      </rPr>
      <t xml:space="preserve"> that can be used in rate expressions are listed in systemcode.xlsx. Some examples are given below:</t>
    </r>
  </si>
  <si>
    <r>
      <rPr>
        <b/>
        <sz val="11"/>
        <color indexed="8"/>
        <rFont val="Calibri"/>
        <family val="2"/>
      </rPr>
      <t xml:space="preserve">Excel </t>
    </r>
    <r>
      <rPr>
        <sz val="11"/>
        <color indexed="8"/>
        <rFont val="Calibri"/>
        <family val="2"/>
      </rPr>
      <t>frequently mixes up macros when two workbooks are open at the same time. Open Workbooks one at a time when using the checking macros.</t>
    </r>
  </si>
  <si>
    <t>Default</t>
  </si>
  <si>
    <t>Particle size</t>
  </si>
  <si>
    <r>
      <t>- g COD.m</t>
    </r>
    <r>
      <rPr>
        <vertAlign val="superscript"/>
        <sz val="11"/>
        <rFont val="Calibri"/>
        <family val="2"/>
        <scheme val="minor"/>
      </rPr>
      <t>-3</t>
    </r>
  </si>
  <si>
    <r>
      <t>S</t>
    </r>
    <r>
      <rPr>
        <vertAlign val="subscript"/>
        <sz val="11"/>
        <rFont val="Calibri"/>
        <family val="2"/>
        <scheme val="minor"/>
      </rPr>
      <t>F</t>
    </r>
  </si>
  <si>
    <r>
      <t>g COD.m</t>
    </r>
    <r>
      <rPr>
        <vertAlign val="superscript"/>
        <sz val="11"/>
        <rFont val="Calibri"/>
        <family val="2"/>
        <scheme val="minor"/>
      </rPr>
      <t>-3</t>
    </r>
  </si>
  <si>
    <r>
      <t>S</t>
    </r>
    <r>
      <rPr>
        <vertAlign val="subscript"/>
        <sz val="11"/>
        <rFont val="Calibri"/>
        <family val="2"/>
        <scheme val="minor"/>
      </rPr>
      <t>A</t>
    </r>
  </si>
  <si>
    <r>
      <t>S</t>
    </r>
    <r>
      <rPr>
        <vertAlign val="subscript"/>
        <sz val="11"/>
        <rFont val="Calibri"/>
        <family val="2"/>
        <scheme val="minor"/>
      </rPr>
      <t>NH</t>
    </r>
  </si>
  <si>
    <r>
      <t>Ammonia (NH</t>
    </r>
    <r>
      <rPr>
        <vertAlign val="subscript"/>
        <sz val="11"/>
        <color rgb="FF000000"/>
        <rFont val="Calibri"/>
        <family val="2"/>
        <scheme val="minor"/>
      </rPr>
      <t>4</t>
    </r>
    <r>
      <rPr>
        <vertAlign val="superscript"/>
        <sz val="11"/>
        <color rgb="FF000000"/>
        <rFont val="Calibri"/>
        <family val="2"/>
        <scheme val="minor"/>
      </rPr>
      <t>+</t>
    </r>
    <r>
      <rPr>
        <sz val="11"/>
        <color rgb="FF000000"/>
        <rFont val="Calibri"/>
        <family val="2"/>
        <charset val="238"/>
        <scheme val="minor"/>
      </rPr>
      <t xml:space="preserve"> + NH</t>
    </r>
    <r>
      <rPr>
        <vertAlign val="subscript"/>
        <sz val="11"/>
        <color rgb="FF000000"/>
        <rFont val="Calibri"/>
        <family val="2"/>
        <scheme val="minor"/>
      </rPr>
      <t>3</t>
    </r>
    <r>
      <rPr>
        <sz val="11"/>
        <color rgb="FF000000"/>
        <rFont val="Calibri"/>
        <family val="2"/>
        <charset val="238"/>
        <scheme val="minor"/>
      </rPr>
      <t>)</t>
    </r>
  </si>
  <si>
    <r>
      <t>Nitrate and nitrite (NO</t>
    </r>
    <r>
      <rPr>
        <vertAlign val="subscript"/>
        <sz val="11"/>
        <color rgb="FF000000"/>
        <rFont val="Calibri"/>
        <family val="2"/>
        <scheme val="minor"/>
      </rPr>
      <t>3</t>
    </r>
    <r>
      <rPr>
        <sz val="11"/>
        <color rgb="FF000000"/>
        <rFont val="Calibri"/>
        <family val="2"/>
        <charset val="238"/>
        <scheme val="minor"/>
      </rPr>
      <t xml:space="preserve"> + NO</t>
    </r>
    <r>
      <rPr>
        <vertAlign val="subscript"/>
        <sz val="11"/>
        <color rgb="FF000000"/>
        <rFont val="Calibri"/>
        <family val="2"/>
        <scheme val="minor"/>
      </rPr>
      <t>2</t>
    </r>
    <r>
      <rPr>
        <sz val="11"/>
        <color rgb="FF000000"/>
        <rFont val="Calibri"/>
        <family val="2"/>
        <charset val="238"/>
        <scheme val="minor"/>
      </rPr>
      <t>)</t>
    </r>
  </si>
  <si>
    <r>
      <t>S</t>
    </r>
    <r>
      <rPr>
        <vertAlign val="subscript"/>
        <sz val="11"/>
        <rFont val="Calibri"/>
        <family val="2"/>
        <scheme val="minor"/>
      </rPr>
      <t>N2</t>
    </r>
  </si>
  <si>
    <r>
      <t>S</t>
    </r>
    <r>
      <rPr>
        <vertAlign val="subscript"/>
        <sz val="11"/>
        <rFont val="Calibri"/>
        <family val="2"/>
        <scheme val="minor"/>
      </rPr>
      <t>PO</t>
    </r>
  </si>
  <si>
    <r>
      <t>g P.m</t>
    </r>
    <r>
      <rPr>
        <vertAlign val="superscript"/>
        <sz val="11"/>
        <rFont val="Calibri"/>
        <family val="2"/>
        <scheme val="minor"/>
      </rPr>
      <t>-3</t>
    </r>
  </si>
  <si>
    <r>
      <t>S</t>
    </r>
    <r>
      <rPr>
        <vertAlign val="subscript"/>
        <sz val="11"/>
        <rFont val="Calibri"/>
        <family val="2"/>
        <scheme val="minor"/>
      </rPr>
      <t>I</t>
    </r>
  </si>
  <si>
    <r>
      <t>Alkalinity (HCO</t>
    </r>
    <r>
      <rPr>
        <vertAlign val="subscript"/>
        <sz val="11"/>
        <rFont val="Calibri"/>
        <family val="2"/>
        <scheme val="minor"/>
      </rPr>
      <t>3</t>
    </r>
    <r>
      <rPr>
        <vertAlign val="superscript"/>
        <sz val="11"/>
        <rFont val="Calibri"/>
        <family val="2"/>
        <scheme val="minor"/>
      </rPr>
      <t>-</t>
    </r>
    <r>
      <rPr>
        <sz val="11"/>
        <rFont val="Calibri"/>
        <family val="2"/>
        <scheme val="minor"/>
      </rPr>
      <t>)</t>
    </r>
  </si>
  <si>
    <r>
      <t>X</t>
    </r>
    <r>
      <rPr>
        <i/>
        <vertAlign val="subscript"/>
        <sz val="11"/>
        <rFont val="Calibri"/>
        <family val="2"/>
        <scheme val="minor"/>
      </rPr>
      <t>I</t>
    </r>
  </si>
  <si>
    <r>
      <t>X</t>
    </r>
    <r>
      <rPr>
        <vertAlign val="subscript"/>
        <sz val="11"/>
        <rFont val="Calibri"/>
        <family val="2"/>
        <scheme val="minor"/>
      </rPr>
      <t>S</t>
    </r>
  </si>
  <si>
    <r>
      <t>X</t>
    </r>
    <r>
      <rPr>
        <vertAlign val="subscript"/>
        <sz val="11"/>
        <rFont val="Calibri"/>
        <family val="2"/>
        <scheme val="minor"/>
      </rPr>
      <t>H</t>
    </r>
  </si>
  <si>
    <r>
      <t>X</t>
    </r>
    <r>
      <rPr>
        <vertAlign val="subscript"/>
        <sz val="11"/>
        <rFont val="Calibri"/>
        <family val="2"/>
        <scheme val="minor"/>
      </rPr>
      <t>PAO</t>
    </r>
  </si>
  <si>
    <r>
      <t>X</t>
    </r>
    <r>
      <rPr>
        <vertAlign val="subscript"/>
        <sz val="11"/>
        <rFont val="Calibri"/>
        <family val="2"/>
        <scheme val="minor"/>
      </rPr>
      <t>PP</t>
    </r>
  </si>
  <si>
    <r>
      <t>X</t>
    </r>
    <r>
      <rPr>
        <vertAlign val="subscript"/>
        <sz val="11"/>
        <rFont val="Calibri"/>
        <family val="2"/>
        <scheme val="minor"/>
      </rPr>
      <t>PHA</t>
    </r>
  </si>
  <si>
    <r>
      <t>X</t>
    </r>
    <r>
      <rPr>
        <vertAlign val="subscript"/>
        <sz val="11"/>
        <rFont val="Calibri"/>
        <family val="2"/>
        <scheme val="minor"/>
      </rPr>
      <t>GLY</t>
    </r>
  </si>
  <si>
    <r>
      <t>X</t>
    </r>
    <r>
      <rPr>
        <vertAlign val="subscript"/>
        <sz val="11"/>
        <rFont val="Calibri"/>
        <family val="2"/>
        <scheme val="minor"/>
      </rPr>
      <t>A</t>
    </r>
  </si>
  <si>
    <r>
      <t>X</t>
    </r>
    <r>
      <rPr>
        <vertAlign val="subscript"/>
        <sz val="11"/>
        <rFont val="Calibri"/>
        <family val="2"/>
        <scheme val="minor"/>
      </rPr>
      <t>TSS</t>
    </r>
  </si>
  <si>
    <r>
      <t>g TSS.m</t>
    </r>
    <r>
      <rPr>
        <vertAlign val="superscript"/>
        <sz val="11"/>
        <rFont val="Calibri"/>
        <family val="2"/>
        <scheme val="minor"/>
      </rPr>
      <t>-3</t>
    </r>
  </si>
  <si>
    <t>Components</t>
  </si>
  <si>
    <t>Saturation/inhibition terms</t>
  </si>
  <si>
    <r>
      <t>Msat</t>
    </r>
    <r>
      <rPr>
        <vertAlign val="subscript"/>
        <sz val="11"/>
        <rFont val="Calibri"/>
        <family val="2"/>
      </rPr>
      <t>SO,KO,HYD</t>
    </r>
  </si>
  <si>
    <r>
      <t>Msat</t>
    </r>
    <r>
      <rPr>
        <vertAlign val="subscript"/>
        <sz val="11"/>
        <rFont val="Calibri"/>
        <family val="2"/>
      </rPr>
      <t>SO,KO,H</t>
    </r>
  </si>
  <si>
    <r>
      <t>Msat</t>
    </r>
    <r>
      <rPr>
        <vertAlign val="subscript"/>
        <sz val="11"/>
        <rFont val="Calibri"/>
        <family val="2"/>
      </rPr>
      <t>SNH,KN,H</t>
    </r>
  </si>
  <si>
    <r>
      <t>S</t>
    </r>
    <r>
      <rPr>
        <vertAlign val="subscript"/>
        <sz val="11"/>
        <rFont val="Calibri"/>
        <family val="2"/>
      </rPr>
      <t>NH</t>
    </r>
    <r>
      <rPr>
        <sz val="11"/>
        <rFont val="Calibri"/>
        <family val="2"/>
      </rPr>
      <t>/(K</t>
    </r>
    <r>
      <rPr>
        <vertAlign val="subscript"/>
        <sz val="11"/>
        <rFont val="Calibri"/>
        <family val="2"/>
      </rPr>
      <t>N,H</t>
    </r>
    <r>
      <rPr>
        <sz val="11"/>
        <rFont val="Calibri"/>
        <family val="2"/>
      </rPr>
      <t>+S</t>
    </r>
    <r>
      <rPr>
        <vertAlign val="subscript"/>
        <sz val="11"/>
        <rFont val="Calibri"/>
        <family val="2"/>
      </rPr>
      <t>NH</t>
    </r>
    <r>
      <rPr>
        <sz val="11"/>
        <rFont val="Calibri"/>
        <family val="2"/>
      </rPr>
      <t>)</t>
    </r>
  </si>
  <si>
    <r>
      <t>Msat</t>
    </r>
    <r>
      <rPr>
        <vertAlign val="subscript"/>
        <sz val="11"/>
        <rFont val="Calibri"/>
        <family val="2"/>
      </rPr>
      <t>SF,KF</t>
    </r>
  </si>
  <si>
    <r>
      <t>S</t>
    </r>
    <r>
      <rPr>
        <vertAlign val="subscript"/>
        <sz val="11"/>
        <rFont val="Calibri"/>
        <family val="2"/>
      </rPr>
      <t>F</t>
    </r>
    <r>
      <rPr>
        <sz val="11"/>
        <rFont val="Calibri"/>
        <family val="2"/>
      </rPr>
      <t>/(K</t>
    </r>
    <r>
      <rPr>
        <vertAlign val="subscript"/>
        <sz val="11"/>
        <rFont val="Calibri"/>
        <family val="2"/>
      </rPr>
      <t>F</t>
    </r>
    <r>
      <rPr>
        <sz val="11"/>
        <rFont val="Calibri"/>
        <family val="2"/>
      </rPr>
      <t>+S</t>
    </r>
    <r>
      <rPr>
        <vertAlign val="subscript"/>
        <sz val="11"/>
        <rFont val="Calibri"/>
        <family val="2"/>
      </rPr>
      <t>F</t>
    </r>
    <r>
      <rPr>
        <sz val="11"/>
        <rFont val="Calibri"/>
        <family val="2"/>
      </rPr>
      <t>)</t>
    </r>
  </si>
  <si>
    <r>
      <t>Msat</t>
    </r>
    <r>
      <rPr>
        <vertAlign val="subscript"/>
        <sz val="11"/>
        <rFont val="Calibri"/>
        <family val="2"/>
      </rPr>
      <t>SPO,KP,H</t>
    </r>
  </si>
  <si>
    <r>
      <t>S</t>
    </r>
    <r>
      <rPr>
        <vertAlign val="subscript"/>
        <sz val="11"/>
        <rFont val="Calibri"/>
        <family val="2"/>
      </rPr>
      <t>PO</t>
    </r>
    <r>
      <rPr>
        <sz val="11"/>
        <rFont val="Calibri"/>
        <family val="2"/>
      </rPr>
      <t>/(K</t>
    </r>
    <r>
      <rPr>
        <vertAlign val="subscript"/>
        <sz val="11"/>
        <rFont val="Calibri"/>
        <family val="2"/>
      </rPr>
      <t>P,H</t>
    </r>
    <r>
      <rPr>
        <sz val="11"/>
        <rFont val="Calibri"/>
        <family val="2"/>
      </rPr>
      <t>+S</t>
    </r>
    <r>
      <rPr>
        <vertAlign val="subscript"/>
        <sz val="11"/>
        <rFont val="Calibri"/>
        <family val="2"/>
      </rPr>
      <t>PO</t>
    </r>
    <r>
      <rPr>
        <sz val="11"/>
        <rFont val="Calibri"/>
        <family val="2"/>
      </rPr>
      <t>)</t>
    </r>
  </si>
  <si>
    <r>
      <t>Msat</t>
    </r>
    <r>
      <rPr>
        <vertAlign val="subscript"/>
        <sz val="11"/>
        <rFont val="Calibri"/>
        <family val="2"/>
      </rPr>
      <t>SO,KO,PAO</t>
    </r>
  </si>
  <si>
    <r>
      <t>Msat</t>
    </r>
    <r>
      <rPr>
        <vertAlign val="subscript"/>
        <sz val="11"/>
        <rFont val="Calibri"/>
        <family val="2"/>
      </rPr>
      <t>SPO,KP,PAO</t>
    </r>
  </si>
  <si>
    <r>
      <t>S</t>
    </r>
    <r>
      <rPr>
        <vertAlign val="subscript"/>
        <sz val="11"/>
        <rFont val="Calibri"/>
        <family val="2"/>
      </rPr>
      <t>PO</t>
    </r>
    <r>
      <rPr>
        <sz val="11"/>
        <rFont val="Calibri"/>
        <family val="2"/>
      </rPr>
      <t>/(K</t>
    </r>
    <r>
      <rPr>
        <vertAlign val="subscript"/>
        <sz val="11"/>
        <rFont val="Calibri"/>
        <family val="2"/>
      </rPr>
      <t>P,PAO</t>
    </r>
    <r>
      <rPr>
        <sz val="11"/>
        <rFont val="Calibri"/>
        <family val="2"/>
      </rPr>
      <t>+S</t>
    </r>
    <r>
      <rPr>
        <vertAlign val="subscript"/>
        <sz val="11"/>
        <rFont val="Calibri"/>
        <family val="2"/>
      </rPr>
      <t>PO</t>
    </r>
    <r>
      <rPr>
        <sz val="11"/>
        <rFont val="Calibri"/>
        <family val="2"/>
      </rPr>
      <t>)</t>
    </r>
  </si>
  <si>
    <r>
      <t>Msat</t>
    </r>
    <r>
      <rPr>
        <vertAlign val="subscript"/>
        <sz val="11"/>
        <rFont val="Calibri"/>
        <family val="2"/>
      </rPr>
      <t>SNH,KN,PAO</t>
    </r>
  </si>
  <si>
    <r>
      <t>S</t>
    </r>
    <r>
      <rPr>
        <vertAlign val="subscript"/>
        <sz val="11"/>
        <rFont val="Calibri"/>
        <family val="2"/>
      </rPr>
      <t>NH</t>
    </r>
    <r>
      <rPr>
        <sz val="11"/>
        <rFont val="Calibri"/>
        <family val="2"/>
      </rPr>
      <t>/(K</t>
    </r>
    <r>
      <rPr>
        <vertAlign val="subscript"/>
        <sz val="11"/>
        <rFont val="Calibri"/>
        <family val="2"/>
      </rPr>
      <t>N,PAO</t>
    </r>
    <r>
      <rPr>
        <sz val="11"/>
        <rFont val="Calibri"/>
        <family val="2"/>
      </rPr>
      <t>+S</t>
    </r>
    <r>
      <rPr>
        <vertAlign val="subscript"/>
        <sz val="11"/>
        <rFont val="Calibri"/>
        <family val="2"/>
      </rPr>
      <t>NH</t>
    </r>
    <r>
      <rPr>
        <sz val="11"/>
        <rFont val="Calibri"/>
        <family val="2"/>
      </rPr>
      <t>)</t>
    </r>
  </si>
  <si>
    <r>
      <t>Minh</t>
    </r>
    <r>
      <rPr>
        <vertAlign val="subscript"/>
        <sz val="11"/>
        <rFont val="Calibri"/>
        <family val="2"/>
      </rPr>
      <t>SO,KO,HYD</t>
    </r>
  </si>
  <si>
    <r>
      <t>Minh</t>
    </r>
    <r>
      <rPr>
        <vertAlign val="subscript"/>
        <sz val="11"/>
        <rFont val="Calibri"/>
        <family val="2"/>
      </rPr>
      <t>SO,KO,H</t>
    </r>
  </si>
  <si>
    <r>
      <t>Minh</t>
    </r>
    <r>
      <rPr>
        <vertAlign val="subscript"/>
        <sz val="11"/>
        <rFont val="Calibri"/>
        <family val="2"/>
      </rPr>
      <t>SO,KO,PAO</t>
    </r>
  </si>
  <si>
    <r>
      <t>Msat</t>
    </r>
    <r>
      <rPr>
        <vertAlign val="subscript"/>
        <sz val="11"/>
        <rFont val="Calibri"/>
        <family val="2"/>
      </rPr>
      <t>SA,KAc</t>
    </r>
  </si>
  <si>
    <r>
      <t>m</t>
    </r>
    <r>
      <rPr>
        <vertAlign val="subscript"/>
        <sz val="12"/>
        <rFont val="Arial"/>
        <family val="2"/>
      </rPr>
      <t>O</t>
    </r>
    <r>
      <rPr>
        <sz val="12"/>
        <rFont val="Arial"/>
        <family val="2"/>
      </rPr>
      <t>*Msat</t>
    </r>
    <r>
      <rPr>
        <vertAlign val="subscript"/>
        <sz val="12"/>
        <rFont val="Arial"/>
        <family val="2"/>
      </rPr>
      <t>SO,KO,PAO</t>
    </r>
    <r>
      <rPr>
        <sz val="12"/>
        <rFont val="Arial"/>
        <family val="2"/>
      </rPr>
      <t>*</t>
    </r>
    <r>
      <rPr>
        <i/>
        <sz val="12"/>
        <rFont val="Arial"/>
        <family val="2"/>
      </rPr>
      <t>X</t>
    </r>
    <r>
      <rPr>
        <vertAlign val="subscript"/>
        <sz val="12"/>
        <rFont val="Arial"/>
        <family val="2"/>
      </rPr>
      <t>PAO</t>
    </r>
  </si>
  <si>
    <t>Saturation term for dissolved oxygen (hydrolysis)</t>
  </si>
  <si>
    <t>Saturation term for nitrate and nitrite (hydrolysis)</t>
  </si>
  <si>
    <t>Saturation term for dissolved oxygen (heterotrophs)</t>
  </si>
  <si>
    <t>Saturation term for nitrate and nitrite (heterotrophs)</t>
  </si>
  <si>
    <r>
      <t>Saturation term for PO</t>
    </r>
    <r>
      <rPr>
        <vertAlign val="subscript"/>
        <sz val="11"/>
        <color rgb="FF000000"/>
        <rFont val="Calibri"/>
        <family val="2"/>
        <scheme val="minor"/>
      </rPr>
      <t>4</t>
    </r>
    <r>
      <rPr>
        <sz val="11"/>
        <color rgb="FF000000"/>
        <rFont val="Calibri"/>
        <family val="2"/>
        <charset val="238"/>
        <scheme val="minor"/>
      </rPr>
      <t xml:space="preserve"> (heterotrophs)</t>
    </r>
  </si>
  <si>
    <t>Saturation term for alkalinity (heterotrophs)</t>
  </si>
  <si>
    <t>Saturation term for dissolved oxygen (PAO)</t>
  </si>
  <si>
    <t>Saturation term for alkalinity (PAO)</t>
  </si>
  <si>
    <r>
      <t>Saturation term for PO</t>
    </r>
    <r>
      <rPr>
        <vertAlign val="subscript"/>
        <sz val="11"/>
        <color rgb="FF000000"/>
        <rFont val="Calibri"/>
        <family val="2"/>
        <scheme val="minor"/>
      </rPr>
      <t>4</t>
    </r>
    <r>
      <rPr>
        <sz val="11"/>
        <color rgb="FF000000"/>
        <rFont val="Calibri"/>
        <family val="2"/>
        <charset val="238"/>
        <scheme val="minor"/>
      </rPr>
      <t xml:space="preserve"> (PAO)</t>
    </r>
  </si>
  <si>
    <t>Saturation term for nitrate and nitrite (PAO)</t>
  </si>
  <si>
    <t>Saturation term for ammonia (PAO)</t>
  </si>
  <si>
    <t>Inhibition term for dissolved oxygen (hydrolysis)</t>
  </si>
  <si>
    <t>Inhibition term for dissolved oxygen (heterotrophs)</t>
  </si>
  <si>
    <t>Inhibition term for nitrate and nitrite (PAO)</t>
  </si>
  <si>
    <t>Inhibition term for dissolved oxygen (PAO)</t>
  </si>
  <si>
    <t>Saturation term for fermentable organic matter (fermentation)</t>
  </si>
  <si>
    <t>Saturation term for fermentation products (heterotrophs)</t>
  </si>
  <si>
    <r>
      <t>MRsat</t>
    </r>
    <r>
      <rPr>
        <vertAlign val="subscript"/>
        <sz val="11"/>
        <rFont val="Calibri"/>
        <family val="2"/>
      </rPr>
      <t>XS,XH,XPAO,KX</t>
    </r>
  </si>
  <si>
    <t>Saturation term for particulate biodegradable organics (heterotrophs and PAO)</t>
  </si>
  <si>
    <r>
      <t>(X</t>
    </r>
    <r>
      <rPr>
        <vertAlign val="subscript"/>
        <sz val="11"/>
        <rFont val="Calibri"/>
        <family val="2"/>
      </rPr>
      <t>S</t>
    </r>
    <r>
      <rPr>
        <sz val="11"/>
        <rFont val="Calibri"/>
        <family val="2"/>
      </rPr>
      <t>/(X</t>
    </r>
    <r>
      <rPr>
        <vertAlign val="subscript"/>
        <sz val="11"/>
        <rFont val="Calibri"/>
        <family val="2"/>
      </rPr>
      <t>H</t>
    </r>
    <r>
      <rPr>
        <sz val="11"/>
        <rFont val="Calibri"/>
        <family val="2"/>
      </rPr>
      <t>+X</t>
    </r>
    <r>
      <rPr>
        <vertAlign val="subscript"/>
        <sz val="11"/>
        <rFont val="Calibri"/>
        <family val="2"/>
      </rPr>
      <t>PAO</t>
    </r>
    <r>
      <rPr>
        <sz val="11"/>
        <rFont val="Calibri"/>
        <family val="2"/>
      </rPr>
      <t>))/(K</t>
    </r>
    <r>
      <rPr>
        <vertAlign val="subscript"/>
        <sz val="11"/>
        <rFont val="Calibri"/>
        <family val="2"/>
      </rPr>
      <t>X</t>
    </r>
    <r>
      <rPr>
        <sz val="11"/>
        <rFont val="Calibri"/>
        <family val="2"/>
      </rPr>
      <t>+(X</t>
    </r>
    <r>
      <rPr>
        <vertAlign val="subscript"/>
        <sz val="11"/>
        <rFont val="Calibri"/>
        <family val="2"/>
      </rPr>
      <t>S</t>
    </r>
    <r>
      <rPr>
        <sz val="11"/>
        <rFont val="Calibri"/>
        <family val="2"/>
      </rPr>
      <t>/(X</t>
    </r>
    <r>
      <rPr>
        <vertAlign val="subscript"/>
        <sz val="11"/>
        <rFont val="Calibri"/>
        <family val="2"/>
      </rPr>
      <t>H</t>
    </r>
    <r>
      <rPr>
        <sz val="11"/>
        <rFont val="Calibri"/>
        <family val="2"/>
      </rPr>
      <t>+X</t>
    </r>
    <r>
      <rPr>
        <vertAlign val="subscript"/>
        <sz val="11"/>
        <rFont val="Calibri"/>
        <family val="2"/>
      </rPr>
      <t>PAO</t>
    </r>
    <r>
      <rPr>
        <sz val="11"/>
        <rFont val="Calibri"/>
        <family val="2"/>
      </rPr>
      <t>)))</t>
    </r>
  </si>
  <si>
    <r>
      <t>q</t>
    </r>
    <r>
      <rPr>
        <i/>
        <vertAlign val="subscript"/>
        <sz val="12"/>
        <rFont val="Arial"/>
        <family val="2"/>
      </rPr>
      <t>h</t>
    </r>
    <r>
      <rPr>
        <i/>
        <sz val="12"/>
        <rFont val="Arial"/>
        <family val="2"/>
      </rPr>
      <t>*MRsat</t>
    </r>
    <r>
      <rPr>
        <i/>
        <vertAlign val="subscript"/>
        <sz val="12"/>
        <rFont val="Arial"/>
        <family val="2"/>
      </rPr>
      <t>XS,XH,XPAO,KX</t>
    </r>
    <r>
      <rPr>
        <i/>
        <sz val="12"/>
        <rFont val="Arial"/>
        <family val="2"/>
      </rPr>
      <t>*Msat</t>
    </r>
    <r>
      <rPr>
        <i/>
        <vertAlign val="subscript"/>
        <sz val="12"/>
        <rFont val="Arial"/>
        <family val="2"/>
      </rPr>
      <t>SO,KO,HYD</t>
    </r>
    <r>
      <rPr>
        <i/>
        <sz val="12"/>
        <rFont val="Arial"/>
        <family val="2"/>
      </rPr>
      <t>*(X</t>
    </r>
    <r>
      <rPr>
        <i/>
        <vertAlign val="subscript"/>
        <sz val="12"/>
        <rFont val="Arial"/>
        <family val="2"/>
      </rPr>
      <t>H</t>
    </r>
    <r>
      <rPr>
        <i/>
        <sz val="12"/>
        <rFont val="Arial"/>
        <family val="2"/>
      </rPr>
      <t>+X</t>
    </r>
    <r>
      <rPr>
        <i/>
        <vertAlign val="subscript"/>
        <sz val="12"/>
        <rFont val="Arial"/>
        <family val="2"/>
      </rPr>
      <t>PAO</t>
    </r>
    <r>
      <rPr>
        <i/>
        <sz val="12"/>
        <rFont val="Arial"/>
        <family val="2"/>
      </rPr>
      <t>)</t>
    </r>
  </si>
  <si>
    <r>
      <t>Msat</t>
    </r>
    <r>
      <rPr>
        <vertAlign val="subscript"/>
        <sz val="11"/>
        <rFont val="Calibri"/>
        <family val="2"/>
      </rPr>
      <t>XPP,KPP</t>
    </r>
  </si>
  <si>
    <r>
      <t>X</t>
    </r>
    <r>
      <rPr>
        <vertAlign val="subscript"/>
        <sz val="11"/>
        <rFont val="Calibri"/>
        <family val="2"/>
      </rPr>
      <t>PP</t>
    </r>
    <r>
      <rPr>
        <sz val="11"/>
        <rFont val="Calibri"/>
        <family val="2"/>
      </rPr>
      <t>/(K</t>
    </r>
    <r>
      <rPr>
        <vertAlign val="subscript"/>
        <sz val="11"/>
        <rFont val="Calibri"/>
        <family val="2"/>
      </rPr>
      <t>PP</t>
    </r>
    <r>
      <rPr>
        <sz val="11"/>
        <rFont val="Calibri"/>
        <family val="2"/>
      </rPr>
      <t>+X</t>
    </r>
    <r>
      <rPr>
        <vertAlign val="subscript"/>
        <sz val="11"/>
        <rFont val="Calibri"/>
        <family val="2"/>
      </rPr>
      <t>PP</t>
    </r>
    <r>
      <rPr>
        <sz val="11"/>
        <rFont val="Calibri"/>
        <family val="2"/>
      </rPr>
      <t>)</t>
    </r>
  </si>
  <si>
    <r>
      <t>Msat</t>
    </r>
    <r>
      <rPr>
        <vertAlign val="subscript"/>
        <sz val="11"/>
        <rFont val="Calibri"/>
        <family val="2"/>
      </rPr>
      <t>XPHA,KPHA</t>
    </r>
  </si>
  <si>
    <r>
      <t>X</t>
    </r>
    <r>
      <rPr>
        <vertAlign val="subscript"/>
        <sz val="11"/>
        <rFont val="Calibri"/>
        <family val="2"/>
      </rPr>
      <t>PHA</t>
    </r>
    <r>
      <rPr>
        <sz val="11"/>
        <rFont val="Calibri"/>
        <family val="2"/>
      </rPr>
      <t>/(K</t>
    </r>
    <r>
      <rPr>
        <vertAlign val="subscript"/>
        <sz val="11"/>
        <rFont val="Calibri"/>
        <family val="2"/>
      </rPr>
      <t>PHA</t>
    </r>
    <r>
      <rPr>
        <sz val="11"/>
        <rFont val="Calibri"/>
        <family val="2"/>
      </rPr>
      <t>+X</t>
    </r>
    <r>
      <rPr>
        <vertAlign val="subscript"/>
        <sz val="11"/>
        <rFont val="Calibri"/>
        <family val="2"/>
      </rPr>
      <t>PHA</t>
    </r>
    <r>
      <rPr>
        <sz val="11"/>
        <rFont val="Calibri"/>
        <family val="2"/>
      </rPr>
      <t>)</t>
    </r>
  </si>
  <si>
    <t>Inhibition term for nitrate and nitrite (hydrolysis)</t>
  </si>
  <si>
    <t>Inhibition term for nitrate and nitrite (heterotrophs)</t>
  </si>
  <si>
    <r>
      <t>S</t>
    </r>
    <r>
      <rPr>
        <vertAlign val="subscript"/>
        <sz val="11"/>
        <rFont val="Calibri"/>
        <family val="2"/>
      </rPr>
      <t>F</t>
    </r>
    <r>
      <rPr>
        <sz val="11"/>
        <rFont val="Calibri"/>
        <family val="2"/>
      </rPr>
      <t>/(K</t>
    </r>
    <r>
      <rPr>
        <vertAlign val="subscript"/>
        <sz val="11"/>
        <rFont val="Calibri"/>
        <family val="2"/>
      </rPr>
      <t>fe</t>
    </r>
    <r>
      <rPr>
        <sz val="11"/>
        <rFont val="Calibri"/>
        <family val="2"/>
      </rPr>
      <t>+S</t>
    </r>
    <r>
      <rPr>
        <vertAlign val="subscript"/>
        <sz val="11"/>
        <rFont val="Calibri"/>
        <family val="2"/>
      </rPr>
      <t>F</t>
    </r>
    <r>
      <rPr>
        <sz val="11"/>
        <rFont val="Calibri"/>
        <family val="2"/>
      </rPr>
      <t>)</t>
    </r>
  </si>
  <si>
    <r>
      <t>Msat</t>
    </r>
    <r>
      <rPr>
        <vertAlign val="subscript"/>
        <sz val="11"/>
        <rFont val="Calibri"/>
        <family val="2"/>
      </rPr>
      <t>SF,Kfe</t>
    </r>
  </si>
  <si>
    <t>Saturation term for fermentable organic matter (fermentation)</t>
  </si>
  <si>
    <t xml:space="preserve">Saturation term for stored glycogen in PAOs </t>
  </si>
  <si>
    <r>
      <t>Msat</t>
    </r>
    <r>
      <rPr>
        <vertAlign val="subscript"/>
        <sz val="11"/>
        <rFont val="Calibri"/>
        <family val="2"/>
      </rPr>
      <t>XGLY,KGLY</t>
    </r>
  </si>
  <si>
    <r>
      <t>X</t>
    </r>
    <r>
      <rPr>
        <vertAlign val="subscript"/>
        <sz val="11"/>
        <rFont val="Calibri"/>
        <family val="2"/>
      </rPr>
      <t>GLY</t>
    </r>
    <r>
      <rPr>
        <sz val="11"/>
        <rFont val="Calibri"/>
        <family val="2"/>
      </rPr>
      <t>/(K</t>
    </r>
    <r>
      <rPr>
        <vertAlign val="subscript"/>
        <sz val="11"/>
        <rFont val="Calibri"/>
        <family val="2"/>
      </rPr>
      <t>GLY</t>
    </r>
    <r>
      <rPr>
        <sz val="11"/>
        <rFont val="Calibri"/>
        <family val="2"/>
      </rPr>
      <t>+X</t>
    </r>
    <r>
      <rPr>
        <vertAlign val="subscript"/>
        <sz val="11"/>
        <rFont val="Calibri"/>
        <family val="2"/>
      </rPr>
      <t>GLY</t>
    </r>
    <r>
      <rPr>
        <sz val="11"/>
        <rFont val="Calibri"/>
        <family val="2"/>
      </rPr>
      <t>)</t>
    </r>
  </si>
  <si>
    <t>Saturation term for nitrate and nitrite (XPP formation)</t>
  </si>
  <si>
    <r>
      <t>Saturation term for storage compound in PAOs (X</t>
    </r>
    <r>
      <rPr>
        <vertAlign val="subscript"/>
        <sz val="11"/>
        <color rgb="FF000000"/>
        <rFont val="Calibri"/>
        <family val="2"/>
        <scheme val="minor"/>
      </rPr>
      <t>PHA</t>
    </r>
    <r>
      <rPr>
        <sz val="11"/>
        <color rgb="FF000000"/>
        <rFont val="Calibri"/>
        <family val="2"/>
        <charset val="238"/>
        <scheme val="minor"/>
      </rPr>
      <t>/X</t>
    </r>
    <r>
      <rPr>
        <vertAlign val="subscript"/>
        <sz val="11"/>
        <color rgb="FF000000"/>
        <rFont val="Calibri"/>
        <family val="2"/>
        <scheme val="minor"/>
      </rPr>
      <t>PAO</t>
    </r>
    <r>
      <rPr>
        <sz val="11"/>
        <color rgb="FF000000"/>
        <rFont val="Calibri"/>
        <family val="2"/>
        <charset val="238"/>
        <scheme val="minor"/>
      </rPr>
      <t>)</t>
    </r>
  </si>
  <si>
    <r>
      <t>MRsat</t>
    </r>
    <r>
      <rPr>
        <vertAlign val="subscript"/>
        <sz val="11"/>
        <rFont val="Calibri"/>
        <family val="2"/>
      </rPr>
      <t>XPHA,XPAO,KfPHA</t>
    </r>
  </si>
  <si>
    <r>
      <t>(X</t>
    </r>
    <r>
      <rPr>
        <vertAlign val="subscript"/>
        <sz val="11"/>
        <rFont val="Calibri"/>
        <family val="2"/>
      </rPr>
      <t>PHA</t>
    </r>
    <r>
      <rPr>
        <sz val="11"/>
        <rFont val="Calibri"/>
        <family val="2"/>
      </rPr>
      <t>/X</t>
    </r>
    <r>
      <rPr>
        <vertAlign val="subscript"/>
        <sz val="11"/>
        <rFont val="Calibri"/>
        <family val="2"/>
      </rPr>
      <t>PAO</t>
    </r>
    <r>
      <rPr>
        <sz val="11"/>
        <rFont val="Calibri"/>
        <family val="2"/>
      </rPr>
      <t>)/(K</t>
    </r>
    <r>
      <rPr>
        <vertAlign val="subscript"/>
        <sz val="11"/>
        <rFont val="Calibri"/>
        <family val="2"/>
      </rPr>
      <t>fPHA</t>
    </r>
    <r>
      <rPr>
        <sz val="11"/>
        <rFont val="Calibri"/>
        <family val="2"/>
      </rPr>
      <t>+(X</t>
    </r>
    <r>
      <rPr>
        <vertAlign val="subscript"/>
        <sz val="11"/>
        <rFont val="Calibri"/>
        <family val="2"/>
      </rPr>
      <t>PHA</t>
    </r>
    <r>
      <rPr>
        <sz val="11"/>
        <rFont val="Calibri"/>
        <family val="2"/>
      </rPr>
      <t>/X</t>
    </r>
    <r>
      <rPr>
        <vertAlign val="subscript"/>
        <sz val="11"/>
        <rFont val="Calibri"/>
        <family val="2"/>
      </rPr>
      <t>PAO</t>
    </r>
    <r>
      <rPr>
        <sz val="11"/>
        <rFont val="Calibri"/>
        <family val="2"/>
      </rPr>
      <t>))</t>
    </r>
  </si>
  <si>
    <r>
      <t>MRsat</t>
    </r>
    <r>
      <rPr>
        <vertAlign val="subscript"/>
        <sz val="11"/>
        <rFont val="Calibri"/>
        <family val="2"/>
      </rPr>
      <t>XPP,XPAO,KfPP</t>
    </r>
  </si>
  <si>
    <r>
      <t>Saturation term for PP in PAOs (maximum ratio for X</t>
    </r>
    <r>
      <rPr>
        <vertAlign val="subscript"/>
        <sz val="11"/>
        <color rgb="FF000000"/>
        <rFont val="Calibri"/>
        <family val="2"/>
        <scheme val="minor"/>
      </rPr>
      <t>PP</t>
    </r>
    <r>
      <rPr>
        <sz val="11"/>
        <color rgb="FF000000"/>
        <rFont val="Calibri"/>
        <family val="2"/>
        <charset val="238"/>
        <scheme val="minor"/>
      </rPr>
      <t>/X</t>
    </r>
    <r>
      <rPr>
        <vertAlign val="subscript"/>
        <sz val="11"/>
        <color rgb="FF000000"/>
        <rFont val="Calibri"/>
        <family val="2"/>
        <scheme val="minor"/>
      </rPr>
      <t>PAO</t>
    </r>
    <r>
      <rPr>
        <sz val="11"/>
        <color rgb="FF000000"/>
        <rFont val="Calibri"/>
        <family val="2"/>
        <charset val="238"/>
        <scheme val="minor"/>
      </rPr>
      <t>)</t>
    </r>
  </si>
  <si>
    <r>
      <t>(f</t>
    </r>
    <r>
      <rPr>
        <vertAlign val="subscript"/>
        <sz val="11"/>
        <rFont val="Calibri"/>
        <family val="2"/>
      </rPr>
      <t>PP,max</t>
    </r>
    <r>
      <rPr>
        <sz val="11"/>
        <rFont val="Calibri"/>
        <family val="2"/>
      </rPr>
      <t>-(X</t>
    </r>
    <r>
      <rPr>
        <vertAlign val="subscript"/>
        <sz val="11"/>
        <rFont val="Calibri"/>
        <family val="2"/>
      </rPr>
      <t>PP</t>
    </r>
    <r>
      <rPr>
        <sz val="11"/>
        <rFont val="Calibri"/>
        <family val="2"/>
      </rPr>
      <t>/X</t>
    </r>
    <r>
      <rPr>
        <vertAlign val="subscript"/>
        <sz val="11"/>
        <rFont val="Calibri"/>
        <family val="2"/>
      </rPr>
      <t>PAO</t>
    </r>
    <r>
      <rPr>
        <sz val="11"/>
        <rFont val="Calibri"/>
        <family val="2"/>
      </rPr>
      <t>))/(K</t>
    </r>
    <r>
      <rPr>
        <vertAlign val="subscript"/>
        <sz val="11"/>
        <rFont val="Calibri"/>
        <family val="2"/>
      </rPr>
      <t>fPP</t>
    </r>
    <r>
      <rPr>
        <sz val="11"/>
        <rFont val="Calibri"/>
        <family val="2"/>
      </rPr>
      <t>+(f</t>
    </r>
    <r>
      <rPr>
        <vertAlign val="subscript"/>
        <sz val="11"/>
        <rFont val="Calibri"/>
        <family val="2"/>
      </rPr>
      <t>PP,max</t>
    </r>
    <r>
      <rPr>
        <sz val="11"/>
        <rFont val="Calibri"/>
        <family val="2"/>
      </rPr>
      <t>-X</t>
    </r>
    <r>
      <rPr>
        <vertAlign val="subscript"/>
        <sz val="11"/>
        <rFont val="Calibri"/>
        <family val="2"/>
      </rPr>
      <t>PP</t>
    </r>
    <r>
      <rPr>
        <sz val="11"/>
        <rFont val="Calibri"/>
        <family val="2"/>
      </rPr>
      <t>/X</t>
    </r>
    <r>
      <rPr>
        <vertAlign val="subscript"/>
        <sz val="11"/>
        <rFont val="Calibri"/>
        <family val="2"/>
      </rPr>
      <t>PAO</t>
    </r>
    <r>
      <rPr>
        <sz val="11"/>
        <rFont val="Calibri"/>
        <family val="2"/>
      </rPr>
      <t>))</t>
    </r>
  </si>
  <si>
    <r>
      <t>(f</t>
    </r>
    <r>
      <rPr>
        <vertAlign val="subscript"/>
        <sz val="11"/>
        <rFont val="Calibri"/>
        <family val="2"/>
      </rPr>
      <t>GLY,max</t>
    </r>
    <r>
      <rPr>
        <sz val="11"/>
        <rFont val="Calibri"/>
        <family val="2"/>
      </rPr>
      <t>-(X</t>
    </r>
    <r>
      <rPr>
        <vertAlign val="subscript"/>
        <sz val="11"/>
        <rFont val="Calibri"/>
        <family val="2"/>
      </rPr>
      <t>GLY</t>
    </r>
    <r>
      <rPr>
        <sz val="11"/>
        <rFont val="Calibri"/>
        <family val="2"/>
      </rPr>
      <t>/X</t>
    </r>
    <r>
      <rPr>
        <vertAlign val="subscript"/>
        <sz val="11"/>
        <rFont val="Calibri"/>
        <family val="2"/>
      </rPr>
      <t>PAO</t>
    </r>
    <r>
      <rPr>
        <sz val="11"/>
        <rFont val="Calibri"/>
        <family val="2"/>
      </rPr>
      <t>))/(K</t>
    </r>
    <r>
      <rPr>
        <vertAlign val="subscript"/>
        <sz val="11"/>
        <rFont val="Calibri"/>
        <family val="2"/>
      </rPr>
      <t>fGLY</t>
    </r>
    <r>
      <rPr>
        <sz val="11"/>
        <rFont val="Calibri"/>
        <family val="2"/>
      </rPr>
      <t>+(f</t>
    </r>
    <r>
      <rPr>
        <vertAlign val="subscript"/>
        <sz val="11"/>
        <rFont val="Calibri"/>
        <family val="2"/>
      </rPr>
      <t>GLY,max</t>
    </r>
    <r>
      <rPr>
        <sz val="11"/>
        <rFont val="Calibri"/>
        <family val="2"/>
      </rPr>
      <t>-X</t>
    </r>
    <r>
      <rPr>
        <vertAlign val="subscript"/>
        <sz val="11"/>
        <rFont val="Calibri"/>
        <family val="2"/>
      </rPr>
      <t>GLY</t>
    </r>
    <r>
      <rPr>
        <sz val="11"/>
        <rFont val="Calibri"/>
        <family val="2"/>
      </rPr>
      <t>/X</t>
    </r>
    <r>
      <rPr>
        <vertAlign val="subscript"/>
        <sz val="11"/>
        <rFont val="Calibri"/>
        <family val="2"/>
      </rPr>
      <t>PAO</t>
    </r>
    <r>
      <rPr>
        <sz val="11"/>
        <rFont val="Calibri"/>
        <family val="2"/>
      </rPr>
      <t>))</t>
    </r>
  </si>
  <si>
    <r>
      <t>MRsat</t>
    </r>
    <r>
      <rPr>
        <vertAlign val="subscript"/>
        <sz val="11"/>
        <rFont val="Calibri"/>
        <family val="2"/>
      </rPr>
      <t>XGLY,XPAO,KfGLY</t>
    </r>
  </si>
  <si>
    <r>
      <t>Saturation term for stored glycogen in PAOs (maximum ratio for X</t>
    </r>
    <r>
      <rPr>
        <vertAlign val="subscript"/>
        <sz val="11"/>
        <color rgb="FF000000"/>
        <rFont val="Calibri"/>
        <family val="2"/>
        <scheme val="minor"/>
      </rPr>
      <t>GLY</t>
    </r>
    <r>
      <rPr>
        <sz val="11"/>
        <color rgb="FF000000"/>
        <rFont val="Calibri"/>
        <family val="2"/>
        <charset val="238"/>
        <scheme val="minor"/>
      </rPr>
      <t>/X</t>
    </r>
    <r>
      <rPr>
        <vertAlign val="subscript"/>
        <sz val="11"/>
        <color rgb="FF000000"/>
        <rFont val="Calibri"/>
        <family val="2"/>
        <scheme val="minor"/>
      </rPr>
      <t>PAO</t>
    </r>
    <r>
      <rPr>
        <sz val="11"/>
        <color rgb="FF000000"/>
        <rFont val="Calibri"/>
        <family val="2"/>
        <charset val="238"/>
        <scheme val="minor"/>
      </rPr>
      <t>)</t>
    </r>
  </si>
  <si>
    <r>
      <t>q</t>
    </r>
    <r>
      <rPr>
        <vertAlign val="subscript"/>
        <sz val="12"/>
        <rFont val="Arial"/>
        <family val="2"/>
      </rPr>
      <t>GLY</t>
    </r>
    <r>
      <rPr>
        <sz val="12"/>
        <rFont val="Arial"/>
        <family val="2"/>
      </rPr>
      <t>*(</t>
    </r>
    <r>
      <rPr>
        <i/>
        <sz val="12"/>
        <rFont val="Arial"/>
        <family val="2"/>
      </rPr>
      <t>X</t>
    </r>
    <r>
      <rPr>
        <vertAlign val="subscript"/>
        <sz val="12"/>
        <rFont val="Arial"/>
        <family val="2"/>
      </rPr>
      <t>PHA</t>
    </r>
    <r>
      <rPr>
        <sz val="12"/>
        <rFont val="Arial"/>
        <family val="2"/>
      </rPr>
      <t>/</t>
    </r>
    <r>
      <rPr>
        <i/>
        <sz val="12"/>
        <rFont val="Arial"/>
        <family val="2"/>
      </rPr>
      <t>X</t>
    </r>
    <r>
      <rPr>
        <vertAlign val="subscript"/>
        <sz val="12"/>
        <rFont val="Arial"/>
        <family val="2"/>
      </rPr>
      <t>GLY</t>
    </r>
    <r>
      <rPr>
        <sz val="12"/>
        <rFont val="Arial"/>
        <family val="2"/>
      </rPr>
      <t>)*Msat</t>
    </r>
    <r>
      <rPr>
        <vertAlign val="subscript"/>
        <sz val="12"/>
        <rFont val="Arial"/>
        <family val="2"/>
      </rPr>
      <t>SO,KO,PAO</t>
    </r>
    <r>
      <rPr>
        <sz val="12"/>
        <rFont val="Arial"/>
        <family val="2"/>
      </rPr>
      <t>*Msat</t>
    </r>
    <r>
      <rPr>
        <vertAlign val="subscript"/>
        <sz val="12"/>
        <rFont val="Arial"/>
        <family val="2"/>
      </rPr>
      <t>XPHA,KPHA</t>
    </r>
    <r>
      <rPr>
        <sz val="12"/>
        <rFont val="Arial"/>
        <family val="2"/>
      </rPr>
      <t>*</t>
    </r>
    <r>
      <rPr>
        <sz val="12"/>
        <rFont val="Arial"/>
        <family val="2"/>
      </rPr>
      <t>MRsat</t>
    </r>
    <r>
      <rPr>
        <vertAlign val="subscript"/>
        <sz val="12"/>
        <rFont val="Arial"/>
        <family val="2"/>
      </rPr>
      <t>XGLY,XPAO,KfGLY</t>
    </r>
    <r>
      <rPr>
        <sz val="12"/>
        <rFont val="Arial"/>
        <family val="2"/>
      </rPr>
      <t>*</t>
    </r>
    <r>
      <rPr>
        <i/>
        <sz val="12"/>
        <rFont val="Arial"/>
        <family val="2"/>
      </rPr>
      <t>X</t>
    </r>
    <r>
      <rPr>
        <vertAlign val="subscript"/>
        <sz val="12"/>
        <rFont val="Arial"/>
        <family val="2"/>
      </rPr>
      <t>PAO</t>
    </r>
  </si>
  <si>
    <r>
      <t>Msat</t>
    </r>
    <r>
      <rPr>
        <vertAlign val="subscript"/>
        <sz val="11"/>
        <rFont val="Calibri"/>
        <family val="2"/>
      </rPr>
      <t>SO,gPP,KO,PAO</t>
    </r>
  </si>
  <si>
    <t>Saturation term for dissolved oxygen (XPP formation)</t>
  </si>
  <si>
    <r>
      <t>q</t>
    </r>
    <r>
      <rPr>
        <vertAlign val="subscript"/>
        <sz val="12"/>
        <rFont val="Arial"/>
        <family val="2"/>
      </rPr>
      <t>PP</t>
    </r>
    <r>
      <rPr>
        <sz val="12"/>
        <rFont val="Arial"/>
        <family val="2"/>
      </rPr>
      <t>*(</t>
    </r>
    <r>
      <rPr>
        <i/>
        <sz val="12"/>
        <rFont val="Arial"/>
        <family val="2"/>
      </rPr>
      <t>X</t>
    </r>
    <r>
      <rPr>
        <vertAlign val="subscript"/>
        <sz val="12"/>
        <rFont val="Arial"/>
        <family val="2"/>
      </rPr>
      <t>PAO</t>
    </r>
    <r>
      <rPr>
        <sz val="12"/>
        <rFont val="Arial"/>
        <family val="2"/>
      </rPr>
      <t>/</t>
    </r>
    <r>
      <rPr>
        <i/>
        <sz val="12"/>
        <rFont val="Arial"/>
        <family val="2"/>
      </rPr>
      <t>X</t>
    </r>
    <r>
      <rPr>
        <vertAlign val="subscript"/>
        <sz val="12"/>
        <rFont val="Arial"/>
        <family val="2"/>
      </rPr>
      <t>PP</t>
    </r>
    <r>
      <rPr>
        <sz val="12"/>
        <rFont val="Arial"/>
        <family val="2"/>
      </rPr>
      <t>)*</t>
    </r>
    <r>
      <rPr>
        <sz val="12"/>
        <rFont val="Arial"/>
        <family val="2"/>
      </rPr>
      <t>Msat</t>
    </r>
    <r>
      <rPr>
        <vertAlign val="subscript"/>
        <sz val="12"/>
        <rFont val="Arial"/>
        <family val="2"/>
      </rPr>
      <t>SO,gPP,KO,PAO</t>
    </r>
    <r>
      <rPr>
        <sz val="12"/>
        <rFont val="Arial"/>
        <family val="2"/>
      </rPr>
      <t>*Msat</t>
    </r>
    <r>
      <rPr>
        <vertAlign val="subscript"/>
        <sz val="12"/>
        <rFont val="Arial"/>
        <family val="2"/>
      </rPr>
      <t>SPO,KP,PAO</t>
    </r>
    <r>
      <rPr>
        <sz val="12"/>
        <rFont val="Arial"/>
        <family val="2"/>
      </rPr>
      <t>*Msat</t>
    </r>
    <r>
      <rPr>
        <vertAlign val="subscript"/>
        <sz val="12"/>
        <rFont val="Arial"/>
        <family val="2"/>
      </rPr>
      <t>XPHA,KPHA</t>
    </r>
    <r>
      <rPr>
        <sz val="12"/>
        <rFont val="Arial"/>
        <family val="2"/>
      </rPr>
      <t>*MRsat</t>
    </r>
    <r>
      <rPr>
        <vertAlign val="subscript"/>
        <sz val="12"/>
        <rFont val="Arial"/>
        <family val="2"/>
      </rPr>
      <t>XPP,XPAO,KfPP</t>
    </r>
    <r>
      <rPr>
        <sz val="12"/>
        <rFont val="Arial"/>
        <family val="2"/>
      </rPr>
      <t>*</t>
    </r>
    <r>
      <rPr>
        <i/>
        <sz val="12"/>
        <rFont val="Arial"/>
        <family val="2"/>
      </rPr>
      <t>X</t>
    </r>
    <r>
      <rPr>
        <vertAlign val="subscript"/>
        <sz val="12"/>
        <rFont val="Arial"/>
        <family val="2"/>
      </rPr>
      <t>PAO</t>
    </r>
  </si>
  <si>
    <r>
      <t>Msat</t>
    </r>
    <r>
      <rPr>
        <vertAlign val="subscript"/>
        <sz val="11"/>
        <rFont val="Calibri"/>
        <family val="2"/>
      </rPr>
      <t>SO,KO,A</t>
    </r>
  </si>
  <si>
    <t>Saturation term for dissolved oxygen (autotrophs)</t>
  </si>
  <si>
    <t>Saturation term for ammonia (autotrophs)</t>
  </si>
  <si>
    <r>
      <t>Msat</t>
    </r>
    <r>
      <rPr>
        <vertAlign val="subscript"/>
        <sz val="11"/>
        <rFont val="Calibri"/>
        <family val="2"/>
      </rPr>
      <t>SPO,KP,A</t>
    </r>
  </si>
  <si>
    <r>
      <t>Saturation term for PO</t>
    </r>
    <r>
      <rPr>
        <vertAlign val="subscript"/>
        <sz val="11"/>
        <color rgb="FF000000"/>
        <rFont val="Calibri"/>
        <family val="2"/>
        <scheme val="minor"/>
      </rPr>
      <t>4</t>
    </r>
    <r>
      <rPr>
        <sz val="11"/>
        <color rgb="FF000000"/>
        <rFont val="Calibri"/>
        <family val="2"/>
        <charset val="238"/>
        <scheme val="minor"/>
      </rPr>
      <t xml:space="preserve"> (autotrophs)</t>
    </r>
  </si>
  <si>
    <r>
      <t>S</t>
    </r>
    <r>
      <rPr>
        <vertAlign val="subscript"/>
        <sz val="11"/>
        <rFont val="Calibri"/>
        <family val="2"/>
      </rPr>
      <t>PO</t>
    </r>
    <r>
      <rPr>
        <sz val="11"/>
        <rFont val="Calibri"/>
        <family val="2"/>
      </rPr>
      <t>/(K</t>
    </r>
    <r>
      <rPr>
        <vertAlign val="subscript"/>
        <sz val="11"/>
        <rFont val="Calibri"/>
        <family val="2"/>
      </rPr>
      <t>P,A</t>
    </r>
    <r>
      <rPr>
        <sz val="11"/>
        <rFont val="Calibri"/>
        <family val="2"/>
      </rPr>
      <t>+S</t>
    </r>
    <r>
      <rPr>
        <vertAlign val="subscript"/>
        <sz val="11"/>
        <rFont val="Calibri"/>
        <family val="2"/>
      </rPr>
      <t>PO</t>
    </r>
    <r>
      <rPr>
        <sz val="11"/>
        <rFont val="Calibri"/>
        <family val="2"/>
      </rPr>
      <t>)</t>
    </r>
  </si>
  <si>
    <t>Saturation term for alkalinity (autotrophs)</t>
  </si>
  <si>
    <r>
      <t>Msat</t>
    </r>
    <r>
      <rPr>
        <vertAlign val="subscript"/>
        <sz val="11"/>
        <rFont val="Calibri"/>
        <family val="2"/>
      </rPr>
      <t>SNH,KNH,A</t>
    </r>
  </si>
  <si>
    <r>
      <t>S</t>
    </r>
    <r>
      <rPr>
        <vertAlign val="subscript"/>
        <sz val="11"/>
        <rFont val="Calibri"/>
        <family val="2"/>
      </rPr>
      <t>NH</t>
    </r>
    <r>
      <rPr>
        <sz val="11"/>
        <rFont val="Calibri"/>
        <family val="2"/>
      </rPr>
      <t>/(K</t>
    </r>
    <r>
      <rPr>
        <vertAlign val="subscript"/>
        <sz val="11"/>
        <rFont val="Calibri"/>
        <family val="2"/>
      </rPr>
      <t>NH,A</t>
    </r>
    <r>
      <rPr>
        <sz val="11"/>
        <rFont val="Calibri"/>
        <family val="2"/>
      </rPr>
      <t>+S</t>
    </r>
    <r>
      <rPr>
        <vertAlign val="subscript"/>
        <sz val="11"/>
        <rFont val="Calibri"/>
        <family val="2"/>
      </rPr>
      <t>NH</t>
    </r>
    <r>
      <rPr>
        <sz val="11"/>
        <rFont val="Calibri"/>
        <family val="2"/>
      </rPr>
      <t>)</t>
    </r>
  </si>
  <si>
    <r>
      <t>Henry</t>
    </r>
    <r>
      <rPr>
        <vertAlign val="subscript"/>
        <sz val="11"/>
        <rFont val="Calibri"/>
        <family val="2"/>
        <scheme val="minor"/>
      </rPr>
      <t>GO2,25</t>
    </r>
  </si>
  <si>
    <t>http://webbook.nist.gov/cgi/cbook.cgi?ID=C7782447&amp;Mask=10</t>
  </si>
  <si>
    <r>
      <t>Henry</t>
    </r>
    <r>
      <rPr>
        <vertAlign val="subscript"/>
        <sz val="11"/>
        <rFont val="Calibri"/>
        <family val="2"/>
        <scheme val="minor"/>
      </rPr>
      <t>GO2,dt</t>
    </r>
  </si>
  <si>
    <r>
      <t>Henry</t>
    </r>
    <r>
      <rPr>
        <vertAlign val="subscript"/>
        <sz val="11"/>
        <rFont val="Calibri"/>
        <family val="2"/>
        <scheme val="minor"/>
      </rPr>
      <t>GCO2,25</t>
    </r>
  </si>
  <si>
    <t>http://webbook.nist.gov/cgi/cbook.cgi?ID=C124389&amp;Mask=10</t>
  </si>
  <si>
    <r>
      <t>Henry</t>
    </r>
    <r>
      <rPr>
        <vertAlign val="subscript"/>
        <sz val="11"/>
        <rFont val="Calibri"/>
        <family val="2"/>
        <scheme val="minor"/>
      </rPr>
      <t>GCO2,dt</t>
    </r>
  </si>
  <si>
    <r>
      <t>Henry</t>
    </r>
    <r>
      <rPr>
        <vertAlign val="subscript"/>
        <sz val="11"/>
        <rFont val="Calibri"/>
        <family val="2"/>
        <scheme val="minor"/>
      </rPr>
      <t>GNO,25</t>
    </r>
  </si>
  <si>
    <t>http://webbook.nist.gov/cgi/cbook.cgi?ID=C10102439&amp;Mask=10</t>
  </si>
  <si>
    <r>
      <t>Henry</t>
    </r>
    <r>
      <rPr>
        <vertAlign val="subscript"/>
        <sz val="11"/>
        <rFont val="Calibri"/>
        <family val="2"/>
        <scheme val="minor"/>
      </rPr>
      <t>GNO,dt</t>
    </r>
  </si>
  <si>
    <r>
      <t>Henry</t>
    </r>
    <r>
      <rPr>
        <vertAlign val="subscript"/>
        <sz val="11"/>
        <rFont val="Calibri"/>
        <family val="2"/>
        <scheme val="minor"/>
      </rPr>
      <t>GN2O,25</t>
    </r>
  </si>
  <si>
    <t>http://webbook.nist.gov/cgi/cbook.cgi?ID=C10024972&amp;Mask=10</t>
  </si>
  <si>
    <r>
      <t>Henry</t>
    </r>
    <r>
      <rPr>
        <vertAlign val="subscript"/>
        <sz val="11"/>
        <rFont val="Calibri"/>
        <family val="2"/>
        <scheme val="minor"/>
      </rPr>
      <t>GN2O,dt</t>
    </r>
  </si>
  <si>
    <r>
      <t>Henry</t>
    </r>
    <r>
      <rPr>
        <vertAlign val="subscript"/>
        <sz val="11"/>
        <rFont val="Calibri"/>
        <family val="2"/>
        <scheme val="minor"/>
      </rPr>
      <t>GN2,25</t>
    </r>
  </si>
  <si>
    <t>http://webbook.nist.gov/cgi/cbook.cgi?ID=C7727379&amp;Mask=10</t>
  </si>
  <si>
    <r>
      <t>Henry</t>
    </r>
    <r>
      <rPr>
        <vertAlign val="subscript"/>
        <sz val="11"/>
        <rFont val="Calibri"/>
        <family val="2"/>
        <scheme val="minor"/>
      </rPr>
      <t>GN2,dt</t>
    </r>
  </si>
  <si>
    <r>
      <t>Henry</t>
    </r>
    <r>
      <rPr>
        <vertAlign val="subscript"/>
        <sz val="11"/>
        <rFont val="Calibri"/>
        <family val="2"/>
        <scheme val="minor"/>
      </rPr>
      <t>GH2,25</t>
    </r>
  </si>
  <si>
    <r>
      <t>Henry</t>
    </r>
    <r>
      <rPr>
        <vertAlign val="subscript"/>
        <sz val="11"/>
        <rFont val="Calibri"/>
        <family val="2"/>
        <scheme val="minor"/>
      </rPr>
      <t>GH2,dt</t>
    </r>
  </si>
  <si>
    <r>
      <t>Henry</t>
    </r>
    <r>
      <rPr>
        <vertAlign val="subscript"/>
        <sz val="11"/>
        <rFont val="Calibri"/>
        <family val="2"/>
        <scheme val="minor"/>
      </rPr>
      <t>GCH4,25</t>
    </r>
  </si>
  <si>
    <r>
      <t>Henry</t>
    </r>
    <r>
      <rPr>
        <vertAlign val="subscript"/>
        <sz val="11"/>
        <rFont val="Calibri"/>
        <family val="2"/>
        <scheme val="minor"/>
      </rPr>
      <t>GCH4,dt</t>
    </r>
  </si>
  <si>
    <r>
      <t>c</t>
    </r>
    <r>
      <rPr>
        <vertAlign val="subscript"/>
        <sz val="11"/>
        <rFont val="Calibri"/>
        <family val="2"/>
        <scheme val="minor"/>
      </rPr>
      <t>p,water</t>
    </r>
  </si>
  <si>
    <t>Heat capacity of water at standard temperature (25°C)</t>
  </si>
  <si>
    <r>
      <t>T</t>
    </r>
    <r>
      <rPr>
        <vertAlign val="subscript"/>
        <sz val="11"/>
        <rFont val="Calibri"/>
        <family val="2"/>
        <scheme val="minor"/>
      </rPr>
      <t>null</t>
    </r>
  </si>
  <si>
    <t>0°C in Kelvin</t>
  </si>
  <si>
    <r>
      <t>MM</t>
    </r>
    <r>
      <rPr>
        <vertAlign val="subscript"/>
        <sz val="11"/>
        <rFont val="Calibri"/>
        <family val="2"/>
        <scheme val="minor"/>
      </rPr>
      <t>NH4</t>
    </r>
  </si>
  <si>
    <r>
      <t>MM</t>
    </r>
    <r>
      <rPr>
        <vertAlign val="subscript"/>
        <sz val="11"/>
        <rFont val="Calibri"/>
        <family val="2"/>
        <scheme val="minor"/>
      </rPr>
      <t>NO2</t>
    </r>
  </si>
  <si>
    <r>
      <t>MM</t>
    </r>
    <r>
      <rPr>
        <vertAlign val="subscript"/>
        <sz val="11"/>
        <rFont val="Calibri"/>
        <family val="2"/>
        <scheme val="minor"/>
      </rPr>
      <t>NO3</t>
    </r>
  </si>
  <si>
    <r>
      <t>MM</t>
    </r>
    <r>
      <rPr>
        <vertAlign val="subscript"/>
        <sz val="11"/>
        <rFont val="Calibri"/>
        <family val="2"/>
        <scheme val="minor"/>
      </rPr>
      <t>CO3</t>
    </r>
  </si>
  <si>
    <t>Molecular mass of carbonate</t>
  </si>
  <si>
    <r>
      <t>MM</t>
    </r>
    <r>
      <rPr>
        <vertAlign val="subscript"/>
        <sz val="11"/>
        <rFont val="Calibri"/>
        <family val="2"/>
        <scheme val="minor"/>
      </rPr>
      <t>HCO3</t>
    </r>
  </si>
  <si>
    <t>Molecular mass of hydrogen carbonate</t>
  </si>
  <si>
    <r>
      <t>MM</t>
    </r>
    <r>
      <rPr>
        <vertAlign val="subscript"/>
        <sz val="11"/>
        <rFont val="Calibri"/>
        <family val="2"/>
        <scheme val="minor"/>
      </rPr>
      <t>H2CO3</t>
    </r>
  </si>
  <si>
    <t>Molecular mass of carbonic acid</t>
  </si>
  <si>
    <t>Molecular mass of sulfuric acid</t>
  </si>
  <si>
    <r>
      <t>MM</t>
    </r>
    <r>
      <rPr>
        <vertAlign val="subscript"/>
        <sz val="11"/>
        <rFont val="Calibri"/>
        <family val="2"/>
        <scheme val="minor"/>
      </rPr>
      <t>HCl</t>
    </r>
  </si>
  <si>
    <t>Molecular mass of hydrogen sulfide</t>
  </si>
  <si>
    <t>Molecular mass of calcium carbonate</t>
  </si>
  <si>
    <t>Molecular mass of struvite</t>
  </si>
  <si>
    <r>
      <t>MM</t>
    </r>
    <r>
      <rPr>
        <vertAlign val="subscript"/>
        <sz val="11"/>
        <rFont val="Calibri"/>
        <family val="2"/>
        <scheme val="minor"/>
      </rPr>
      <t>SiO2</t>
    </r>
  </si>
  <si>
    <t>Molecular mass of silica</t>
  </si>
  <si>
    <r>
      <t>K</t>
    </r>
    <r>
      <rPr>
        <vertAlign val="subscript"/>
        <sz val="11"/>
        <rFont val="Calibri"/>
        <family val="2"/>
        <scheme val="minor"/>
      </rPr>
      <t>W,param</t>
    </r>
  </si>
  <si>
    <r>
      <t>K</t>
    </r>
    <r>
      <rPr>
        <vertAlign val="subscript"/>
        <sz val="11"/>
        <rFont val="Calibri"/>
        <family val="2"/>
        <scheme val="minor"/>
      </rPr>
      <t>C1,param</t>
    </r>
  </si>
  <si>
    <r>
      <t>K</t>
    </r>
    <r>
      <rPr>
        <vertAlign val="subscript"/>
        <sz val="11"/>
        <rFont val="Calibri"/>
        <family val="2"/>
        <scheme val="minor"/>
      </rPr>
      <t>C2,param</t>
    </r>
  </si>
  <si>
    <r>
      <t>K</t>
    </r>
    <r>
      <rPr>
        <vertAlign val="subscript"/>
        <sz val="11"/>
        <rFont val="Calibri"/>
        <family val="2"/>
        <scheme val="minor"/>
      </rPr>
      <t>P1,param</t>
    </r>
  </si>
  <si>
    <r>
      <t>K</t>
    </r>
    <r>
      <rPr>
        <vertAlign val="subscript"/>
        <sz val="11"/>
        <rFont val="Calibri"/>
        <family val="2"/>
        <scheme val="minor"/>
      </rPr>
      <t>P2,param</t>
    </r>
  </si>
  <si>
    <r>
      <t>K</t>
    </r>
    <r>
      <rPr>
        <vertAlign val="subscript"/>
        <sz val="11"/>
        <rFont val="Calibri"/>
        <family val="2"/>
        <scheme val="minor"/>
      </rPr>
      <t>P3,param</t>
    </r>
  </si>
  <si>
    <r>
      <t>EEQ</t>
    </r>
    <r>
      <rPr>
        <vertAlign val="subscript"/>
        <sz val="11"/>
        <rFont val="Calibri"/>
        <family val="2"/>
      </rPr>
      <t>NO2,NO3</t>
    </r>
  </si>
  <si>
    <r>
      <t>EEQ</t>
    </r>
    <r>
      <rPr>
        <vertAlign val="subscript"/>
        <sz val="11"/>
        <rFont val="Calibri"/>
        <family val="2"/>
      </rPr>
      <t>N2,NO2</t>
    </r>
  </si>
  <si>
    <r>
      <t>EEQ</t>
    </r>
    <r>
      <rPr>
        <vertAlign val="subscript"/>
        <sz val="11"/>
        <rFont val="Calibri"/>
        <family val="2"/>
      </rPr>
      <t>NO,NO2</t>
    </r>
  </si>
  <si>
    <r>
      <t>EEQ</t>
    </r>
    <r>
      <rPr>
        <vertAlign val="subscript"/>
        <sz val="11"/>
        <rFont val="Calibri"/>
        <family val="2"/>
      </rPr>
      <t>N2O,NO</t>
    </r>
  </si>
  <si>
    <r>
      <t>EEQ</t>
    </r>
    <r>
      <rPr>
        <vertAlign val="subscript"/>
        <sz val="11"/>
        <rFont val="Calibri"/>
        <family val="2"/>
      </rPr>
      <t>N2,N2O</t>
    </r>
  </si>
  <si>
    <t>IS coefficients</t>
  </si>
  <si>
    <r>
      <t>f</t>
    </r>
    <r>
      <rPr>
        <vertAlign val="subscript"/>
        <sz val="11"/>
        <rFont val="Calibri"/>
        <family val="2"/>
        <scheme val="minor"/>
      </rPr>
      <t>mono,IS,cat</t>
    </r>
  </si>
  <si>
    <t>Coefficient for ionic strength calculation for monovalent cations</t>
  </si>
  <si>
    <r>
      <t>f</t>
    </r>
    <r>
      <rPr>
        <vertAlign val="subscript"/>
        <sz val="11"/>
        <rFont val="Calibri"/>
        <family val="2"/>
        <scheme val="minor"/>
      </rPr>
      <t>mono,IS,an</t>
    </r>
  </si>
  <si>
    <t>Coefficient for ionic strength calculation for monovalent anions</t>
  </si>
  <si>
    <r>
      <t>f</t>
    </r>
    <r>
      <rPr>
        <vertAlign val="subscript"/>
        <sz val="11"/>
        <rFont val="Calibri"/>
        <family val="2"/>
        <scheme val="minor"/>
      </rPr>
      <t>di,IS,cat</t>
    </r>
  </si>
  <si>
    <t>Coefficient for ionic strength calculation for divalent cations</t>
  </si>
  <si>
    <r>
      <t>f</t>
    </r>
    <r>
      <rPr>
        <vertAlign val="subscript"/>
        <sz val="11"/>
        <rFont val="Calibri"/>
        <family val="2"/>
        <scheme val="minor"/>
      </rPr>
      <t>di,IS,an</t>
    </r>
  </si>
  <si>
    <t>Coefficient for ionic strength calculation for divalent anions</t>
  </si>
  <si>
    <r>
      <t>f</t>
    </r>
    <r>
      <rPr>
        <vertAlign val="subscript"/>
        <sz val="11"/>
        <rFont val="Calibri"/>
        <family val="2"/>
        <scheme val="minor"/>
      </rPr>
      <t>tri,IS,cat</t>
    </r>
  </si>
  <si>
    <t>Coefficient for ionic strength calculation for trivalent cations</t>
  </si>
  <si>
    <r>
      <t>f</t>
    </r>
    <r>
      <rPr>
        <vertAlign val="subscript"/>
        <sz val="11"/>
        <rFont val="Calibri"/>
        <family val="2"/>
        <scheme val="minor"/>
      </rPr>
      <t>tri,IS,an</t>
    </r>
  </si>
  <si>
    <t>Coefficient for ionic strength calculation for trivalent anions</t>
  </si>
  <si>
    <t>Coefficients for alkalinity calculation</t>
  </si>
  <si>
    <r>
      <t>[H</t>
    </r>
    <r>
      <rPr>
        <vertAlign val="superscript"/>
        <sz val="11"/>
        <rFont val="Calibri"/>
        <family val="2"/>
        <scheme val="minor"/>
      </rPr>
      <t>+</t>
    </r>
    <r>
      <rPr>
        <sz val="11"/>
        <rFont val="Calibri"/>
        <family val="2"/>
        <scheme val="minor"/>
      </rPr>
      <t>]</t>
    </r>
    <r>
      <rPr>
        <vertAlign val="subscript"/>
        <sz val="11"/>
        <rFont val="Calibri"/>
        <family val="2"/>
        <scheme val="minor"/>
      </rPr>
      <t>eq</t>
    </r>
  </si>
  <si>
    <t>Hydrogen ion concentration in equivalence point</t>
  </si>
  <si>
    <r>
      <t>mol.L</t>
    </r>
    <r>
      <rPr>
        <vertAlign val="superscript"/>
        <sz val="11"/>
        <rFont val="Calibri"/>
        <family val="2"/>
        <scheme val="minor"/>
      </rPr>
      <t>-1</t>
    </r>
  </si>
  <si>
    <t>Unit conversion coefficients</t>
  </si>
  <si>
    <r>
      <t>c</t>
    </r>
    <r>
      <rPr>
        <vertAlign val="subscript"/>
        <sz val="11"/>
        <rFont val="Calibri"/>
        <family val="2"/>
        <scheme val="minor"/>
      </rPr>
      <t>ppm,Vconc</t>
    </r>
  </si>
  <si>
    <t>Conversion coefficient between ppm and volumetric concentration</t>
  </si>
  <si>
    <r>
      <t>c</t>
    </r>
    <r>
      <rPr>
        <vertAlign val="subscript"/>
        <sz val="11"/>
        <rFont val="Calibri"/>
        <family val="2"/>
        <scheme val="minor"/>
      </rPr>
      <t>s,d</t>
    </r>
  </si>
  <si>
    <r>
      <t>c</t>
    </r>
    <r>
      <rPr>
        <vertAlign val="subscript"/>
        <sz val="11"/>
        <rFont val="Calibri"/>
        <family val="2"/>
        <scheme val="minor"/>
      </rPr>
      <t>mg,g</t>
    </r>
  </si>
  <si>
    <t>Conversion coefficient between milligrams and grams</t>
  </si>
  <si>
    <r>
      <t>c</t>
    </r>
    <r>
      <rPr>
        <vertAlign val="subscript"/>
        <sz val="11"/>
        <rFont val="Calibri"/>
        <family val="2"/>
        <scheme val="minor"/>
      </rPr>
      <t>g,kg</t>
    </r>
  </si>
  <si>
    <t>Conversion coefficient between grams and kilograms</t>
  </si>
  <si>
    <r>
      <t>c</t>
    </r>
    <r>
      <rPr>
        <vertAlign val="subscript"/>
        <sz val="11"/>
        <rFont val="Calibri"/>
        <family val="2"/>
        <scheme val="minor"/>
      </rPr>
      <t>L,m3</t>
    </r>
  </si>
  <si>
    <r>
      <t>c</t>
    </r>
    <r>
      <rPr>
        <vertAlign val="subscript"/>
        <sz val="11"/>
        <rFont val="Calibri"/>
        <family val="2"/>
        <scheme val="minor"/>
      </rPr>
      <t>Pa,Hgmm</t>
    </r>
  </si>
  <si>
    <r>
      <t>c</t>
    </r>
    <r>
      <rPr>
        <vertAlign val="subscript"/>
        <sz val="11"/>
        <rFont val="Calibri"/>
        <family val="2"/>
        <scheme val="minor"/>
      </rPr>
      <t>Pa,bar</t>
    </r>
  </si>
  <si>
    <r>
      <t>c</t>
    </r>
    <r>
      <rPr>
        <vertAlign val="subscript"/>
        <sz val="11"/>
        <rFont val="Calibri"/>
        <family val="2"/>
        <scheme val="minor"/>
      </rPr>
      <t>cm2,m2</t>
    </r>
  </si>
  <si>
    <t>Standard enthalpy of formation of species</t>
  </si>
  <si>
    <t>Standard enthalpy of proton</t>
  </si>
  <si>
    <t>http://www.riverdell.org/cms/lib05/NJ01001380/Centricity/Domain/68/Thermodynamic_Values.pdf</t>
  </si>
  <si>
    <t>Standard enthalpy of oxonium ion</t>
  </si>
  <si>
    <t>http://www.vias.org/genchem/standard_enthalpies_table.html</t>
  </si>
  <si>
    <t>Standard enthalpy of hydroxil ion</t>
  </si>
  <si>
    <t>Standard enthalpy of free ammonia</t>
  </si>
  <si>
    <t>Standard enthalpy of ammonium</t>
  </si>
  <si>
    <t>Standard enthalpy of nitrous acid</t>
  </si>
  <si>
    <t>Standard enthalpy of nitrite</t>
  </si>
  <si>
    <t>Standard enthalpy of nitrate</t>
  </si>
  <si>
    <t>Standard enthalpy of carbonic acid</t>
  </si>
  <si>
    <t>Standard enthalpy of bicarbonate ion</t>
  </si>
  <si>
    <t>Standard enthalpy of carbonate ion</t>
  </si>
  <si>
    <t>Standard enthalpy of phosphric acid</t>
  </si>
  <si>
    <t>Perry's Chemical Engineering Handbook, Chap. 2</t>
  </si>
  <si>
    <t>Standard enthalpy of dihydrogen phosphate ion</t>
  </si>
  <si>
    <t>http://bluedevilchem.com/honorshome/hch10/hch10docs/files/heatsformation.pdf</t>
  </si>
  <si>
    <t>Standard enthalpy of hydrogen phosphate ion</t>
  </si>
  <si>
    <t>Standard enthalpy of phosphate ion</t>
  </si>
  <si>
    <t>Standard enthalpy of acetic acid</t>
  </si>
  <si>
    <t>Standard enthalpy of acetate ion</t>
  </si>
  <si>
    <t>Standard enthalpy of formation of compounds</t>
  </si>
  <si>
    <r>
      <t>H</t>
    </r>
    <r>
      <rPr>
        <vertAlign val="subscript"/>
        <sz val="11"/>
        <rFont val="Calibri"/>
        <family val="2"/>
        <scheme val="minor"/>
      </rPr>
      <t>H2O</t>
    </r>
  </si>
  <si>
    <t>Standard enthalpy of formation of H2O (l)</t>
  </si>
  <si>
    <t>Perry's Chemical Engineering Handbook, 2-189</t>
  </si>
  <si>
    <t>MsatpH(var;k;varpH;kpH)</t>
  </si>
  <si>
    <t>If(Sumo__pHEffects; varpH/(kpH+varpH); var/(k+var))</t>
  </si>
  <si>
    <t>MinhpH(var;k;varpH;kpH)</t>
  </si>
  <si>
    <t>If(Sumo__pHEffects; kpH/(kpH+varpH); k/(k+var))</t>
  </si>
  <si>
    <t>LogsatpH(var; halfval; slope; varpH; halfvalpH; slopepH)</t>
  </si>
  <si>
    <t>Logistic saturation with check for pH availability</t>
  </si>
  <si>
    <t>If( Sumo__pHEffects; 1 / (1 + Exp((halfvalpH - varpH) * slopepH)); 1/((1 + Exp((halfval - var) * slope))))</t>
  </si>
  <si>
    <r>
      <t>Henry</t>
    </r>
    <r>
      <rPr>
        <vertAlign val="subscript"/>
        <sz val="11"/>
        <rFont val="Calibri"/>
        <family val="2"/>
        <scheme val="minor"/>
      </rPr>
      <t>GO2</t>
    </r>
    <r>
      <rPr>
        <sz val="11"/>
        <rFont val="Calibri"/>
        <family val="2"/>
        <scheme val="minor"/>
      </rPr>
      <t>(T)</t>
    </r>
  </si>
  <si>
    <r>
      <t>Henry</t>
    </r>
    <r>
      <rPr>
        <vertAlign val="subscript"/>
        <sz val="11"/>
        <rFont val="Calibri"/>
        <family val="2"/>
        <scheme val="minor"/>
      </rPr>
      <t>GCO2</t>
    </r>
    <r>
      <rPr>
        <sz val="11"/>
        <rFont val="Calibri"/>
        <family val="2"/>
        <scheme val="minor"/>
      </rPr>
      <t>(T)</t>
    </r>
  </si>
  <si>
    <r>
      <t>Henry</t>
    </r>
    <r>
      <rPr>
        <vertAlign val="subscript"/>
        <sz val="11"/>
        <rFont val="Calibri"/>
        <family val="2"/>
        <scheme val="minor"/>
      </rPr>
      <t>GNO</t>
    </r>
    <r>
      <rPr>
        <sz val="11"/>
        <rFont val="Calibri"/>
        <family val="2"/>
        <scheme val="minor"/>
      </rPr>
      <t>(T)</t>
    </r>
  </si>
  <si>
    <r>
      <t>Henry</t>
    </r>
    <r>
      <rPr>
        <vertAlign val="subscript"/>
        <sz val="11"/>
        <rFont val="Calibri"/>
        <family val="2"/>
        <scheme val="minor"/>
      </rPr>
      <t>GN2O</t>
    </r>
    <r>
      <rPr>
        <sz val="11"/>
        <rFont val="Calibri"/>
        <family val="2"/>
        <scheme val="minor"/>
      </rPr>
      <t>(T)</t>
    </r>
  </si>
  <si>
    <r>
      <t>Henry</t>
    </r>
    <r>
      <rPr>
        <vertAlign val="subscript"/>
        <sz val="11"/>
        <rFont val="Calibri"/>
        <family val="2"/>
        <scheme val="minor"/>
      </rPr>
      <t>GN2</t>
    </r>
    <r>
      <rPr>
        <sz val="11"/>
        <rFont val="Calibri"/>
        <family val="2"/>
        <scheme val="minor"/>
      </rPr>
      <t>(T)</t>
    </r>
  </si>
  <si>
    <r>
      <t>Henry</t>
    </r>
    <r>
      <rPr>
        <vertAlign val="subscript"/>
        <sz val="11"/>
        <rFont val="Calibri"/>
        <family val="2"/>
        <scheme val="minor"/>
      </rPr>
      <t>GH2</t>
    </r>
    <r>
      <rPr>
        <sz val="11"/>
        <rFont val="Calibri"/>
        <family val="2"/>
        <scheme val="minor"/>
      </rPr>
      <t>(T)</t>
    </r>
  </si>
  <si>
    <r>
      <t>Henry</t>
    </r>
    <r>
      <rPr>
        <vertAlign val="subscript"/>
        <sz val="11"/>
        <rFont val="Calibri"/>
        <family val="2"/>
        <scheme val="minor"/>
      </rPr>
      <t>GCH4</t>
    </r>
    <r>
      <rPr>
        <sz val="11"/>
        <rFont val="Calibri"/>
        <family val="2"/>
        <scheme val="minor"/>
      </rPr>
      <t>(T)</t>
    </r>
  </si>
  <si>
    <t>unused</t>
  </si>
  <si>
    <r>
      <t>S</t>
    </r>
    <r>
      <rPr>
        <vertAlign val="subscript"/>
        <sz val="11"/>
        <rFont val="Calibri"/>
        <family val="2"/>
        <scheme val="minor"/>
      </rPr>
      <t>F</t>
    </r>
    <r>
      <rPr>
        <sz val="11"/>
        <rFont val="Calibri"/>
        <family val="2"/>
        <scheme val="minor"/>
      </rPr>
      <t xml:space="preserve"> +S</t>
    </r>
    <r>
      <rPr>
        <vertAlign val="subscript"/>
        <sz val="11"/>
        <rFont val="Calibri"/>
        <family val="2"/>
        <scheme val="minor"/>
      </rPr>
      <t>A</t>
    </r>
  </si>
  <si>
    <r>
      <t>S</t>
    </r>
    <r>
      <rPr>
        <vertAlign val="subscript"/>
        <sz val="11"/>
        <rFont val="Calibri"/>
        <family val="2"/>
        <scheme val="minor"/>
      </rPr>
      <t>BOD,5</t>
    </r>
    <r>
      <rPr>
        <sz val="11"/>
        <rFont val="Calibri"/>
        <family val="2"/>
        <scheme val="minor"/>
      </rPr>
      <t xml:space="preserve"> +X</t>
    </r>
    <r>
      <rPr>
        <vertAlign val="subscript"/>
        <sz val="11"/>
        <rFont val="Calibri"/>
        <family val="2"/>
        <scheme val="minor"/>
      </rPr>
      <t>BOD,5</t>
    </r>
  </si>
  <si>
    <r>
      <t>S</t>
    </r>
    <r>
      <rPr>
        <vertAlign val="subscript"/>
        <sz val="11"/>
        <rFont val="Calibri"/>
        <family val="2"/>
        <scheme val="minor"/>
      </rPr>
      <t>F</t>
    </r>
    <r>
      <rPr>
        <sz val="11"/>
        <rFont val="Calibri"/>
        <family val="2"/>
        <scheme val="minor"/>
      </rPr>
      <t xml:space="preserve"> +S</t>
    </r>
    <r>
      <rPr>
        <vertAlign val="subscript"/>
        <sz val="11"/>
        <rFont val="Calibri"/>
        <family val="2"/>
        <scheme val="minor"/>
      </rPr>
      <t>A</t>
    </r>
    <r>
      <rPr>
        <sz val="11"/>
        <rFont val="Calibri"/>
        <family val="2"/>
        <scheme val="minor"/>
      </rPr>
      <t xml:space="preserve"> +S</t>
    </r>
    <r>
      <rPr>
        <vertAlign val="subscript"/>
        <sz val="11"/>
        <rFont val="Calibri"/>
        <family val="2"/>
        <scheme val="minor"/>
      </rPr>
      <t>I</t>
    </r>
  </si>
  <si>
    <r>
      <t>S</t>
    </r>
    <r>
      <rPr>
        <vertAlign val="subscript"/>
        <sz val="11"/>
        <rFont val="Calibri"/>
        <family val="2"/>
      </rPr>
      <t>COD</t>
    </r>
    <r>
      <rPr>
        <sz val="11"/>
        <rFont val="Calibri"/>
        <family val="2"/>
      </rPr>
      <t xml:space="preserve"> +X</t>
    </r>
    <r>
      <rPr>
        <vertAlign val="subscript"/>
        <sz val="11"/>
        <rFont val="Calibri"/>
        <family val="2"/>
      </rPr>
      <t>COD</t>
    </r>
  </si>
  <si>
    <t>Steps before starting a new model/modifying an existing one</t>
  </si>
  <si>
    <t>Please check that your macros are at the same version than the Sumo models you are using.</t>
  </si>
  <si>
    <t>Please make sure your systemcode tabs are up-to-date. If not:</t>
  </si>
  <si>
    <t>unhide tabs starting with "systemcode_"</t>
  </si>
  <si>
    <t>delete these tabs</t>
  </si>
  <si>
    <t>open the latest systemcode.xlsx</t>
  </si>
  <si>
    <t>copy functions and constants into your model file to replace the deleted ones</t>
  </si>
  <si>
    <t>rename them to systemcode_&lt;original name&gt;</t>
  </si>
  <si>
    <t> If you add a new chemical species , please verify that it does exist in the systemcode.xlsx Species tab</t>
  </si>
  <si>
    <t>If it does not exist yet, it has to be added</t>
  </si>
  <si>
    <t>1 / (1 + Exp((halfval - var) * slope))</t>
  </si>
  <si>
    <t>1 / (1 + Exp((var - halfval) * slope))</t>
  </si>
  <si>
    <t>LoginhpH(var; halfval; slope; varpH; halfvalpH; slopepH)</t>
  </si>
  <si>
    <t>Logistic inhibition with check for pH availability</t>
  </si>
  <si>
    <t>If( Sumo__pHEffects; 1 / (1 + Exp((varpH - halfvalpH) * slopepH)); 1/((1 + Exp((var - halfval) * slope))))</t>
  </si>
  <si>
    <t>HalpH(var; halfval; halfinh; varpH; halfvalpH; halfinhpH)</t>
  </si>
  <si>
    <t>Haldane equation</t>
  </si>
  <si>
    <t>Noncompinh(var; halfinh)</t>
  </si>
  <si>
    <t>Non-competetive inhibition</t>
  </si>
  <si>
    <t>1 / (1 + (var / halfinh))</t>
  </si>
  <si>
    <t>Diffusion coefficient of ammonia in water</t>
  </si>
  <si>
    <r>
      <t>MM</t>
    </r>
    <r>
      <rPr>
        <vertAlign val="subscript"/>
        <sz val="11"/>
        <rFont val="Calibri"/>
        <family val="2"/>
        <scheme val="minor"/>
      </rPr>
      <t>GNH3</t>
    </r>
  </si>
  <si>
    <r>
      <t>MM</t>
    </r>
    <r>
      <rPr>
        <vertAlign val="subscript"/>
        <sz val="11"/>
        <rFont val="Calibri"/>
        <family val="2"/>
        <scheme val="minor"/>
      </rPr>
      <t>H2O</t>
    </r>
  </si>
  <si>
    <t>Molecular mass of water</t>
  </si>
  <si>
    <r>
      <t>MM</t>
    </r>
    <r>
      <rPr>
        <vertAlign val="subscript"/>
        <sz val="11"/>
        <rFont val="Calibri"/>
        <family val="2"/>
        <scheme val="minor"/>
      </rPr>
      <t>SO4</t>
    </r>
  </si>
  <si>
    <t>Molecular mass of sulfate</t>
  </si>
  <si>
    <r>
      <t>MM</t>
    </r>
    <r>
      <rPr>
        <vertAlign val="subscript"/>
        <sz val="11"/>
        <rFont val="Calibri"/>
        <family val="2"/>
        <scheme val="minor"/>
      </rPr>
      <t>HSO4</t>
    </r>
  </si>
  <si>
    <t>Molecular mass of hydrogen sulfate</t>
  </si>
  <si>
    <r>
      <t>MM</t>
    </r>
    <r>
      <rPr>
        <vertAlign val="subscript"/>
        <sz val="11"/>
        <rFont val="Calibri"/>
        <family val="2"/>
        <scheme val="minor"/>
      </rPr>
      <t>H2SO4</t>
    </r>
  </si>
  <si>
    <r>
      <t>MM</t>
    </r>
    <r>
      <rPr>
        <vertAlign val="subscript"/>
        <sz val="11"/>
        <rFont val="Calibri"/>
        <family val="2"/>
        <scheme val="minor"/>
      </rPr>
      <t>H2S</t>
    </r>
  </si>
  <si>
    <t>Molecular mass of hydrogen chloride</t>
  </si>
  <si>
    <r>
      <t>MM</t>
    </r>
    <r>
      <rPr>
        <vertAlign val="subscript"/>
        <sz val="11"/>
        <rFont val="Calibri"/>
        <family val="2"/>
        <scheme val="minor"/>
      </rPr>
      <t>ACP</t>
    </r>
  </si>
  <si>
    <t>Molecular mass of amorphous calcium phosphate</t>
  </si>
  <si>
    <r>
      <t>MM</t>
    </r>
    <r>
      <rPr>
        <vertAlign val="subscript"/>
        <sz val="11"/>
        <rFont val="Calibri"/>
        <family val="2"/>
        <scheme val="minor"/>
      </rPr>
      <t>Vivi</t>
    </r>
  </si>
  <si>
    <t>Molecular mass of vivianite</t>
  </si>
  <si>
    <r>
      <t>MM</t>
    </r>
    <r>
      <rPr>
        <vertAlign val="subscript"/>
        <sz val="11"/>
        <rFont val="Calibri"/>
        <family val="2"/>
        <scheme val="minor"/>
      </rPr>
      <t>FeS</t>
    </r>
  </si>
  <si>
    <t>Molecular mass of iron sulfide</t>
  </si>
  <si>
    <t>N content in GN2</t>
  </si>
  <si>
    <t>N content in GNH3</t>
  </si>
  <si>
    <t>N content in GNO</t>
  </si>
  <si>
    <t>N content in GN2O</t>
  </si>
  <si>
    <t>Molecular mass of GCO2</t>
  </si>
  <si>
    <t>Molecular mass of GO2</t>
  </si>
  <si>
    <t>Molecular mass of GCH4</t>
  </si>
  <si>
    <t>Molecular mass of GH2</t>
  </si>
  <si>
    <r>
      <t>EEQ</t>
    </r>
    <r>
      <rPr>
        <vertAlign val="subscript"/>
        <sz val="11"/>
        <rFont val="Calibri"/>
        <family val="2"/>
        <scheme val="minor"/>
      </rPr>
      <t>N2,NO3</t>
    </r>
  </si>
  <si>
    <r>
      <t>Electron equivalence of H</t>
    </r>
    <r>
      <rPr>
        <vertAlign val="subscript"/>
        <sz val="11"/>
        <rFont val="Calibri"/>
        <family val="2"/>
        <scheme val="minor"/>
      </rPr>
      <t>2</t>
    </r>
    <r>
      <rPr>
        <sz val="11"/>
        <rFont val="Calibri"/>
        <family val="2"/>
        <scheme val="minor"/>
      </rPr>
      <t>S to H</t>
    </r>
    <r>
      <rPr>
        <vertAlign val="subscript"/>
        <sz val="11"/>
        <rFont val="Calibri"/>
        <family val="2"/>
        <scheme val="minor"/>
      </rPr>
      <t>2</t>
    </r>
    <r>
      <rPr>
        <sz val="11"/>
        <rFont val="Calibri"/>
        <family val="2"/>
        <scheme val="minor"/>
      </rPr>
      <t>SO</t>
    </r>
    <r>
      <rPr>
        <vertAlign val="subscript"/>
        <sz val="11"/>
        <rFont val="Calibri"/>
        <family val="2"/>
        <scheme val="minor"/>
      </rPr>
      <t>4</t>
    </r>
  </si>
  <si>
    <t>=0.5*1^2</t>
  </si>
  <si>
    <t>=0.5*(-1)^2</t>
  </si>
  <si>
    <t>=0.5*2^2</t>
  </si>
  <si>
    <t>=0.5*(-2)^2</t>
  </si>
  <si>
    <t>=0.5*3^2</t>
  </si>
  <si>
    <t>=0.5*(-3)^2</t>
  </si>
  <si>
    <r>
      <t>c</t>
    </r>
    <r>
      <rPr>
        <vertAlign val="subscript"/>
        <sz val="11"/>
        <rFont val="Calibri"/>
        <family val="2"/>
        <scheme val="minor"/>
      </rPr>
      <t>ms,h</t>
    </r>
  </si>
  <si>
    <t>Conversion coefficient between milliseconds and hours</t>
  </si>
  <si>
    <r>
      <t>ms.h</t>
    </r>
    <r>
      <rPr>
        <vertAlign val="superscript"/>
        <sz val="11"/>
        <rFont val="Calibri"/>
        <family val="2"/>
        <scheme val="minor"/>
      </rPr>
      <t>-1</t>
    </r>
  </si>
  <si>
    <r>
      <t>H</t>
    </r>
    <r>
      <rPr>
        <vertAlign val="subscript"/>
        <sz val="11"/>
        <rFont val="Calibri"/>
        <family val="2"/>
        <scheme val="minor"/>
      </rPr>
      <t>Hp</t>
    </r>
  </si>
  <si>
    <r>
      <t>H</t>
    </r>
    <r>
      <rPr>
        <vertAlign val="subscript"/>
        <sz val="11"/>
        <rFont val="Calibri"/>
        <family val="2"/>
        <scheme val="minor"/>
      </rPr>
      <t>H3Op</t>
    </r>
  </si>
  <si>
    <r>
      <t>H</t>
    </r>
    <r>
      <rPr>
        <vertAlign val="subscript"/>
        <sz val="11"/>
        <rFont val="Calibri"/>
        <family val="2"/>
        <scheme val="minor"/>
      </rPr>
      <t>OHm</t>
    </r>
  </si>
  <si>
    <r>
      <t>H</t>
    </r>
    <r>
      <rPr>
        <vertAlign val="subscript"/>
        <sz val="11"/>
        <rFont val="Calibri"/>
        <family val="2"/>
        <scheme val="minor"/>
      </rPr>
      <t>NH3</t>
    </r>
  </si>
  <si>
    <r>
      <t>H</t>
    </r>
    <r>
      <rPr>
        <vertAlign val="subscript"/>
        <sz val="11"/>
        <rFont val="Calibri"/>
        <family val="2"/>
        <scheme val="minor"/>
      </rPr>
      <t>NH4p</t>
    </r>
  </si>
  <si>
    <r>
      <t>H</t>
    </r>
    <r>
      <rPr>
        <vertAlign val="subscript"/>
        <sz val="11"/>
        <rFont val="Calibri"/>
        <family val="2"/>
        <scheme val="minor"/>
      </rPr>
      <t>HNO2</t>
    </r>
  </si>
  <si>
    <r>
      <t>H</t>
    </r>
    <r>
      <rPr>
        <vertAlign val="subscript"/>
        <sz val="11"/>
        <rFont val="Calibri"/>
        <family val="2"/>
        <scheme val="minor"/>
      </rPr>
      <t>NO2m</t>
    </r>
  </si>
  <si>
    <r>
      <t>H</t>
    </r>
    <r>
      <rPr>
        <vertAlign val="subscript"/>
        <sz val="11"/>
        <rFont val="Calibri"/>
        <family val="2"/>
        <scheme val="minor"/>
      </rPr>
      <t>NO3m</t>
    </r>
  </si>
  <si>
    <r>
      <t>H</t>
    </r>
    <r>
      <rPr>
        <vertAlign val="subscript"/>
        <sz val="11"/>
        <rFont val="Calibri"/>
        <family val="2"/>
        <scheme val="minor"/>
      </rPr>
      <t>H2CO3</t>
    </r>
  </si>
  <si>
    <r>
      <t>H</t>
    </r>
    <r>
      <rPr>
        <vertAlign val="subscript"/>
        <sz val="11"/>
        <rFont val="Calibri"/>
        <family val="2"/>
        <scheme val="minor"/>
      </rPr>
      <t>HCO3m</t>
    </r>
  </si>
  <si>
    <r>
      <t>H</t>
    </r>
    <r>
      <rPr>
        <vertAlign val="subscript"/>
        <sz val="11"/>
        <rFont val="Calibri"/>
        <family val="2"/>
        <scheme val="minor"/>
      </rPr>
      <t>CO32m</t>
    </r>
  </si>
  <si>
    <r>
      <t>H</t>
    </r>
    <r>
      <rPr>
        <vertAlign val="subscript"/>
        <sz val="11"/>
        <rFont val="Calibri"/>
        <family val="2"/>
        <scheme val="minor"/>
      </rPr>
      <t>H3PO4</t>
    </r>
  </si>
  <si>
    <r>
      <t>H</t>
    </r>
    <r>
      <rPr>
        <vertAlign val="subscript"/>
        <sz val="11"/>
        <rFont val="Calibri"/>
        <family val="2"/>
        <scheme val="minor"/>
      </rPr>
      <t>H2PO4m</t>
    </r>
  </si>
  <si>
    <r>
      <t>H</t>
    </r>
    <r>
      <rPr>
        <vertAlign val="subscript"/>
        <sz val="11"/>
        <rFont val="Calibri"/>
        <family val="2"/>
        <scheme val="minor"/>
      </rPr>
      <t>HPO42m</t>
    </r>
  </si>
  <si>
    <r>
      <t>H</t>
    </r>
    <r>
      <rPr>
        <vertAlign val="subscript"/>
        <sz val="11"/>
        <rFont val="Calibri"/>
        <family val="2"/>
        <scheme val="minor"/>
      </rPr>
      <t>PO43m</t>
    </r>
  </si>
  <si>
    <r>
      <t>H</t>
    </r>
    <r>
      <rPr>
        <vertAlign val="subscript"/>
        <sz val="11"/>
        <rFont val="Calibri"/>
        <family val="2"/>
        <scheme val="minor"/>
      </rPr>
      <t>HAc</t>
    </r>
  </si>
  <si>
    <r>
      <t>H</t>
    </r>
    <r>
      <rPr>
        <vertAlign val="subscript"/>
        <sz val="11"/>
        <rFont val="Calibri"/>
        <family val="2"/>
        <scheme val="minor"/>
      </rPr>
      <t>Acm</t>
    </r>
  </si>
  <si>
    <r>
      <t>g O2.m</t>
    </r>
    <r>
      <rPr>
        <vertAlign val="superscript"/>
        <sz val="11"/>
        <rFont val="Calibri"/>
        <family val="2"/>
      </rPr>
      <t>-3</t>
    </r>
    <r>
      <rPr>
        <sz val="11"/>
        <rFont val="Calibri"/>
        <family val="2"/>
      </rPr>
      <t>.d</t>
    </r>
    <r>
      <rPr>
        <vertAlign val="superscript"/>
        <sz val="11"/>
        <rFont val="Calibri"/>
        <family val="2"/>
      </rPr>
      <t>-1</t>
    </r>
  </si>
  <si>
    <r>
      <t>g N.m</t>
    </r>
    <r>
      <rPr>
        <vertAlign val="superscript"/>
        <sz val="11"/>
        <rFont val="Calibri"/>
        <family val="2"/>
      </rPr>
      <t>-3</t>
    </r>
    <r>
      <rPr>
        <sz val="11"/>
        <rFont val="Calibri"/>
        <family val="2"/>
      </rPr>
      <t>.d</t>
    </r>
    <r>
      <rPr>
        <vertAlign val="superscript"/>
        <sz val="11"/>
        <rFont val="Calibri"/>
        <family val="2"/>
      </rPr>
      <t>-1</t>
    </r>
  </si>
  <si>
    <r>
      <t>-(v1_S</t>
    </r>
    <r>
      <rPr>
        <vertAlign val="subscript"/>
        <sz val="11"/>
        <rFont val="Calibri"/>
        <family val="2"/>
      </rPr>
      <t>NH</t>
    </r>
    <r>
      <rPr>
        <sz val="11"/>
        <rFont val="Calibri"/>
        <family val="2"/>
      </rPr>
      <t>*r1 + v2_S</t>
    </r>
    <r>
      <rPr>
        <vertAlign val="subscript"/>
        <sz val="11"/>
        <rFont val="Calibri"/>
        <family val="2"/>
      </rPr>
      <t>NH</t>
    </r>
    <r>
      <rPr>
        <sz val="11"/>
        <rFont val="Calibri"/>
        <family val="2"/>
      </rPr>
      <t>*r2 + v3_S</t>
    </r>
    <r>
      <rPr>
        <vertAlign val="subscript"/>
        <sz val="11"/>
        <rFont val="Calibri"/>
        <family val="2"/>
      </rPr>
      <t>NH</t>
    </r>
    <r>
      <rPr>
        <sz val="11"/>
        <rFont val="Calibri"/>
        <family val="2"/>
      </rPr>
      <t>*r3 + v4_S</t>
    </r>
    <r>
      <rPr>
        <vertAlign val="subscript"/>
        <sz val="11"/>
        <rFont val="Calibri"/>
        <family val="2"/>
      </rPr>
      <t>NH</t>
    </r>
    <r>
      <rPr>
        <sz val="11"/>
        <rFont val="Calibri"/>
        <family val="2"/>
      </rPr>
      <t>*r4 + v5_S</t>
    </r>
    <r>
      <rPr>
        <vertAlign val="subscript"/>
        <sz val="11"/>
        <rFont val="Calibri"/>
        <family val="2"/>
      </rPr>
      <t>NH</t>
    </r>
    <r>
      <rPr>
        <sz val="11"/>
        <rFont val="Calibri"/>
        <family val="2"/>
      </rPr>
      <t>*r5 + v6_S</t>
    </r>
    <r>
      <rPr>
        <vertAlign val="subscript"/>
        <sz val="11"/>
        <rFont val="Calibri"/>
        <family val="2"/>
      </rPr>
      <t>NH</t>
    </r>
    <r>
      <rPr>
        <sz val="11"/>
        <rFont val="Calibri"/>
        <family val="2"/>
      </rPr>
      <t>*r6 + v7_S</t>
    </r>
    <r>
      <rPr>
        <vertAlign val="subscript"/>
        <sz val="11"/>
        <rFont val="Calibri"/>
        <family val="2"/>
      </rPr>
      <t>NH</t>
    </r>
    <r>
      <rPr>
        <sz val="11"/>
        <rFont val="Calibri"/>
        <family val="2"/>
      </rPr>
      <t>*r7 + v8_S</t>
    </r>
    <r>
      <rPr>
        <vertAlign val="subscript"/>
        <sz val="11"/>
        <rFont val="Calibri"/>
        <family val="2"/>
      </rPr>
      <t>NH</t>
    </r>
    <r>
      <rPr>
        <sz val="11"/>
        <rFont val="Calibri"/>
        <family val="2"/>
      </rPr>
      <t>*r8 + v9_S</t>
    </r>
    <r>
      <rPr>
        <vertAlign val="subscript"/>
        <sz val="11"/>
        <rFont val="Calibri"/>
        <family val="2"/>
      </rPr>
      <t>NH</t>
    </r>
    <r>
      <rPr>
        <sz val="11"/>
        <rFont val="Calibri"/>
        <family val="2"/>
      </rPr>
      <t>*r9 + v13_S</t>
    </r>
    <r>
      <rPr>
        <vertAlign val="subscript"/>
        <sz val="11"/>
        <rFont val="Calibri"/>
        <family val="2"/>
      </rPr>
      <t>NH</t>
    </r>
    <r>
      <rPr>
        <sz val="11"/>
        <rFont val="Calibri"/>
        <family val="2"/>
      </rPr>
      <t>*r13 + v14_S</t>
    </r>
    <r>
      <rPr>
        <vertAlign val="subscript"/>
        <sz val="11"/>
        <rFont val="Calibri"/>
        <family val="2"/>
      </rPr>
      <t>NH</t>
    </r>
    <r>
      <rPr>
        <sz val="11"/>
        <rFont val="Calibri"/>
        <family val="2"/>
      </rPr>
      <t>*r14 + v15_S</t>
    </r>
    <r>
      <rPr>
        <vertAlign val="subscript"/>
        <sz val="11"/>
        <rFont val="Calibri"/>
        <family val="2"/>
      </rPr>
      <t>NH</t>
    </r>
    <r>
      <rPr>
        <sz val="11"/>
        <rFont val="Calibri"/>
        <family val="2"/>
      </rPr>
      <t>*r15 + v16_S</t>
    </r>
    <r>
      <rPr>
        <vertAlign val="subscript"/>
        <sz val="11"/>
        <rFont val="Calibri"/>
        <family val="2"/>
      </rPr>
      <t>NH</t>
    </r>
    <r>
      <rPr>
        <sz val="11"/>
        <rFont val="Calibri"/>
        <family val="2"/>
      </rPr>
      <t>*r16 + v17_S</t>
    </r>
    <r>
      <rPr>
        <vertAlign val="subscript"/>
        <sz val="11"/>
        <rFont val="Calibri"/>
        <family val="2"/>
      </rPr>
      <t>NH</t>
    </r>
    <r>
      <rPr>
        <sz val="11"/>
        <rFont val="Calibri"/>
        <family val="2"/>
      </rPr>
      <t>*r17 + v18_S</t>
    </r>
    <r>
      <rPr>
        <vertAlign val="subscript"/>
        <sz val="11"/>
        <rFont val="Calibri"/>
        <family val="2"/>
      </rPr>
      <t>NH</t>
    </r>
    <r>
      <rPr>
        <sz val="11"/>
        <rFont val="Calibri"/>
        <family val="2"/>
      </rPr>
      <t>*r18 + v19_S</t>
    </r>
    <r>
      <rPr>
        <vertAlign val="subscript"/>
        <sz val="11"/>
        <rFont val="Calibri"/>
        <family val="2"/>
      </rPr>
      <t>NH</t>
    </r>
    <r>
      <rPr>
        <sz val="11"/>
        <rFont val="Calibri"/>
        <family val="2"/>
      </rPr>
      <t>*r19 + v20_S</t>
    </r>
    <r>
      <rPr>
        <vertAlign val="subscript"/>
        <sz val="11"/>
        <rFont val="Calibri"/>
        <family val="2"/>
      </rPr>
      <t>NH</t>
    </r>
    <r>
      <rPr>
        <sz val="11"/>
        <rFont val="Calibri"/>
        <family val="2"/>
      </rPr>
      <t>*r20 + v21_S</t>
    </r>
    <r>
      <rPr>
        <vertAlign val="subscript"/>
        <sz val="11"/>
        <rFont val="Calibri"/>
        <family val="2"/>
      </rPr>
      <t>NH</t>
    </r>
    <r>
      <rPr>
        <sz val="11"/>
        <rFont val="Calibri"/>
        <family val="2"/>
      </rPr>
      <t>*r21 + v22_S</t>
    </r>
    <r>
      <rPr>
        <vertAlign val="subscript"/>
        <sz val="11"/>
        <rFont val="Calibri"/>
        <family val="2"/>
      </rPr>
      <t>NH</t>
    </r>
    <r>
      <rPr>
        <sz val="11"/>
        <rFont val="Calibri"/>
        <family val="2"/>
      </rPr>
      <t>*r22)</t>
    </r>
  </si>
  <si>
    <t>Biofilm</t>
  </si>
  <si>
    <t>( k )/(s/x+k)</t>
  </si>
  <si>
    <t>If( Sumo__pHEffects; varpH / (halfvalpH + varpH + (( varpH )^2/halfinhpH));var / (halfval + var + (( var )^2/halfinh)))</t>
  </si>
  <si>
    <r>
      <t>Henry</t>
    </r>
    <r>
      <rPr>
        <vertAlign val="subscript"/>
        <sz val="11"/>
        <rFont val="Calibri"/>
        <family val="2"/>
        <scheme val="minor"/>
      </rPr>
      <t>GO2,25</t>
    </r>
    <r>
      <rPr>
        <sz val="11"/>
        <rFont val="Calibri"/>
        <family val="2"/>
        <scheme val="minor"/>
      </rPr>
      <t>*Exp(Henry</t>
    </r>
    <r>
      <rPr>
        <vertAlign val="subscript"/>
        <sz val="11"/>
        <rFont val="Calibri"/>
        <family val="2"/>
        <scheme val="minor"/>
      </rPr>
      <t>GO2,dt</t>
    </r>
    <r>
      <rPr>
        <sz val="11"/>
        <rFont val="Calibri"/>
        <family val="2"/>
        <scheme val="minor"/>
      </rPr>
      <t>*((1/T)-(1/298.15)))</t>
    </r>
  </si>
  <si>
    <r>
      <t>Henry</t>
    </r>
    <r>
      <rPr>
        <vertAlign val="subscript"/>
        <sz val="11"/>
        <rFont val="Calibri"/>
        <family val="2"/>
        <scheme val="minor"/>
      </rPr>
      <t>GCO2,25</t>
    </r>
    <r>
      <rPr>
        <sz val="11"/>
        <rFont val="Calibri"/>
        <family val="2"/>
        <scheme val="minor"/>
      </rPr>
      <t>*Exp(Henry</t>
    </r>
    <r>
      <rPr>
        <vertAlign val="subscript"/>
        <sz val="11"/>
        <rFont val="Calibri"/>
        <family val="2"/>
        <scheme val="minor"/>
      </rPr>
      <t>GCO2,dt</t>
    </r>
    <r>
      <rPr>
        <sz val="11"/>
        <rFont val="Calibri"/>
        <family val="2"/>
        <scheme val="minor"/>
      </rPr>
      <t>*((1/T)-(1/298.15)))</t>
    </r>
  </si>
  <si>
    <r>
      <t>Henry</t>
    </r>
    <r>
      <rPr>
        <vertAlign val="subscript"/>
        <sz val="11"/>
        <rFont val="Calibri"/>
        <family val="2"/>
        <scheme val="minor"/>
      </rPr>
      <t>GNO,25</t>
    </r>
    <r>
      <rPr>
        <sz val="11"/>
        <rFont val="Calibri"/>
        <family val="2"/>
        <scheme val="minor"/>
      </rPr>
      <t>*Exp(Henry</t>
    </r>
    <r>
      <rPr>
        <vertAlign val="subscript"/>
        <sz val="11"/>
        <rFont val="Calibri"/>
        <family val="2"/>
        <scheme val="minor"/>
      </rPr>
      <t>GNO,dt</t>
    </r>
    <r>
      <rPr>
        <sz val="11"/>
        <rFont val="Calibri"/>
        <family val="2"/>
        <scheme val="minor"/>
      </rPr>
      <t>*((1/T)-(1/298.15)))</t>
    </r>
  </si>
  <si>
    <r>
      <t>Henry</t>
    </r>
    <r>
      <rPr>
        <vertAlign val="subscript"/>
        <sz val="11"/>
        <rFont val="Calibri"/>
        <family val="2"/>
        <scheme val="minor"/>
      </rPr>
      <t>GN2O,25</t>
    </r>
    <r>
      <rPr>
        <sz val="11"/>
        <rFont val="Calibri"/>
        <family val="2"/>
        <scheme val="minor"/>
      </rPr>
      <t>*Exp(Henry</t>
    </r>
    <r>
      <rPr>
        <vertAlign val="subscript"/>
        <sz val="11"/>
        <rFont val="Calibri"/>
        <family val="2"/>
        <scheme val="minor"/>
      </rPr>
      <t>GN2O,dt</t>
    </r>
    <r>
      <rPr>
        <sz val="11"/>
        <rFont val="Calibri"/>
        <family val="2"/>
        <scheme val="minor"/>
      </rPr>
      <t>*((1/T)-(1/298.15)))</t>
    </r>
  </si>
  <si>
    <r>
      <t>Henry</t>
    </r>
    <r>
      <rPr>
        <vertAlign val="subscript"/>
        <sz val="11"/>
        <rFont val="Calibri"/>
        <family val="2"/>
        <scheme val="minor"/>
      </rPr>
      <t>GN2,25</t>
    </r>
    <r>
      <rPr>
        <sz val="11"/>
        <rFont val="Calibri"/>
        <family val="2"/>
        <scheme val="minor"/>
      </rPr>
      <t>*Exp(Henry</t>
    </r>
    <r>
      <rPr>
        <vertAlign val="subscript"/>
        <sz val="11"/>
        <rFont val="Calibri"/>
        <family val="2"/>
        <scheme val="minor"/>
      </rPr>
      <t>GN2,dt</t>
    </r>
    <r>
      <rPr>
        <sz val="11"/>
        <rFont val="Calibri"/>
        <family val="2"/>
        <scheme val="minor"/>
      </rPr>
      <t>*((1/T)-(1/298.15)))</t>
    </r>
  </si>
  <si>
    <r>
      <t>Henry</t>
    </r>
    <r>
      <rPr>
        <vertAlign val="subscript"/>
        <sz val="11"/>
        <rFont val="Calibri"/>
        <family val="2"/>
        <scheme val="minor"/>
      </rPr>
      <t>GH2,25</t>
    </r>
    <r>
      <rPr>
        <sz val="11"/>
        <rFont val="Calibri"/>
        <family val="2"/>
        <scheme val="minor"/>
      </rPr>
      <t>*Exp(Henry</t>
    </r>
    <r>
      <rPr>
        <vertAlign val="subscript"/>
        <sz val="11"/>
        <rFont val="Calibri"/>
        <family val="2"/>
        <scheme val="minor"/>
      </rPr>
      <t>GH2,dt</t>
    </r>
    <r>
      <rPr>
        <sz val="11"/>
        <rFont val="Calibri"/>
        <family val="2"/>
        <scheme val="minor"/>
      </rPr>
      <t>*((1/T)-(1/298.15)))</t>
    </r>
  </si>
  <si>
    <r>
      <t>Henry</t>
    </r>
    <r>
      <rPr>
        <vertAlign val="subscript"/>
        <sz val="11"/>
        <rFont val="Calibri"/>
        <family val="2"/>
        <scheme val="minor"/>
      </rPr>
      <t>GCH4,25</t>
    </r>
    <r>
      <rPr>
        <sz val="11"/>
        <rFont val="Calibri"/>
        <family val="2"/>
        <scheme val="minor"/>
      </rPr>
      <t>*Exp(Henry</t>
    </r>
    <r>
      <rPr>
        <vertAlign val="subscript"/>
        <sz val="11"/>
        <rFont val="Calibri"/>
        <family val="2"/>
        <scheme val="minor"/>
      </rPr>
      <t>GCH4,dt</t>
    </r>
    <r>
      <rPr>
        <sz val="11"/>
        <rFont val="Calibri"/>
        <family val="2"/>
        <scheme val="minor"/>
      </rPr>
      <t>*((1/T)-(1/298.15)))</t>
    </r>
  </si>
  <si>
    <r>
      <t>H</t>
    </r>
    <r>
      <rPr>
        <vertAlign val="subscript"/>
        <sz val="11"/>
        <rFont val="Calibri"/>
        <family val="2"/>
        <scheme val="minor"/>
      </rPr>
      <t>null</t>
    </r>
  </si>
  <si>
    <t>Enthalpy of water at 0°C</t>
  </si>
  <si>
    <r>
      <t>EEQ</t>
    </r>
    <r>
      <rPr>
        <vertAlign val="subscript"/>
        <sz val="11"/>
        <rFont val="Calibri"/>
        <family val="2"/>
        <scheme val="minor"/>
      </rPr>
      <t>H2S</t>
    </r>
  </si>
  <si>
    <t>Other system parameters</t>
  </si>
  <si>
    <t>NoName</t>
  </si>
  <si>
    <t>Testing Attributes</t>
  </si>
  <si>
    <t>Input</t>
  </si>
  <si>
    <t>TestAttribute</t>
  </si>
  <si>
    <t>pH</t>
  </si>
  <si>
    <t>Zero</t>
  </si>
  <si>
    <t>BigNumber</t>
  </si>
  <si>
    <t>SmallNumber</t>
  </si>
  <si>
    <t>Filtered biochemical oxygen demand (5 days)</t>
  </si>
  <si>
    <t>Particulate biochemical oxygen demand (5 days)</t>
  </si>
  <si>
    <t>Total biochemical oxygen demand (5 days)</t>
  </si>
  <si>
    <t xml:space="preserve"> -BigNumber</t>
  </si>
  <si>
    <r>
      <t>K</t>
    </r>
    <r>
      <rPr>
        <vertAlign val="subscript"/>
        <sz val="11"/>
        <rFont val="Calibri"/>
        <family val="2"/>
        <scheme val="minor"/>
      </rPr>
      <t>ac</t>
    </r>
  </si>
  <si>
    <r>
      <t>S</t>
    </r>
    <r>
      <rPr>
        <vertAlign val="subscript"/>
        <sz val="11"/>
        <rFont val="Calibri"/>
        <family val="2"/>
      </rPr>
      <t>A</t>
    </r>
    <r>
      <rPr>
        <sz val="11"/>
        <rFont val="Calibri"/>
        <family val="2"/>
      </rPr>
      <t>/(K</t>
    </r>
    <r>
      <rPr>
        <vertAlign val="subscript"/>
        <sz val="11"/>
        <rFont val="Calibri"/>
        <family val="2"/>
      </rPr>
      <t>ac</t>
    </r>
    <r>
      <rPr>
        <sz val="11"/>
        <rFont val="Calibri"/>
        <family val="2"/>
      </rPr>
      <t>+S</t>
    </r>
    <r>
      <rPr>
        <vertAlign val="subscript"/>
        <sz val="11"/>
        <rFont val="Calibri"/>
        <family val="2"/>
      </rPr>
      <t>A</t>
    </r>
    <r>
      <rPr>
        <sz val="11"/>
        <rFont val="Calibri"/>
        <family val="2"/>
      </rPr>
      <t>)</t>
    </r>
  </si>
  <si>
    <r>
      <t>g COD.g X</t>
    </r>
    <r>
      <rPr>
        <vertAlign val="subscript"/>
        <sz val="11"/>
        <rFont val="Calibri"/>
        <family val="2"/>
        <scheme val="minor"/>
      </rPr>
      <t>PAO</t>
    </r>
    <r>
      <rPr>
        <vertAlign val="superscript"/>
        <sz val="11"/>
        <rFont val="Calibri"/>
        <family val="2"/>
        <scheme val="minor"/>
      </rPr>
      <t>-1</t>
    </r>
  </si>
  <si>
    <t>NonDetect</t>
  </si>
  <si>
    <t>Rate</t>
  </si>
  <si>
    <t>Sidestream</t>
  </si>
  <si>
    <t>Advanced</t>
  </si>
  <si>
    <r>
      <t>c</t>
    </r>
    <r>
      <rPr>
        <vertAlign val="subscript"/>
        <sz val="11"/>
        <rFont val="Calibri"/>
        <family val="2"/>
        <scheme val="minor"/>
      </rPr>
      <t>percent,Vconc</t>
    </r>
  </si>
  <si>
    <t>Conversion coefficient between percents and volumetric concentration</t>
  </si>
  <si>
    <r>
      <t>c</t>
    </r>
    <r>
      <rPr>
        <vertAlign val="subscript"/>
        <sz val="11"/>
        <rFont val="Calibri"/>
        <family val="2"/>
        <scheme val="minor"/>
      </rPr>
      <t>percent,fraction</t>
    </r>
  </si>
  <si>
    <t>Conversion coefficient between percents and fractions</t>
  </si>
  <si>
    <t>%</t>
  </si>
  <si>
    <t>Activated sludge</t>
  </si>
  <si>
    <t>unitless</t>
  </si>
  <si>
    <r>
      <t>i</t>
    </r>
    <r>
      <rPr>
        <vertAlign val="subscript"/>
        <sz val="11"/>
        <rFont val="Calibri"/>
        <family val="2"/>
        <scheme val="minor"/>
      </rPr>
      <t>CV,SF</t>
    </r>
  </si>
  <si>
    <r>
      <t>S</t>
    </r>
    <r>
      <rPr>
        <vertAlign val="subscript"/>
        <sz val="11"/>
        <rFont val="Calibri"/>
        <family val="2"/>
        <scheme val="minor"/>
      </rPr>
      <t>F</t>
    </r>
    <r>
      <rPr>
        <sz val="11"/>
        <rFont val="Calibri"/>
        <family val="2"/>
        <scheme val="minor"/>
      </rPr>
      <t xml:space="preserve"> S</t>
    </r>
    <r>
      <rPr>
        <vertAlign val="subscript"/>
        <sz val="11"/>
        <rFont val="Calibri"/>
        <family val="2"/>
        <scheme val="minor"/>
      </rPr>
      <t>COD</t>
    </r>
    <r>
      <rPr>
        <sz val="11"/>
        <rFont val="Calibri"/>
        <family val="2"/>
        <scheme val="minor"/>
      </rPr>
      <t>/VS ratio</t>
    </r>
  </si>
  <si>
    <r>
      <t>g COD.g VS</t>
    </r>
    <r>
      <rPr>
        <vertAlign val="superscript"/>
        <sz val="11"/>
        <rFont val="Calibri"/>
        <family val="2"/>
        <scheme val="minor"/>
      </rPr>
      <t>-1</t>
    </r>
  </si>
  <si>
    <r>
      <t>i</t>
    </r>
    <r>
      <rPr>
        <vertAlign val="subscript"/>
        <sz val="11"/>
        <rFont val="Calibri"/>
        <family val="2"/>
        <scheme val="minor"/>
      </rPr>
      <t>CV,SA</t>
    </r>
  </si>
  <si>
    <r>
      <t>S</t>
    </r>
    <r>
      <rPr>
        <vertAlign val="subscript"/>
        <sz val="11"/>
        <rFont val="Calibri"/>
        <family val="2"/>
        <scheme val="minor"/>
      </rPr>
      <t>A</t>
    </r>
    <r>
      <rPr>
        <sz val="11"/>
        <rFont val="Calibri"/>
        <family val="2"/>
        <scheme val="minor"/>
      </rPr>
      <t xml:space="preserve"> S</t>
    </r>
    <r>
      <rPr>
        <vertAlign val="subscript"/>
        <sz val="11"/>
        <rFont val="Calibri"/>
        <family val="2"/>
        <scheme val="minor"/>
      </rPr>
      <t>COD</t>
    </r>
    <r>
      <rPr>
        <sz val="11"/>
        <rFont val="Calibri"/>
        <family val="2"/>
        <scheme val="minor"/>
      </rPr>
      <t>/VS ratio</t>
    </r>
  </si>
  <si>
    <r>
      <t>i</t>
    </r>
    <r>
      <rPr>
        <vertAlign val="subscript"/>
        <sz val="11"/>
        <rFont val="Calibri"/>
        <family val="2"/>
        <scheme val="minor"/>
      </rPr>
      <t>CV,SI</t>
    </r>
  </si>
  <si>
    <r>
      <t>S</t>
    </r>
    <r>
      <rPr>
        <vertAlign val="subscript"/>
        <sz val="11"/>
        <rFont val="Calibri"/>
        <family val="2"/>
        <scheme val="minor"/>
      </rPr>
      <t>I</t>
    </r>
    <r>
      <rPr>
        <sz val="11"/>
        <rFont val="Calibri"/>
        <family val="2"/>
        <scheme val="minor"/>
      </rPr>
      <t xml:space="preserve"> S</t>
    </r>
    <r>
      <rPr>
        <vertAlign val="subscript"/>
        <sz val="11"/>
        <rFont val="Calibri"/>
        <family val="2"/>
        <scheme val="minor"/>
      </rPr>
      <t>COD</t>
    </r>
    <r>
      <rPr>
        <sz val="11"/>
        <rFont val="Calibri"/>
        <family val="2"/>
        <scheme val="minor"/>
      </rPr>
      <t>/VS ratio</t>
    </r>
  </si>
  <si>
    <r>
      <t>X</t>
    </r>
    <r>
      <rPr>
        <vertAlign val="subscript"/>
        <sz val="11"/>
        <rFont val="Calibri"/>
        <family val="2"/>
        <scheme val="minor"/>
      </rPr>
      <t>ISS</t>
    </r>
  </si>
  <si>
    <t>Inorganic suspended solids</t>
  </si>
  <si>
    <r>
      <t>X</t>
    </r>
    <r>
      <rPr>
        <vertAlign val="subscript"/>
        <sz val="11"/>
        <rFont val="Calibri"/>
        <family val="2"/>
      </rPr>
      <t>TSS</t>
    </r>
    <r>
      <rPr>
        <sz val="11"/>
        <rFont val="Calibri"/>
        <family val="2"/>
      </rPr>
      <t>-X</t>
    </r>
    <r>
      <rPr>
        <vertAlign val="subscript"/>
        <sz val="11"/>
        <rFont val="Calibri"/>
        <family val="2"/>
      </rPr>
      <t>VSS</t>
    </r>
  </si>
  <si>
    <r>
      <t>X</t>
    </r>
    <r>
      <rPr>
        <vertAlign val="subscript"/>
        <sz val="11"/>
        <rFont val="Calibri"/>
        <family val="2"/>
        <scheme val="minor"/>
      </rPr>
      <t>DM</t>
    </r>
  </si>
  <si>
    <t>Dry matter</t>
  </si>
  <si>
    <r>
      <t>g.m</t>
    </r>
    <r>
      <rPr>
        <vertAlign val="superscript"/>
        <sz val="11"/>
        <rFont val="Calibri"/>
        <family val="2"/>
      </rPr>
      <t>-3</t>
    </r>
    <r>
      <rPr>
        <sz val="11"/>
        <rFont val="Calibri"/>
        <family val="2"/>
      </rPr>
      <t>.d</t>
    </r>
    <r>
      <rPr>
        <vertAlign val="superscript"/>
        <sz val="11"/>
        <rFont val="Calibri"/>
        <family val="2"/>
      </rPr>
      <t>-1</t>
    </r>
  </si>
  <si>
    <r>
      <t>f</t>
    </r>
    <r>
      <rPr>
        <vertAlign val="subscript"/>
        <sz val="11"/>
        <rFont val="Calibri"/>
        <family val="2"/>
        <scheme val="minor"/>
      </rPr>
      <t>BOD5,BODult</t>
    </r>
  </si>
  <si>
    <r>
      <t>S</t>
    </r>
    <r>
      <rPr>
        <vertAlign val="subscript"/>
        <sz val="11"/>
        <rFont val="Calibri"/>
        <family val="2"/>
        <scheme val="minor"/>
      </rPr>
      <t>BOD,ult</t>
    </r>
  </si>
  <si>
    <r>
      <t>X</t>
    </r>
    <r>
      <rPr>
        <vertAlign val="subscript"/>
        <sz val="11"/>
        <rFont val="Calibri"/>
        <family val="2"/>
        <scheme val="minor"/>
      </rPr>
      <t>BOD,ult</t>
    </r>
  </si>
  <si>
    <r>
      <t>T</t>
    </r>
    <r>
      <rPr>
        <vertAlign val="subscript"/>
        <sz val="11"/>
        <rFont val="Calibri"/>
        <family val="2"/>
        <scheme val="minor"/>
      </rPr>
      <t>BOD,ult</t>
    </r>
  </si>
  <si>
    <r>
      <t>S</t>
    </r>
    <r>
      <rPr>
        <vertAlign val="subscript"/>
        <sz val="11"/>
        <rFont val="Calibri"/>
        <family val="2"/>
        <scheme val="minor"/>
      </rPr>
      <t>BOD,ult</t>
    </r>
    <r>
      <rPr>
        <sz val="11"/>
        <rFont val="Calibri"/>
        <family val="2"/>
        <scheme val="minor"/>
      </rPr>
      <t xml:space="preserve"> +X</t>
    </r>
    <r>
      <rPr>
        <vertAlign val="subscript"/>
        <sz val="11"/>
        <rFont val="Calibri"/>
        <family val="2"/>
        <scheme val="minor"/>
      </rPr>
      <t>BOD,ult</t>
    </r>
  </si>
  <si>
    <r>
      <t>S</t>
    </r>
    <r>
      <rPr>
        <vertAlign val="subscript"/>
        <sz val="11"/>
        <rFont val="Calibri"/>
        <family val="2"/>
        <scheme val="minor"/>
      </rPr>
      <t>BOD,ult</t>
    </r>
    <r>
      <rPr>
        <sz val="11"/>
        <rFont val="Calibri"/>
        <family val="2"/>
        <scheme val="minor"/>
      </rPr>
      <t>*f</t>
    </r>
    <r>
      <rPr>
        <vertAlign val="subscript"/>
        <sz val="11"/>
        <rFont val="Calibri"/>
        <family val="2"/>
        <scheme val="minor"/>
      </rPr>
      <t>BOD5,BODult</t>
    </r>
  </si>
  <si>
    <r>
      <t>X</t>
    </r>
    <r>
      <rPr>
        <vertAlign val="subscript"/>
        <sz val="11"/>
        <rFont val="Calibri"/>
        <family val="2"/>
        <scheme val="minor"/>
      </rPr>
      <t>BOD,ult</t>
    </r>
    <r>
      <rPr>
        <sz val="11"/>
        <rFont val="Calibri"/>
        <family val="2"/>
        <scheme val="minor"/>
      </rPr>
      <t>*f</t>
    </r>
    <r>
      <rPr>
        <vertAlign val="subscript"/>
        <sz val="11"/>
        <rFont val="Calibri"/>
        <family val="2"/>
        <scheme val="minor"/>
      </rPr>
      <t>BOD5,BODult</t>
    </r>
  </si>
  <si>
    <t>MinStateVar</t>
  </si>
  <si>
    <t>MaxStateVar</t>
  </si>
  <si>
    <t>Separators</t>
  </si>
  <si>
    <r>
      <t>S</t>
    </r>
    <r>
      <rPr>
        <b/>
        <vertAlign val="subscript"/>
        <sz val="12"/>
        <rFont val="Arial"/>
        <family val="2"/>
      </rPr>
      <t>NO</t>
    </r>
  </si>
  <si>
    <r>
      <t>S</t>
    </r>
    <r>
      <rPr>
        <b/>
        <vertAlign val="subscript"/>
        <sz val="12"/>
        <rFont val="Arial"/>
        <family val="2"/>
      </rPr>
      <t>HCO</t>
    </r>
  </si>
  <si>
    <r>
      <t>η</t>
    </r>
    <r>
      <rPr>
        <vertAlign val="subscript"/>
        <sz val="11"/>
        <rFont val="Calibri"/>
        <family val="2"/>
        <scheme val="minor"/>
      </rPr>
      <t>NO,HYD</t>
    </r>
  </si>
  <si>
    <r>
      <t>η</t>
    </r>
    <r>
      <rPr>
        <vertAlign val="subscript"/>
        <sz val="11"/>
        <rFont val="Calibri"/>
        <family val="2"/>
        <scheme val="minor"/>
      </rPr>
      <t>NO,H</t>
    </r>
  </si>
  <si>
    <r>
      <t>η</t>
    </r>
    <r>
      <rPr>
        <vertAlign val="subscript"/>
        <sz val="11"/>
        <rFont val="Calibri"/>
        <family val="2"/>
        <scheme val="minor"/>
      </rPr>
      <t>NO,PAO</t>
    </r>
  </si>
  <si>
    <r>
      <t>m</t>
    </r>
    <r>
      <rPr>
        <vertAlign val="subscript"/>
        <sz val="11"/>
        <rFont val="Calibri"/>
        <family val="2"/>
        <scheme val="minor"/>
      </rPr>
      <t>NO</t>
    </r>
  </si>
  <si>
    <r>
      <t>Y</t>
    </r>
    <r>
      <rPr>
        <vertAlign val="subscript"/>
        <sz val="11"/>
        <rFont val="Calibri"/>
        <family val="2"/>
        <scheme val="minor"/>
      </rPr>
      <t>PHA,NO</t>
    </r>
  </si>
  <si>
    <r>
      <t>Y</t>
    </r>
    <r>
      <rPr>
        <vertAlign val="subscript"/>
        <sz val="11"/>
        <rFont val="Calibri"/>
        <family val="2"/>
        <scheme val="minor"/>
      </rPr>
      <t>PP,NO</t>
    </r>
  </si>
  <si>
    <r>
      <t>Y</t>
    </r>
    <r>
      <rPr>
        <vertAlign val="subscript"/>
        <sz val="11"/>
        <rFont val="Calibri"/>
        <family val="2"/>
        <scheme val="minor"/>
      </rPr>
      <t>SA,NO</t>
    </r>
  </si>
  <si>
    <r>
      <t>Y</t>
    </r>
    <r>
      <rPr>
        <vertAlign val="subscript"/>
        <sz val="11"/>
        <rFont val="Calibri"/>
        <family val="2"/>
        <scheme val="minor"/>
      </rPr>
      <t>PO,NO</t>
    </r>
  </si>
  <si>
    <r>
      <t>Y</t>
    </r>
    <r>
      <rPr>
        <vertAlign val="subscript"/>
        <sz val="11"/>
        <rFont val="Calibri"/>
        <family val="2"/>
        <scheme val="minor"/>
      </rPr>
      <t>GLY,NO</t>
    </r>
  </si>
  <si>
    <r>
      <t>S</t>
    </r>
    <r>
      <rPr>
        <vertAlign val="subscript"/>
        <sz val="11"/>
        <rFont val="Calibri"/>
        <family val="2"/>
        <scheme val="minor"/>
      </rPr>
      <t>HCO</t>
    </r>
  </si>
  <si>
    <r>
      <t>S</t>
    </r>
    <r>
      <rPr>
        <vertAlign val="subscript"/>
        <sz val="11"/>
        <rFont val="Calibri"/>
        <family val="2"/>
        <scheme val="minor"/>
      </rPr>
      <t>NO</t>
    </r>
  </si>
  <si>
    <r>
      <t>K</t>
    </r>
    <r>
      <rPr>
        <vertAlign val="subscript"/>
        <sz val="11"/>
        <rFont val="Calibri"/>
        <family val="2"/>
        <scheme val="minor"/>
      </rPr>
      <t>NO,HYD</t>
    </r>
  </si>
  <si>
    <r>
      <t>-(v6_S</t>
    </r>
    <r>
      <rPr>
        <vertAlign val="subscript"/>
        <sz val="11"/>
        <rFont val="Calibri"/>
        <family val="2"/>
      </rPr>
      <t>NO</t>
    </r>
    <r>
      <rPr>
        <sz val="11"/>
        <rFont val="Calibri"/>
        <family val="2"/>
      </rPr>
      <t>*r6 + v7_S</t>
    </r>
    <r>
      <rPr>
        <vertAlign val="subscript"/>
        <sz val="11"/>
        <rFont val="Calibri"/>
        <family val="2"/>
      </rPr>
      <t>NO</t>
    </r>
    <r>
      <rPr>
        <sz val="11"/>
        <rFont val="Calibri"/>
        <family val="2"/>
      </rPr>
      <t>*r7 + v12_S</t>
    </r>
    <r>
      <rPr>
        <vertAlign val="subscript"/>
        <sz val="11"/>
        <rFont val="Calibri"/>
        <family val="2"/>
      </rPr>
      <t>NO</t>
    </r>
    <r>
      <rPr>
        <sz val="11"/>
        <rFont val="Calibri"/>
        <family val="2"/>
      </rPr>
      <t>*r12 + v13_S</t>
    </r>
    <r>
      <rPr>
        <vertAlign val="subscript"/>
        <sz val="11"/>
        <rFont val="Calibri"/>
        <family val="2"/>
      </rPr>
      <t>NO</t>
    </r>
    <r>
      <rPr>
        <sz val="11"/>
        <rFont val="Calibri"/>
        <family val="2"/>
      </rPr>
      <t>*r13 + v14_S</t>
    </r>
    <r>
      <rPr>
        <vertAlign val="subscript"/>
        <sz val="11"/>
        <rFont val="Calibri"/>
        <family val="2"/>
      </rPr>
      <t>NO</t>
    </r>
    <r>
      <rPr>
        <sz val="11"/>
        <rFont val="Calibri"/>
        <family val="2"/>
      </rPr>
      <t>*r14 + v15_S</t>
    </r>
    <r>
      <rPr>
        <vertAlign val="subscript"/>
        <sz val="11"/>
        <rFont val="Calibri"/>
        <family val="2"/>
      </rPr>
      <t>NO</t>
    </r>
    <r>
      <rPr>
        <sz val="11"/>
        <rFont val="Calibri"/>
        <family val="2"/>
      </rPr>
      <t>*r15 + v16_S</t>
    </r>
    <r>
      <rPr>
        <vertAlign val="subscript"/>
        <sz val="11"/>
        <rFont val="Calibri"/>
        <family val="2"/>
      </rPr>
      <t>NO</t>
    </r>
    <r>
      <rPr>
        <sz val="11"/>
        <rFont val="Calibri"/>
        <family val="2"/>
      </rPr>
      <t>*r16 + v21_S</t>
    </r>
    <r>
      <rPr>
        <vertAlign val="subscript"/>
        <sz val="11"/>
        <rFont val="Calibri"/>
        <family val="2"/>
      </rPr>
      <t>NO</t>
    </r>
    <r>
      <rPr>
        <sz val="11"/>
        <rFont val="Calibri"/>
        <family val="2"/>
      </rPr>
      <t>*r21)</t>
    </r>
  </si>
  <si>
    <r>
      <t>K</t>
    </r>
    <r>
      <rPr>
        <vertAlign val="subscript"/>
        <sz val="11"/>
        <rFont val="Calibri"/>
        <family val="2"/>
        <scheme val="minor"/>
      </rPr>
      <t>NO,H</t>
    </r>
  </si>
  <si>
    <r>
      <t>K</t>
    </r>
    <r>
      <rPr>
        <vertAlign val="subscript"/>
        <sz val="11"/>
        <rFont val="Calibri"/>
        <family val="2"/>
        <scheme val="minor"/>
      </rPr>
      <t>NO,PAO</t>
    </r>
  </si>
  <si>
    <r>
      <t>S</t>
    </r>
    <r>
      <rPr>
        <vertAlign val="subscript"/>
        <sz val="11"/>
        <rFont val="Calibri"/>
        <family val="2"/>
      </rPr>
      <t>NO</t>
    </r>
    <r>
      <rPr>
        <sz val="11"/>
        <rFont val="Calibri"/>
        <family val="2"/>
      </rPr>
      <t>/(K</t>
    </r>
    <r>
      <rPr>
        <vertAlign val="subscript"/>
        <sz val="11"/>
        <rFont val="Calibri"/>
        <family val="2"/>
      </rPr>
      <t>NO,HYD</t>
    </r>
    <r>
      <rPr>
        <sz val="11"/>
        <rFont val="Calibri"/>
        <family val="2"/>
      </rPr>
      <t>+S</t>
    </r>
    <r>
      <rPr>
        <vertAlign val="subscript"/>
        <sz val="11"/>
        <rFont val="Calibri"/>
        <family val="2"/>
      </rPr>
      <t>NO</t>
    </r>
    <r>
      <rPr>
        <sz val="11"/>
        <rFont val="Calibri"/>
        <family val="2"/>
      </rPr>
      <t>)</t>
    </r>
  </si>
  <si>
    <r>
      <t>Msat</t>
    </r>
    <r>
      <rPr>
        <vertAlign val="subscript"/>
        <sz val="11"/>
        <rFont val="Calibri"/>
        <family val="2"/>
      </rPr>
      <t>SNO,KNO,H</t>
    </r>
  </si>
  <si>
    <r>
      <t>S</t>
    </r>
    <r>
      <rPr>
        <vertAlign val="subscript"/>
        <sz val="11"/>
        <rFont val="Calibri"/>
        <family val="2"/>
      </rPr>
      <t>NO</t>
    </r>
    <r>
      <rPr>
        <sz val="11"/>
        <rFont val="Calibri"/>
        <family val="2"/>
      </rPr>
      <t>/(K</t>
    </r>
    <r>
      <rPr>
        <vertAlign val="subscript"/>
        <sz val="11"/>
        <rFont val="Calibri"/>
        <family val="2"/>
      </rPr>
      <t>NO,H</t>
    </r>
    <r>
      <rPr>
        <sz val="11"/>
        <rFont val="Calibri"/>
        <family val="2"/>
      </rPr>
      <t>+S</t>
    </r>
    <r>
      <rPr>
        <vertAlign val="subscript"/>
        <sz val="11"/>
        <rFont val="Calibri"/>
        <family val="2"/>
      </rPr>
      <t>NO</t>
    </r>
    <r>
      <rPr>
        <sz val="11"/>
        <rFont val="Calibri"/>
        <family val="2"/>
      </rPr>
      <t>)</t>
    </r>
  </si>
  <si>
    <r>
      <t>Msat</t>
    </r>
    <r>
      <rPr>
        <vertAlign val="subscript"/>
        <sz val="11"/>
        <rFont val="Calibri"/>
        <family val="2"/>
      </rPr>
      <t>SNO,KNO,PAO</t>
    </r>
  </si>
  <si>
    <r>
      <t>S</t>
    </r>
    <r>
      <rPr>
        <vertAlign val="subscript"/>
        <sz val="11"/>
        <rFont val="Calibri"/>
        <family val="2"/>
      </rPr>
      <t>NO</t>
    </r>
    <r>
      <rPr>
        <sz val="11"/>
        <rFont val="Calibri"/>
        <family val="2"/>
      </rPr>
      <t>/(K</t>
    </r>
    <r>
      <rPr>
        <vertAlign val="subscript"/>
        <sz val="11"/>
        <rFont val="Calibri"/>
        <family val="2"/>
      </rPr>
      <t>NO,PAO</t>
    </r>
    <r>
      <rPr>
        <sz val="11"/>
        <rFont val="Calibri"/>
        <family val="2"/>
      </rPr>
      <t>+S</t>
    </r>
    <r>
      <rPr>
        <vertAlign val="subscript"/>
        <sz val="11"/>
        <rFont val="Calibri"/>
        <family val="2"/>
      </rPr>
      <t>NO</t>
    </r>
    <r>
      <rPr>
        <sz val="11"/>
        <rFont val="Calibri"/>
        <family val="2"/>
      </rPr>
      <t>)</t>
    </r>
  </si>
  <si>
    <r>
      <t>Msat</t>
    </r>
    <r>
      <rPr>
        <vertAlign val="subscript"/>
        <sz val="11"/>
        <rFont val="Calibri"/>
        <family val="2"/>
      </rPr>
      <t>SNO,gPP,KNO,PAO</t>
    </r>
  </si>
  <si>
    <r>
      <t>S</t>
    </r>
    <r>
      <rPr>
        <vertAlign val="subscript"/>
        <sz val="11"/>
        <rFont val="Calibri"/>
        <family val="2"/>
      </rPr>
      <t>NO</t>
    </r>
    <r>
      <rPr>
        <sz val="11"/>
        <rFont val="Calibri"/>
        <family val="2"/>
      </rPr>
      <t>/(g</t>
    </r>
    <r>
      <rPr>
        <vertAlign val="subscript"/>
        <sz val="11"/>
        <rFont val="Calibri"/>
        <family val="2"/>
      </rPr>
      <t>PP</t>
    </r>
    <r>
      <rPr>
        <sz val="11"/>
        <rFont val="Calibri"/>
        <family val="2"/>
      </rPr>
      <t>*K</t>
    </r>
    <r>
      <rPr>
        <vertAlign val="subscript"/>
        <sz val="11"/>
        <rFont val="Calibri"/>
        <family val="2"/>
      </rPr>
      <t>NO,PAO</t>
    </r>
    <r>
      <rPr>
        <sz val="11"/>
        <rFont val="Calibri"/>
        <family val="2"/>
      </rPr>
      <t>+S</t>
    </r>
    <r>
      <rPr>
        <vertAlign val="subscript"/>
        <sz val="11"/>
        <rFont val="Calibri"/>
        <family val="2"/>
      </rPr>
      <t>NO</t>
    </r>
    <r>
      <rPr>
        <sz val="11"/>
        <rFont val="Calibri"/>
        <family val="2"/>
      </rPr>
      <t>)</t>
    </r>
  </si>
  <si>
    <r>
      <t>Minh</t>
    </r>
    <r>
      <rPr>
        <vertAlign val="subscript"/>
        <sz val="11"/>
        <rFont val="Calibri"/>
        <family val="2"/>
      </rPr>
      <t>SNO,KNO,HYD</t>
    </r>
  </si>
  <si>
    <r>
      <t>K</t>
    </r>
    <r>
      <rPr>
        <vertAlign val="subscript"/>
        <sz val="11"/>
        <rFont val="Calibri"/>
        <family val="2"/>
      </rPr>
      <t>NO,HYD</t>
    </r>
    <r>
      <rPr>
        <sz val="11"/>
        <rFont val="Calibri"/>
        <family val="2"/>
      </rPr>
      <t>/(K</t>
    </r>
    <r>
      <rPr>
        <vertAlign val="subscript"/>
        <sz val="11"/>
        <rFont val="Calibri"/>
        <family val="2"/>
      </rPr>
      <t>NO,HYD</t>
    </r>
    <r>
      <rPr>
        <sz val="11"/>
        <rFont val="Calibri"/>
        <family val="2"/>
      </rPr>
      <t>+S</t>
    </r>
    <r>
      <rPr>
        <vertAlign val="subscript"/>
        <sz val="11"/>
        <rFont val="Calibri"/>
        <family val="2"/>
      </rPr>
      <t>NO</t>
    </r>
    <r>
      <rPr>
        <sz val="11"/>
        <rFont val="Calibri"/>
        <family val="2"/>
      </rPr>
      <t>)</t>
    </r>
  </si>
  <si>
    <r>
      <t>Minh</t>
    </r>
    <r>
      <rPr>
        <vertAlign val="subscript"/>
        <sz val="11"/>
        <rFont val="Calibri"/>
        <family val="2"/>
      </rPr>
      <t>SNO,KNO,H</t>
    </r>
  </si>
  <si>
    <r>
      <t>K</t>
    </r>
    <r>
      <rPr>
        <vertAlign val="subscript"/>
        <sz val="11"/>
        <rFont val="Calibri"/>
        <family val="2"/>
      </rPr>
      <t>NO,H</t>
    </r>
    <r>
      <rPr>
        <sz val="11"/>
        <rFont val="Calibri"/>
        <family val="2"/>
      </rPr>
      <t>/(K</t>
    </r>
    <r>
      <rPr>
        <vertAlign val="subscript"/>
        <sz val="11"/>
        <rFont val="Calibri"/>
        <family val="2"/>
      </rPr>
      <t>NO,H</t>
    </r>
    <r>
      <rPr>
        <sz val="11"/>
        <rFont val="Calibri"/>
        <family val="2"/>
      </rPr>
      <t>+S</t>
    </r>
    <r>
      <rPr>
        <vertAlign val="subscript"/>
        <sz val="11"/>
        <rFont val="Calibri"/>
        <family val="2"/>
      </rPr>
      <t>NO</t>
    </r>
    <r>
      <rPr>
        <sz val="11"/>
        <rFont val="Calibri"/>
        <family val="2"/>
      </rPr>
      <t>)</t>
    </r>
  </si>
  <si>
    <r>
      <t>Minh</t>
    </r>
    <r>
      <rPr>
        <vertAlign val="subscript"/>
        <sz val="11"/>
        <rFont val="Calibri"/>
        <family val="2"/>
      </rPr>
      <t>SNO,KNO,PAO</t>
    </r>
  </si>
  <si>
    <r>
      <t>K</t>
    </r>
    <r>
      <rPr>
        <vertAlign val="subscript"/>
        <sz val="11"/>
        <rFont val="Calibri"/>
        <family val="2"/>
      </rPr>
      <t>NO,PAO</t>
    </r>
    <r>
      <rPr>
        <sz val="11"/>
        <rFont val="Calibri"/>
        <family val="2"/>
      </rPr>
      <t>/(K</t>
    </r>
    <r>
      <rPr>
        <vertAlign val="subscript"/>
        <sz val="11"/>
        <rFont val="Calibri"/>
        <family val="2"/>
      </rPr>
      <t>NO,PAO</t>
    </r>
    <r>
      <rPr>
        <sz val="11"/>
        <rFont val="Calibri"/>
        <family val="2"/>
      </rPr>
      <t>+S</t>
    </r>
    <r>
      <rPr>
        <vertAlign val="subscript"/>
        <sz val="11"/>
        <rFont val="Calibri"/>
        <family val="2"/>
      </rPr>
      <t>NO</t>
    </r>
    <r>
      <rPr>
        <sz val="11"/>
        <rFont val="Calibri"/>
        <family val="2"/>
      </rPr>
      <t>)</t>
    </r>
  </si>
  <si>
    <r>
      <t>T</t>
    </r>
    <r>
      <rPr>
        <vertAlign val="subscript"/>
        <sz val="11"/>
        <rFont val="Calibri"/>
        <family val="2"/>
      </rPr>
      <t>KN</t>
    </r>
    <r>
      <rPr>
        <sz val="11"/>
        <rFont val="Calibri"/>
        <family val="2"/>
      </rPr>
      <t xml:space="preserve"> +S</t>
    </r>
    <r>
      <rPr>
        <vertAlign val="subscript"/>
        <sz val="11"/>
        <rFont val="Calibri"/>
        <family val="2"/>
      </rPr>
      <t>NO</t>
    </r>
  </si>
  <si>
    <r>
      <t>X</t>
    </r>
    <r>
      <rPr>
        <vertAlign val="subscript"/>
        <sz val="11"/>
        <rFont val="Calibri"/>
        <family val="2"/>
        <scheme val="minor"/>
      </rPr>
      <t>TSS</t>
    </r>
    <r>
      <rPr>
        <sz val="11"/>
        <rFont val="Calibri"/>
        <family val="2"/>
        <scheme val="minor"/>
      </rPr>
      <t>+S</t>
    </r>
    <r>
      <rPr>
        <vertAlign val="subscript"/>
        <sz val="11"/>
        <rFont val="Calibri"/>
        <family val="2"/>
        <scheme val="minor"/>
      </rPr>
      <t>I</t>
    </r>
    <r>
      <rPr>
        <sz val="11"/>
        <rFont val="Calibri"/>
        <family val="2"/>
        <scheme val="minor"/>
      </rPr>
      <t>/i</t>
    </r>
    <r>
      <rPr>
        <vertAlign val="subscript"/>
        <sz val="11"/>
        <rFont val="Calibri"/>
        <family val="2"/>
        <scheme val="minor"/>
      </rPr>
      <t>CV,SI</t>
    </r>
    <r>
      <rPr>
        <sz val="11"/>
        <rFont val="Calibri"/>
        <family val="2"/>
        <scheme val="minor"/>
      </rPr>
      <t>+S</t>
    </r>
    <r>
      <rPr>
        <vertAlign val="subscript"/>
        <sz val="11"/>
        <rFont val="Calibri"/>
        <family val="2"/>
        <scheme val="minor"/>
      </rPr>
      <t>F</t>
    </r>
    <r>
      <rPr>
        <sz val="11"/>
        <rFont val="Calibri"/>
        <family val="2"/>
        <scheme val="minor"/>
      </rPr>
      <t>/i</t>
    </r>
    <r>
      <rPr>
        <vertAlign val="subscript"/>
        <sz val="11"/>
        <rFont val="Calibri"/>
        <family val="2"/>
        <scheme val="minor"/>
      </rPr>
      <t>CV,SF</t>
    </r>
    <r>
      <rPr>
        <sz val="11"/>
        <rFont val="Calibri"/>
        <family val="2"/>
        <scheme val="minor"/>
      </rPr>
      <t>+S</t>
    </r>
    <r>
      <rPr>
        <vertAlign val="subscript"/>
        <sz val="11"/>
        <rFont val="Calibri"/>
        <family val="2"/>
        <scheme val="minor"/>
      </rPr>
      <t>A</t>
    </r>
    <r>
      <rPr>
        <sz val="11"/>
        <rFont val="Calibri"/>
        <family val="2"/>
        <scheme val="minor"/>
      </rPr>
      <t>/i</t>
    </r>
    <r>
      <rPr>
        <vertAlign val="subscript"/>
        <sz val="11"/>
        <rFont val="Calibri"/>
        <family val="2"/>
        <scheme val="minor"/>
      </rPr>
      <t>CV,SA</t>
    </r>
    <r>
      <rPr>
        <sz val="11"/>
        <rFont val="Calibri"/>
        <family val="2"/>
        <scheme val="minor"/>
      </rPr>
      <t>+S</t>
    </r>
    <r>
      <rPr>
        <vertAlign val="subscript"/>
        <sz val="11"/>
        <rFont val="Calibri"/>
        <family val="2"/>
        <scheme val="minor"/>
      </rPr>
      <t>NH</t>
    </r>
    <r>
      <rPr>
        <sz val="11"/>
        <rFont val="Calibri"/>
        <family val="2"/>
        <scheme val="minor"/>
      </rPr>
      <t>*MM</t>
    </r>
    <r>
      <rPr>
        <vertAlign val="subscript"/>
        <sz val="11"/>
        <rFont val="Calibri"/>
        <family val="2"/>
        <scheme val="minor"/>
      </rPr>
      <t>NH4</t>
    </r>
    <r>
      <rPr>
        <sz val="11"/>
        <rFont val="Calibri"/>
        <family val="2"/>
        <scheme val="minor"/>
      </rPr>
      <t>/AM</t>
    </r>
    <r>
      <rPr>
        <vertAlign val="subscript"/>
        <sz val="11"/>
        <rFont val="Calibri"/>
        <family val="2"/>
        <scheme val="minor"/>
      </rPr>
      <t>N</t>
    </r>
    <r>
      <rPr>
        <sz val="11"/>
        <rFont val="Calibri"/>
        <family val="2"/>
        <scheme val="minor"/>
      </rPr>
      <t>+S</t>
    </r>
    <r>
      <rPr>
        <vertAlign val="subscript"/>
        <sz val="11"/>
        <rFont val="Calibri"/>
        <family val="2"/>
        <scheme val="minor"/>
      </rPr>
      <t>NO</t>
    </r>
    <r>
      <rPr>
        <sz val="11"/>
        <rFont val="Calibri"/>
        <family val="2"/>
        <scheme val="minor"/>
      </rPr>
      <t>*MM</t>
    </r>
    <r>
      <rPr>
        <vertAlign val="subscript"/>
        <sz val="11"/>
        <rFont val="Calibri"/>
        <family val="2"/>
        <scheme val="minor"/>
      </rPr>
      <t>NO3</t>
    </r>
    <r>
      <rPr>
        <sz val="11"/>
        <rFont val="Calibri"/>
        <family val="2"/>
        <scheme val="minor"/>
      </rPr>
      <t>/AM</t>
    </r>
    <r>
      <rPr>
        <vertAlign val="subscript"/>
        <sz val="11"/>
        <rFont val="Calibri"/>
        <family val="2"/>
        <scheme val="minor"/>
      </rPr>
      <t>N</t>
    </r>
    <r>
      <rPr>
        <sz val="11"/>
        <rFont val="Calibri"/>
        <family val="2"/>
        <scheme val="minor"/>
      </rPr>
      <t>+S</t>
    </r>
    <r>
      <rPr>
        <vertAlign val="subscript"/>
        <sz val="11"/>
        <rFont val="Calibri"/>
        <family val="2"/>
        <scheme val="minor"/>
      </rPr>
      <t>PO</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P</t>
    </r>
  </si>
  <si>
    <r>
      <t>Msat</t>
    </r>
    <r>
      <rPr>
        <vertAlign val="subscript"/>
        <sz val="11"/>
        <rFont val="Calibri"/>
        <family val="2"/>
      </rPr>
      <t>SNO,KNO,HYD</t>
    </r>
  </si>
  <si>
    <r>
      <t>S</t>
    </r>
    <r>
      <rPr>
        <vertAlign val="subscript"/>
        <sz val="11"/>
        <rFont val="Calibri"/>
        <family val="2"/>
      </rPr>
      <t>HCO</t>
    </r>
    <r>
      <rPr>
        <sz val="11"/>
        <rFont val="Calibri"/>
        <family val="2"/>
      </rPr>
      <t>/(K</t>
    </r>
    <r>
      <rPr>
        <vertAlign val="subscript"/>
        <sz val="11"/>
        <rFont val="Calibri"/>
        <family val="2"/>
      </rPr>
      <t>HCO,H</t>
    </r>
    <r>
      <rPr>
        <sz val="11"/>
        <rFont val="Calibri"/>
        <family val="2"/>
      </rPr>
      <t>+S</t>
    </r>
    <r>
      <rPr>
        <vertAlign val="subscript"/>
        <sz val="11"/>
        <rFont val="Calibri"/>
        <family val="2"/>
      </rPr>
      <t>HCO</t>
    </r>
    <r>
      <rPr>
        <sz val="11"/>
        <rFont val="Calibri"/>
        <family val="2"/>
      </rPr>
      <t>)</t>
    </r>
  </si>
  <si>
    <r>
      <t>Msat</t>
    </r>
    <r>
      <rPr>
        <vertAlign val="subscript"/>
        <sz val="11"/>
        <rFont val="Calibri"/>
        <family val="2"/>
      </rPr>
      <t>SHCO,KHCO,PAO</t>
    </r>
  </si>
  <si>
    <r>
      <t>Msat</t>
    </r>
    <r>
      <rPr>
        <vertAlign val="subscript"/>
        <sz val="11"/>
        <rFont val="Calibri"/>
        <family val="2"/>
      </rPr>
      <t>SHCO,KHCO,H</t>
    </r>
  </si>
  <si>
    <r>
      <t>S</t>
    </r>
    <r>
      <rPr>
        <vertAlign val="subscript"/>
        <sz val="11"/>
        <rFont val="Calibri"/>
        <family val="2"/>
      </rPr>
      <t>HCO</t>
    </r>
    <r>
      <rPr>
        <sz val="11"/>
        <rFont val="Calibri"/>
        <family val="2"/>
      </rPr>
      <t>/(K</t>
    </r>
    <r>
      <rPr>
        <vertAlign val="subscript"/>
        <sz val="11"/>
        <rFont val="Calibri"/>
        <family val="2"/>
      </rPr>
      <t>HCO,PAO</t>
    </r>
    <r>
      <rPr>
        <sz val="11"/>
        <rFont val="Calibri"/>
        <family val="2"/>
      </rPr>
      <t>+S</t>
    </r>
    <r>
      <rPr>
        <vertAlign val="subscript"/>
        <sz val="11"/>
        <rFont val="Calibri"/>
        <family val="2"/>
      </rPr>
      <t>HCO</t>
    </r>
    <r>
      <rPr>
        <sz val="11"/>
        <rFont val="Calibri"/>
        <family val="2"/>
      </rPr>
      <t>)</t>
    </r>
  </si>
  <si>
    <r>
      <t>Msat</t>
    </r>
    <r>
      <rPr>
        <vertAlign val="subscript"/>
        <sz val="11"/>
        <rFont val="Calibri"/>
        <family val="2"/>
      </rPr>
      <t>SHCO,KHCO,A</t>
    </r>
  </si>
  <si>
    <r>
      <t>S</t>
    </r>
    <r>
      <rPr>
        <vertAlign val="subscript"/>
        <sz val="11"/>
        <rFont val="Calibri"/>
        <family val="2"/>
      </rPr>
      <t>HCO</t>
    </r>
    <r>
      <rPr>
        <sz val="11"/>
        <rFont val="Calibri"/>
        <family val="2"/>
      </rPr>
      <t>/(K</t>
    </r>
    <r>
      <rPr>
        <vertAlign val="subscript"/>
        <sz val="11"/>
        <rFont val="Calibri"/>
        <family val="2"/>
      </rPr>
      <t>HCO,A</t>
    </r>
    <r>
      <rPr>
        <sz val="11"/>
        <rFont val="Calibri"/>
        <family val="2"/>
      </rPr>
      <t>+S</t>
    </r>
    <r>
      <rPr>
        <vertAlign val="subscript"/>
        <sz val="11"/>
        <rFont val="Calibri"/>
        <family val="2"/>
      </rPr>
      <t>HCO</t>
    </r>
    <r>
      <rPr>
        <sz val="11"/>
        <rFont val="Calibri"/>
        <family val="2"/>
      </rPr>
      <t>)</t>
    </r>
  </si>
  <si>
    <r>
      <t>μ</t>
    </r>
    <r>
      <rPr>
        <vertAlign val="subscript"/>
        <sz val="12"/>
        <rFont val="Arial"/>
        <family val="2"/>
      </rPr>
      <t>A</t>
    </r>
    <r>
      <rPr>
        <sz val="12"/>
        <rFont val="Arial"/>
        <family val="2"/>
      </rPr>
      <t>*Msat</t>
    </r>
    <r>
      <rPr>
        <vertAlign val="subscript"/>
        <sz val="12"/>
        <rFont val="Arial"/>
        <family val="2"/>
      </rPr>
      <t>SO,KO,A</t>
    </r>
    <r>
      <rPr>
        <sz val="12"/>
        <rFont val="Arial"/>
        <family val="2"/>
      </rPr>
      <t>*Msat</t>
    </r>
    <r>
      <rPr>
        <vertAlign val="subscript"/>
        <sz val="12"/>
        <rFont val="Arial"/>
        <family val="2"/>
      </rPr>
      <t>SNH,KNH,A</t>
    </r>
    <r>
      <rPr>
        <sz val="12"/>
        <rFont val="Arial"/>
        <family val="2"/>
      </rPr>
      <t>*Msat</t>
    </r>
    <r>
      <rPr>
        <vertAlign val="subscript"/>
        <sz val="12"/>
        <rFont val="Arial"/>
        <family val="2"/>
      </rPr>
      <t>SPO,KP,A</t>
    </r>
    <r>
      <rPr>
        <sz val="12"/>
        <rFont val="Arial"/>
        <family val="2"/>
      </rPr>
      <t>*Msat</t>
    </r>
    <r>
      <rPr>
        <vertAlign val="subscript"/>
        <sz val="12"/>
        <rFont val="Arial"/>
        <family val="2"/>
      </rPr>
      <t>SHCO,KHCO,A</t>
    </r>
    <r>
      <rPr>
        <sz val="12"/>
        <rFont val="Arial"/>
        <family val="2"/>
      </rPr>
      <t>*</t>
    </r>
    <r>
      <rPr>
        <i/>
        <sz val="12"/>
        <rFont val="Arial"/>
        <family val="2"/>
      </rPr>
      <t>X</t>
    </r>
    <r>
      <rPr>
        <i/>
        <vertAlign val="subscript"/>
        <sz val="12"/>
        <rFont val="Arial"/>
        <family val="2"/>
      </rPr>
      <t>A</t>
    </r>
  </si>
  <si>
    <r>
      <t>q</t>
    </r>
    <r>
      <rPr>
        <vertAlign val="subscript"/>
        <sz val="12"/>
        <rFont val="Arial"/>
        <family val="2"/>
      </rPr>
      <t>PHA</t>
    </r>
    <r>
      <rPr>
        <sz val="12"/>
        <rFont val="Arial"/>
        <family val="2"/>
      </rPr>
      <t>*Msat</t>
    </r>
    <r>
      <rPr>
        <vertAlign val="subscript"/>
        <sz val="12"/>
        <rFont val="Arial"/>
        <family val="2"/>
      </rPr>
      <t>SO,KO,PAO</t>
    </r>
    <r>
      <rPr>
        <sz val="12"/>
        <rFont val="Arial"/>
        <family val="2"/>
      </rPr>
      <t>*Msat</t>
    </r>
    <r>
      <rPr>
        <vertAlign val="subscript"/>
        <sz val="12"/>
        <rFont val="Arial"/>
        <family val="2"/>
      </rPr>
      <t>SNH,KN,PAO</t>
    </r>
    <r>
      <rPr>
        <sz val="12"/>
        <rFont val="Arial"/>
        <family val="2"/>
      </rPr>
      <t>*Msat</t>
    </r>
    <r>
      <rPr>
        <vertAlign val="subscript"/>
        <sz val="12"/>
        <rFont val="Arial"/>
        <family val="2"/>
      </rPr>
      <t>SPO,KP,PAO</t>
    </r>
    <r>
      <rPr>
        <sz val="12"/>
        <rFont val="Arial"/>
        <family val="2"/>
      </rPr>
      <t>*Msat</t>
    </r>
    <r>
      <rPr>
        <vertAlign val="subscript"/>
        <sz val="12"/>
        <rFont val="Arial"/>
        <family val="2"/>
      </rPr>
      <t>SHCO,KHCO,PAO</t>
    </r>
    <r>
      <rPr>
        <sz val="12"/>
        <rFont val="Arial"/>
        <family val="2"/>
      </rPr>
      <t>*MRsat</t>
    </r>
    <r>
      <rPr>
        <vertAlign val="subscript"/>
        <sz val="12"/>
        <rFont val="Arial"/>
        <family val="2"/>
      </rPr>
      <t>XPHA,XPAO,KfPHA</t>
    </r>
    <r>
      <rPr>
        <sz val="12"/>
        <rFont val="Arial"/>
        <family val="2"/>
      </rPr>
      <t>*</t>
    </r>
    <r>
      <rPr>
        <i/>
        <sz val="12"/>
        <rFont val="Arial"/>
        <family val="2"/>
      </rPr>
      <t>X</t>
    </r>
    <r>
      <rPr>
        <vertAlign val="subscript"/>
        <sz val="12"/>
        <rFont val="Arial"/>
        <family val="2"/>
      </rPr>
      <t>PAO</t>
    </r>
  </si>
  <si>
    <r>
      <t>q</t>
    </r>
    <r>
      <rPr>
        <i/>
        <vertAlign val="subscript"/>
        <sz val="12"/>
        <rFont val="Arial"/>
        <family val="2"/>
      </rPr>
      <t>h</t>
    </r>
    <r>
      <rPr>
        <i/>
        <sz val="12"/>
        <rFont val="Arial"/>
        <family val="2"/>
      </rPr>
      <t>*η</t>
    </r>
    <r>
      <rPr>
        <i/>
        <vertAlign val="subscript"/>
        <sz val="12"/>
        <rFont val="Arial"/>
        <family val="2"/>
      </rPr>
      <t>NO,HYD</t>
    </r>
    <r>
      <rPr>
        <i/>
        <sz val="12"/>
        <rFont val="Arial"/>
        <family val="2"/>
      </rPr>
      <t>*Minh</t>
    </r>
    <r>
      <rPr>
        <i/>
        <vertAlign val="subscript"/>
        <sz val="12"/>
        <rFont val="Arial"/>
        <family val="2"/>
      </rPr>
      <t>SO,KO,HYD</t>
    </r>
    <r>
      <rPr>
        <i/>
        <sz val="12"/>
        <rFont val="Arial"/>
        <family val="2"/>
      </rPr>
      <t>*Msat</t>
    </r>
    <r>
      <rPr>
        <i/>
        <vertAlign val="subscript"/>
        <sz val="12"/>
        <rFont val="Arial"/>
        <family val="2"/>
      </rPr>
      <t>SNO,KNO,HYD</t>
    </r>
    <r>
      <rPr>
        <i/>
        <sz val="12"/>
        <rFont val="Arial"/>
        <family val="2"/>
      </rPr>
      <t>*MRsat</t>
    </r>
    <r>
      <rPr>
        <i/>
        <vertAlign val="subscript"/>
        <sz val="12"/>
        <rFont val="Arial"/>
        <family val="2"/>
      </rPr>
      <t>XS,XH,XPAO,KX</t>
    </r>
    <r>
      <rPr>
        <i/>
        <sz val="12"/>
        <rFont val="Arial"/>
        <family val="2"/>
      </rPr>
      <t>*(X</t>
    </r>
    <r>
      <rPr>
        <i/>
        <vertAlign val="subscript"/>
        <sz val="12"/>
        <rFont val="Arial"/>
        <family val="2"/>
      </rPr>
      <t>H</t>
    </r>
    <r>
      <rPr>
        <i/>
        <sz val="12"/>
        <rFont val="Arial"/>
        <family val="2"/>
      </rPr>
      <t>+X</t>
    </r>
    <r>
      <rPr>
        <i/>
        <vertAlign val="subscript"/>
        <sz val="12"/>
        <rFont val="Arial"/>
        <family val="2"/>
      </rPr>
      <t>PAO</t>
    </r>
    <r>
      <rPr>
        <i/>
        <sz val="12"/>
        <rFont val="Arial"/>
        <family val="2"/>
      </rPr>
      <t>)</t>
    </r>
  </si>
  <si>
    <r>
      <t>q</t>
    </r>
    <r>
      <rPr>
        <i/>
        <vertAlign val="subscript"/>
        <sz val="12"/>
        <rFont val="Arial"/>
        <family val="2"/>
      </rPr>
      <t>h</t>
    </r>
    <r>
      <rPr>
        <i/>
        <sz val="12"/>
        <rFont val="Arial"/>
        <family val="2"/>
      </rPr>
      <t>*η</t>
    </r>
    <r>
      <rPr>
        <i/>
        <vertAlign val="subscript"/>
        <sz val="12"/>
        <rFont val="Arial"/>
        <family val="2"/>
      </rPr>
      <t>fe</t>
    </r>
    <r>
      <rPr>
        <i/>
        <sz val="12"/>
        <rFont val="Arial"/>
        <family val="2"/>
      </rPr>
      <t>*Minh</t>
    </r>
    <r>
      <rPr>
        <i/>
        <vertAlign val="subscript"/>
        <sz val="12"/>
        <rFont val="Arial"/>
        <family val="2"/>
      </rPr>
      <t>SO,KO,HYD</t>
    </r>
    <r>
      <rPr>
        <i/>
        <sz val="12"/>
        <rFont val="Arial"/>
        <family val="2"/>
      </rPr>
      <t>*Minh</t>
    </r>
    <r>
      <rPr>
        <i/>
        <vertAlign val="subscript"/>
        <sz val="12"/>
        <rFont val="Arial"/>
        <family val="2"/>
      </rPr>
      <t>SNO,KNO,HYD</t>
    </r>
    <r>
      <rPr>
        <i/>
        <sz val="12"/>
        <rFont val="Arial"/>
        <family val="2"/>
      </rPr>
      <t>*MRsat</t>
    </r>
    <r>
      <rPr>
        <i/>
        <vertAlign val="subscript"/>
        <sz val="12"/>
        <rFont val="Arial"/>
        <family val="2"/>
      </rPr>
      <t>XS,XH,XPAO,KX</t>
    </r>
    <r>
      <rPr>
        <i/>
        <sz val="12"/>
        <rFont val="Arial"/>
        <family val="2"/>
      </rPr>
      <t>*(X</t>
    </r>
    <r>
      <rPr>
        <i/>
        <vertAlign val="subscript"/>
        <sz val="12"/>
        <rFont val="Arial"/>
        <family val="2"/>
      </rPr>
      <t>H</t>
    </r>
    <r>
      <rPr>
        <i/>
        <sz val="12"/>
        <rFont val="Arial"/>
        <family val="2"/>
      </rPr>
      <t>+X</t>
    </r>
    <r>
      <rPr>
        <i/>
        <vertAlign val="subscript"/>
        <sz val="12"/>
        <rFont val="Arial"/>
        <family val="2"/>
      </rPr>
      <t>PAO</t>
    </r>
    <r>
      <rPr>
        <i/>
        <sz val="12"/>
        <rFont val="Arial"/>
        <family val="2"/>
      </rPr>
      <t>)</t>
    </r>
  </si>
  <si>
    <r>
      <t>q</t>
    </r>
    <r>
      <rPr>
        <vertAlign val="subscript"/>
        <sz val="12"/>
        <rFont val="Arial"/>
        <family val="2"/>
      </rPr>
      <t>Ac</t>
    </r>
    <r>
      <rPr>
        <sz val="12"/>
        <rFont val="Arial"/>
        <family val="2"/>
      </rPr>
      <t>*Msat</t>
    </r>
    <r>
      <rPr>
        <vertAlign val="subscript"/>
        <sz val="12"/>
        <rFont val="Arial"/>
        <family val="2"/>
      </rPr>
      <t>SA,KAc</t>
    </r>
    <r>
      <rPr>
        <sz val="12"/>
        <rFont val="Arial"/>
        <family val="2"/>
      </rPr>
      <t>*Minh</t>
    </r>
    <r>
      <rPr>
        <vertAlign val="subscript"/>
        <sz val="12"/>
        <rFont val="Arial"/>
        <family val="2"/>
      </rPr>
      <t>SO,KO,PAO</t>
    </r>
    <r>
      <rPr>
        <sz val="12"/>
        <rFont val="Arial"/>
        <family val="2"/>
      </rPr>
      <t>*Minh</t>
    </r>
    <r>
      <rPr>
        <vertAlign val="subscript"/>
        <sz val="12"/>
        <rFont val="Arial"/>
        <family val="2"/>
      </rPr>
      <t>SNO,KNO,PAO</t>
    </r>
    <r>
      <rPr>
        <sz val="12"/>
        <rFont val="Arial"/>
        <family val="2"/>
      </rPr>
      <t>*Msat</t>
    </r>
    <r>
      <rPr>
        <vertAlign val="subscript"/>
        <sz val="12"/>
        <rFont val="Arial"/>
        <family val="2"/>
      </rPr>
      <t>XGLY,KGLY</t>
    </r>
    <r>
      <rPr>
        <sz val="12"/>
        <rFont val="Arial"/>
        <family val="2"/>
      </rPr>
      <t>*Msat</t>
    </r>
    <r>
      <rPr>
        <vertAlign val="subscript"/>
        <sz val="12"/>
        <rFont val="Arial"/>
        <family val="2"/>
      </rPr>
      <t>XPP,KPP</t>
    </r>
    <r>
      <rPr>
        <sz val="12"/>
        <rFont val="Arial"/>
        <family val="2"/>
      </rPr>
      <t>*</t>
    </r>
    <r>
      <rPr>
        <i/>
        <sz val="12"/>
        <rFont val="Arial"/>
        <family val="2"/>
      </rPr>
      <t>X</t>
    </r>
    <r>
      <rPr>
        <vertAlign val="subscript"/>
        <sz val="12"/>
        <rFont val="Arial"/>
        <family val="2"/>
      </rPr>
      <t>PAO</t>
    </r>
  </si>
  <si>
    <r>
      <t>m</t>
    </r>
    <r>
      <rPr>
        <vertAlign val="subscript"/>
        <sz val="12"/>
        <rFont val="Arial"/>
        <family val="2"/>
      </rPr>
      <t>AN</t>
    </r>
    <r>
      <rPr>
        <sz val="12"/>
        <rFont val="Arial"/>
        <family val="2"/>
      </rPr>
      <t>*Minh</t>
    </r>
    <r>
      <rPr>
        <vertAlign val="subscript"/>
        <sz val="12"/>
        <rFont val="Arial"/>
        <family val="2"/>
      </rPr>
      <t>SO,KO,PAO</t>
    </r>
    <r>
      <rPr>
        <sz val="12"/>
        <rFont val="Arial"/>
        <family val="2"/>
      </rPr>
      <t>*Minh</t>
    </r>
    <r>
      <rPr>
        <vertAlign val="subscript"/>
        <sz val="12"/>
        <rFont val="Arial"/>
        <family val="2"/>
      </rPr>
      <t>SNO,KNO,PAO</t>
    </r>
    <r>
      <rPr>
        <sz val="12"/>
        <rFont val="Arial"/>
        <family val="2"/>
      </rPr>
      <t>*Msat</t>
    </r>
    <r>
      <rPr>
        <vertAlign val="subscript"/>
        <sz val="12"/>
        <rFont val="Arial"/>
        <family val="2"/>
      </rPr>
      <t>XPP,KPP</t>
    </r>
    <r>
      <rPr>
        <sz val="12"/>
        <rFont val="Arial"/>
        <family val="2"/>
      </rPr>
      <t>*</t>
    </r>
    <r>
      <rPr>
        <i/>
        <sz val="12"/>
        <rFont val="Arial"/>
        <family val="2"/>
      </rPr>
      <t>X</t>
    </r>
    <r>
      <rPr>
        <vertAlign val="subscript"/>
        <sz val="12"/>
        <rFont val="Arial"/>
        <family val="2"/>
      </rPr>
      <t>PAO</t>
    </r>
  </si>
  <si>
    <r>
      <t>q</t>
    </r>
    <r>
      <rPr>
        <vertAlign val="subscript"/>
        <sz val="12"/>
        <rFont val="Arial"/>
        <family val="2"/>
      </rPr>
      <t>PHA</t>
    </r>
    <r>
      <rPr>
        <sz val="12"/>
        <rFont val="Arial"/>
        <family val="2"/>
      </rPr>
      <t>*</t>
    </r>
    <r>
      <rPr>
        <i/>
        <sz val="12"/>
        <rFont val="Arial"/>
        <family val="2"/>
      </rPr>
      <t>η</t>
    </r>
    <r>
      <rPr>
        <vertAlign val="subscript"/>
        <sz val="12"/>
        <rFont val="Arial"/>
        <family val="2"/>
      </rPr>
      <t>NO,PAO</t>
    </r>
    <r>
      <rPr>
        <sz val="12"/>
        <rFont val="Arial"/>
        <family val="2"/>
      </rPr>
      <t>*Minh</t>
    </r>
    <r>
      <rPr>
        <vertAlign val="subscript"/>
        <sz val="12"/>
        <rFont val="Arial"/>
        <family val="2"/>
      </rPr>
      <t>SO,KO,PAO</t>
    </r>
    <r>
      <rPr>
        <sz val="12"/>
        <rFont val="Arial"/>
        <family val="2"/>
      </rPr>
      <t>*Msat</t>
    </r>
    <r>
      <rPr>
        <vertAlign val="subscript"/>
        <sz val="12"/>
        <rFont val="Arial"/>
        <family val="2"/>
      </rPr>
      <t>SNH,KN,PAO</t>
    </r>
    <r>
      <rPr>
        <sz val="12"/>
        <rFont val="Arial"/>
        <family val="2"/>
      </rPr>
      <t>*Msat</t>
    </r>
    <r>
      <rPr>
        <vertAlign val="subscript"/>
        <sz val="12"/>
        <rFont val="Arial"/>
        <family val="2"/>
      </rPr>
      <t>SNO,KNO,PAO</t>
    </r>
    <r>
      <rPr>
        <sz val="12"/>
        <rFont val="Arial"/>
        <family val="2"/>
      </rPr>
      <t>*Msat</t>
    </r>
    <r>
      <rPr>
        <vertAlign val="subscript"/>
        <sz val="12"/>
        <rFont val="Arial"/>
        <family val="2"/>
      </rPr>
      <t>SPO,KP,PAO</t>
    </r>
    <r>
      <rPr>
        <sz val="12"/>
        <rFont val="Arial"/>
        <family val="2"/>
      </rPr>
      <t>*Msat</t>
    </r>
    <r>
      <rPr>
        <vertAlign val="subscript"/>
        <sz val="12"/>
        <rFont val="Arial"/>
        <family val="2"/>
      </rPr>
      <t>SHCO,KHCO,PAO</t>
    </r>
    <r>
      <rPr>
        <sz val="12"/>
        <rFont val="Arial"/>
        <family val="2"/>
      </rPr>
      <t>*MRsat</t>
    </r>
    <r>
      <rPr>
        <vertAlign val="subscript"/>
        <sz val="12"/>
        <rFont val="Arial"/>
        <family val="2"/>
      </rPr>
      <t>XPHA,XPAO,KfPHA</t>
    </r>
    <r>
      <rPr>
        <sz val="12"/>
        <rFont val="Arial"/>
        <family val="2"/>
      </rPr>
      <t>*</t>
    </r>
    <r>
      <rPr>
        <i/>
        <sz val="12"/>
        <rFont val="Arial"/>
        <family val="2"/>
      </rPr>
      <t>X</t>
    </r>
    <r>
      <rPr>
        <vertAlign val="subscript"/>
        <sz val="12"/>
        <rFont val="Arial"/>
        <family val="2"/>
      </rPr>
      <t>PAO</t>
    </r>
  </si>
  <si>
    <r>
      <t>q</t>
    </r>
    <r>
      <rPr>
        <vertAlign val="subscript"/>
        <sz val="12"/>
        <rFont val="Arial"/>
        <family val="2"/>
      </rPr>
      <t>fe</t>
    </r>
    <r>
      <rPr>
        <sz val="12"/>
        <rFont val="Arial"/>
        <family val="2"/>
      </rPr>
      <t>*Minh</t>
    </r>
    <r>
      <rPr>
        <vertAlign val="subscript"/>
        <sz val="12"/>
        <rFont val="Arial"/>
        <family val="2"/>
      </rPr>
      <t>SO,KO,H</t>
    </r>
    <r>
      <rPr>
        <sz val="12"/>
        <rFont val="Arial"/>
        <family val="2"/>
      </rPr>
      <t>*Minh</t>
    </r>
    <r>
      <rPr>
        <vertAlign val="subscript"/>
        <sz val="12"/>
        <rFont val="Arial"/>
        <family val="2"/>
      </rPr>
      <t>SNO,KNO,H</t>
    </r>
    <r>
      <rPr>
        <sz val="12"/>
        <rFont val="Arial"/>
        <family val="2"/>
      </rPr>
      <t>*Msat</t>
    </r>
    <r>
      <rPr>
        <vertAlign val="subscript"/>
        <sz val="12"/>
        <rFont val="Arial"/>
        <family val="2"/>
      </rPr>
      <t>SF,Kfe</t>
    </r>
    <r>
      <rPr>
        <sz val="12"/>
        <rFont val="Arial"/>
        <family val="2"/>
      </rPr>
      <t>*Msat</t>
    </r>
    <r>
      <rPr>
        <vertAlign val="subscript"/>
        <sz val="12"/>
        <rFont val="Arial"/>
        <family val="2"/>
      </rPr>
      <t>SHCO,KHCO,H</t>
    </r>
    <r>
      <rPr>
        <sz val="12"/>
        <rFont val="Arial"/>
        <family val="2"/>
      </rPr>
      <t>*</t>
    </r>
    <r>
      <rPr>
        <i/>
        <sz val="12"/>
        <rFont val="Arial"/>
        <family val="2"/>
      </rPr>
      <t>X</t>
    </r>
    <r>
      <rPr>
        <vertAlign val="subscript"/>
        <sz val="12"/>
        <rFont val="Arial"/>
        <family val="2"/>
      </rPr>
      <t>H</t>
    </r>
  </si>
  <si>
    <r>
      <t>-(1-</t>
    </r>
    <r>
      <rPr>
        <i/>
        <sz val="12"/>
        <rFont val="Arial"/>
        <family val="2"/>
      </rPr>
      <t>Y</t>
    </r>
    <r>
      <rPr>
        <vertAlign val="subscript"/>
        <sz val="12"/>
        <rFont val="Arial"/>
        <family val="2"/>
      </rPr>
      <t>SA,NO</t>
    </r>
    <r>
      <rPr>
        <sz val="12"/>
        <rFont val="Arial"/>
        <family val="2"/>
      </rPr>
      <t>)/</t>
    </r>
    <r>
      <rPr>
        <i/>
        <sz val="12"/>
        <rFont val="Arial"/>
        <family val="2"/>
      </rPr>
      <t>i</t>
    </r>
    <r>
      <rPr>
        <vertAlign val="subscript"/>
        <sz val="12"/>
        <rFont val="Arial"/>
        <family val="2"/>
      </rPr>
      <t>NO3,N2</t>
    </r>
  </si>
  <si>
    <r>
      <t>-</t>
    </r>
    <r>
      <rPr>
        <i/>
        <sz val="12"/>
        <rFont val="Arial"/>
        <family val="2"/>
      </rPr>
      <t>i</t>
    </r>
    <r>
      <rPr>
        <vertAlign val="subscript"/>
        <sz val="12"/>
        <rFont val="Arial"/>
        <family val="2"/>
      </rPr>
      <t>N,BM</t>
    </r>
    <r>
      <rPr>
        <i/>
        <sz val="12"/>
        <rFont val="Arial"/>
        <family val="2"/>
      </rPr>
      <t>/Y</t>
    </r>
    <r>
      <rPr>
        <vertAlign val="subscript"/>
        <sz val="12"/>
        <rFont val="Arial"/>
        <family val="2"/>
      </rPr>
      <t>PHA,NO</t>
    </r>
  </si>
  <si>
    <r>
      <t>-(1-1/</t>
    </r>
    <r>
      <rPr>
        <i/>
        <sz val="12"/>
        <rFont val="Arial"/>
        <family val="2"/>
      </rPr>
      <t>Y</t>
    </r>
    <r>
      <rPr>
        <vertAlign val="subscript"/>
        <sz val="12"/>
        <rFont val="Arial"/>
        <family val="2"/>
      </rPr>
      <t>PHA,NO</t>
    </r>
    <r>
      <rPr>
        <sz val="12"/>
        <rFont val="Arial"/>
        <family val="2"/>
      </rPr>
      <t>)/</t>
    </r>
    <r>
      <rPr>
        <i/>
        <sz val="12"/>
        <rFont val="Arial"/>
        <family val="2"/>
      </rPr>
      <t>i</t>
    </r>
    <r>
      <rPr>
        <vertAlign val="subscript"/>
        <sz val="12"/>
        <rFont val="Arial"/>
        <family val="2"/>
      </rPr>
      <t>NO3,N2</t>
    </r>
  </si>
  <si>
    <r>
      <t>(1-1/</t>
    </r>
    <r>
      <rPr>
        <i/>
        <sz val="12"/>
        <rFont val="Arial"/>
        <family val="2"/>
      </rPr>
      <t>Y</t>
    </r>
    <r>
      <rPr>
        <vertAlign val="subscript"/>
        <sz val="12"/>
        <rFont val="Arial"/>
        <family val="2"/>
      </rPr>
      <t>PHA,NO</t>
    </r>
    <r>
      <rPr>
        <sz val="12"/>
        <rFont val="Arial"/>
        <family val="2"/>
      </rPr>
      <t>)/</t>
    </r>
    <r>
      <rPr>
        <i/>
        <sz val="12"/>
        <rFont val="Arial"/>
        <family val="2"/>
      </rPr>
      <t>i</t>
    </r>
    <r>
      <rPr>
        <vertAlign val="subscript"/>
        <sz val="12"/>
        <rFont val="Arial"/>
        <family val="2"/>
      </rPr>
      <t>NO3,N2</t>
    </r>
  </si>
  <si>
    <r>
      <t>-</t>
    </r>
    <r>
      <rPr>
        <i/>
        <sz val="12"/>
        <rFont val="Arial"/>
        <family val="2"/>
      </rPr>
      <t>i</t>
    </r>
    <r>
      <rPr>
        <vertAlign val="subscript"/>
        <sz val="12"/>
        <rFont val="Arial"/>
        <family val="2"/>
      </rPr>
      <t>P,BM</t>
    </r>
    <r>
      <rPr>
        <i/>
        <sz val="12"/>
        <rFont val="Arial"/>
        <family val="2"/>
      </rPr>
      <t>/Y</t>
    </r>
    <r>
      <rPr>
        <vertAlign val="subscript"/>
        <sz val="12"/>
        <rFont val="Arial"/>
        <family val="2"/>
      </rPr>
      <t>PHA,NO</t>
    </r>
  </si>
  <si>
    <r>
      <t>-(1/</t>
    </r>
    <r>
      <rPr>
        <i/>
        <sz val="12"/>
        <rFont val="Arial"/>
        <family val="2"/>
      </rPr>
      <t>Y</t>
    </r>
    <r>
      <rPr>
        <vertAlign val="subscript"/>
        <sz val="12"/>
        <rFont val="Arial"/>
        <family val="2"/>
      </rPr>
      <t>PP,NO</t>
    </r>
    <r>
      <rPr>
        <sz val="12"/>
        <rFont val="Arial"/>
        <family val="2"/>
      </rPr>
      <t>)/</t>
    </r>
    <r>
      <rPr>
        <i/>
        <sz val="12"/>
        <rFont val="Arial"/>
        <family val="2"/>
      </rPr>
      <t>i</t>
    </r>
    <r>
      <rPr>
        <vertAlign val="subscript"/>
        <sz val="12"/>
        <rFont val="Arial"/>
        <family val="2"/>
      </rPr>
      <t>NO3,N2</t>
    </r>
  </si>
  <si>
    <r>
      <t>(1/</t>
    </r>
    <r>
      <rPr>
        <i/>
        <sz val="12"/>
        <rFont val="Arial"/>
        <family val="2"/>
      </rPr>
      <t>Y</t>
    </r>
    <r>
      <rPr>
        <vertAlign val="subscript"/>
        <sz val="12"/>
        <rFont val="Arial"/>
        <family val="2"/>
      </rPr>
      <t>PP,NO</t>
    </r>
    <r>
      <rPr>
        <sz val="12"/>
        <rFont val="Arial"/>
        <family val="2"/>
      </rPr>
      <t>)/</t>
    </r>
    <r>
      <rPr>
        <i/>
        <sz val="12"/>
        <rFont val="Arial"/>
        <family val="2"/>
      </rPr>
      <t>i</t>
    </r>
    <r>
      <rPr>
        <vertAlign val="subscript"/>
        <sz val="12"/>
        <rFont val="Arial"/>
        <family val="2"/>
      </rPr>
      <t>NO3,N2</t>
    </r>
  </si>
  <si>
    <r>
      <t>i</t>
    </r>
    <r>
      <rPr>
        <vertAlign val="subscript"/>
        <sz val="12"/>
        <rFont val="Arial"/>
        <family val="2"/>
      </rPr>
      <t>P,BM</t>
    </r>
    <r>
      <rPr>
        <i/>
        <sz val="12"/>
        <rFont val="Arial"/>
        <family val="2"/>
      </rPr>
      <t>/Y</t>
    </r>
    <r>
      <rPr>
        <vertAlign val="subscript"/>
        <sz val="12"/>
        <rFont val="Arial"/>
        <family val="2"/>
      </rPr>
      <t>PP,NO</t>
    </r>
    <r>
      <rPr>
        <sz val="12"/>
        <rFont val="Arial"/>
        <family val="2"/>
      </rPr>
      <t>-1</t>
    </r>
  </si>
  <si>
    <r>
      <t>i</t>
    </r>
    <r>
      <rPr>
        <vertAlign val="subscript"/>
        <sz val="12"/>
        <rFont val="Arial"/>
        <family val="2"/>
      </rPr>
      <t>N,BM</t>
    </r>
    <r>
      <rPr>
        <i/>
        <sz val="12"/>
        <rFont val="Arial"/>
        <family val="2"/>
      </rPr>
      <t>/Y</t>
    </r>
    <r>
      <rPr>
        <vertAlign val="subscript"/>
        <sz val="12"/>
        <rFont val="Arial"/>
        <family val="2"/>
      </rPr>
      <t>PP,NO</t>
    </r>
  </si>
  <si>
    <r>
      <t>i</t>
    </r>
    <r>
      <rPr>
        <vertAlign val="subscript"/>
        <sz val="12"/>
        <rFont val="Arial"/>
        <family val="2"/>
      </rPr>
      <t>N,BM</t>
    </r>
    <r>
      <rPr>
        <i/>
        <sz val="12"/>
        <rFont val="Arial"/>
        <family val="2"/>
      </rPr>
      <t>/Y</t>
    </r>
    <r>
      <rPr>
        <vertAlign val="subscript"/>
        <sz val="12"/>
        <rFont val="Arial"/>
        <family val="2"/>
      </rPr>
      <t>GLY,NO</t>
    </r>
  </si>
  <si>
    <r>
      <t>-(1/</t>
    </r>
    <r>
      <rPr>
        <i/>
        <sz val="12"/>
        <rFont val="Arial"/>
        <family val="2"/>
      </rPr>
      <t>Y</t>
    </r>
    <r>
      <rPr>
        <vertAlign val="subscript"/>
        <sz val="12"/>
        <rFont val="Arial"/>
        <family val="2"/>
      </rPr>
      <t>GLY,NO</t>
    </r>
    <r>
      <rPr>
        <sz val="12"/>
        <rFont val="Arial"/>
        <family val="2"/>
      </rPr>
      <t>-1)/</t>
    </r>
    <r>
      <rPr>
        <i/>
        <sz val="12"/>
        <rFont val="Arial"/>
        <family val="2"/>
      </rPr>
      <t>i</t>
    </r>
    <r>
      <rPr>
        <vertAlign val="subscript"/>
        <sz val="12"/>
        <rFont val="Arial"/>
        <family val="2"/>
      </rPr>
      <t>NO3,N2</t>
    </r>
  </si>
  <si>
    <r>
      <t>(1/</t>
    </r>
    <r>
      <rPr>
        <i/>
        <sz val="12"/>
        <rFont val="Arial"/>
        <family val="2"/>
      </rPr>
      <t>Y</t>
    </r>
    <r>
      <rPr>
        <vertAlign val="subscript"/>
        <sz val="12"/>
        <rFont val="Arial"/>
        <family val="2"/>
      </rPr>
      <t>GLY,NO</t>
    </r>
    <r>
      <rPr>
        <sz val="12"/>
        <rFont val="Arial"/>
        <family val="2"/>
      </rPr>
      <t>-1)/</t>
    </r>
    <r>
      <rPr>
        <i/>
        <sz val="12"/>
        <rFont val="Arial"/>
        <family val="2"/>
      </rPr>
      <t>i</t>
    </r>
    <r>
      <rPr>
        <vertAlign val="subscript"/>
        <sz val="12"/>
        <rFont val="Arial"/>
        <family val="2"/>
      </rPr>
      <t>NO3,N2</t>
    </r>
  </si>
  <si>
    <r>
      <t>i</t>
    </r>
    <r>
      <rPr>
        <vertAlign val="subscript"/>
        <sz val="12"/>
        <rFont val="Arial"/>
        <family val="2"/>
      </rPr>
      <t>P,BM</t>
    </r>
    <r>
      <rPr>
        <i/>
        <sz val="12"/>
        <rFont val="Arial"/>
        <family val="2"/>
      </rPr>
      <t>/Y</t>
    </r>
    <r>
      <rPr>
        <vertAlign val="subscript"/>
        <sz val="12"/>
        <rFont val="Arial"/>
        <family val="2"/>
      </rPr>
      <t>GLY,NO</t>
    </r>
  </si>
  <si>
    <r>
      <t>(1-</t>
    </r>
    <r>
      <rPr>
        <i/>
        <sz val="12"/>
        <rFont val="Arial"/>
        <family val="2"/>
      </rPr>
      <t>Y</t>
    </r>
    <r>
      <rPr>
        <vertAlign val="subscript"/>
        <sz val="12"/>
        <rFont val="Arial"/>
        <family val="2"/>
      </rPr>
      <t>SA,NO</t>
    </r>
    <r>
      <rPr>
        <sz val="12"/>
        <rFont val="Arial"/>
        <family val="2"/>
      </rPr>
      <t>)/</t>
    </r>
    <r>
      <rPr>
        <i/>
        <sz val="12"/>
        <rFont val="Arial"/>
        <family val="2"/>
      </rPr>
      <t>i</t>
    </r>
    <r>
      <rPr>
        <vertAlign val="subscript"/>
        <sz val="12"/>
        <rFont val="Arial"/>
        <family val="2"/>
      </rPr>
      <t>NO3,N2</t>
    </r>
  </si>
  <si>
    <r>
      <t>Y</t>
    </r>
    <r>
      <rPr>
        <vertAlign val="subscript"/>
        <sz val="12"/>
        <rFont val="Arial"/>
        <family val="2"/>
      </rPr>
      <t>PO,NO</t>
    </r>
  </si>
  <si>
    <r>
      <t>1/</t>
    </r>
    <r>
      <rPr>
        <i/>
        <sz val="12"/>
        <rFont val="Arial"/>
        <family val="2"/>
      </rPr>
      <t>Y</t>
    </r>
    <r>
      <rPr>
        <vertAlign val="subscript"/>
        <sz val="12"/>
        <rFont val="Arial"/>
        <family val="2"/>
      </rPr>
      <t>PHA,NO</t>
    </r>
  </si>
  <si>
    <r>
      <t>-1/</t>
    </r>
    <r>
      <rPr>
        <i/>
        <sz val="12"/>
        <rFont val="Arial"/>
        <family val="2"/>
      </rPr>
      <t>Y</t>
    </r>
    <r>
      <rPr>
        <vertAlign val="subscript"/>
        <sz val="12"/>
        <rFont val="Arial"/>
        <family val="2"/>
      </rPr>
      <t>PP,NO</t>
    </r>
  </si>
  <si>
    <r>
      <t>-1/</t>
    </r>
    <r>
      <rPr>
        <i/>
        <sz val="12"/>
        <rFont val="Arial"/>
        <family val="2"/>
      </rPr>
      <t>Y</t>
    </r>
    <r>
      <rPr>
        <vertAlign val="subscript"/>
        <sz val="12"/>
        <rFont val="Arial"/>
        <family val="2"/>
      </rPr>
      <t>GLY,NO</t>
    </r>
  </si>
  <si>
    <r>
      <t>m</t>
    </r>
    <r>
      <rPr>
        <vertAlign val="subscript"/>
        <sz val="12"/>
        <rFont val="Arial"/>
        <family val="2"/>
      </rPr>
      <t>NO</t>
    </r>
    <r>
      <rPr>
        <sz val="12"/>
        <rFont val="Arial"/>
        <family val="2"/>
      </rPr>
      <t>*Minh</t>
    </r>
    <r>
      <rPr>
        <vertAlign val="subscript"/>
        <sz val="12"/>
        <rFont val="Arial"/>
        <family val="2"/>
      </rPr>
      <t>SO,KO,PAO</t>
    </r>
    <r>
      <rPr>
        <sz val="12"/>
        <rFont val="Arial"/>
        <family val="2"/>
      </rPr>
      <t>*Msat</t>
    </r>
    <r>
      <rPr>
        <vertAlign val="subscript"/>
        <sz val="12"/>
        <rFont val="Arial"/>
        <family val="2"/>
      </rPr>
      <t>SNO,KNO,PAO</t>
    </r>
    <r>
      <rPr>
        <sz val="12"/>
        <rFont val="Arial"/>
        <family val="2"/>
      </rPr>
      <t>*</t>
    </r>
    <r>
      <rPr>
        <i/>
        <sz val="12"/>
        <rFont val="Arial"/>
        <family val="2"/>
      </rPr>
      <t>X</t>
    </r>
    <r>
      <rPr>
        <vertAlign val="subscript"/>
        <sz val="12"/>
        <rFont val="Arial"/>
        <family val="2"/>
      </rPr>
      <t>PAO</t>
    </r>
  </si>
  <si>
    <r>
      <t>-</t>
    </r>
    <r>
      <rPr>
        <i/>
        <sz val="12"/>
        <rFont val="Arial"/>
        <family val="2"/>
      </rPr>
      <t>Y</t>
    </r>
    <r>
      <rPr>
        <vertAlign val="subscript"/>
        <sz val="12"/>
        <rFont val="Arial"/>
        <family val="2"/>
      </rPr>
      <t>PO,NO</t>
    </r>
  </si>
  <si>
    <r>
      <t>i</t>
    </r>
    <r>
      <rPr>
        <vertAlign val="subscript"/>
        <sz val="12"/>
        <rFont val="Arial"/>
        <family val="2"/>
      </rPr>
      <t>TSS,BM</t>
    </r>
    <r>
      <rPr>
        <i/>
        <sz val="12"/>
        <rFont val="Arial"/>
        <family val="2"/>
      </rPr>
      <t>/Y</t>
    </r>
    <r>
      <rPr>
        <vertAlign val="subscript"/>
        <sz val="12"/>
        <rFont val="Arial"/>
        <family val="2"/>
      </rPr>
      <t>PHA,NO</t>
    </r>
    <r>
      <rPr>
        <sz val="12"/>
        <rFont val="Arial"/>
        <family val="2"/>
      </rPr>
      <t>-</t>
    </r>
    <r>
      <rPr>
        <i/>
        <sz val="12"/>
        <rFont val="Arial"/>
        <family val="2"/>
      </rPr>
      <t>i</t>
    </r>
    <r>
      <rPr>
        <vertAlign val="subscript"/>
        <sz val="12"/>
        <rFont val="Arial"/>
        <family val="2"/>
      </rPr>
      <t>TSS,PHA</t>
    </r>
  </si>
  <si>
    <r>
      <t>-</t>
    </r>
    <r>
      <rPr>
        <i/>
        <sz val="12"/>
        <rFont val="Arial"/>
        <family val="2"/>
      </rPr>
      <t>i</t>
    </r>
    <r>
      <rPr>
        <vertAlign val="subscript"/>
        <sz val="12"/>
        <rFont val="Arial"/>
        <family val="2"/>
      </rPr>
      <t>TSS,BM</t>
    </r>
    <r>
      <rPr>
        <i/>
        <sz val="12"/>
        <rFont val="Arial"/>
        <family val="2"/>
      </rPr>
      <t>/Y</t>
    </r>
    <r>
      <rPr>
        <vertAlign val="subscript"/>
        <sz val="12"/>
        <rFont val="Arial"/>
        <family val="2"/>
      </rPr>
      <t>PP,NO</t>
    </r>
    <r>
      <rPr>
        <sz val="12"/>
        <rFont val="Arial"/>
        <family val="2"/>
      </rPr>
      <t>+</t>
    </r>
    <r>
      <rPr>
        <i/>
        <sz val="12"/>
        <rFont val="Arial"/>
        <family val="2"/>
      </rPr>
      <t>i</t>
    </r>
    <r>
      <rPr>
        <vertAlign val="subscript"/>
        <sz val="12"/>
        <rFont val="Arial"/>
        <family val="2"/>
      </rPr>
      <t>TSS,PP</t>
    </r>
  </si>
  <si>
    <r>
      <t>-</t>
    </r>
    <r>
      <rPr>
        <i/>
        <sz val="12"/>
        <rFont val="Arial"/>
        <family val="2"/>
      </rPr>
      <t>i</t>
    </r>
    <r>
      <rPr>
        <vertAlign val="subscript"/>
        <sz val="12"/>
        <rFont val="Arial"/>
        <family val="2"/>
      </rPr>
      <t>TSS,BM</t>
    </r>
    <r>
      <rPr>
        <i/>
        <sz val="12"/>
        <rFont val="Arial"/>
        <family val="2"/>
      </rPr>
      <t>/Y</t>
    </r>
    <r>
      <rPr>
        <vertAlign val="subscript"/>
        <sz val="12"/>
        <rFont val="Arial"/>
        <family val="2"/>
      </rPr>
      <t>GLY,NO</t>
    </r>
    <r>
      <rPr>
        <sz val="12"/>
        <rFont val="Arial"/>
        <family val="2"/>
      </rPr>
      <t>+</t>
    </r>
    <r>
      <rPr>
        <i/>
        <sz val="12"/>
        <rFont val="Arial"/>
        <family val="2"/>
      </rPr>
      <t>i</t>
    </r>
    <r>
      <rPr>
        <vertAlign val="subscript"/>
        <sz val="12"/>
        <rFont val="Arial"/>
        <family val="2"/>
      </rPr>
      <t>TSS,GLY</t>
    </r>
  </si>
  <si>
    <r>
      <t>Y</t>
    </r>
    <r>
      <rPr>
        <vertAlign val="subscript"/>
        <sz val="12"/>
        <rFont val="Arial"/>
        <family val="2"/>
      </rPr>
      <t>SA,NO</t>
    </r>
  </si>
  <si>
    <r>
      <t>q</t>
    </r>
    <r>
      <rPr>
        <vertAlign val="subscript"/>
        <sz val="12"/>
        <rFont val="Arial"/>
        <family val="2"/>
      </rPr>
      <t>GLY</t>
    </r>
    <r>
      <rPr>
        <sz val="12"/>
        <rFont val="Arial"/>
        <family val="2"/>
      </rPr>
      <t>*</t>
    </r>
    <r>
      <rPr>
        <i/>
        <sz val="12"/>
        <rFont val="Arial"/>
        <family val="2"/>
      </rPr>
      <t>η</t>
    </r>
    <r>
      <rPr>
        <vertAlign val="subscript"/>
        <sz val="12"/>
        <rFont val="Arial"/>
        <family val="2"/>
      </rPr>
      <t>NO,PAO</t>
    </r>
    <r>
      <rPr>
        <sz val="12"/>
        <rFont val="Arial"/>
        <family val="2"/>
      </rPr>
      <t>*(</t>
    </r>
    <r>
      <rPr>
        <i/>
        <sz val="12"/>
        <rFont val="Arial"/>
        <family val="2"/>
      </rPr>
      <t>X</t>
    </r>
    <r>
      <rPr>
        <vertAlign val="subscript"/>
        <sz val="12"/>
        <rFont val="Arial"/>
        <family val="2"/>
      </rPr>
      <t>PHA</t>
    </r>
    <r>
      <rPr>
        <sz val="12"/>
        <rFont val="Arial"/>
        <family val="2"/>
      </rPr>
      <t>/</t>
    </r>
    <r>
      <rPr>
        <i/>
        <sz val="12"/>
        <rFont val="Arial"/>
        <family val="2"/>
      </rPr>
      <t>X</t>
    </r>
    <r>
      <rPr>
        <vertAlign val="subscript"/>
        <sz val="12"/>
        <rFont val="Arial"/>
        <family val="2"/>
      </rPr>
      <t>GLY</t>
    </r>
    <r>
      <rPr>
        <sz val="12"/>
        <rFont val="Arial"/>
        <family val="2"/>
      </rPr>
      <t>)*Minh</t>
    </r>
    <r>
      <rPr>
        <vertAlign val="subscript"/>
        <sz val="12"/>
        <rFont val="Arial"/>
        <family val="2"/>
      </rPr>
      <t>SO,KO,PAO</t>
    </r>
    <r>
      <rPr>
        <sz val="12"/>
        <rFont val="Arial"/>
        <family val="2"/>
      </rPr>
      <t>*Msat</t>
    </r>
    <r>
      <rPr>
        <vertAlign val="subscript"/>
        <sz val="12"/>
        <rFont val="Arial"/>
        <family val="2"/>
      </rPr>
      <t>SNO,KNO,PAO</t>
    </r>
    <r>
      <rPr>
        <sz val="12"/>
        <rFont val="Arial"/>
        <family val="2"/>
      </rPr>
      <t>*Msat</t>
    </r>
    <r>
      <rPr>
        <vertAlign val="subscript"/>
        <sz val="12"/>
        <rFont val="Arial"/>
        <family val="2"/>
      </rPr>
      <t>XPHA,KPHA</t>
    </r>
    <r>
      <rPr>
        <sz val="12"/>
        <rFont val="Arial"/>
        <family val="2"/>
      </rPr>
      <t>*MRsat</t>
    </r>
    <r>
      <rPr>
        <vertAlign val="subscript"/>
        <sz val="12"/>
        <rFont val="Arial"/>
        <family val="2"/>
      </rPr>
      <t>XGLY,XPAO,KfGLY</t>
    </r>
    <r>
      <rPr>
        <sz val="12"/>
        <rFont val="Arial"/>
        <family val="2"/>
      </rPr>
      <t>*Msat</t>
    </r>
    <r>
      <rPr>
        <vertAlign val="subscript"/>
        <sz val="12"/>
        <rFont val="Arial"/>
        <family val="2"/>
      </rPr>
      <t>SHCO,KHCO,PAO</t>
    </r>
    <r>
      <rPr>
        <sz val="12"/>
        <rFont val="Arial"/>
        <family val="2"/>
      </rPr>
      <t>*</t>
    </r>
    <r>
      <rPr>
        <i/>
        <sz val="12"/>
        <rFont val="Arial"/>
        <family val="2"/>
      </rPr>
      <t>X</t>
    </r>
    <r>
      <rPr>
        <vertAlign val="subscript"/>
        <sz val="12"/>
        <rFont val="Arial"/>
        <family val="2"/>
      </rPr>
      <t>PAO</t>
    </r>
  </si>
  <si>
    <r>
      <t>q</t>
    </r>
    <r>
      <rPr>
        <vertAlign val="subscript"/>
        <sz val="12"/>
        <rFont val="Arial"/>
        <family val="2"/>
      </rPr>
      <t>PP</t>
    </r>
    <r>
      <rPr>
        <sz val="12"/>
        <rFont val="Arial"/>
        <family val="2"/>
      </rPr>
      <t>*</t>
    </r>
    <r>
      <rPr>
        <i/>
        <sz val="12"/>
        <rFont val="Arial"/>
        <family val="2"/>
      </rPr>
      <t>η</t>
    </r>
    <r>
      <rPr>
        <vertAlign val="subscript"/>
        <sz val="12"/>
        <rFont val="Arial"/>
        <family val="2"/>
      </rPr>
      <t>NO,PAO</t>
    </r>
    <r>
      <rPr>
        <sz val="12"/>
        <rFont val="Arial"/>
        <family val="2"/>
      </rPr>
      <t>*(</t>
    </r>
    <r>
      <rPr>
        <i/>
        <sz val="12"/>
        <rFont val="Arial"/>
        <family val="2"/>
      </rPr>
      <t>X</t>
    </r>
    <r>
      <rPr>
        <vertAlign val="subscript"/>
        <sz val="12"/>
        <rFont val="Arial"/>
        <family val="2"/>
      </rPr>
      <t>PAO</t>
    </r>
    <r>
      <rPr>
        <sz val="12"/>
        <rFont val="Arial"/>
        <family val="2"/>
      </rPr>
      <t>/</t>
    </r>
    <r>
      <rPr>
        <i/>
        <sz val="12"/>
        <rFont val="Arial"/>
        <family val="2"/>
      </rPr>
      <t>X</t>
    </r>
    <r>
      <rPr>
        <vertAlign val="subscript"/>
        <sz val="12"/>
        <rFont val="Arial"/>
        <family val="2"/>
      </rPr>
      <t>PP</t>
    </r>
    <r>
      <rPr>
        <sz val="12"/>
        <rFont val="Arial"/>
        <family val="2"/>
      </rPr>
      <t>)*Minh</t>
    </r>
    <r>
      <rPr>
        <vertAlign val="subscript"/>
        <sz val="12"/>
        <rFont val="Arial"/>
        <family val="2"/>
      </rPr>
      <t>SO,KO,PAO</t>
    </r>
    <r>
      <rPr>
        <sz val="12"/>
        <rFont val="Arial"/>
        <family val="2"/>
      </rPr>
      <t>*Msat</t>
    </r>
    <r>
      <rPr>
        <vertAlign val="subscript"/>
        <sz val="12"/>
        <rFont val="Arial"/>
        <family val="2"/>
      </rPr>
      <t>SNO,gPP,KNO,PAO</t>
    </r>
    <r>
      <rPr>
        <sz val="12"/>
        <rFont val="Arial"/>
        <family val="2"/>
      </rPr>
      <t>*Msat</t>
    </r>
    <r>
      <rPr>
        <vertAlign val="subscript"/>
        <sz val="12"/>
        <rFont val="Arial"/>
        <family val="2"/>
      </rPr>
      <t>SPO,KP,PAO</t>
    </r>
    <r>
      <rPr>
        <sz val="12"/>
        <rFont val="Arial"/>
        <family val="2"/>
      </rPr>
      <t>*Msat</t>
    </r>
    <r>
      <rPr>
        <vertAlign val="subscript"/>
        <sz val="12"/>
        <rFont val="Arial"/>
        <family val="2"/>
      </rPr>
      <t>XPHA,KPHA</t>
    </r>
    <r>
      <rPr>
        <sz val="12"/>
        <rFont val="Arial"/>
        <family val="2"/>
      </rPr>
      <t>*MRsat</t>
    </r>
    <r>
      <rPr>
        <vertAlign val="subscript"/>
        <sz val="12"/>
        <rFont val="Arial"/>
        <family val="2"/>
      </rPr>
      <t>XPP,XPAO,KfPP</t>
    </r>
    <r>
      <rPr>
        <sz val="12"/>
        <rFont val="Arial"/>
        <family val="2"/>
      </rPr>
      <t>*</t>
    </r>
    <r>
      <rPr>
        <i/>
        <sz val="12"/>
        <rFont val="Arial"/>
        <family val="2"/>
      </rPr>
      <t>X</t>
    </r>
    <r>
      <rPr>
        <vertAlign val="subscript"/>
        <sz val="12"/>
        <rFont val="Arial"/>
        <family val="2"/>
      </rPr>
      <t>PAO</t>
    </r>
  </si>
  <si>
    <r>
      <t>i</t>
    </r>
    <r>
      <rPr>
        <vertAlign val="subscript"/>
        <sz val="12"/>
        <rFont val="Arial"/>
        <family val="2"/>
      </rPr>
      <t>TSS,PP</t>
    </r>
    <r>
      <rPr>
        <sz val="12"/>
        <rFont val="Arial"/>
        <family val="2"/>
      </rPr>
      <t>*(</t>
    </r>
    <r>
      <rPr>
        <i/>
        <sz val="12"/>
        <rFont val="Arial"/>
        <family val="2"/>
      </rPr>
      <t>-Y</t>
    </r>
    <r>
      <rPr>
        <vertAlign val="subscript"/>
        <sz val="12"/>
        <rFont val="Arial"/>
        <family val="2"/>
      </rPr>
      <t>PO,NO</t>
    </r>
    <r>
      <rPr>
        <i/>
        <sz val="12"/>
        <rFont val="Arial"/>
        <family val="2"/>
      </rPr>
      <t>)</t>
    </r>
    <r>
      <rPr>
        <sz val="12"/>
        <rFont val="Arial"/>
        <family val="2"/>
      </rPr>
      <t>+</t>
    </r>
    <r>
      <rPr>
        <i/>
        <sz val="12"/>
        <rFont val="Arial"/>
        <family val="2"/>
      </rPr>
      <t>i</t>
    </r>
    <r>
      <rPr>
        <vertAlign val="subscript"/>
        <sz val="12"/>
        <rFont val="Arial"/>
        <family val="2"/>
      </rPr>
      <t>TSS,PHA</t>
    </r>
    <r>
      <rPr>
        <sz val="12"/>
        <rFont val="Arial"/>
        <family val="2"/>
      </rPr>
      <t>*</t>
    </r>
    <r>
      <rPr>
        <i/>
        <sz val="12"/>
        <rFont val="Arial"/>
        <family val="2"/>
      </rPr>
      <t>Y</t>
    </r>
    <r>
      <rPr>
        <vertAlign val="subscript"/>
        <sz val="12"/>
        <rFont val="Arial"/>
        <family val="2"/>
      </rPr>
      <t>SA,NO</t>
    </r>
  </si>
  <si>
    <r>
      <t>q</t>
    </r>
    <r>
      <rPr>
        <vertAlign val="subscript"/>
        <sz val="12"/>
        <rFont val="Arial"/>
        <family val="2"/>
      </rPr>
      <t>Ac,NO</t>
    </r>
    <r>
      <rPr>
        <sz val="12"/>
        <rFont val="Arial"/>
        <family val="2"/>
      </rPr>
      <t>*Msat</t>
    </r>
    <r>
      <rPr>
        <vertAlign val="subscript"/>
        <sz val="12"/>
        <rFont val="Arial"/>
        <family val="2"/>
      </rPr>
      <t>SA,KAc</t>
    </r>
    <r>
      <rPr>
        <sz val="12"/>
        <rFont val="Arial"/>
        <family val="2"/>
      </rPr>
      <t>*Minh</t>
    </r>
    <r>
      <rPr>
        <vertAlign val="subscript"/>
        <sz val="12"/>
        <rFont val="Arial"/>
        <family val="2"/>
      </rPr>
      <t>SO,KO,PAO</t>
    </r>
    <r>
      <rPr>
        <sz val="12"/>
        <rFont val="Arial"/>
        <family val="2"/>
      </rPr>
      <t>*Msat</t>
    </r>
    <r>
      <rPr>
        <vertAlign val="subscript"/>
        <sz val="12"/>
        <rFont val="Arial"/>
        <family val="2"/>
      </rPr>
      <t>SNO,KNO,PAO</t>
    </r>
    <r>
      <rPr>
        <sz val="12"/>
        <rFont val="Arial"/>
        <family val="2"/>
      </rPr>
      <t>*Msat</t>
    </r>
    <r>
      <rPr>
        <vertAlign val="subscript"/>
        <sz val="12"/>
        <rFont val="Arial"/>
        <family val="2"/>
      </rPr>
      <t>XPP,KPP</t>
    </r>
    <r>
      <rPr>
        <sz val="12"/>
        <rFont val="Arial"/>
        <family val="2"/>
      </rPr>
      <t>*</t>
    </r>
    <r>
      <rPr>
        <i/>
        <sz val="12"/>
        <rFont val="Arial"/>
        <family val="2"/>
      </rPr>
      <t>X</t>
    </r>
    <r>
      <rPr>
        <vertAlign val="subscript"/>
        <sz val="12"/>
        <rFont val="Arial"/>
        <family val="2"/>
      </rPr>
      <t>PAO</t>
    </r>
  </si>
  <si>
    <r>
      <t>S</t>
    </r>
    <r>
      <rPr>
        <b/>
        <vertAlign val="subscript"/>
        <sz val="12"/>
        <rFont val="Arial"/>
        <family val="2"/>
      </rPr>
      <t>O</t>
    </r>
  </si>
  <si>
    <r>
      <t>S</t>
    </r>
    <r>
      <rPr>
        <vertAlign val="subscript"/>
        <sz val="11"/>
        <rFont val="Calibri"/>
        <family val="2"/>
        <scheme val="minor"/>
      </rPr>
      <t>O</t>
    </r>
  </si>
  <si>
    <r>
      <t>-(v4_S</t>
    </r>
    <r>
      <rPr>
        <vertAlign val="subscript"/>
        <sz val="11"/>
        <rFont val="Calibri"/>
        <family val="2"/>
      </rPr>
      <t>O</t>
    </r>
    <r>
      <rPr>
        <sz val="11"/>
        <rFont val="Calibri"/>
        <family val="2"/>
      </rPr>
      <t>*r4+v5_S</t>
    </r>
    <r>
      <rPr>
        <vertAlign val="subscript"/>
        <sz val="11"/>
        <rFont val="Calibri"/>
        <family val="2"/>
      </rPr>
      <t>O</t>
    </r>
    <r>
      <rPr>
        <sz val="11"/>
        <rFont val="Calibri"/>
        <family val="2"/>
      </rPr>
      <t>*r5+v17_S</t>
    </r>
    <r>
      <rPr>
        <vertAlign val="subscript"/>
        <sz val="11"/>
        <rFont val="Calibri"/>
        <family val="2"/>
      </rPr>
      <t>O</t>
    </r>
    <r>
      <rPr>
        <sz val="11"/>
        <rFont val="Calibri"/>
        <family val="2"/>
      </rPr>
      <t>*r17+v18_S</t>
    </r>
    <r>
      <rPr>
        <vertAlign val="subscript"/>
        <sz val="11"/>
        <rFont val="Calibri"/>
        <family val="2"/>
      </rPr>
      <t>O</t>
    </r>
    <r>
      <rPr>
        <sz val="11"/>
        <rFont val="Calibri"/>
        <family val="2"/>
      </rPr>
      <t>*r18+v19_S</t>
    </r>
    <r>
      <rPr>
        <vertAlign val="subscript"/>
        <sz val="11"/>
        <rFont val="Calibri"/>
        <family val="2"/>
      </rPr>
      <t>O</t>
    </r>
    <r>
      <rPr>
        <sz val="11"/>
        <rFont val="Calibri"/>
        <family val="2"/>
      </rPr>
      <t>*r19+v20_S</t>
    </r>
    <r>
      <rPr>
        <vertAlign val="subscript"/>
        <sz val="11"/>
        <rFont val="Calibri"/>
        <family val="2"/>
      </rPr>
      <t>O</t>
    </r>
    <r>
      <rPr>
        <sz val="11"/>
        <rFont val="Calibri"/>
        <family val="2"/>
      </rPr>
      <t>*r20+v21_S</t>
    </r>
    <r>
      <rPr>
        <vertAlign val="subscript"/>
        <sz val="11"/>
        <rFont val="Calibri"/>
        <family val="2"/>
      </rPr>
      <t>O</t>
    </r>
    <r>
      <rPr>
        <sz val="11"/>
        <rFont val="Calibri"/>
        <family val="2"/>
      </rPr>
      <t>*r21)</t>
    </r>
  </si>
  <si>
    <r>
      <t>S</t>
    </r>
    <r>
      <rPr>
        <vertAlign val="subscript"/>
        <sz val="11"/>
        <rFont val="Calibri"/>
        <family val="2"/>
      </rPr>
      <t>O</t>
    </r>
    <r>
      <rPr>
        <sz val="11"/>
        <rFont val="Calibri"/>
        <family val="2"/>
      </rPr>
      <t>/(K</t>
    </r>
    <r>
      <rPr>
        <vertAlign val="subscript"/>
        <sz val="11"/>
        <rFont val="Calibri"/>
        <family val="2"/>
      </rPr>
      <t>O,H</t>
    </r>
    <r>
      <rPr>
        <sz val="11"/>
        <rFont val="Calibri"/>
        <family val="2"/>
      </rPr>
      <t>+S</t>
    </r>
    <r>
      <rPr>
        <vertAlign val="subscript"/>
        <sz val="11"/>
        <rFont val="Calibri"/>
        <family val="2"/>
      </rPr>
      <t>O</t>
    </r>
    <r>
      <rPr>
        <sz val="11"/>
        <rFont val="Calibri"/>
        <family val="2"/>
      </rPr>
      <t>)</t>
    </r>
  </si>
  <si>
    <r>
      <t>S</t>
    </r>
    <r>
      <rPr>
        <vertAlign val="subscript"/>
        <sz val="11"/>
        <rFont val="Calibri"/>
        <family val="2"/>
      </rPr>
      <t>O</t>
    </r>
    <r>
      <rPr>
        <sz val="11"/>
        <rFont val="Calibri"/>
        <family val="2"/>
      </rPr>
      <t>/(K</t>
    </r>
    <r>
      <rPr>
        <vertAlign val="subscript"/>
        <sz val="11"/>
        <rFont val="Calibri"/>
        <family val="2"/>
      </rPr>
      <t>O,PAO</t>
    </r>
    <r>
      <rPr>
        <sz val="11"/>
        <rFont val="Calibri"/>
        <family val="2"/>
      </rPr>
      <t>+S</t>
    </r>
    <r>
      <rPr>
        <vertAlign val="subscript"/>
        <sz val="11"/>
        <rFont val="Calibri"/>
        <family val="2"/>
      </rPr>
      <t>O</t>
    </r>
    <r>
      <rPr>
        <sz val="11"/>
        <rFont val="Calibri"/>
        <family val="2"/>
      </rPr>
      <t>)</t>
    </r>
  </si>
  <si>
    <r>
      <t>S</t>
    </r>
    <r>
      <rPr>
        <vertAlign val="subscript"/>
        <sz val="11"/>
        <rFont val="Calibri"/>
        <family val="2"/>
      </rPr>
      <t>O</t>
    </r>
    <r>
      <rPr>
        <sz val="11"/>
        <rFont val="Calibri"/>
        <family val="2"/>
      </rPr>
      <t>/(K</t>
    </r>
    <r>
      <rPr>
        <vertAlign val="subscript"/>
        <sz val="11"/>
        <rFont val="Calibri"/>
        <family val="2"/>
      </rPr>
      <t>O,A</t>
    </r>
    <r>
      <rPr>
        <sz val="11"/>
        <rFont val="Calibri"/>
        <family val="2"/>
      </rPr>
      <t>+S</t>
    </r>
    <r>
      <rPr>
        <vertAlign val="subscript"/>
        <sz val="11"/>
        <rFont val="Calibri"/>
        <family val="2"/>
      </rPr>
      <t>O</t>
    </r>
    <r>
      <rPr>
        <sz val="11"/>
        <rFont val="Calibri"/>
        <family val="2"/>
      </rPr>
      <t>)</t>
    </r>
  </si>
  <si>
    <r>
      <t>S</t>
    </r>
    <r>
      <rPr>
        <vertAlign val="subscript"/>
        <sz val="11"/>
        <rFont val="Calibri"/>
        <family val="2"/>
      </rPr>
      <t>O</t>
    </r>
    <r>
      <rPr>
        <sz val="11"/>
        <rFont val="Calibri"/>
        <family val="2"/>
      </rPr>
      <t>/(g</t>
    </r>
    <r>
      <rPr>
        <vertAlign val="subscript"/>
        <sz val="11"/>
        <rFont val="Calibri"/>
        <family val="2"/>
      </rPr>
      <t>PP</t>
    </r>
    <r>
      <rPr>
        <sz val="11"/>
        <rFont val="Calibri"/>
        <family val="2"/>
      </rPr>
      <t>*K</t>
    </r>
    <r>
      <rPr>
        <vertAlign val="subscript"/>
        <sz val="11"/>
        <rFont val="Calibri"/>
        <family val="2"/>
      </rPr>
      <t>O,PAO</t>
    </r>
    <r>
      <rPr>
        <sz val="11"/>
        <rFont val="Calibri"/>
        <family val="2"/>
      </rPr>
      <t>+S</t>
    </r>
    <r>
      <rPr>
        <vertAlign val="subscript"/>
        <sz val="11"/>
        <rFont val="Calibri"/>
        <family val="2"/>
      </rPr>
      <t>O</t>
    </r>
    <r>
      <rPr>
        <sz val="11"/>
        <rFont val="Calibri"/>
        <family val="2"/>
      </rPr>
      <t>)</t>
    </r>
  </si>
  <si>
    <r>
      <t>K</t>
    </r>
    <r>
      <rPr>
        <vertAlign val="subscript"/>
        <sz val="11"/>
        <rFont val="Calibri"/>
        <family val="2"/>
      </rPr>
      <t>O,HYD</t>
    </r>
    <r>
      <rPr>
        <sz val="11"/>
        <rFont val="Calibri"/>
        <family val="2"/>
      </rPr>
      <t>/(K</t>
    </r>
    <r>
      <rPr>
        <vertAlign val="subscript"/>
        <sz val="11"/>
        <rFont val="Calibri"/>
        <family val="2"/>
      </rPr>
      <t>O,HYD</t>
    </r>
    <r>
      <rPr>
        <sz val="11"/>
        <rFont val="Calibri"/>
        <family val="2"/>
      </rPr>
      <t>+S</t>
    </r>
    <r>
      <rPr>
        <vertAlign val="subscript"/>
        <sz val="11"/>
        <rFont val="Calibri"/>
        <family val="2"/>
      </rPr>
      <t>O</t>
    </r>
    <r>
      <rPr>
        <sz val="11"/>
        <rFont val="Calibri"/>
        <family val="2"/>
      </rPr>
      <t>)</t>
    </r>
  </si>
  <si>
    <r>
      <t>K</t>
    </r>
    <r>
      <rPr>
        <vertAlign val="subscript"/>
        <sz val="11"/>
        <rFont val="Calibri"/>
        <family val="2"/>
      </rPr>
      <t>O,H</t>
    </r>
    <r>
      <rPr>
        <sz val="11"/>
        <rFont val="Calibri"/>
        <family val="2"/>
      </rPr>
      <t>/(K</t>
    </r>
    <r>
      <rPr>
        <vertAlign val="subscript"/>
        <sz val="11"/>
        <rFont val="Calibri"/>
        <family val="2"/>
      </rPr>
      <t>O,H</t>
    </r>
    <r>
      <rPr>
        <sz val="11"/>
        <rFont val="Calibri"/>
        <family val="2"/>
      </rPr>
      <t>+S</t>
    </r>
    <r>
      <rPr>
        <vertAlign val="subscript"/>
        <sz val="11"/>
        <rFont val="Calibri"/>
        <family val="2"/>
      </rPr>
      <t>O</t>
    </r>
    <r>
      <rPr>
        <sz val="11"/>
        <rFont val="Calibri"/>
        <family val="2"/>
      </rPr>
      <t>)</t>
    </r>
  </si>
  <si>
    <r>
      <t>K</t>
    </r>
    <r>
      <rPr>
        <vertAlign val="subscript"/>
        <sz val="11"/>
        <rFont val="Calibri"/>
        <family val="2"/>
      </rPr>
      <t>O,PAO</t>
    </r>
    <r>
      <rPr>
        <sz val="11"/>
        <rFont val="Calibri"/>
        <family val="2"/>
      </rPr>
      <t>/(K</t>
    </r>
    <r>
      <rPr>
        <vertAlign val="subscript"/>
        <sz val="11"/>
        <rFont val="Calibri"/>
        <family val="2"/>
      </rPr>
      <t>O,PAO</t>
    </r>
    <r>
      <rPr>
        <sz val="11"/>
        <rFont val="Calibri"/>
        <family val="2"/>
      </rPr>
      <t>+S</t>
    </r>
    <r>
      <rPr>
        <vertAlign val="subscript"/>
        <sz val="11"/>
        <rFont val="Calibri"/>
        <family val="2"/>
      </rPr>
      <t>O</t>
    </r>
    <r>
      <rPr>
        <sz val="11"/>
        <rFont val="Calibri"/>
        <family val="2"/>
      </rPr>
      <t>)</t>
    </r>
  </si>
  <si>
    <t>Half-saturation of alkalinity</t>
  </si>
  <si>
    <r>
      <t>i</t>
    </r>
    <r>
      <rPr>
        <vertAlign val="subscript"/>
        <sz val="11"/>
        <rFont val="Calibri"/>
        <family val="2"/>
        <scheme val="minor"/>
      </rPr>
      <t>Charge_SNOx</t>
    </r>
  </si>
  <si>
    <r>
      <t>i</t>
    </r>
    <r>
      <rPr>
        <vertAlign val="subscript"/>
        <sz val="11"/>
        <rFont val="Calibri"/>
        <family val="2"/>
        <scheme val="minor"/>
      </rPr>
      <t>Charge_SNHx</t>
    </r>
  </si>
  <si>
    <r>
      <t>i</t>
    </r>
    <r>
      <rPr>
        <vertAlign val="subscript"/>
        <sz val="11"/>
        <rFont val="Calibri"/>
        <family val="2"/>
        <scheme val="minor"/>
      </rPr>
      <t>Charge_SPO4</t>
    </r>
  </si>
  <si>
    <r>
      <t>v</t>
    </r>
    <r>
      <rPr>
        <vertAlign val="subscript"/>
        <sz val="12"/>
        <rFont val="Arial"/>
        <family val="2"/>
      </rPr>
      <t>1_SNH</t>
    </r>
    <r>
      <rPr>
        <i/>
        <sz val="12"/>
        <rFont val="Arial"/>
        <family val="2"/>
      </rPr>
      <t>*i</t>
    </r>
    <r>
      <rPr>
        <vertAlign val="subscript"/>
        <sz val="12"/>
        <rFont val="Arial"/>
        <family val="2"/>
      </rPr>
      <t>Charge_SNHx</t>
    </r>
    <r>
      <rPr>
        <sz val="12"/>
        <rFont val="Arial"/>
        <family val="2"/>
      </rPr>
      <t>+</t>
    </r>
    <r>
      <rPr>
        <i/>
        <sz val="12"/>
        <rFont val="Arial"/>
        <family val="2"/>
      </rPr>
      <t>v</t>
    </r>
    <r>
      <rPr>
        <vertAlign val="subscript"/>
        <sz val="12"/>
        <rFont val="Arial"/>
        <family val="2"/>
      </rPr>
      <t>1_SPO</t>
    </r>
    <r>
      <rPr>
        <sz val="12"/>
        <rFont val="Arial"/>
        <family val="2"/>
      </rPr>
      <t>*</t>
    </r>
    <r>
      <rPr>
        <i/>
        <sz val="12"/>
        <rFont val="Arial"/>
        <family val="2"/>
      </rPr>
      <t>i</t>
    </r>
    <r>
      <rPr>
        <vertAlign val="subscript"/>
        <sz val="12"/>
        <rFont val="Arial"/>
        <family val="2"/>
      </rPr>
      <t>Charge_SPO4</t>
    </r>
  </si>
  <si>
    <r>
      <t>v</t>
    </r>
    <r>
      <rPr>
        <vertAlign val="subscript"/>
        <sz val="12"/>
        <rFont val="Arial"/>
        <family val="2"/>
      </rPr>
      <t>2_SNH</t>
    </r>
    <r>
      <rPr>
        <i/>
        <sz val="12"/>
        <rFont val="Arial"/>
        <family val="2"/>
      </rPr>
      <t>*i</t>
    </r>
    <r>
      <rPr>
        <vertAlign val="subscript"/>
        <sz val="12"/>
        <rFont val="Arial"/>
        <family val="2"/>
      </rPr>
      <t>Charge_SNHx</t>
    </r>
    <r>
      <rPr>
        <sz val="12"/>
        <rFont val="Arial"/>
        <family val="2"/>
      </rPr>
      <t>+</t>
    </r>
    <r>
      <rPr>
        <i/>
        <sz val="12"/>
        <rFont val="Arial"/>
        <family val="2"/>
      </rPr>
      <t>v</t>
    </r>
    <r>
      <rPr>
        <vertAlign val="subscript"/>
        <sz val="12"/>
        <rFont val="Arial"/>
        <family val="2"/>
      </rPr>
      <t>2_SPO</t>
    </r>
    <r>
      <rPr>
        <sz val="12"/>
        <rFont val="Arial"/>
        <family val="2"/>
      </rPr>
      <t>*</t>
    </r>
    <r>
      <rPr>
        <i/>
        <sz val="12"/>
        <rFont val="Arial"/>
        <family val="2"/>
      </rPr>
      <t>i</t>
    </r>
    <r>
      <rPr>
        <vertAlign val="subscript"/>
        <sz val="12"/>
        <rFont val="Arial"/>
        <family val="2"/>
      </rPr>
      <t>Charge_SPO4</t>
    </r>
  </si>
  <si>
    <r>
      <t>v</t>
    </r>
    <r>
      <rPr>
        <vertAlign val="subscript"/>
        <sz val="12"/>
        <rFont val="Arial"/>
        <family val="2"/>
      </rPr>
      <t>3_SNH</t>
    </r>
    <r>
      <rPr>
        <i/>
        <sz val="12"/>
        <rFont val="Arial"/>
        <family val="2"/>
      </rPr>
      <t>*i</t>
    </r>
    <r>
      <rPr>
        <vertAlign val="subscript"/>
        <sz val="12"/>
        <rFont val="Arial"/>
        <family val="2"/>
      </rPr>
      <t>Charge_SNHx</t>
    </r>
    <r>
      <rPr>
        <sz val="12"/>
        <rFont val="Arial"/>
        <family val="2"/>
      </rPr>
      <t>+</t>
    </r>
    <r>
      <rPr>
        <i/>
        <sz val="12"/>
        <rFont val="Arial"/>
        <family val="2"/>
      </rPr>
      <t>v</t>
    </r>
    <r>
      <rPr>
        <vertAlign val="subscript"/>
        <sz val="12"/>
        <rFont val="Arial"/>
        <family val="2"/>
      </rPr>
      <t>3_SPO</t>
    </r>
    <r>
      <rPr>
        <sz val="12"/>
        <rFont val="Arial"/>
        <family val="2"/>
      </rPr>
      <t>*</t>
    </r>
    <r>
      <rPr>
        <i/>
        <sz val="12"/>
        <rFont val="Arial"/>
        <family val="2"/>
      </rPr>
      <t>i</t>
    </r>
    <r>
      <rPr>
        <vertAlign val="subscript"/>
        <sz val="12"/>
        <rFont val="Arial"/>
        <family val="2"/>
      </rPr>
      <t>Charge_SPO4</t>
    </r>
  </si>
  <si>
    <r>
      <t>v</t>
    </r>
    <r>
      <rPr>
        <vertAlign val="subscript"/>
        <sz val="12"/>
        <rFont val="Arial"/>
        <family val="2"/>
      </rPr>
      <t>4_SNH</t>
    </r>
    <r>
      <rPr>
        <i/>
        <sz val="12"/>
        <rFont val="Arial"/>
        <family val="2"/>
      </rPr>
      <t>*i</t>
    </r>
    <r>
      <rPr>
        <vertAlign val="subscript"/>
        <sz val="12"/>
        <rFont val="Arial"/>
        <family val="2"/>
      </rPr>
      <t>Charge_SNHx</t>
    </r>
    <r>
      <rPr>
        <sz val="12"/>
        <rFont val="Arial"/>
        <family val="2"/>
      </rPr>
      <t>+</t>
    </r>
    <r>
      <rPr>
        <i/>
        <sz val="12"/>
        <rFont val="Arial"/>
        <family val="2"/>
      </rPr>
      <t>v</t>
    </r>
    <r>
      <rPr>
        <vertAlign val="subscript"/>
        <sz val="12"/>
        <rFont val="Arial"/>
        <family val="2"/>
      </rPr>
      <t>4_SPO</t>
    </r>
    <r>
      <rPr>
        <sz val="12"/>
        <rFont val="Arial"/>
        <family val="2"/>
      </rPr>
      <t>*</t>
    </r>
    <r>
      <rPr>
        <i/>
        <sz val="12"/>
        <rFont val="Arial"/>
        <family val="2"/>
      </rPr>
      <t>i</t>
    </r>
    <r>
      <rPr>
        <vertAlign val="subscript"/>
        <sz val="12"/>
        <rFont val="Arial"/>
        <family val="2"/>
      </rPr>
      <t>Charge_SPO4</t>
    </r>
  </si>
  <si>
    <r>
      <t>v</t>
    </r>
    <r>
      <rPr>
        <vertAlign val="subscript"/>
        <sz val="12"/>
        <rFont val="Arial"/>
        <family val="2"/>
      </rPr>
      <t>5_SNH</t>
    </r>
    <r>
      <rPr>
        <i/>
        <sz val="12"/>
        <rFont val="Arial"/>
        <family val="2"/>
      </rPr>
      <t>*i</t>
    </r>
    <r>
      <rPr>
        <vertAlign val="subscript"/>
        <sz val="12"/>
        <rFont val="Arial"/>
        <family val="2"/>
      </rPr>
      <t>Charge_SNHx</t>
    </r>
    <r>
      <rPr>
        <sz val="12"/>
        <rFont val="Arial"/>
        <family val="2"/>
      </rPr>
      <t>+</t>
    </r>
    <r>
      <rPr>
        <i/>
        <sz val="12"/>
        <rFont val="Arial"/>
        <family val="2"/>
      </rPr>
      <t>v</t>
    </r>
    <r>
      <rPr>
        <vertAlign val="subscript"/>
        <sz val="12"/>
        <rFont val="Arial"/>
        <family val="2"/>
      </rPr>
      <t>5_SPO</t>
    </r>
    <r>
      <rPr>
        <sz val="12"/>
        <rFont val="Arial"/>
        <family val="2"/>
      </rPr>
      <t>*</t>
    </r>
    <r>
      <rPr>
        <i/>
        <sz val="12"/>
        <rFont val="Arial"/>
        <family val="2"/>
      </rPr>
      <t>i</t>
    </r>
    <r>
      <rPr>
        <vertAlign val="subscript"/>
        <sz val="12"/>
        <rFont val="Arial"/>
        <family val="2"/>
      </rPr>
      <t>Charge_SPO4</t>
    </r>
    <r>
      <rPr>
        <sz val="12"/>
        <rFont val="Arial"/>
        <family val="2"/>
      </rPr>
      <t>+</t>
    </r>
    <r>
      <rPr>
        <i/>
        <sz val="12"/>
        <rFont val="Arial"/>
        <family val="2"/>
      </rPr>
      <t>v</t>
    </r>
    <r>
      <rPr>
        <vertAlign val="subscript"/>
        <sz val="12"/>
        <rFont val="Arial"/>
        <family val="2"/>
      </rPr>
      <t>5_SA</t>
    </r>
    <r>
      <rPr>
        <sz val="12"/>
        <rFont val="Arial"/>
        <family val="2"/>
      </rPr>
      <t>*</t>
    </r>
    <r>
      <rPr>
        <i/>
        <sz val="12"/>
        <rFont val="Arial"/>
        <family val="2"/>
      </rPr>
      <t>i</t>
    </r>
    <r>
      <rPr>
        <vertAlign val="subscript"/>
        <sz val="12"/>
        <rFont val="Arial"/>
        <family val="2"/>
      </rPr>
      <t>Charge_SVFA</t>
    </r>
  </si>
  <si>
    <r>
      <t>v</t>
    </r>
    <r>
      <rPr>
        <vertAlign val="subscript"/>
        <sz val="12"/>
        <rFont val="Arial"/>
        <family val="2"/>
      </rPr>
      <t>6_SNH</t>
    </r>
    <r>
      <rPr>
        <i/>
        <sz val="12"/>
        <rFont val="Arial"/>
        <family val="2"/>
      </rPr>
      <t>*i</t>
    </r>
    <r>
      <rPr>
        <vertAlign val="subscript"/>
        <sz val="12"/>
        <rFont val="Arial"/>
        <family val="2"/>
      </rPr>
      <t>Charge_SNHx</t>
    </r>
    <r>
      <rPr>
        <i/>
        <sz val="12"/>
        <rFont val="Arial"/>
        <family val="2"/>
      </rPr>
      <t>+v</t>
    </r>
    <r>
      <rPr>
        <vertAlign val="subscript"/>
        <sz val="12"/>
        <rFont val="Arial"/>
        <family val="2"/>
      </rPr>
      <t>6_SPO</t>
    </r>
    <r>
      <rPr>
        <i/>
        <sz val="12"/>
        <rFont val="Arial"/>
        <family val="2"/>
      </rPr>
      <t>*i</t>
    </r>
    <r>
      <rPr>
        <vertAlign val="subscript"/>
        <sz val="12"/>
        <rFont val="Arial"/>
        <family val="2"/>
      </rPr>
      <t>Charge_SPO4</t>
    </r>
    <r>
      <rPr>
        <i/>
        <sz val="12"/>
        <rFont val="Arial"/>
        <family val="2"/>
      </rPr>
      <t>+v</t>
    </r>
    <r>
      <rPr>
        <vertAlign val="subscript"/>
        <sz val="12"/>
        <rFont val="Arial"/>
        <family val="2"/>
      </rPr>
      <t>6_SNO</t>
    </r>
    <r>
      <rPr>
        <i/>
        <sz val="12"/>
        <rFont val="Arial"/>
        <family val="2"/>
      </rPr>
      <t>*i</t>
    </r>
    <r>
      <rPr>
        <vertAlign val="subscript"/>
        <sz val="12"/>
        <rFont val="Arial"/>
        <family val="2"/>
      </rPr>
      <t>Charge_SNOx</t>
    </r>
  </si>
  <si>
    <r>
      <t>v</t>
    </r>
    <r>
      <rPr>
        <vertAlign val="subscript"/>
        <sz val="12"/>
        <rFont val="Arial"/>
        <family val="2"/>
      </rPr>
      <t>7_SNH</t>
    </r>
    <r>
      <rPr>
        <i/>
        <sz val="12"/>
        <rFont val="Arial"/>
        <family val="2"/>
      </rPr>
      <t>*i</t>
    </r>
    <r>
      <rPr>
        <vertAlign val="subscript"/>
        <sz val="12"/>
        <rFont val="Arial"/>
        <family val="2"/>
      </rPr>
      <t>Charge_SNHx</t>
    </r>
    <r>
      <rPr>
        <i/>
        <sz val="12"/>
        <rFont val="Arial"/>
        <family val="2"/>
      </rPr>
      <t>+v</t>
    </r>
    <r>
      <rPr>
        <vertAlign val="subscript"/>
        <sz val="12"/>
        <rFont val="Arial"/>
        <family val="2"/>
      </rPr>
      <t>7_SPO</t>
    </r>
    <r>
      <rPr>
        <i/>
        <sz val="12"/>
        <rFont val="Arial"/>
        <family val="2"/>
      </rPr>
      <t>*i</t>
    </r>
    <r>
      <rPr>
        <vertAlign val="subscript"/>
        <sz val="12"/>
        <rFont val="Arial"/>
        <family val="2"/>
      </rPr>
      <t>Charge_SPO4</t>
    </r>
    <r>
      <rPr>
        <i/>
        <sz val="12"/>
        <rFont val="Arial"/>
        <family val="2"/>
      </rPr>
      <t>+v</t>
    </r>
    <r>
      <rPr>
        <vertAlign val="subscript"/>
        <sz val="12"/>
        <rFont val="Arial"/>
        <family val="2"/>
      </rPr>
      <t>7_SNO</t>
    </r>
    <r>
      <rPr>
        <i/>
        <sz val="12"/>
        <rFont val="Arial"/>
        <family val="2"/>
      </rPr>
      <t>*i</t>
    </r>
    <r>
      <rPr>
        <vertAlign val="subscript"/>
        <sz val="12"/>
        <rFont val="Arial"/>
        <family val="2"/>
      </rPr>
      <t>Charge_SNOx</t>
    </r>
    <r>
      <rPr>
        <i/>
        <sz val="12"/>
        <rFont val="Arial"/>
        <family val="2"/>
      </rPr>
      <t>+v</t>
    </r>
    <r>
      <rPr>
        <vertAlign val="subscript"/>
        <sz val="12"/>
        <rFont val="Arial"/>
        <family val="2"/>
      </rPr>
      <t>7_SA</t>
    </r>
    <r>
      <rPr>
        <i/>
        <sz val="12"/>
        <rFont val="Arial"/>
        <family val="2"/>
      </rPr>
      <t>*i</t>
    </r>
    <r>
      <rPr>
        <vertAlign val="subscript"/>
        <sz val="12"/>
        <rFont val="Arial"/>
        <family val="2"/>
      </rPr>
      <t>Charge_SVFA</t>
    </r>
  </si>
  <si>
    <r>
      <t>v</t>
    </r>
    <r>
      <rPr>
        <vertAlign val="subscript"/>
        <sz val="12"/>
        <rFont val="Arial"/>
        <family val="2"/>
      </rPr>
      <t>8_SNH</t>
    </r>
    <r>
      <rPr>
        <i/>
        <sz val="12"/>
        <rFont val="Arial"/>
        <family val="2"/>
      </rPr>
      <t>*i</t>
    </r>
    <r>
      <rPr>
        <vertAlign val="subscript"/>
        <sz val="12"/>
        <rFont val="Arial"/>
        <family val="2"/>
      </rPr>
      <t>Charge_SNHx</t>
    </r>
    <r>
      <rPr>
        <sz val="12"/>
        <rFont val="Arial"/>
        <family val="2"/>
      </rPr>
      <t>+</t>
    </r>
    <r>
      <rPr>
        <i/>
        <sz val="12"/>
        <rFont val="Arial"/>
        <family val="2"/>
      </rPr>
      <t>v</t>
    </r>
    <r>
      <rPr>
        <vertAlign val="subscript"/>
        <sz val="12"/>
        <rFont val="Arial"/>
        <family val="2"/>
      </rPr>
      <t>8_SPO</t>
    </r>
    <r>
      <rPr>
        <sz val="12"/>
        <rFont val="Arial"/>
        <family val="2"/>
      </rPr>
      <t>*</t>
    </r>
    <r>
      <rPr>
        <i/>
        <sz val="12"/>
        <rFont val="Arial"/>
        <family val="2"/>
      </rPr>
      <t>i</t>
    </r>
    <r>
      <rPr>
        <vertAlign val="subscript"/>
        <sz val="12"/>
        <rFont val="Arial"/>
        <family val="2"/>
      </rPr>
      <t>Charge_SPO4</t>
    </r>
    <r>
      <rPr>
        <sz val="12"/>
        <rFont val="Arial"/>
        <family val="2"/>
      </rPr>
      <t>+</t>
    </r>
    <r>
      <rPr>
        <i/>
        <sz val="12"/>
        <rFont val="Arial"/>
        <family val="2"/>
      </rPr>
      <t>i</t>
    </r>
    <r>
      <rPr>
        <vertAlign val="subscript"/>
        <sz val="12"/>
        <rFont val="Arial"/>
        <family val="2"/>
      </rPr>
      <t>Charge_SVFA</t>
    </r>
  </si>
  <si>
    <r>
      <t>v</t>
    </r>
    <r>
      <rPr>
        <vertAlign val="subscript"/>
        <sz val="12"/>
        <rFont val="Arial"/>
        <family val="2"/>
      </rPr>
      <t>9_SNH</t>
    </r>
    <r>
      <rPr>
        <i/>
        <sz val="12"/>
        <rFont val="Arial"/>
        <family val="2"/>
      </rPr>
      <t>*i</t>
    </r>
    <r>
      <rPr>
        <vertAlign val="subscript"/>
        <sz val="12"/>
        <rFont val="Arial"/>
        <family val="2"/>
      </rPr>
      <t>Charge_SNHx</t>
    </r>
    <r>
      <rPr>
        <sz val="12"/>
        <rFont val="Arial"/>
        <family val="2"/>
      </rPr>
      <t>+</t>
    </r>
    <r>
      <rPr>
        <i/>
        <sz val="12"/>
        <rFont val="Arial"/>
        <family val="2"/>
      </rPr>
      <t>v</t>
    </r>
    <r>
      <rPr>
        <vertAlign val="subscript"/>
        <sz val="12"/>
        <rFont val="Arial"/>
        <family val="2"/>
      </rPr>
      <t>9_SPO</t>
    </r>
    <r>
      <rPr>
        <sz val="12"/>
        <rFont val="Arial"/>
        <family val="2"/>
      </rPr>
      <t>*</t>
    </r>
    <r>
      <rPr>
        <i/>
        <sz val="12"/>
        <rFont val="Arial"/>
        <family val="2"/>
      </rPr>
      <t>i</t>
    </r>
    <r>
      <rPr>
        <vertAlign val="subscript"/>
        <sz val="12"/>
        <rFont val="Arial"/>
        <family val="2"/>
      </rPr>
      <t>Charge_SPO4</t>
    </r>
  </si>
  <si>
    <r>
      <t>v</t>
    </r>
    <r>
      <rPr>
        <vertAlign val="subscript"/>
        <sz val="12"/>
        <rFont val="Arial"/>
        <family val="2"/>
      </rPr>
      <t>10_SPO</t>
    </r>
    <r>
      <rPr>
        <i/>
        <sz val="12"/>
        <rFont val="Arial"/>
        <family val="2"/>
      </rPr>
      <t>*i</t>
    </r>
    <r>
      <rPr>
        <vertAlign val="subscript"/>
        <sz val="12"/>
        <rFont val="Arial"/>
        <family val="2"/>
      </rPr>
      <t>Charge_SPO4</t>
    </r>
    <r>
      <rPr>
        <sz val="12"/>
        <rFont val="Arial"/>
        <family val="2"/>
      </rPr>
      <t>-</t>
    </r>
    <r>
      <rPr>
        <i/>
        <sz val="12"/>
        <rFont val="Arial"/>
        <family val="2"/>
      </rPr>
      <t>i</t>
    </r>
    <r>
      <rPr>
        <vertAlign val="subscript"/>
        <sz val="12"/>
        <rFont val="Arial"/>
        <family val="2"/>
      </rPr>
      <t>Charge_SVFA</t>
    </r>
    <r>
      <rPr>
        <sz val="12"/>
        <rFont val="Arial"/>
        <family val="2"/>
      </rPr>
      <t>+</t>
    </r>
    <r>
      <rPr>
        <i/>
        <sz val="12"/>
        <rFont val="Arial"/>
        <family val="2"/>
      </rPr>
      <t>v</t>
    </r>
    <r>
      <rPr>
        <vertAlign val="subscript"/>
        <sz val="12"/>
        <rFont val="Arial"/>
        <family val="2"/>
      </rPr>
      <t>10_XPP</t>
    </r>
    <r>
      <rPr>
        <sz val="12"/>
        <rFont val="Arial"/>
        <family val="2"/>
      </rPr>
      <t>*</t>
    </r>
    <r>
      <rPr>
        <i/>
        <sz val="12"/>
        <rFont val="Arial"/>
        <family val="2"/>
      </rPr>
      <t>i</t>
    </r>
    <r>
      <rPr>
        <vertAlign val="subscript"/>
        <sz val="12"/>
        <rFont val="Arial"/>
        <family val="2"/>
      </rPr>
      <t>Charge_XPAO,PP</t>
    </r>
  </si>
  <si>
    <r>
      <t>i</t>
    </r>
    <r>
      <rPr>
        <vertAlign val="subscript"/>
        <sz val="12"/>
        <rFont val="Arial"/>
        <family val="2"/>
      </rPr>
      <t>Charge_SPO4</t>
    </r>
    <r>
      <rPr>
        <i/>
        <sz val="12"/>
        <rFont val="Arial"/>
        <family val="2"/>
      </rPr>
      <t>-i</t>
    </r>
    <r>
      <rPr>
        <vertAlign val="subscript"/>
        <sz val="12"/>
        <rFont val="Arial"/>
        <family val="2"/>
      </rPr>
      <t>Charge_XPAO,PP</t>
    </r>
  </si>
  <si>
    <r>
      <t>v</t>
    </r>
    <r>
      <rPr>
        <vertAlign val="subscript"/>
        <sz val="12"/>
        <rFont val="Arial"/>
        <family val="2"/>
      </rPr>
      <t>12_SPO</t>
    </r>
    <r>
      <rPr>
        <i/>
        <sz val="12"/>
        <rFont val="Arial"/>
        <family val="2"/>
      </rPr>
      <t>*i</t>
    </r>
    <r>
      <rPr>
        <vertAlign val="subscript"/>
        <sz val="12"/>
        <rFont val="Arial"/>
        <family val="2"/>
      </rPr>
      <t>Charge_SPO4</t>
    </r>
    <r>
      <rPr>
        <i/>
        <sz val="12"/>
        <rFont val="Arial"/>
        <family val="2"/>
      </rPr>
      <t>-i</t>
    </r>
    <r>
      <rPr>
        <vertAlign val="subscript"/>
        <sz val="12"/>
        <rFont val="Arial"/>
        <family val="2"/>
      </rPr>
      <t>Charge_SVFA</t>
    </r>
    <r>
      <rPr>
        <i/>
        <sz val="12"/>
        <rFont val="Arial"/>
        <family val="2"/>
      </rPr>
      <t>+v</t>
    </r>
    <r>
      <rPr>
        <vertAlign val="subscript"/>
        <sz val="12"/>
        <rFont val="Arial"/>
        <family val="2"/>
      </rPr>
      <t>12_XPP</t>
    </r>
    <r>
      <rPr>
        <i/>
        <sz val="12"/>
        <rFont val="Arial"/>
        <family val="2"/>
      </rPr>
      <t>*i</t>
    </r>
    <r>
      <rPr>
        <vertAlign val="subscript"/>
        <sz val="12"/>
        <rFont val="Arial"/>
        <family val="2"/>
      </rPr>
      <t>Charge_XPAO,PP</t>
    </r>
    <r>
      <rPr>
        <i/>
        <sz val="12"/>
        <rFont val="Arial"/>
        <family val="2"/>
      </rPr>
      <t>+v</t>
    </r>
    <r>
      <rPr>
        <vertAlign val="subscript"/>
        <sz val="12"/>
        <rFont val="Arial"/>
        <family val="2"/>
      </rPr>
      <t>12_SNO</t>
    </r>
    <r>
      <rPr>
        <i/>
        <sz val="12"/>
        <rFont val="Arial"/>
        <family val="2"/>
      </rPr>
      <t>*i</t>
    </r>
    <r>
      <rPr>
        <vertAlign val="subscript"/>
        <sz val="12"/>
        <rFont val="Arial"/>
        <family val="2"/>
      </rPr>
      <t>Charge_SNOx</t>
    </r>
  </si>
  <si>
    <r>
      <t>v</t>
    </r>
    <r>
      <rPr>
        <vertAlign val="subscript"/>
        <sz val="12"/>
        <rFont val="Arial"/>
        <family val="2"/>
      </rPr>
      <t>13_SNH</t>
    </r>
    <r>
      <rPr>
        <i/>
        <sz val="12"/>
        <rFont val="Arial"/>
        <family val="2"/>
      </rPr>
      <t>*i</t>
    </r>
    <r>
      <rPr>
        <vertAlign val="subscript"/>
        <sz val="12"/>
        <rFont val="Arial"/>
        <family val="2"/>
      </rPr>
      <t>Charge_SNHx</t>
    </r>
    <r>
      <rPr>
        <i/>
        <sz val="12"/>
        <rFont val="Arial"/>
        <family val="2"/>
      </rPr>
      <t>+v</t>
    </r>
    <r>
      <rPr>
        <vertAlign val="subscript"/>
        <sz val="12"/>
        <rFont val="Arial"/>
        <family val="2"/>
      </rPr>
      <t>13_SPO</t>
    </r>
    <r>
      <rPr>
        <i/>
        <sz val="12"/>
        <rFont val="Arial"/>
        <family val="2"/>
      </rPr>
      <t>*i</t>
    </r>
    <r>
      <rPr>
        <vertAlign val="subscript"/>
        <sz val="12"/>
        <rFont val="Arial"/>
        <family val="2"/>
      </rPr>
      <t>Charge_SPO4</t>
    </r>
    <r>
      <rPr>
        <i/>
        <sz val="12"/>
        <rFont val="Arial"/>
        <family val="2"/>
      </rPr>
      <t>+v</t>
    </r>
    <r>
      <rPr>
        <vertAlign val="subscript"/>
        <sz val="12"/>
        <rFont val="Arial"/>
        <family val="2"/>
      </rPr>
      <t>13_SNO</t>
    </r>
    <r>
      <rPr>
        <i/>
        <sz val="12"/>
        <rFont val="Arial"/>
        <family val="2"/>
      </rPr>
      <t>*i</t>
    </r>
    <r>
      <rPr>
        <vertAlign val="subscript"/>
        <sz val="12"/>
        <rFont val="Arial"/>
        <family val="2"/>
      </rPr>
      <t>Charge_SNOx</t>
    </r>
  </si>
  <si>
    <r>
      <t>v</t>
    </r>
    <r>
      <rPr>
        <vertAlign val="subscript"/>
        <sz val="12"/>
        <rFont val="Arial"/>
        <family val="2"/>
      </rPr>
      <t>14_SNH</t>
    </r>
    <r>
      <rPr>
        <i/>
        <sz val="12"/>
        <rFont val="Arial"/>
        <family val="2"/>
      </rPr>
      <t>*i</t>
    </r>
    <r>
      <rPr>
        <vertAlign val="subscript"/>
        <sz val="12"/>
        <rFont val="Arial"/>
        <family val="2"/>
      </rPr>
      <t>Charge_SNHx</t>
    </r>
    <r>
      <rPr>
        <i/>
        <sz val="12"/>
        <rFont val="Arial"/>
        <family val="2"/>
      </rPr>
      <t>+v</t>
    </r>
    <r>
      <rPr>
        <vertAlign val="subscript"/>
        <sz val="12"/>
        <rFont val="Arial"/>
        <family val="2"/>
      </rPr>
      <t>14_SPO</t>
    </r>
    <r>
      <rPr>
        <i/>
        <sz val="12"/>
        <rFont val="Arial"/>
        <family val="2"/>
      </rPr>
      <t>*i</t>
    </r>
    <r>
      <rPr>
        <vertAlign val="subscript"/>
        <sz val="12"/>
        <rFont val="Arial"/>
        <family val="2"/>
      </rPr>
      <t>Charge_SPO4</t>
    </r>
    <r>
      <rPr>
        <i/>
        <sz val="12"/>
        <rFont val="Arial"/>
        <family val="2"/>
      </rPr>
      <t>+v</t>
    </r>
    <r>
      <rPr>
        <vertAlign val="subscript"/>
        <sz val="12"/>
        <rFont val="Arial"/>
        <family val="2"/>
      </rPr>
      <t>14_SNO</t>
    </r>
    <r>
      <rPr>
        <i/>
        <sz val="12"/>
        <rFont val="Arial"/>
        <family val="2"/>
      </rPr>
      <t>*i</t>
    </r>
    <r>
      <rPr>
        <vertAlign val="subscript"/>
        <sz val="12"/>
        <rFont val="Arial"/>
        <family val="2"/>
      </rPr>
      <t>Charge_SNOx</t>
    </r>
    <r>
      <rPr>
        <i/>
        <sz val="12"/>
        <rFont val="Arial"/>
        <family val="2"/>
      </rPr>
      <t>+i</t>
    </r>
    <r>
      <rPr>
        <vertAlign val="subscript"/>
        <sz val="12"/>
        <rFont val="Arial"/>
        <family val="2"/>
      </rPr>
      <t>Charge_XPAO,PP</t>
    </r>
  </si>
  <si>
    <r>
      <t>v</t>
    </r>
    <r>
      <rPr>
        <vertAlign val="subscript"/>
        <sz val="12"/>
        <rFont val="Arial"/>
        <family val="2"/>
      </rPr>
      <t>15_SNH</t>
    </r>
    <r>
      <rPr>
        <i/>
        <sz val="12"/>
        <rFont val="Arial"/>
        <family val="2"/>
      </rPr>
      <t>*i</t>
    </r>
    <r>
      <rPr>
        <vertAlign val="subscript"/>
        <sz val="12"/>
        <rFont val="Arial"/>
        <family val="2"/>
      </rPr>
      <t>Charge_SNHx</t>
    </r>
    <r>
      <rPr>
        <i/>
        <sz val="12"/>
        <rFont val="Arial"/>
        <family val="2"/>
      </rPr>
      <t>+v</t>
    </r>
    <r>
      <rPr>
        <vertAlign val="subscript"/>
        <sz val="12"/>
        <rFont val="Arial"/>
        <family val="2"/>
      </rPr>
      <t>15_SPO</t>
    </r>
    <r>
      <rPr>
        <i/>
        <sz val="12"/>
        <rFont val="Arial"/>
        <family val="2"/>
      </rPr>
      <t>*i</t>
    </r>
    <r>
      <rPr>
        <vertAlign val="subscript"/>
        <sz val="12"/>
        <rFont val="Arial"/>
        <family val="2"/>
      </rPr>
      <t>Charge_SPO4</t>
    </r>
    <r>
      <rPr>
        <i/>
        <sz val="12"/>
        <rFont val="Arial"/>
        <family val="2"/>
      </rPr>
      <t>+v</t>
    </r>
    <r>
      <rPr>
        <vertAlign val="subscript"/>
        <sz val="12"/>
        <rFont val="Arial"/>
        <family val="2"/>
      </rPr>
      <t>15_SNO</t>
    </r>
    <r>
      <rPr>
        <i/>
        <sz val="12"/>
        <rFont val="Arial"/>
        <family val="2"/>
      </rPr>
      <t>*i</t>
    </r>
    <r>
      <rPr>
        <vertAlign val="subscript"/>
        <sz val="12"/>
        <rFont val="Arial"/>
        <family val="2"/>
      </rPr>
      <t>Charge_SNOx</t>
    </r>
  </si>
  <si>
    <r>
      <t>v</t>
    </r>
    <r>
      <rPr>
        <vertAlign val="subscript"/>
        <sz val="12"/>
        <rFont val="Arial"/>
        <family val="2"/>
      </rPr>
      <t>16_SNH</t>
    </r>
    <r>
      <rPr>
        <i/>
        <sz val="12"/>
        <rFont val="Arial"/>
        <family val="2"/>
      </rPr>
      <t>*i</t>
    </r>
    <r>
      <rPr>
        <vertAlign val="subscript"/>
        <sz val="12"/>
        <rFont val="Arial"/>
        <family val="2"/>
      </rPr>
      <t>Charge_SNHx</t>
    </r>
    <r>
      <rPr>
        <i/>
        <sz val="12"/>
        <rFont val="Arial"/>
        <family val="2"/>
      </rPr>
      <t>+v</t>
    </r>
    <r>
      <rPr>
        <vertAlign val="subscript"/>
        <sz val="12"/>
        <rFont val="Arial"/>
        <family val="2"/>
      </rPr>
      <t>16_SPO</t>
    </r>
    <r>
      <rPr>
        <i/>
        <sz val="12"/>
        <rFont val="Arial"/>
        <family val="2"/>
      </rPr>
      <t>*i</t>
    </r>
    <r>
      <rPr>
        <vertAlign val="subscript"/>
        <sz val="12"/>
        <rFont val="Arial"/>
        <family val="2"/>
      </rPr>
      <t>Charge_SPO4</t>
    </r>
    <r>
      <rPr>
        <i/>
        <sz val="12"/>
        <rFont val="Arial"/>
        <family val="2"/>
      </rPr>
      <t>+v</t>
    </r>
    <r>
      <rPr>
        <vertAlign val="subscript"/>
        <sz val="12"/>
        <rFont val="Arial"/>
        <family val="2"/>
      </rPr>
      <t>16_SNO</t>
    </r>
    <r>
      <rPr>
        <i/>
        <sz val="12"/>
        <rFont val="Arial"/>
        <family val="2"/>
      </rPr>
      <t>*i</t>
    </r>
    <r>
      <rPr>
        <vertAlign val="subscript"/>
        <sz val="12"/>
        <rFont val="Arial"/>
        <family val="2"/>
      </rPr>
      <t>Charge_SNOx</t>
    </r>
  </si>
  <si>
    <r>
      <t>v</t>
    </r>
    <r>
      <rPr>
        <vertAlign val="subscript"/>
        <sz val="12"/>
        <rFont val="Arial"/>
        <family val="2"/>
      </rPr>
      <t>17_SNH</t>
    </r>
    <r>
      <rPr>
        <i/>
        <sz val="12"/>
        <rFont val="Arial"/>
        <family val="2"/>
      </rPr>
      <t>*i</t>
    </r>
    <r>
      <rPr>
        <vertAlign val="subscript"/>
        <sz val="12"/>
        <rFont val="Arial"/>
        <family val="2"/>
      </rPr>
      <t>Charge_SNHx</t>
    </r>
    <r>
      <rPr>
        <sz val="12"/>
        <rFont val="Arial"/>
        <family val="2"/>
      </rPr>
      <t>+</t>
    </r>
    <r>
      <rPr>
        <i/>
        <sz val="12"/>
        <rFont val="Arial"/>
        <family val="2"/>
      </rPr>
      <t>v</t>
    </r>
    <r>
      <rPr>
        <vertAlign val="subscript"/>
        <sz val="12"/>
        <rFont val="Arial"/>
        <family val="2"/>
      </rPr>
      <t>17_SPO</t>
    </r>
    <r>
      <rPr>
        <sz val="12"/>
        <rFont val="Arial"/>
        <family val="2"/>
      </rPr>
      <t>*</t>
    </r>
    <r>
      <rPr>
        <i/>
        <sz val="12"/>
        <rFont val="Arial"/>
        <family val="2"/>
      </rPr>
      <t>i</t>
    </r>
    <r>
      <rPr>
        <vertAlign val="subscript"/>
        <sz val="12"/>
        <rFont val="Arial"/>
        <family val="2"/>
      </rPr>
      <t>Charge_SPO4</t>
    </r>
  </si>
  <si>
    <r>
      <t>v</t>
    </r>
    <r>
      <rPr>
        <vertAlign val="subscript"/>
        <sz val="12"/>
        <rFont val="Arial"/>
        <family val="2"/>
      </rPr>
      <t>18_SNH</t>
    </r>
    <r>
      <rPr>
        <i/>
        <sz val="12"/>
        <rFont val="Arial"/>
        <family val="2"/>
      </rPr>
      <t>*i</t>
    </r>
    <r>
      <rPr>
        <vertAlign val="subscript"/>
        <sz val="12"/>
        <rFont val="Arial"/>
        <family val="2"/>
      </rPr>
      <t>Charge_SNHx</t>
    </r>
    <r>
      <rPr>
        <sz val="12"/>
        <rFont val="Arial"/>
        <family val="2"/>
      </rPr>
      <t>+</t>
    </r>
    <r>
      <rPr>
        <i/>
        <sz val="12"/>
        <rFont val="Arial"/>
        <family val="2"/>
      </rPr>
      <t>v</t>
    </r>
    <r>
      <rPr>
        <vertAlign val="subscript"/>
        <sz val="12"/>
        <rFont val="Arial"/>
        <family val="2"/>
      </rPr>
      <t>18_SPO</t>
    </r>
    <r>
      <rPr>
        <sz val="12"/>
        <rFont val="Arial"/>
        <family val="2"/>
      </rPr>
      <t>*</t>
    </r>
    <r>
      <rPr>
        <i/>
        <sz val="12"/>
        <rFont val="Arial"/>
        <family val="2"/>
      </rPr>
      <t>i</t>
    </r>
    <r>
      <rPr>
        <vertAlign val="subscript"/>
        <sz val="12"/>
        <rFont val="Arial"/>
        <family val="2"/>
      </rPr>
      <t>Charge_SPO4</t>
    </r>
    <r>
      <rPr>
        <sz val="12"/>
        <rFont val="Arial"/>
        <family val="2"/>
      </rPr>
      <t>+</t>
    </r>
    <r>
      <rPr>
        <i/>
        <sz val="12"/>
        <rFont val="Arial"/>
        <family val="2"/>
      </rPr>
      <t>i</t>
    </r>
    <r>
      <rPr>
        <vertAlign val="subscript"/>
        <sz val="12"/>
        <rFont val="Arial"/>
        <family val="2"/>
      </rPr>
      <t>Charge_XPAO,PP</t>
    </r>
  </si>
  <si>
    <r>
      <t>v</t>
    </r>
    <r>
      <rPr>
        <vertAlign val="subscript"/>
        <sz val="12"/>
        <rFont val="Arial"/>
        <family val="2"/>
      </rPr>
      <t>19_SNH</t>
    </r>
    <r>
      <rPr>
        <i/>
        <sz val="12"/>
        <rFont val="Arial"/>
        <family val="2"/>
      </rPr>
      <t>*i</t>
    </r>
    <r>
      <rPr>
        <vertAlign val="subscript"/>
        <sz val="12"/>
        <rFont val="Arial"/>
        <family val="2"/>
      </rPr>
      <t>Charge_SNHx</t>
    </r>
    <r>
      <rPr>
        <sz val="12"/>
        <rFont val="Arial"/>
        <family val="2"/>
      </rPr>
      <t>+</t>
    </r>
    <r>
      <rPr>
        <i/>
        <sz val="12"/>
        <rFont val="Arial"/>
        <family val="2"/>
      </rPr>
      <t>v</t>
    </r>
    <r>
      <rPr>
        <vertAlign val="subscript"/>
        <sz val="12"/>
        <rFont val="Arial"/>
        <family val="2"/>
      </rPr>
      <t>19_SPO</t>
    </r>
    <r>
      <rPr>
        <sz val="12"/>
        <rFont val="Arial"/>
        <family val="2"/>
      </rPr>
      <t>*</t>
    </r>
    <r>
      <rPr>
        <i/>
        <sz val="12"/>
        <rFont val="Arial"/>
        <family val="2"/>
      </rPr>
      <t>i</t>
    </r>
    <r>
      <rPr>
        <vertAlign val="subscript"/>
        <sz val="12"/>
        <rFont val="Arial"/>
        <family val="2"/>
      </rPr>
      <t>Charge_SPO4</t>
    </r>
  </si>
  <si>
    <r>
      <t>v</t>
    </r>
    <r>
      <rPr>
        <vertAlign val="subscript"/>
        <sz val="12"/>
        <rFont val="Arial"/>
        <family val="2"/>
      </rPr>
      <t>20_SNH</t>
    </r>
    <r>
      <rPr>
        <i/>
        <sz val="12"/>
        <rFont val="Arial"/>
        <family val="2"/>
      </rPr>
      <t>*i</t>
    </r>
    <r>
      <rPr>
        <vertAlign val="subscript"/>
        <sz val="12"/>
        <rFont val="Arial"/>
        <family val="2"/>
      </rPr>
      <t>Charge_SNHx</t>
    </r>
    <r>
      <rPr>
        <sz val="12"/>
        <rFont val="Arial"/>
        <family val="2"/>
      </rPr>
      <t>+</t>
    </r>
    <r>
      <rPr>
        <i/>
        <sz val="12"/>
        <rFont val="Arial"/>
        <family val="2"/>
      </rPr>
      <t>v</t>
    </r>
    <r>
      <rPr>
        <vertAlign val="subscript"/>
        <sz val="12"/>
        <rFont val="Arial"/>
        <family val="2"/>
      </rPr>
      <t>20_SPO</t>
    </r>
    <r>
      <rPr>
        <sz val="12"/>
        <rFont val="Arial"/>
        <family val="2"/>
      </rPr>
      <t>*</t>
    </r>
    <r>
      <rPr>
        <i/>
        <sz val="12"/>
        <rFont val="Arial"/>
        <family val="2"/>
      </rPr>
      <t>i</t>
    </r>
    <r>
      <rPr>
        <vertAlign val="subscript"/>
        <sz val="12"/>
        <rFont val="Arial"/>
        <family val="2"/>
      </rPr>
      <t>Charge_SPO4</t>
    </r>
  </si>
  <si>
    <r>
      <t>v</t>
    </r>
    <r>
      <rPr>
        <vertAlign val="subscript"/>
        <sz val="12"/>
        <rFont val="Arial"/>
        <family val="2"/>
      </rPr>
      <t>21_SNH</t>
    </r>
    <r>
      <rPr>
        <i/>
        <sz val="12"/>
        <rFont val="Arial"/>
        <family val="2"/>
      </rPr>
      <t>*i</t>
    </r>
    <r>
      <rPr>
        <vertAlign val="subscript"/>
        <sz val="12"/>
        <rFont val="Arial"/>
        <family val="2"/>
      </rPr>
      <t>Charge_SNHx</t>
    </r>
    <r>
      <rPr>
        <i/>
        <sz val="12"/>
        <rFont val="Arial"/>
        <family val="2"/>
      </rPr>
      <t>+v</t>
    </r>
    <r>
      <rPr>
        <vertAlign val="subscript"/>
        <sz val="12"/>
        <rFont val="Arial"/>
        <family val="2"/>
      </rPr>
      <t>21_SPO</t>
    </r>
    <r>
      <rPr>
        <i/>
        <sz val="12"/>
        <rFont val="Arial"/>
        <family val="2"/>
      </rPr>
      <t>*i</t>
    </r>
    <r>
      <rPr>
        <vertAlign val="subscript"/>
        <sz val="12"/>
        <rFont val="Arial"/>
        <family val="2"/>
      </rPr>
      <t>Charge_SPO4</t>
    </r>
    <r>
      <rPr>
        <i/>
        <sz val="12"/>
        <rFont val="Arial"/>
        <family val="2"/>
      </rPr>
      <t>+v</t>
    </r>
    <r>
      <rPr>
        <vertAlign val="subscript"/>
        <sz val="12"/>
        <rFont val="Arial"/>
        <family val="2"/>
      </rPr>
      <t>21_SNO</t>
    </r>
    <r>
      <rPr>
        <i/>
        <sz val="12"/>
        <rFont val="Arial"/>
        <family val="2"/>
      </rPr>
      <t>*i</t>
    </r>
    <r>
      <rPr>
        <vertAlign val="subscript"/>
        <sz val="12"/>
        <rFont val="Arial"/>
        <family val="2"/>
      </rPr>
      <t>Charge_SNOx</t>
    </r>
  </si>
  <si>
    <r>
      <t>v</t>
    </r>
    <r>
      <rPr>
        <vertAlign val="subscript"/>
        <sz val="12"/>
        <rFont val="Arial"/>
        <family val="2"/>
      </rPr>
      <t>22_SNH</t>
    </r>
    <r>
      <rPr>
        <i/>
        <sz val="12"/>
        <rFont val="Arial"/>
        <family val="2"/>
      </rPr>
      <t>*i</t>
    </r>
    <r>
      <rPr>
        <vertAlign val="subscript"/>
        <sz val="12"/>
        <rFont val="Arial"/>
        <family val="2"/>
      </rPr>
      <t>Charge_SNHx</t>
    </r>
    <r>
      <rPr>
        <sz val="12"/>
        <rFont val="Arial"/>
        <family val="2"/>
      </rPr>
      <t>+</t>
    </r>
    <r>
      <rPr>
        <i/>
        <sz val="12"/>
        <rFont val="Arial"/>
        <family val="2"/>
      </rPr>
      <t>v</t>
    </r>
    <r>
      <rPr>
        <vertAlign val="subscript"/>
        <sz val="12"/>
        <rFont val="Arial"/>
        <family val="2"/>
      </rPr>
      <t>22_SPO</t>
    </r>
    <r>
      <rPr>
        <sz val="12"/>
        <rFont val="Arial"/>
        <family val="2"/>
      </rPr>
      <t>*</t>
    </r>
    <r>
      <rPr>
        <i/>
        <sz val="12"/>
        <rFont val="Arial"/>
        <family val="2"/>
      </rPr>
      <t>i</t>
    </r>
    <r>
      <rPr>
        <vertAlign val="subscript"/>
        <sz val="12"/>
        <rFont val="Arial"/>
        <family val="2"/>
      </rPr>
      <t>Charge_SPO4</t>
    </r>
  </si>
  <si>
    <r>
      <t>i</t>
    </r>
    <r>
      <rPr>
        <vertAlign val="subscript"/>
        <sz val="12"/>
        <color indexed="8"/>
        <rFont val="Arial"/>
        <family val="2"/>
      </rPr>
      <t>Charge_SNHx</t>
    </r>
  </si>
  <si>
    <r>
      <t>i</t>
    </r>
    <r>
      <rPr>
        <vertAlign val="subscript"/>
        <sz val="12"/>
        <color indexed="8"/>
        <rFont val="Arial"/>
        <family val="2"/>
      </rPr>
      <t>Charge_SNOx</t>
    </r>
  </si>
  <si>
    <r>
      <t>i</t>
    </r>
    <r>
      <rPr>
        <vertAlign val="subscript"/>
        <sz val="12"/>
        <color indexed="8"/>
        <rFont val="Arial"/>
        <family val="2"/>
      </rPr>
      <t>Charge_SPO4</t>
    </r>
  </si>
  <si>
    <t>Depreciated constants from next Sumo version</t>
  </si>
  <si>
    <t>Deprecated, do not use it in new code. Will be removed after Sumo18.</t>
  </si>
  <si>
    <r>
      <t>J.m</t>
    </r>
    <r>
      <rPr>
        <vertAlign val="superscript"/>
        <sz val="11"/>
        <rFont val="Calibri"/>
        <family val="2"/>
        <scheme val="minor"/>
      </rPr>
      <t>-3</t>
    </r>
  </si>
  <si>
    <t>http://webbook.nist.gov/cgi/cbook.cgi?Formula=H2&amp;NoIon=on&amp;Units=SI&amp;cSO=on</t>
  </si>
  <si>
    <t>http://webbook.nist.gov/cgi/cbook.cgi?Formula=CH4&amp;NoIon=on&amp;Units=SI&amp;cSO=on</t>
  </si>
  <si>
    <r>
      <t>Henry</t>
    </r>
    <r>
      <rPr>
        <vertAlign val="subscript"/>
        <sz val="11"/>
        <rFont val="Calibri"/>
        <family val="2"/>
        <scheme val="minor"/>
      </rPr>
      <t>GNH3,25</t>
    </r>
  </si>
  <si>
    <r>
      <t>Henry coefficient for NH</t>
    </r>
    <r>
      <rPr>
        <vertAlign val="subscript"/>
        <sz val="11"/>
        <rFont val="Calibri"/>
        <family val="2"/>
        <scheme val="minor"/>
      </rPr>
      <t xml:space="preserve">3 </t>
    </r>
    <r>
      <rPr>
        <sz val="11"/>
        <rFont val="Calibri"/>
        <family val="2"/>
        <scheme val="minor"/>
      </rPr>
      <t>@25°C</t>
    </r>
  </si>
  <si>
    <t>http://webbook.nist.gov/cgi/cbook.cgi?Formula=NH3&amp;NoIon=on&amp;Units=SI&amp;cSO=on</t>
  </si>
  <si>
    <r>
      <t>Henry</t>
    </r>
    <r>
      <rPr>
        <vertAlign val="subscript"/>
        <sz val="11"/>
        <rFont val="Calibri"/>
        <family val="2"/>
        <scheme val="minor"/>
      </rPr>
      <t>GNH3,dt</t>
    </r>
  </si>
  <si>
    <r>
      <t>Temperature dependency factor for NH</t>
    </r>
    <r>
      <rPr>
        <vertAlign val="subscript"/>
        <sz val="11"/>
        <rFont val="Calibri"/>
        <family val="2"/>
        <scheme val="minor"/>
      </rPr>
      <t>3</t>
    </r>
    <r>
      <rPr>
        <sz val="11"/>
        <rFont val="Calibri"/>
        <family val="2"/>
        <scheme val="minor"/>
      </rPr>
      <t xml:space="preserve"> Henry coefficient</t>
    </r>
  </si>
  <si>
    <r>
      <t>Henry</t>
    </r>
    <r>
      <rPr>
        <vertAlign val="subscript"/>
        <sz val="11"/>
        <rFont val="Calibri"/>
        <family val="2"/>
        <scheme val="minor"/>
      </rPr>
      <t>GH2S,25</t>
    </r>
  </si>
  <si>
    <r>
      <t>Henry coefficient for H</t>
    </r>
    <r>
      <rPr>
        <vertAlign val="subscript"/>
        <sz val="11"/>
        <rFont val="Calibri"/>
        <family val="2"/>
        <scheme val="minor"/>
      </rPr>
      <t>2</t>
    </r>
    <r>
      <rPr>
        <sz val="11"/>
        <rFont val="Calibri"/>
        <family val="2"/>
        <scheme val="minor"/>
      </rPr>
      <t>S</t>
    </r>
    <r>
      <rPr>
        <vertAlign val="subscript"/>
        <sz val="11"/>
        <rFont val="Calibri"/>
        <family val="2"/>
        <scheme val="minor"/>
      </rPr>
      <t xml:space="preserve"> </t>
    </r>
    <r>
      <rPr>
        <sz val="11"/>
        <rFont val="Calibri"/>
        <family val="2"/>
        <scheme val="minor"/>
      </rPr>
      <t>@25°C</t>
    </r>
  </si>
  <si>
    <t>http://webbook.nist.gov/cgi/cbook.cgi?Formula=H2S&amp;NoIon=on&amp;Units=SI&amp;cSO=on</t>
  </si>
  <si>
    <r>
      <t>Henry</t>
    </r>
    <r>
      <rPr>
        <vertAlign val="subscript"/>
        <sz val="11"/>
        <rFont val="Calibri"/>
        <family val="2"/>
        <scheme val="minor"/>
      </rPr>
      <t>GH2S,dt</t>
    </r>
  </si>
  <si>
    <r>
      <t>Temperature dependency factor for H</t>
    </r>
    <r>
      <rPr>
        <vertAlign val="subscript"/>
        <sz val="11"/>
        <rFont val="Calibri"/>
        <family val="2"/>
        <scheme val="minor"/>
      </rPr>
      <t>2</t>
    </r>
    <r>
      <rPr>
        <sz val="11"/>
        <rFont val="Calibri"/>
        <family val="2"/>
        <scheme val="minor"/>
      </rPr>
      <t>S Henry coefficient</t>
    </r>
  </si>
  <si>
    <t>Diffusion coefficients for gas phase state variables</t>
  </si>
  <si>
    <r>
      <t>D</t>
    </r>
    <r>
      <rPr>
        <vertAlign val="subscript"/>
        <sz val="11"/>
        <rFont val="Calibri"/>
        <family val="2"/>
        <scheme val="minor"/>
      </rPr>
      <t>GO2,25</t>
    </r>
  </si>
  <si>
    <r>
      <t>D</t>
    </r>
    <r>
      <rPr>
        <vertAlign val="subscript"/>
        <sz val="11"/>
        <rFont val="Calibri"/>
        <family val="2"/>
        <scheme val="minor"/>
      </rPr>
      <t>GN2,25</t>
    </r>
  </si>
  <si>
    <r>
      <t>D</t>
    </r>
    <r>
      <rPr>
        <vertAlign val="subscript"/>
        <sz val="11"/>
        <rFont val="Calibri"/>
        <family val="2"/>
        <scheme val="minor"/>
      </rPr>
      <t>GNH3,25</t>
    </r>
  </si>
  <si>
    <r>
      <t>D</t>
    </r>
    <r>
      <rPr>
        <vertAlign val="subscript"/>
        <sz val="11"/>
        <rFont val="Calibri"/>
        <family val="2"/>
        <scheme val="minor"/>
      </rPr>
      <t>GCO2,25</t>
    </r>
  </si>
  <si>
    <r>
      <t>D</t>
    </r>
    <r>
      <rPr>
        <vertAlign val="subscript"/>
        <sz val="11"/>
        <rFont val="Calibri"/>
        <family val="2"/>
      </rPr>
      <t>GH2,25</t>
    </r>
  </si>
  <si>
    <r>
      <t>D</t>
    </r>
    <r>
      <rPr>
        <vertAlign val="subscript"/>
        <sz val="11"/>
        <rFont val="Calibri"/>
        <family val="2"/>
      </rPr>
      <t>GCH4,25</t>
    </r>
  </si>
  <si>
    <r>
      <t>D</t>
    </r>
    <r>
      <rPr>
        <vertAlign val="subscript"/>
        <sz val="11"/>
        <rFont val="Calibri"/>
        <family val="2"/>
      </rPr>
      <t>GNO,25</t>
    </r>
  </si>
  <si>
    <r>
      <t>D</t>
    </r>
    <r>
      <rPr>
        <vertAlign val="subscript"/>
        <sz val="11"/>
        <rFont val="Calibri"/>
        <family val="2"/>
      </rPr>
      <t>GN2O,25</t>
    </r>
  </si>
  <si>
    <r>
      <t>Diffusion coefficient of N</t>
    </r>
    <r>
      <rPr>
        <vertAlign val="subscript"/>
        <sz val="11"/>
        <rFont val="Calibri"/>
        <family val="2"/>
      </rPr>
      <t>2</t>
    </r>
    <r>
      <rPr>
        <sz val="11"/>
        <rFont val="Calibri"/>
        <family val="2"/>
      </rPr>
      <t>O in water @ 25°C</t>
    </r>
  </si>
  <si>
    <r>
      <t>D</t>
    </r>
    <r>
      <rPr>
        <vertAlign val="subscript"/>
        <sz val="11"/>
        <rFont val="Calibri"/>
        <family val="2"/>
        <scheme val="minor"/>
      </rPr>
      <t>GH2S,25</t>
    </r>
  </si>
  <si>
    <t>Diffusion coefficient of hydrogen sulfide in water @ 25°C</t>
  </si>
  <si>
    <r>
      <t>σ</t>
    </r>
    <r>
      <rPr>
        <vertAlign val="subscript"/>
        <sz val="11"/>
        <rFont val="Calibri"/>
        <family val="2"/>
        <charset val="238"/>
      </rPr>
      <t>H2O</t>
    </r>
  </si>
  <si>
    <t>Water/air surface tension</t>
  </si>
  <si>
    <r>
      <t>N.m</t>
    </r>
    <r>
      <rPr>
        <vertAlign val="superscript"/>
        <sz val="11"/>
        <rFont val="Calibri"/>
        <family val="2"/>
        <charset val="238"/>
        <scheme val="minor"/>
      </rPr>
      <t>-1</t>
    </r>
  </si>
  <si>
    <t>Density of water</t>
  </si>
  <si>
    <r>
      <t>η</t>
    </r>
    <r>
      <rPr>
        <vertAlign val="subscript"/>
        <sz val="11"/>
        <rFont val="Calibri"/>
        <family val="2"/>
        <scheme val="minor"/>
      </rPr>
      <t>H2O</t>
    </r>
  </si>
  <si>
    <t>Dynamic viscosity of water</t>
  </si>
  <si>
    <r>
      <t>kg.m</t>
    </r>
    <r>
      <rPr>
        <vertAlign val="superscript"/>
        <sz val="11"/>
        <rFont val="Calibri"/>
        <family val="2"/>
        <scheme val="minor"/>
      </rPr>
      <t>-1</t>
    </r>
    <r>
      <rPr>
        <sz val="11"/>
        <rFont val="Calibri"/>
        <family val="2"/>
        <scheme val="minor"/>
      </rPr>
      <t>.s</t>
    </r>
    <r>
      <rPr>
        <vertAlign val="superscript"/>
        <sz val="11"/>
        <rFont val="Calibri"/>
        <family val="2"/>
        <scheme val="minor"/>
      </rPr>
      <t>-1</t>
    </r>
  </si>
  <si>
    <r>
      <rPr>
        <sz val="11"/>
        <rFont val="Calibri"/>
        <family val="2"/>
      </rPr>
      <t>ρ</t>
    </r>
    <r>
      <rPr>
        <vertAlign val="subscript"/>
        <sz val="11"/>
        <rFont val="Calibri"/>
        <family val="2"/>
        <scheme val="minor"/>
      </rPr>
      <t>air</t>
    </r>
  </si>
  <si>
    <t>Density of air</t>
  </si>
  <si>
    <r>
      <t>p</t>
    </r>
    <r>
      <rPr>
        <vertAlign val="subscript"/>
        <sz val="11"/>
        <rFont val="Calibri"/>
        <family val="2"/>
      </rPr>
      <t>STP</t>
    </r>
  </si>
  <si>
    <r>
      <t>p</t>
    </r>
    <r>
      <rPr>
        <vertAlign val="subscript"/>
        <sz val="11"/>
        <rFont val="Calibri"/>
        <family val="2"/>
      </rPr>
      <t>N</t>
    </r>
  </si>
  <si>
    <t>Normal barometric pressure</t>
  </si>
  <si>
    <t>Atmosphere composition</t>
  </si>
  <si>
    <r>
      <t>G</t>
    </r>
    <r>
      <rPr>
        <vertAlign val="subscript"/>
        <sz val="11"/>
        <rFont val="Calibri"/>
        <family val="2"/>
      </rPr>
      <t>CO2,atm</t>
    </r>
  </si>
  <si>
    <r>
      <t>Carbon dioxide gas (CO</t>
    </r>
    <r>
      <rPr>
        <vertAlign val="subscript"/>
        <sz val="11"/>
        <rFont val="Calibri"/>
        <family val="2"/>
      </rPr>
      <t>2</t>
    </r>
    <r>
      <rPr>
        <sz val="11"/>
        <rFont val="Calibri"/>
        <family val="2"/>
      </rPr>
      <t>)</t>
    </r>
  </si>
  <si>
    <t>%v/v</t>
  </si>
  <si>
    <r>
      <t>G</t>
    </r>
    <r>
      <rPr>
        <vertAlign val="subscript"/>
        <sz val="11"/>
        <rFont val="Calibri"/>
        <family val="2"/>
      </rPr>
      <t>CH4,atm</t>
    </r>
  </si>
  <si>
    <r>
      <t>Methane gas (CH</t>
    </r>
    <r>
      <rPr>
        <vertAlign val="subscript"/>
        <sz val="11"/>
        <color rgb="FF000000"/>
        <rFont val="Calibri"/>
        <family val="2"/>
        <scheme val="minor"/>
      </rPr>
      <t>4</t>
    </r>
    <r>
      <rPr>
        <sz val="11"/>
        <color rgb="FF000000"/>
        <rFont val="Calibri"/>
        <family val="2"/>
        <charset val="238"/>
        <scheme val="minor"/>
      </rPr>
      <t>)</t>
    </r>
  </si>
  <si>
    <r>
      <t>G</t>
    </r>
    <r>
      <rPr>
        <vertAlign val="subscript"/>
        <sz val="11"/>
        <rFont val="Calibri"/>
        <family val="2"/>
      </rPr>
      <t>H2,atm</t>
    </r>
  </si>
  <si>
    <r>
      <t>Hydrogen gas (H</t>
    </r>
    <r>
      <rPr>
        <vertAlign val="subscript"/>
        <sz val="11"/>
        <color rgb="FF000000"/>
        <rFont val="Calibri"/>
        <family val="2"/>
        <scheme val="minor"/>
      </rPr>
      <t>2</t>
    </r>
    <r>
      <rPr>
        <sz val="11"/>
        <color rgb="FF000000"/>
        <rFont val="Calibri"/>
        <family val="2"/>
        <charset val="238"/>
        <scheme val="minor"/>
      </rPr>
      <t>)</t>
    </r>
  </si>
  <si>
    <r>
      <t>G</t>
    </r>
    <r>
      <rPr>
        <vertAlign val="subscript"/>
        <sz val="11"/>
        <rFont val="Calibri"/>
        <family val="2"/>
      </rPr>
      <t>O2,atm</t>
    </r>
  </si>
  <si>
    <r>
      <t>Oxygen gas (O</t>
    </r>
    <r>
      <rPr>
        <vertAlign val="subscript"/>
        <sz val="11"/>
        <color rgb="FF000000"/>
        <rFont val="Calibri"/>
        <family val="2"/>
        <scheme val="minor"/>
      </rPr>
      <t>2</t>
    </r>
    <r>
      <rPr>
        <sz val="11"/>
        <color rgb="FF000000"/>
        <rFont val="Calibri"/>
        <family val="2"/>
        <charset val="238"/>
        <scheme val="minor"/>
      </rPr>
      <t>)</t>
    </r>
  </si>
  <si>
    <r>
      <t>G</t>
    </r>
    <r>
      <rPr>
        <vertAlign val="subscript"/>
        <sz val="11"/>
        <rFont val="Calibri"/>
        <family val="2"/>
      </rPr>
      <t>NH3,atm</t>
    </r>
  </si>
  <si>
    <r>
      <t>Ammonia gas (NH</t>
    </r>
    <r>
      <rPr>
        <vertAlign val="subscript"/>
        <sz val="11"/>
        <rFont val="Calibri"/>
        <family val="2"/>
      </rPr>
      <t>3</t>
    </r>
    <r>
      <rPr>
        <sz val="11"/>
        <rFont val="Calibri"/>
        <family val="2"/>
      </rPr>
      <t>)</t>
    </r>
  </si>
  <si>
    <r>
      <t>G</t>
    </r>
    <r>
      <rPr>
        <vertAlign val="subscript"/>
        <sz val="11"/>
        <rFont val="Calibri"/>
        <family val="2"/>
      </rPr>
      <t>N2,atm</t>
    </r>
  </si>
  <si>
    <r>
      <t>Nitrogen gas (N</t>
    </r>
    <r>
      <rPr>
        <vertAlign val="subscript"/>
        <sz val="11"/>
        <color rgb="FF000000"/>
        <rFont val="Calibri"/>
        <family val="2"/>
        <scheme val="minor"/>
      </rPr>
      <t>2</t>
    </r>
    <r>
      <rPr>
        <sz val="11"/>
        <color rgb="FF000000"/>
        <rFont val="Calibri"/>
        <family val="2"/>
        <charset val="238"/>
        <scheme val="minor"/>
      </rPr>
      <t>)</t>
    </r>
  </si>
  <si>
    <r>
      <t>G</t>
    </r>
    <r>
      <rPr>
        <vertAlign val="subscript"/>
        <sz val="11"/>
        <rFont val="Calibri"/>
        <family val="2"/>
      </rPr>
      <t>H2S,atm</t>
    </r>
  </si>
  <si>
    <r>
      <t>Hydrogen sulfide gas (H</t>
    </r>
    <r>
      <rPr>
        <vertAlign val="subscript"/>
        <sz val="11"/>
        <color rgb="FF000000"/>
        <rFont val="Calibri"/>
        <family val="2"/>
        <scheme val="minor"/>
      </rPr>
      <t>2</t>
    </r>
    <r>
      <rPr>
        <sz val="11"/>
        <color rgb="FF000000"/>
        <rFont val="Calibri"/>
        <family val="2"/>
        <charset val="238"/>
        <scheme val="minor"/>
      </rPr>
      <t>S)</t>
    </r>
  </si>
  <si>
    <r>
      <t>Δ</t>
    </r>
    <r>
      <rPr>
        <vertAlign val="subscript"/>
        <sz val="11"/>
        <rFont val="Calibri"/>
        <family val="2"/>
      </rPr>
      <t>atm</t>
    </r>
  </si>
  <si>
    <t>Arbitrary atmosphere ratio</t>
  </si>
  <si>
    <r>
      <t>%v/v / g/m</t>
    </r>
    <r>
      <rPr>
        <vertAlign val="superscript"/>
        <sz val="11"/>
        <rFont val="Calibri"/>
        <family val="2"/>
      </rPr>
      <t>3</t>
    </r>
  </si>
  <si>
    <t>Only used for mass balance check since mass changes in the atmosphere are not calculated</t>
  </si>
  <si>
    <r>
      <t>R</t>
    </r>
    <r>
      <rPr>
        <vertAlign val="subscript"/>
        <sz val="11"/>
        <rFont val="Calibri"/>
        <family val="2"/>
        <scheme val="minor"/>
      </rPr>
      <t>air</t>
    </r>
  </si>
  <si>
    <t>Specific mass based gas constant for air</t>
  </si>
  <si>
    <r>
      <t>J.kg</t>
    </r>
    <r>
      <rPr>
        <vertAlign val="superscript"/>
        <sz val="11"/>
        <rFont val="Calibri"/>
        <family val="2"/>
        <scheme val="minor"/>
      </rPr>
      <t>-1</t>
    </r>
    <r>
      <rPr>
        <sz val="11"/>
        <rFont val="Calibri"/>
        <family val="2"/>
        <scheme val="minor"/>
      </rPr>
      <t>.K</t>
    </r>
    <r>
      <rPr>
        <vertAlign val="superscript"/>
        <sz val="11"/>
        <rFont val="Calibri"/>
        <family val="2"/>
        <scheme val="minor"/>
      </rPr>
      <t>-1</t>
    </r>
  </si>
  <si>
    <r>
      <t>V</t>
    </r>
    <r>
      <rPr>
        <vertAlign val="subscript"/>
        <sz val="11"/>
        <rFont val="Calibri"/>
        <family val="2"/>
        <scheme val="minor"/>
      </rPr>
      <t>mol,N</t>
    </r>
  </si>
  <si>
    <t>Molar volume at normal conditions</t>
  </si>
  <si>
    <r>
      <t>Nm</t>
    </r>
    <r>
      <rPr>
        <vertAlign val="superscript"/>
        <sz val="11"/>
        <rFont val="Calibri"/>
        <family val="2"/>
        <scheme val="minor"/>
      </rPr>
      <t>3</t>
    </r>
    <r>
      <rPr>
        <sz val="11"/>
        <rFont val="Calibri"/>
        <family val="2"/>
        <scheme val="minor"/>
      </rPr>
      <t>.mol</t>
    </r>
  </si>
  <si>
    <t>κ</t>
  </si>
  <si>
    <t>heat capacity ratio</t>
  </si>
  <si>
    <r>
      <t>MJ.m</t>
    </r>
    <r>
      <rPr>
        <vertAlign val="superscript"/>
        <sz val="11"/>
        <rFont val="Calibri"/>
        <family val="2"/>
        <scheme val="minor"/>
      </rPr>
      <t>-3</t>
    </r>
    <r>
      <rPr>
        <sz val="11"/>
        <rFont val="Calibri"/>
        <family val="2"/>
        <scheme val="minor"/>
      </rPr>
      <t>.K</t>
    </r>
    <r>
      <rPr>
        <vertAlign val="superscript"/>
        <sz val="11"/>
        <rFont val="Calibri"/>
        <family val="2"/>
        <scheme val="minor"/>
      </rPr>
      <t>-1</t>
    </r>
  </si>
  <si>
    <r>
      <t>T</t>
    </r>
    <r>
      <rPr>
        <vertAlign val="subscript"/>
        <sz val="11"/>
        <rFont val="Calibri"/>
        <family val="2"/>
        <scheme val="minor"/>
      </rPr>
      <t>st,K</t>
    </r>
  </si>
  <si>
    <t>Standard ambient air temperature - 25°C in Kelvin</t>
  </si>
  <si>
    <t>25°C at 101325 Pa: SATP (Standard Ambient Temperature and Pressure) - EPA</t>
  </si>
  <si>
    <r>
      <t>T</t>
    </r>
    <r>
      <rPr>
        <vertAlign val="subscript"/>
        <sz val="11"/>
        <rFont val="Calibri"/>
        <family val="2"/>
        <scheme val="minor"/>
      </rPr>
      <t>NTP,K</t>
    </r>
  </si>
  <si>
    <t>Normal condition (NTP) temperature - 20°C in Kelvin</t>
  </si>
  <si>
    <t>20°C at 101325 Pa: NTP (Normal Temperature and Pressure) - EPA, NIST</t>
  </si>
  <si>
    <r>
      <t>T</t>
    </r>
    <r>
      <rPr>
        <vertAlign val="subscript"/>
        <sz val="11"/>
        <rFont val="Calibri"/>
        <family val="2"/>
        <scheme val="minor"/>
      </rPr>
      <t>STP,K</t>
    </r>
  </si>
  <si>
    <t>Standard condition (STP) temperature - 0°C in Kelvin</t>
  </si>
  <si>
    <t>0°C at 101325 Pa: IUPAC STP called Normal condition - NIST, ISO10780</t>
  </si>
  <si>
    <r>
      <t>H</t>
    </r>
    <r>
      <rPr>
        <vertAlign val="subscript"/>
        <sz val="11"/>
        <rFont val="Calibri"/>
        <family val="2"/>
        <scheme val="minor"/>
      </rPr>
      <t>STP</t>
    </r>
  </si>
  <si>
    <r>
      <t xml:space="preserve">However the elements under standard conditions are considered to have zero enthalpy, Sumo uses 0°C as the point where water has zero enthalpy. Reason: in this case there is no need for solvers to deal with negative </t>
    </r>
    <r>
      <rPr>
        <sz val="11"/>
        <color rgb="FF0082C8"/>
        <rFont val="Calibri"/>
        <family val="2"/>
        <scheme val="minor"/>
      </rPr>
      <t>SV</t>
    </r>
    <r>
      <rPr>
        <sz val="11"/>
        <rFont val="Calibri"/>
        <family val="2"/>
        <scheme val="minor"/>
      </rPr>
      <t>s. Otherwise all cases when T is below 25°C, this would be the case.</t>
    </r>
  </si>
  <si>
    <r>
      <t>MM</t>
    </r>
    <r>
      <rPr>
        <vertAlign val="subscript"/>
        <sz val="11"/>
        <rFont val="Calibri"/>
        <family val="2"/>
        <scheme val="minor"/>
      </rPr>
      <t>air</t>
    </r>
  </si>
  <si>
    <t>Molar mass of air</t>
  </si>
  <si>
    <r>
      <t>MM</t>
    </r>
    <r>
      <rPr>
        <vertAlign val="subscript"/>
        <sz val="11"/>
        <rFont val="Calibri"/>
        <family val="2"/>
        <scheme val="minor"/>
      </rPr>
      <t>GH2S</t>
    </r>
  </si>
  <si>
    <t>Molecular mass of hydrogen sulphide</t>
  </si>
  <si>
    <t>Molar mass of ammonium ion</t>
  </si>
  <si>
    <t>Molar mass of nitrite ion</t>
  </si>
  <si>
    <t>Molar mass of nitrate ion</t>
  </si>
  <si>
    <r>
      <t>MM</t>
    </r>
    <r>
      <rPr>
        <vertAlign val="subscript"/>
        <sz val="11"/>
        <rFont val="Calibri"/>
        <family val="2"/>
      </rPr>
      <t>Fe2O3</t>
    </r>
  </si>
  <si>
    <r>
      <t>Molecular mass of Fe</t>
    </r>
    <r>
      <rPr>
        <vertAlign val="subscript"/>
        <sz val="11"/>
        <rFont val="Calibri"/>
        <family val="2"/>
        <scheme val="minor"/>
      </rPr>
      <t>2</t>
    </r>
    <r>
      <rPr>
        <sz val="11"/>
        <rFont val="Calibri"/>
        <family val="2"/>
        <scheme val="minor"/>
      </rPr>
      <t>O</t>
    </r>
    <r>
      <rPr>
        <vertAlign val="subscript"/>
        <sz val="11"/>
        <rFont val="Calibri"/>
        <family val="2"/>
        <scheme val="minor"/>
      </rPr>
      <t>3</t>
    </r>
  </si>
  <si>
    <r>
      <t>MM</t>
    </r>
    <r>
      <rPr>
        <vertAlign val="subscript"/>
        <sz val="11"/>
        <rFont val="Calibri"/>
        <family val="2"/>
        <scheme val="minor"/>
      </rPr>
      <t>FeOH3</t>
    </r>
  </si>
  <si>
    <r>
      <t>Molecular mass of Fe(OH)</t>
    </r>
    <r>
      <rPr>
        <vertAlign val="subscript"/>
        <sz val="11"/>
        <rFont val="Calibri"/>
        <family val="2"/>
        <scheme val="minor"/>
      </rPr>
      <t>3</t>
    </r>
  </si>
  <si>
    <r>
      <t>MM</t>
    </r>
    <r>
      <rPr>
        <vertAlign val="subscript"/>
        <sz val="11"/>
        <rFont val="Calibri"/>
        <family val="2"/>
        <scheme val="minor"/>
      </rPr>
      <t>AlOH3</t>
    </r>
  </si>
  <si>
    <r>
      <t>Molecular mass of Al(OH)</t>
    </r>
    <r>
      <rPr>
        <vertAlign val="subscript"/>
        <sz val="11"/>
        <rFont val="Calibri"/>
        <family val="2"/>
        <scheme val="minor"/>
      </rPr>
      <t>3</t>
    </r>
  </si>
  <si>
    <r>
      <t>MM</t>
    </r>
    <r>
      <rPr>
        <vertAlign val="subscript"/>
        <sz val="11"/>
        <rFont val="Calibri"/>
        <family val="2"/>
        <scheme val="minor"/>
      </rPr>
      <t>AlPO4</t>
    </r>
  </si>
  <si>
    <r>
      <t>Molecular mass of AlPO</t>
    </r>
    <r>
      <rPr>
        <vertAlign val="subscript"/>
        <sz val="11"/>
        <rFont val="Calibri"/>
        <family val="2"/>
        <scheme val="minor"/>
      </rPr>
      <t>4</t>
    </r>
  </si>
  <si>
    <r>
      <t>MM</t>
    </r>
    <r>
      <rPr>
        <vertAlign val="subscript"/>
        <sz val="11"/>
        <rFont val="Calibri"/>
        <family val="2"/>
      </rPr>
      <t>PO4</t>
    </r>
  </si>
  <si>
    <r>
      <t>MM</t>
    </r>
    <r>
      <rPr>
        <vertAlign val="subscript"/>
        <sz val="11"/>
        <rFont val="Calibri"/>
        <family val="2"/>
      </rPr>
      <t>CO2</t>
    </r>
  </si>
  <si>
    <r>
      <t>MM</t>
    </r>
    <r>
      <rPr>
        <vertAlign val="subscript"/>
        <sz val="11"/>
        <rFont val="Calibri"/>
        <family val="2"/>
        <scheme val="minor"/>
      </rPr>
      <t>CaCO3</t>
    </r>
  </si>
  <si>
    <r>
      <t>MM</t>
    </r>
    <r>
      <rPr>
        <vertAlign val="subscript"/>
        <sz val="11"/>
        <rFont val="Calibri"/>
        <family val="2"/>
        <scheme val="minor"/>
      </rPr>
      <t>STR</t>
    </r>
  </si>
  <si>
    <r>
      <t>MM</t>
    </r>
    <r>
      <rPr>
        <vertAlign val="subscript"/>
        <sz val="11"/>
        <rFont val="Calibri"/>
        <family val="2"/>
        <charset val="238"/>
        <scheme val="minor"/>
      </rPr>
      <t>MKP</t>
    </r>
  </si>
  <si>
    <t>Molecular mass of struvite-K</t>
  </si>
  <si>
    <r>
      <t>MM</t>
    </r>
    <r>
      <rPr>
        <vertAlign val="subscript"/>
        <sz val="11"/>
        <rFont val="Calibri"/>
        <family val="2"/>
        <scheme val="minor"/>
      </rPr>
      <t>FeCl3</t>
    </r>
  </si>
  <si>
    <t>Molecular mass of FeCl3</t>
  </si>
  <si>
    <r>
      <t>MM</t>
    </r>
    <r>
      <rPr>
        <vertAlign val="subscript"/>
        <sz val="11"/>
        <rFont val="Calibri"/>
        <family val="2"/>
        <scheme val="minor"/>
      </rPr>
      <t>FeCl2</t>
    </r>
  </si>
  <si>
    <t>Molecular mass of FeCl2</t>
  </si>
  <si>
    <r>
      <t>MM</t>
    </r>
    <r>
      <rPr>
        <vertAlign val="subscript"/>
        <sz val="11"/>
        <rFont val="Calibri"/>
        <family val="2"/>
        <scheme val="minor"/>
      </rPr>
      <t>FeSO4</t>
    </r>
  </si>
  <si>
    <t>Molecular mass of FeSO4</t>
  </si>
  <si>
    <r>
      <t>MM</t>
    </r>
    <r>
      <rPr>
        <vertAlign val="subscript"/>
        <sz val="11"/>
        <rFont val="Calibri"/>
        <family val="2"/>
        <scheme val="minor"/>
      </rPr>
      <t>HDP</t>
    </r>
  </si>
  <si>
    <t>Molecular mass of HDP</t>
  </si>
  <si>
    <r>
      <t>MM</t>
    </r>
    <r>
      <rPr>
        <vertAlign val="subscript"/>
        <sz val="11"/>
        <rFont val="Calibri"/>
        <family val="2"/>
        <scheme val="minor"/>
      </rPr>
      <t>HAP</t>
    </r>
  </si>
  <si>
    <t>Molecular mass of HAP</t>
  </si>
  <si>
    <r>
      <t>MM</t>
    </r>
    <r>
      <rPr>
        <vertAlign val="subscript"/>
        <sz val="11"/>
        <rFont val="Calibri"/>
        <family val="2"/>
        <scheme val="minor"/>
      </rPr>
      <t>CaOH</t>
    </r>
  </si>
  <si>
    <t>Molecular mass of CaOH</t>
  </si>
  <si>
    <r>
      <t>MM</t>
    </r>
    <r>
      <rPr>
        <vertAlign val="subscript"/>
        <sz val="11"/>
        <rFont val="Calibri"/>
        <family val="2"/>
        <scheme val="minor"/>
      </rPr>
      <t>CaHCO3</t>
    </r>
  </si>
  <si>
    <t>Molecular mass of CaHCO3+</t>
  </si>
  <si>
    <r>
      <t>MM</t>
    </r>
    <r>
      <rPr>
        <vertAlign val="subscript"/>
        <sz val="11"/>
        <rFont val="Calibri"/>
        <family val="2"/>
        <scheme val="minor"/>
      </rPr>
      <t>CaPO4</t>
    </r>
  </si>
  <si>
    <t>Molecular mass of CaPO4-</t>
  </si>
  <si>
    <r>
      <t>MM</t>
    </r>
    <r>
      <rPr>
        <vertAlign val="subscript"/>
        <sz val="11"/>
        <rFont val="Calibri"/>
        <family val="2"/>
        <scheme val="minor"/>
      </rPr>
      <t>CaHPO4</t>
    </r>
  </si>
  <si>
    <t>Molecular mass of CaHPO4</t>
  </si>
  <si>
    <r>
      <t>MM</t>
    </r>
    <r>
      <rPr>
        <vertAlign val="subscript"/>
        <sz val="11"/>
        <rFont val="Calibri"/>
        <family val="2"/>
        <scheme val="minor"/>
      </rPr>
      <t>CaH2PO4</t>
    </r>
  </si>
  <si>
    <t>Molecular mass of CaH2PO4+</t>
  </si>
  <si>
    <r>
      <t>MM</t>
    </r>
    <r>
      <rPr>
        <vertAlign val="subscript"/>
        <sz val="11"/>
        <rFont val="Calibri"/>
        <family val="2"/>
        <scheme val="minor"/>
      </rPr>
      <t>MgOH</t>
    </r>
  </si>
  <si>
    <t>Molecular mass of MgOH+</t>
  </si>
  <si>
    <r>
      <t>MM</t>
    </r>
    <r>
      <rPr>
        <vertAlign val="subscript"/>
        <sz val="11"/>
        <rFont val="Calibri"/>
        <family val="2"/>
        <scheme val="minor"/>
      </rPr>
      <t>MgOH2</t>
    </r>
  </si>
  <si>
    <t>Molecular mass of Mg(OH)2</t>
  </si>
  <si>
    <r>
      <t>MM</t>
    </r>
    <r>
      <rPr>
        <vertAlign val="subscript"/>
        <sz val="11"/>
        <rFont val="Calibri"/>
        <family val="2"/>
        <scheme val="minor"/>
      </rPr>
      <t>MgCO3</t>
    </r>
  </si>
  <si>
    <t>Molecular mass of MgCO3</t>
  </si>
  <si>
    <r>
      <t>MM</t>
    </r>
    <r>
      <rPr>
        <vertAlign val="subscript"/>
        <sz val="11"/>
        <rFont val="Calibri"/>
        <family val="2"/>
        <scheme val="minor"/>
      </rPr>
      <t>MgHCO3</t>
    </r>
  </si>
  <si>
    <t>Molecular mass of MgHCO3+</t>
  </si>
  <si>
    <r>
      <t>MM</t>
    </r>
    <r>
      <rPr>
        <vertAlign val="subscript"/>
        <sz val="11"/>
        <rFont val="Calibri"/>
        <family val="2"/>
        <scheme val="minor"/>
      </rPr>
      <t>MgHPO4</t>
    </r>
  </si>
  <si>
    <t>Molecular mass of MgHPO4</t>
  </si>
  <si>
    <r>
      <t>MM</t>
    </r>
    <r>
      <rPr>
        <vertAlign val="subscript"/>
        <sz val="11"/>
        <rFont val="Calibri"/>
        <family val="2"/>
        <scheme val="minor"/>
      </rPr>
      <t>MgPO4</t>
    </r>
  </si>
  <si>
    <t>Molecular mass of MgPO4-</t>
  </si>
  <si>
    <r>
      <t>MM</t>
    </r>
    <r>
      <rPr>
        <vertAlign val="subscript"/>
        <sz val="11"/>
        <rFont val="Calibri"/>
        <family val="2"/>
        <scheme val="minor"/>
      </rPr>
      <t>MgH2PO4</t>
    </r>
  </si>
  <si>
    <t>Molecular mass of MgH2PO4+</t>
  </si>
  <si>
    <r>
      <t>MM</t>
    </r>
    <r>
      <rPr>
        <vertAlign val="subscript"/>
        <sz val="11"/>
        <rFont val="Calibri"/>
        <family val="2"/>
        <scheme val="minor"/>
      </rPr>
      <t>NaHPO4</t>
    </r>
  </si>
  <si>
    <t>Molecular mass of NaHPO4-</t>
  </si>
  <si>
    <r>
      <t>MM</t>
    </r>
    <r>
      <rPr>
        <vertAlign val="subscript"/>
        <sz val="11"/>
        <rFont val="Calibri"/>
        <family val="2"/>
        <scheme val="minor"/>
      </rPr>
      <t>NaCl</t>
    </r>
  </si>
  <si>
    <t>Molecular mass of NaCl</t>
  </si>
  <si>
    <r>
      <t>MM</t>
    </r>
    <r>
      <rPr>
        <vertAlign val="subscript"/>
        <sz val="11"/>
        <rFont val="Calibri"/>
        <family val="2"/>
        <scheme val="minor"/>
      </rPr>
      <t>NaOH</t>
    </r>
  </si>
  <si>
    <t>Molecular mass of NaOH</t>
  </si>
  <si>
    <r>
      <t>MM</t>
    </r>
    <r>
      <rPr>
        <vertAlign val="subscript"/>
        <sz val="11"/>
        <rFont val="Calibri"/>
        <family val="2"/>
        <scheme val="minor"/>
      </rPr>
      <t>Na2CO3</t>
    </r>
  </si>
  <si>
    <t>Molecular mass of Na2CO3</t>
  </si>
  <si>
    <r>
      <t>MM</t>
    </r>
    <r>
      <rPr>
        <vertAlign val="subscript"/>
        <sz val="11"/>
        <rFont val="Calibri"/>
        <family val="2"/>
        <scheme val="minor"/>
      </rPr>
      <t>NaHCO3</t>
    </r>
  </si>
  <si>
    <t>Molecular mass of NaHCO3</t>
  </si>
  <si>
    <r>
      <t>MM</t>
    </r>
    <r>
      <rPr>
        <vertAlign val="subscript"/>
        <sz val="11"/>
        <rFont val="Calibri"/>
        <family val="2"/>
        <scheme val="minor"/>
      </rPr>
      <t>MMC</t>
    </r>
  </si>
  <si>
    <t>Molecular mass of methyl mercaptan</t>
  </si>
  <si>
    <r>
      <t>MM</t>
    </r>
    <r>
      <rPr>
        <vertAlign val="subscript"/>
        <sz val="11"/>
        <rFont val="Calibri"/>
        <family val="2"/>
        <scheme val="minor"/>
      </rPr>
      <t>EQ,GN2</t>
    </r>
  </si>
  <si>
    <r>
      <t>g N.mol</t>
    </r>
    <r>
      <rPr>
        <vertAlign val="superscript"/>
        <sz val="11"/>
        <rFont val="Calibri"/>
        <family val="2"/>
        <scheme val="minor"/>
      </rPr>
      <t>-1</t>
    </r>
  </si>
  <si>
    <r>
      <t>MM</t>
    </r>
    <r>
      <rPr>
        <vertAlign val="subscript"/>
        <sz val="11"/>
        <rFont val="Calibri"/>
        <family val="2"/>
        <scheme val="minor"/>
      </rPr>
      <t>EQ,GNH3</t>
    </r>
  </si>
  <si>
    <r>
      <t>MM</t>
    </r>
    <r>
      <rPr>
        <vertAlign val="subscript"/>
        <sz val="11"/>
        <rFont val="Calibri"/>
        <family val="2"/>
        <scheme val="minor"/>
      </rPr>
      <t>EQ,GNO</t>
    </r>
  </si>
  <si>
    <r>
      <t>MM</t>
    </r>
    <r>
      <rPr>
        <vertAlign val="subscript"/>
        <sz val="11"/>
        <rFont val="Calibri"/>
        <family val="2"/>
        <scheme val="minor"/>
      </rPr>
      <t>EQ,GN2O</t>
    </r>
  </si>
  <si>
    <r>
      <t>MM</t>
    </r>
    <r>
      <rPr>
        <vertAlign val="subscript"/>
        <sz val="11"/>
        <rFont val="Calibri"/>
        <family val="2"/>
        <scheme val="minor"/>
      </rPr>
      <t>EQ,GCO2</t>
    </r>
  </si>
  <si>
    <r>
      <t>C</t>
    </r>
    <r>
      <rPr>
        <vertAlign val="subscript"/>
        <sz val="11"/>
        <rFont val="Calibri"/>
        <family val="2"/>
        <scheme val="minor"/>
      </rPr>
      <t>O2</t>
    </r>
    <r>
      <rPr>
        <sz val="11"/>
        <rFont val="Calibri"/>
        <family val="2"/>
        <scheme val="minor"/>
      </rPr>
      <t xml:space="preserve"> is used in mg/l in kinetic matrix, no need for any special eq-type value, so the exact value is the same as the molecular mass. This is needed only because of the CSTR code, which needs MM</t>
    </r>
    <r>
      <rPr>
        <vertAlign val="subscript"/>
        <sz val="11"/>
        <rFont val="Calibri"/>
        <family val="2"/>
        <scheme val="minor"/>
      </rPr>
      <t>EQ,XXX</t>
    </r>
    <r>
      <rPr>
        <sz val="11"/>
        <rFont val="Calibri"/>
        <family val="2"/>
        <scheme val="minor"/>
      </rPr>
      <t xml:space="preserve"> data</t>
    </r>
  </si>
  <si>
    <r>
      <t>MM</t>
    </r>
    <r>
      <rPr>
        <vertAlign val="subscript"/>
        <sz val="11"/>
        <rFont val="Calibri"/>
        <family val="2"/>
        <scheme val="minor"/>
      </rPr>
      <t>EQ,GO2</t>
    </r>
  </si>
  <si>
    <r>
      <t>g COD.mol</t>
    </r>
    <r>
      <rPr>
        <vertAlign val="superscript"/>
        <sz val="11"/>
        <rFont val="Calibri"/>
        <family val="2"/>
        <scheme val="minor"/>
      </rPr>
      <t>-1</t>
    </r>
  </si>
  <si>
    <r>
      <t>MM</t>
    </r>
    <r>
      <rPr>
        <vertAlign val="subscript"/>
        <sz val="11"/>
        <rFont val="Calibri"/>
        <family val="2"/>
        <scheme val="minor"/>
      </rPr>
      <t>EQ,GH2S</t>
    </r>
  </si>
  <si>
    <t>Molecular mass of GH2S</t>
  </si>
  <si>
    <r>
      <t>g S.mol</t>
    </r>
    <r>
      <rPr>
        <vertAlign val="superscript"/>
        <sz val="11"/>
        <rFont val="Calibri"/>
        <family val="2"/>
        <scheme val="minor"/>
      </rPr>
      <t>-1</t>
    </r>
  </si>
  <si>
    <t>Dissociation constant of water</t>
  </si>
  <si>
    <t>10^-13.997 NIST  (Minteq V4) 25°C</t>
  </si>
  <si>
    <r>
      <t>K</t>
    </r>
    <r>
      <rPr>
        <vertAlign val="subscript"/>
        <sz val="11"/>
        <rFont val="Calibri"/>
        <family val="2"/>
        <charset val="238"/>
        <scheme val="minor"/>
      </rPr>
      <t>NH3,param</t>
    </r>
  </si>
  <si>
    <t>Dissociation constant of ammonia</t>
  </si>
  <si>
    <t>10^-9.244 NIST  (Minteq V4) 25°C</t>
  </si>
  <si>
    <r>
      <t>K</t>
    </r>
    <r>
      <rPr>
        <vertAlign val="subscript"/>
        <sz val="11"/>
        <rFont val="Calibri"/>
        <family val="2"/>
        <charset val="238"/>
        <scheme val="minor"/>
      </rPr>
      <t>NO2,param</t>
    </r>
  </si>
  <si>
    <t>Dissociation constant of nitrous acid</t>
  </si>
  <si>
    <t>10^-3.35 (https://pubchem.ncbi.nlm.nih.gov/compound/24529#section=Experimental-Properties)</t>
  </si>
  <si>
    <t>Dissociation constant of carbonate first step</t>
  </si>
  <si>
    <t>10^-6.352 NIST  (Minteq V4) 25°C</t>
  </si>
  <si>
    <t>Dissociation constant of carbonate second step</t>
  </si>
  <si>
    <t>10^-10.329 NIST  (Minteq V4) 25°C</t>
  </si>
  <si>
    <t>Dissociation constant of phosphate first step</t>
  </si>
  <si>
    <t>10^-2.148 NIST  (Minteq V4) 25°C</t>
  </si>
  <si>
    <t>Dissociation constant of phosphate second step</t>
  </si>
  <si>
    <t>10^-7.198 NIST  (Minteq V4) 25°C</t>
  </si>
  <si>
    <t>Dissociation constant of phosphate third step</t>
  </si>
  <si>
    <t>10^-12.375 NIST  (Minteq V4) 25°C</t>
  </si>
  <si>
    <r>
      <t>K</t>
    </r>
    <r>
      <rPr>
        <vertAlign val="subscript"/>
        <sz val="11"/>
        <rFont val="Calibri"/>
        <family val="2"/>
        <charset val="238"/>
        <scheme val="minor"/>
      </rPr>
      <t>Ac,param</t>
    </r>
  </si>
  <si>
    <t>Dissociation constant of acetate</t>
  </si>
  <si>
    <t>10^-4.757 NIST  (Minteq V4) 25°C</t>
  </si>
  <si>
    <r>
      <t>K</t>
    </r>
    <r>
      <rPr>
        <vertAlign val="subscript"/>
        <sz val="11"/>
        <rFont val="Calibri"/>
        <family val="2"/>
        <scheme val="minor"/>
      </rPr>
      <t>S1,param</t>
    </r>
  </si>
  <si>
    <t>Dissociation constant of hydrogen sulfide</t>
  </si>
  <si>
    <t>NIST  (Minteq V4) 25°C</t>
  </si>
  <si>
    <r>
      <t>K</t>
    </r>
    <r>
      <rPr>
        <vertAlign val="subscript"/>
        <sz val="11"/>
        <rFont val="Calibri"/>
        <family val="2"/>
        <scheme val="minor"/>
      </rPr>
      <t>S2,param</t>
    </r>
  </si>
  <si>
    <t>Dissociation constant of bisulfide ion</t>
  </si>
  <si>
    <r>
      <t>K</t>
    </r>
    <r>
      <rPr>
        <vertAlign val="subscript"/>
        <sz val="11"/>
        <rFont val="Calibri"/>
        <family val="2"/>
        <scheme val="minor"/>
      </rPr>
      <t>SO41,param</t>
    </r>
  </si>
  <si>
    <t>Dissociation constant of sulfuric acid</t>
  </si>
  <si>
    <t>Hvitved-Jacobsen 2013</t>
  </si>
  <si>
    <r>
      <t>K</t>
    </r>
    <r>
      <rPr>
        <vertAlign val="subscript"/>
        <sz val="11"/>
        <rFont val="Calibri"/>
        <family val="2"/>
        <scheme val="minor"/>
      </rPr>
      <t>SO42,param</t>
    </r>
  </si>
  <si>
    <t>Dissociation constant of bisulfate</t>
  </si>
  <si>
    <t>NIST (Minteq V4) 25°C</t>
  </si>
  <si>
    <r>
      <t>K</t>
    </r>
    <r>
      <rPr>
        <vertAlign val="subscript"/>
        <sz val="11"/>
        <rFont val="Calibri"/>
        <family val="2"/>
        <charset val="238"/>
        <scheme val="minor"/>
      </rPr>
      <t>H2S,param</t>
    </r>
  </si>
  <si>
    <t>Precipitation constants</t>
  </si>
  <si>
    <r>
      <t>K</t>
    </r>
    <r>
      <rPr>
        <vertAlign val="subscript"/>
        <sz val="11"/>
        <rFont val="Calibri"/>
        <family val="2"/>
        <scheme val="minor"/>
      </rPr>
      <t>sp,CaCO3,param</t>
    </r>
  </si>
  <si>
    <t>Solubility  constant of CaCO3</t>
  </si>
  <si>
    <r>
      <t>K</t>
    </r>
    <r>
      <rPr>
        <vertAlign val="subscript"/>
        <sz val="11"/>
        <rFont val="Calibri"/>
        <family val="2"/>
        <scheme val="minor"/>
      </rPr>
      <t>sp,STR,param</t>
    </r>
  </si>
  <si>
    <t>Solubility  constant of struvite</t>
  </si>
  <si>
    <r>
      <t>K</t>
    </r>
    <r>
      <rPr>
        <vertAlign val="subscript"/>
        <sz val="11"/>
        <rFont val="Calibri"/>
        <family val="2"/>
        <scheme val="minor"/>
      </rPr>
      <t>sp,ACP,param</t>
    </r>
  </si>
  <si>
    <t>Solubility constant of ACP</t>
  </si>
  <si>
    <t>Musvoto et al. (2000) =10^(-25.46)</t>
  </si>
  <si>
    <r>
      <t>K</t>
    </r>
    <r>
      <rPr>
        <vertAlign val="subscript"/>
        <sz val="11"/>
        <rFont val="Calibri"/>
        <family val="2"/>
        <scheme val="minor"/>
      </rPr>
      <t>sp,Vivi,param</t>
    </r>
  </si>
  <si>
    <t>Solubility constant of vivianite</t>
  </si>
  <si>
    <t>Nriagu (1972); Al-Borno and Tomson (1994): 35.755 at 25°C DeltaH°: 5.05 kJ.mol-1 (small temperature dependency)</t>
  </si>
  <si>
    <r>
      <t>K</t>
    </r>
    <r>
      <rPr>
        <vertAlign val="subscript"/>
        <sz val="11"/>
        <rFont val="Calibri"/>
        <family val="2"/>
        <scheme val="minor"/>
      </rPr>
      <t>sp,FeS,param</t>
    </r>
  </si>
  <si>
    <t>Solubility constant of FeS</t>
  </si>
  <si>
    <r>
      <t>K</t>
    </r>
    <r>
      <rPr>
        <vertAlign val="subscript"/>
        <sz val="11"/>
        <rFont val="Calibri"/>
        <family val="2"/>
        <scheme val="minor"/>
      </rPr>
      <t>sp,HDP,param</t>
    </r>
  </si>
  <si>
    <t>Solubility constant of HDP</t>
  </si>
  <si>
    <r>
      <t>K</t>
    </r>
    <r>
      <rPr>
        <vertAlign val="subscript"/>
        <sz val="11"/>
        <rFont val="Calibri"/>
        <family val="2"/>
        <scheme val="minor"/>
      </rPr>
      <t>sp,MKP,param</t>
    </r>
  </si>
  <si>
    <t>Solubility constant of MKP</t>
  </si>
  <si>
    <r>
      <t>g COD.g N</t>
    </r>
    <r>
      <rPr>
        <vertAlign val="superscript"/>
        <sz val="11"/>
        <rFont val="Calibri"/>
        <family val="2"/>
      </rPr>
      <t>-1</t>
    </r>
  </si>
  <si>
    <r>
      <t>EEQ</t>
    </r>
    <r>
      <rPr>
        <vertAlign val="subscript"/>
        <sz val="11"/>
        <rFont val="Calibri"/>
        <family val="2"/>
        <scheme val="minor"/>
      </rPr>
      <t>Fe2</t>
    </r>
  </si>
  <si>
    <r>
      <t>Electron equivalence of Fe</t>
    </r>
    <r>
      <rPr>
        <vertAlign val="superscript"/>
        <sz val="11"/>
        <rFont val="Calibri"/>
        <family val="2"/>
        <scheme val="minor"/>
      </rPr>
      <t>2+</t>
    </r>
  </si>
  <si>
    <r>
      <t>g COD.g Fe</t>
    </r>
    <r>
      <rPr>
        <vertAlign val="superscript"/>
        <sz val="11"/>
        <rFont val="Calibri"/>
        <family val="2"/>
      </rPr>
      <t>-1</t>
    </r>
  </si>
  <si>
    <r>
      <t>EEQ</t>
    </r>
    <r>
      <rPr>
        <vertAlign val="subscript"/>
        <sz val="11"/>
        <rFont val="Calibri"/>
        <family val="2"/>
        <scheme val="minor"/>
      </rPr>
      <t>S</t>
    </r>
  </si>
  <si>
    <r>
      <t>Electron equivalence of S0 to H</t>
    </r>
    <r>
      <rPr>
        <vertAlign val="subscript"/>
        <sz val="11"/>
        <rFont val="Calibri"/>
        <family val="2"/>
        <scheme val="minor"/>
      </rPr>
      <t>2</t>
    </r>
    <r>
      <rPr>
        <sz val="11"/>
        <rFont val="Calibri"/>
        <family val="2"/>
        <scheme val="minor"/>
      </rPr>
      <t>SO</t>
    </r>
    <r>
      <rPr>
        <vertAlign val="subscript"/>
        <sz val="11"/>
        <rFont val="Calibri"/>
        <family val="2"/>
        <scheme val="minor"/>
      </rPr>
      <t>4</t>
    </r>
  </si>
  <si>
    <r>
      <t>g COD.g S</t>
    </r>
    <r>
      <rPr>
        <vertAlign val="superscript"/>
        <sz val="11"/>
        <rFont val="Calibri"/>
        <family val="2"/>
      </rPr>
      <t>-1</t>
    </r>
  </si>
  <si>
    <t>base is sulphate</t>
  </si>
  <si>
    <r>
      <t>g COD.g S</t>
    </r>
    <r>
      <rPr>
        <vertAlign val="superscript"/>
        <sz val="11"/>
        <rFont val="Calibri"/>
        <family val="2"/>
        <scheme val="minor"/>
      </rPr>
      <t>-1</t>
    </r>
  </si>
  <si>
    <t>pH = 4.1929</t>
  </si>
  <si>
    <r>
      <t>λ</t>
    </r>
    <r>
      <rPr>
        <vertAlign val="subscript"/>
        <sz val="11"/>
        <rFont val="Calibri"/>
        <family val="2"/>
      </rPr>
      <t>H</t>
    </r>
  </si>
  <si>
    <t>Thermal conductivity coefficient</t>
  </si>
  <si>
    <t>BigReal</t>
  </si>
  <si>
    <r>
      <t>W.m</t>
    </r>
    <r>
      <rPr>
        <vertAlign val="superscript"/>
        <sz val="11"/>
        <rFont val="Calibri"/>
        <family val="2"/>
        <scheme val="minor"/>
      </rPr>
      <t>-1</t>
    </r>
    <r>
      <rPr>
        <sz val="11"/>
        <rFont val="Calibri"/>
        <family val="2"/>
        <scheme val="minor"/>
      </rPr>
      <t>.K</t>
    </r>
    <r>
      <rPr>
        <vertAlign val="superscript"/>
        <sz val="11"/>
        <rFont val="Calibri"/>
        <family val="2"/>
        <scheme val="minor"/>
      </rPr>
      <t>-1</t>
    </r>
  </si>
  <si>
    <t>https://en.wikipedia.org/wiki/List_of_thermal_conductivities</t>
  </si>
  <si>
    <r>
      <t>ppm.m</t>
    </r>
    <r>
      <rPr>
        <vertAlign val="superscript"/>
        <sz val="11"/>
        <rFont val="Calibri"/>
        <family val="2"/>
        <scheme val="minor"/>
      </rPr>
      <t>-3</t>
    </r>
    <r>
      <rPr>
        <sz val="11"/>
        <rFont val="Calibri"/>
        <family val="2"/>
        <scheme val="minor"/>
      </rPr>
      <t>.m</t>
    </r>
    <r>
      <rPr>
        <vertAlign val="superscript"/>
        <sz val="11"/>
        <rFont val="Calibri"/>
        <family val="2"/>
        <scheme val="minor"/>
      </rPr>
      <t>3</t>
    </r>
  </si>
  <si>
    <r>
      <t>%.v.v</t>
    </r>
    <r>
      <rPr>
        <vertAlign val="superscript"/>
        <sz val="11"/>
        <rFont val="Calibri"/>
        <family val="2"/>
        <scheme val="minor"/>
      </rPr>
      <t>-1</t>
    </r>
  </si>
  <si>
    <t>Conversion coefficient between secs and days</t>
  </si>
  <si>
    <r>
      <t>s.d</t>
    </r>
    <r>
      <rPr>
        <vertAlign val="superscript"/>
        <sz val="11"/>
        <rFont val="Calibri"/>
        <family val="2"/>
        <scheme val="minor"/>
      </rPr>
      <t>-1</t>
    </r>
  </si>
  <si>
    <r>
      <t>c</t>
    </r>
    <r>
      <rPr>
        <vertAlign val="subscript"/>
        <sz val="11"/>
        <rFont val="Calibri"/>
        <family val="2"/>
        <scheme val="minor"/>
      </rPr>
      <t>s,h</t>
    </r>
  </si>
  <si>
    <t>Conversion coefficient between seconds and hours</t>
  </si>
  <si>
    <r>
      <t>s.h</t>
    </r>
    <r>
      <rPr>
        <vertAlign val="superscript"/>
        <sz val="11"/>
        <rFont val="Calibri"/>
        <family val="2"/>
        <scheme val="minor"/>
      </rPr>
      <t>-1</t>
    </r>
  </si>
  <si>
    <r>
      <t>c</t>
    </r>
    <r>
      <rPr>
        <vertAlign val="subscript"/>
        <sz val="11"/>
        <rFont val="Calibri"/>
        <family val="2"/>
        <scheme val="minor"/>
      </rPr>
      <t>min,h</t>
    </r>
  </si>
  <si>
    <t>Conversion coefficient between minutes and hours</t>
  </si>
  <si>
    <r>
      <t>min.h</t>
    </r>
    <r>
      <rPr>
        <vertAlign val="superscript"/>
        <sz val="11"/>
        <rFont val="Calibri"/>
        <family val="2"/>
        <scheme val="minor"/>
      </rPr>
      <t>-1</t>
    </r>
  </si>
  <si>
    <r>
      <t>c</t>
    </r>
    <r>
      <rPr>
        <vertAlign val="subscript"/>
        <sz val="11"/>
        <rFont val="Calibri"/>
        <family val="2"/>
        <scheme val="minor"/>
      </rPr>
      <t>h,d</t>
    </r>
  </si>
  <si>
    <t>Conversion coefficient between hours and days</t>
  </si>
  <si>
    <r>
      <t>h.d</t>
    </r>
    <r>
      <rPr>
        <vertAlign val="superscript"/>
        <sz val="11"/>
        <rFont val="Calibri"/>
        <family val="2"/>
        <scheme val="minor"/>
      </rPr>
      <t>-1</t>
    </r>
  </si>
  <si>
    <r>
      <t>c</t>
    </r>
    <r>
      <rPr>
        <vertAlign val="subscript"/>
        <sz val="11"/>
        <rFont val="Calibri"/>
        <family val="2"/>
        <scheme val="minor"/>
      </rPr>
      <t>ms,d</t>
    </r>
  </si>
  <si>
    <t>Conversion coefficient between milliseconds and days</t>
  </si>
  <si>
    <r>
      <t>ms.d</t>
    </r>
    <r>
      <rPr>
        <vertAlign val="superscript"/>
        <sz val="11"/>
        <rFont val="Calibri"/>
        <family val="2"/>
        <scheme val="minor"/>
      </rPr>
      <t>-1</t>
    </r>
  </si>
  <si>
    <r>
      <t>c</t>
    </r>
    <r>
      <rPr>
        <vertAlign val="subscript"/>
        <sz val="11"/>
        <rFont val="Calibri"/>
        <family val="2"/>
        <scheme val="minor"/>
      </rPr>
      <t>ms,min</t>
    </r>
  </si>
  <si>
    <t>Conversion coefficient between milliseconds and minutes</t>
  </si>
  <si>
    <r>
      <t>ms.min</t>
    </r>
    <r>
      <rPr>
        <vertAlign val="superscript"/>
        <sz val="11"/>
        <rFont val="Calibri"/>
        <family val="2"/>
        <scheme val="minor"/>
      </rPr>
      <t>-1</t>
    </r>
  </si>
  <si>
    <r>
      <t>c</t>
    </r>
    <r>
      <rPr>
        <vertAlign val="subscript"/>
        <sz val="11"/>
        <rFont val="Calibri"/>
        <family val="2"/>
        <scheme val="minor"/>
      </rPr>
      <t>ms,s</t>
    </r>
  </si>
  <si>
    <t>Conversion coefficient between milliseconds and seconds</t>
  </si>
  <si>
    <r>
      <t>ms.s</t>
    </r>
    <r>
      <rPr>
        <vertAlign val="superscript"/>
        <sz val="11"/>
        <rFont val="Calibri"/>
        <family val="2"/>
        <scheme val="minor"/>
      </rPr>
      <t>-1</t>
    </r>
  </si>
  <si>
    <r>
      <t>mg.g</t>
    </r>
    <r>
      <rPr>
        <vertAlign val="superscript"/>
        <sz val="11"/>
        <rFont val="Calibri"/>
        <family val="2"/>
        <scheme val="minor"/>
      </rPr>
      <t>-1</t>
    </r>
  </si>
  <si>
    <r>
      <t>g.kg</t>
    </r>
    <r>
      <rPr>
        <vertAlign val="superscript"/>
        <sz val="11"/>
        <rFont val="Calibri"/>
        <family val="2"/>
        <scheme val="minor"/>
      </rPr>
      <t>-1</t>
    </r>
  </si>
  <si>
    <t>Conversion coefficient between liters and cubic meters</t>
  </si>
  <si>
    <r>
      <t>L.m</t>
    </r>
    <r>
      <rPr>
        <vertAlign val="superscript"/>
        <sz val="11"/>
        <rFont val="Calibri"/>
        <family val="2"/>
        <scheme val="minor"/>
      </rPr>
      <t>-3</t>
    </r>
  </si>
  <si>
    <r>
      <t>c</t>
    </r>
    <r>
      <rPr>
        <vertAlign val="subscript"/>
        <sz val="11"/>
        <rFont val="Calibri"/>
        <family val="2"/>
        <scheme val="minor"/>
      </rPr>
      <t>kJ,MJ</t>
    </r>
  </si>
  <si>
    <t>Conversion coefficient between kilojoules and megajoules</t>
  </si>
  <si>
    <r>
      <t>kJ.MJ</t>
    </r>
    <r>
      <rPr>
        <vertAlign val="superscript"/>
        <sz val="11"/>
        <rFont val="Calibri"/>
        <family val="2"/>
        <scheme val="minor"/>
      </rPr>
      <t>-1</t>
    </r>
  </si>
  <si>
    <t>Conversion coefficient between pascal and Hgmm</t>
  </si>
  <si>
    <r>
      <t>Pa.Hgmm</t>
    </r>
    <r>
      <rPr>
        <vertAlign val="superscript"/>
        <sz val="11"/>
        <rFont val="Calibri"/>
        <family val="2"/>
        <scheme val="minor"/>
      </rPr>
      <t>-1</t>
    </r>
  </si>
  <si>
    <t>Conversion coefficient between pascal and bar</t>
  </si>
  <si>
    <r>
      <t>Pa.bar</t>
    </r>
    <r>
      <rPr>
        <vertAlign val="superscript"/>
        <sz val="11"/>
        <rFont val="Calibri"/>
        <family val="2"/>
        <scheme val="minor"/>
      </rPr>
      <t>-1</t>
    </r>
  </si>
  <si>
    <r>
      <t>c</t>
    </r>
    <r>
      <rPr>
        <vertAlign val="subscript"/>
        <sz val="11"/>
        <rFont val="Calibri"/>
        <family val="2"/>
        <scheme val="minor"/>
      </rPr>
      <t>cm,m</t>
    </r>
  </si>
  <si>
    <t>Conversion coefficient between centimeters and meters</t>
  </si>
  <si>
    <r>
      <t>cm</t>
    </r>
    <r>
      <rPr>
        <vertAlign val="superscript"/>
        <sz val="11"/>
        <rFont val="Calibri"/>
        <family val="2"/>
        <scheme val="minor"/>
      </rPr>
      <t>2</t>
    </r>
    <r>
      <rPr>
        <sz val="11"/>
        <rFont val="Calibri"/>
        <family val="2"/>
        <scheme val="minor"/>
      </rPr>
      <t>.m</t>
    </r>
    <r>
      <rPr>
        <vertAlign val="superscript"/>
        <sz val="11"/>
        <rFont val="Calibri"/>
        <family val="2"/>
        <scheme val="minor"/>
      </rPr>
      <t>-2</t>
    </r>
  </si>
  <si>
    <t>Conversion coefficient between square centimeters and square meters</t>
  </si>
  <si>
    <r>
      <t>c</t>
    </r>
    <r>
      <rPr>
        <vertAlign val="subscript"/>
        <sz val="11"/>
        <rFont val="Calibri"/>
        <family val="2"/>
        <scheme val="minor"/>
      </rPr>
      <t>cm3,m3</t>
    </r>
  </si>
  <si>
    <t>Conversion coefficient between cubic centimeters and cubic meters</t>
  </si>
  <si>
    <r>
      <t>cm</t>
    </r>
    <r>
      <rPr>
        <vertAlign val="superscript"/>
        <sz val="11"/>
        <rFont val="Calibri"/>
        <family val="2"/>
        <scheme val="minor"/>
      </rPr>
      <t>3</t>
    </r>
    <r>
      <rPr>
        <sz val="11"/>
        <rFont val="Calibri"/>
        <family val="2"/>
        <scheme val="minor"/>
      </rPr>
      <t>.m</t>
    </r>
    <r>
      <rPr>
        <vertAlign val="superscript"/>
        <sz val="11"/>
        <rFont val="Calibri"/>
        <family val="2"/>
        <scheme val="minor"/>
      </rPr>
      <t>-3</t>
    </r>
  </si>
  <si>
    <r>
      <t>J.mol</t>
    </r>
    <r>
      <rPr>
        <vertAlign val="superscript"/>
        <sz val="11"/>
        <rFont val="Calibri"/>
        <family val="2"/>
        <scheme val="minor"/>
      </rPr>
      <t>-1</t>
    </r>
  </si>
  <si>
    <r>
      <t>H</t>
    </r>
    <r>
      <rPr>
        <vertAlign val="subscript"/>
        <sz val="11"/>
        <rFont val="Calibri"/>
        <family val="2"/>
        <scheme val="minor"/>
      </rPr>
      <t>H2S</t>
    </r>
  </si>
  <si>
    <t>Standard enthalpy of hydrogen sulfide (aq)</t>
  </si>
  <si>
    <r>
      <t>H</t>
    </r>
    <r>
      <rPr>
        <vertAlign val="subscript"/>
        <sz val="11"/>
        <rFont val="Calibri"/>
        <family val="2"/>
        <scheme val="minor"/>
      </rPr>
      <t>HSm</t>
    </r>
  </si>
  <si>
    <t>Standard enthalpy of bisulfide ion</t>
  </si>
  <si>
    <t xml:space="preserve">Minteq V4 H+ + HS- = H2S  (log_k 7.02/ delta_h -22 kJ)and  HS- = S-2 + H+ ( log_k -17.3/delta_h 49.4 kJ)
</t>
  </si>
  <si>
    <r>
      <t>H</t>
    </r>
    <r>
      <rPr>
        <vertAlign val="subscript"/>
        <sz val="11"/>
        <rFont val="Calibri"/>
        <family val="2"/>
        <scheme val="minor"/>
      </rPr>
      <t>S2m</t>
    </r>
  </si>
  <si>
    <t>Standard enthalpy of sulfide ion</t>
  </si>
  <si>
    <r>
      <t>H</t>
    </r>
    <r>
      <rPr>
        <vertAlign val="subscript"/>
        <sz val="11"/>
        <rFont val="Calibri"/>
        <family val="2"/>
        <scheme val="minor"/>
      </rPr>
      <t>H2SO4</t>
    </r>
  </si>
  <si>
    <t>Standard enthalpy of sulfuric acid</t>
  </si>
  <si>
    <r>
      <t>H</t>
    </r>
    <r>
      <rPr>
        <vertAlign val="subscript"/>
        <sz val="11"/>
        <rFont val="Calibri"/>
        <family val="2"/>
        <scheme val="minor"/>
      </rPr>
      <t>HSO4m</t>
    </r>
  </si>
  <si>
    <t>Standard enthalpy of hydrosulfate ion</t>
  </si>
  <si>
    <t>Minteq V4 H+ + SO42- = HSO4- (log_k 1.99/ delta_h 22 kJ) and http://bluedevilchem.com/honorshome/hch10/hch10docs/files/heatsformation.pdf</t>
  </si>
  <si>
    <r>
      <t>H</t>
    </r>
    <r>
      <rPr>
        <vertAlign val="subscript"/>
        <sz val="11"/>
        <rFont val="Calibri"/>
        <family val="2"/>
        <scheme val="minor"/>
      </rPr>
      <t>SO42m</t>
    </r>
  </si>
  <si>
    <t>Standard enthalpy of sulfate ion</t>
  </si>
  <si>
    <r>
      <t>H</t>
    </r>
    <r>
      <rPr>
        <vertAlign val="subscript"/>
        <sz val="11"/>
        <rFont val="Calibri"/>
        <family val="2"/>
        <scheme val="minor"/>
      </rPr>
      <t>Ca2p</t>
    </r>
  </si>
  <si>
    <t>Standard enthalpy of calcium ion</t>
  </si>
  <si>
    <r>
      <t>H</t>
    </r>
    <r>
      <rPr>
        <vertAlign val="subscript"/>
        <sz val="11"/>
        <rFont val="Calibri"/>
        <family val="2"/>
        <scheme val="minor"/>
      </rPr>
      <t>Mg2p</t>
    </r>
  </si>
  <si>
    <t>Standard enthalpy of Magnesium ion</t>
  </si>
  <si>
    <r>
      <t>H</t>
    </r>
    <r>
      <rPr>
        <vertAlign val="subscript"/>
        <sz val="11"/>
        <rFont val="Calibri"/>
        <family val="2"/>
        <scheme val="minor"/>
      </rPr>
      <t>Nap</t>
    </r>
  </si>
  <si>
    <t>Standard enthalpy of sodium ion</t>
  </si>
  <si>
    <t>Standard enthalpy change of reactions</t>
  </si>
  <si>
    <t>Formula</t>
  </si>
  <si>
    <r>
      <t>dH</t>
    </r>
    <r>
      <rPr>
        <vertAlign val="subscript"/>
        <sz val="11"/>
        <rFont val="Calibri"/>
        <family val="2"/>
        <scheme val="minor"/>
      </rPr>
      <t>diss,H2O</t>
    </r>
  </si>
  <si>
    <t>Standard enthalpy change of dissociation of water</t>
  </si>
  <si>
    <r>
      <t>(H</t>
    </r>
    <r>
      <rPr>
        <vertAlign val="subscript"/>
        <sz val="11"/>
        <rFont val="Calibri"/>
        <family val="2"/>
        <scheme val="minor"/>
      </rPr>
      <t>OHm</t>
    </r>
    <r>
      <rPr>
        <sz val="11"/>
        <rFont val="Calibri"/>
        <family val="2"/>
        <scheme val="minor"/>
      </rPr>
      <t xml:space="preserve"> + H</t>
    </r>
    <r>
      <rPr>
        <vertAlign val="subscript"/>
        <sz val="11"/>
        <rFont val="Calibri"/>
        <family val="2"/>
        <scheme val="minor"/>
      </rPr>
      <t>Hp</t>
    </r>
    <r>
      <rPr>
        <sz val="11"/>
        <rFont val="Calibri"/>
        <family val="2"/>
        <scheme val="minor"/>
      </rPr>
      <t>) - H</t>
    </r>
    <r>
      <rPr>
        <vertAlign val="subscript"/>
        <sz val="11"/>
        <rFont val="Calibri"/>
        <family val="2"/>
        <scheme val="minor"/>
      </rPr>
      <t>H2O</t>
    </r>
  </si>
  <si>
    <r>
      <t>dH</t>
    </r>
    <r>
      <rPr>
        <vertAlign val="subscript"/>
        <sz val="11"/>
        <rFont val="Calibri"/>
        <family val="2"/>
        <scheme val="minor"/>
      </rPr>
      <t>ion,amm</t>
    </r>
  </si>
  <si>
    <t>Standard enthalpy change of ammonia ionization</t>
  </si>
  <si>
    <r>
      <t>(H</t>
    </r>
    <r>
      <rPr>
        <vertAlign val="subscript"/>
        <sz val="11"/>
        <rFont val="Calibri"/>
        <family val="2"/>
        <scheme val="minor"/>
      </rPr>
      <t>NH4p</t>
    </r>
    <r>
      <rPr>
        <sz val="11"/>
        <rFont val="Calibri"/>
        <family val="2"/>
        <scheme val="minor"/>
      </rPr>
      <t xml:space="preserve"> + H</t>
    </r>
    <r>
      <rPr>
        <vertAlign val="subscript"/>
        <sz val="11"/>
        <rFont val="Calibri"/>
        <family val="2"/>
        <scheme val="minor"/>
      </rPr>
      <t>OHm</t>
    </r>
    <r>
      <rPr>
        <sz val="11"/>
        <rFont val="Calibri"/>
        <family val="2"/>
        <scheme val="minor"/>
      </rPr>
      <t>) - (H</t>
    </r>
    <r>
      <rPr>
        <vertAlign val="subscript"/>
        <sz val="11"/>
        <rFont val="Calibri"/>
        <family val="2"/>
        <scheme val="minor"/>
      </rPr>
      <t>NH3</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</si>
  <si>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rPr>
      <t>diss,NO2</t>
    </r>
  </si>
  <si>
    <t>Standard enthalpy change of nitrite dissociation</t>
  </si>
  <si>
    <r>
      <t>(H</t>
    </r>
    <r>
      <rPr>
        <vertAlign val="subscript"/>
        <sz val="11"/>
        <rFont val="Calibri"/>
        <family val="2"/>
      </rPr>
      <t>H3Op</t>
    </r>
    <r>
      <rPr>
        <sz val="11"/>
        <rFont val="Calibri"/>
        <family val="2"/>
      </rPr>
      <t xml:space="preserve"> + H</t>
    </r>
    <r>
      <rPr>
        <vertAlign val="subscript"/>
        <sz val="11"/>
        <rFont val="Calibri"/>
        <family val="2"/>
      </rPr>
      <t>NO2m</t>
    </r>
    <r>
      <rPr>
        <sz val="11"/>
        <rFont val="Calibri"/>
        <family val="2"/>
      </rPr>
      <t>) - (H</t>
    </r>
    <r>
      <rPr>
        <vertAlign val="subscript"/>
        <sz val="11"/>
        <rFont val="Calibri"/>
        <family val="2"/>
      </rPr>
      <t>HNO2</t>
    </r>
    <r>
      <rPr>
        <sz val="11"/>
        <rFont val="Calibri"/>
        <family val="2"/>
      </rPr>
      <t xml:space="preserve"> + H</t>
    </r>
    <r>
      <rPr>
        <vertAlign val="subscript"/>
        <sz val="11"/>
        <rFont val="Calibri"/>
        <family val="2"/>
      </rPr>
      <t>H2O</t>
    </r>
    <r>
      <rPr>
        <sz val="11"/>
        <rFont val="Calibri"/>
        <family val="2"/>
      </rPr>
      <t>)</t>
    </r>
  </si>
  <si>
    <r>
      <t>dH</t>
    </r>
    <r>
      <rPr>
        <vertAlign val="subscript"/>
        <sz val="11"/>
        <rFont val="Calibri"/>
        <family val="2"/>
        <scheme val="minor"/>
      </rPr>
      <t>diss,CO2,1</t>
    </r>
  </si>
  <si>
    <t>Standard enthalpy change of carbonate dissociation, first step</t>
  </si>
  <si>
    <r>
      <t>(H</t>
    </r>
    <r>
      <rPr>
        <vertAlign val="subscript"/>
        <sz val="11"/>
        <rFont val="Calibri"/>
        <family val="2"/>
        <scheme val="minor"/>
      </rPr>
      <t>HCO3m</t>
    </r>
    <r>
      <rPr>
        <sz val="11"/>
        <rFont val="Calibri"/>
        <family val="2"/>
        <scheme val="minor"/>
      </rPr>
      <t xml:space="preserve"> + H</t>
    </r>
    <r>
      <rPr>
        <vertAlign val="subscript"/>
        <sz val="11"/>
        <rFont val="Calibri"/>
        <family val="2"/>
        <scheme val="minor"/>
      </rPr>
      <t>Hp</t>
    </r>
    <r>
      <rPr>
        <sz val="11"/>
        <rFont val="Calibri"/>
        <family val="2"/>
        <scheme val="minor"/>
      </rPr>
      <t>) - H</t>
    </r>
    <r>
      <rPr>
        <vertAlign val="subscript"/>
        <sz val="11"/>
        <rFont val="Calibri"/>
        <family val="2"/>
        <scheme val="minor"/>
      </rPr>
      <t>H2CO3</t>
    </r>
  </si>
  <si>
    <r>
      <t>dH</t>
    </r>
    <r>
      <rPr>
        <vertAlign val="subscript"/>
        <sz val="11"/>
        <rFont val="Calibri"/>
        <family val="2"/>
        <scheme val="minor"/>
      </rPr>
      <t>diss,CO2,2</t>
    </r>
  </si>
  <si>
    <t>Standard enthalpy change of carbonate dissociation, second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</si>
  <si>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CO32m</t>
    </r>
    <r>
      <rPr>
        <sz val="11"/>
        <rFont val="Calibri"/>
        <family val="2"/>
        <scheme val="minor"/>
      </rPr>
      <t>) - (H</t>
    </r>
    <r>
      <rPr>
        <vertAlign val="subscript"/>
        <sz val="11"/>
        <rFont val="Calibri"/>
        <family val="2"/>
        <scheme val="minor"/>
      </rPr>
      <t>HCO3m</t>
    </r>
    <r>
      <rPr>
        <sz val="11"/>
        <rFont val="Calibri"/>
        <family val="2"/>
        <scheme val="minor"/>
      </rPr>
      <t>)</t>
    </r>
  </si>
  <si>
    <r>
      <t>dH</t>
    </r>
    <r>
      <rPr>
        <vertAlign val="subscript"/>
        <sz val="11"/>
        <rFont val="Calibri"/>
        <family val="2"/>
        <scheme val="minor"/>
      </rPr>
      <t>diss,PO4,1</t>
    </r>
  </si>
  <si>
    <t>Standard enthalpy change of phosphate dissociation, first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</si>
  <si>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H2PO4m</t>
    </r>
    <r>
      <rPr>
        <sz val="11"/>
        <rFont val="Calibri"/>
        <family val="2"/>
        <scheme val="minor"/>
      </rPr>
      <t>) - (H</t>
    </r>
    <r>
      <rPr>
        <vertAlign val="subscript"/>
        <sz val="11"/>
        <rFont val="Calibri"/>
        <family val="2"/>
        <scheme val="minor"/>
      </rPr>
      <t>H3PO4</t>
    </r>
    <r>
      <rPr>
        <sz val="11"/>
        <rFont val="Calibri"/>
        <family val="2"/>
        <scheme val="minor"/>
      </rPr>
      <t>)</t>
    </r>
  </si>
  <si>
    <r>
      <t>dH</t>
    </r>
    <r>
      <rPr>
        <vertAlign val="subscript"/>
        <sz val="11"/>
        <rFont val="Calibri"/>
        <family val="2"/>
        <scheme val="minor"/>
      </rPr>
      <t>diss,PO4,2</t>
    </r>
  </si>
  <si>
    <t>Standard enthalpy change of phosphate dissociation, second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</si>
  <si>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HPO42m</t>
    </r>
    <r>
      <rPr>
        <sz val="11"/>
        <rFont val="Calibri"/>
        <family val="2"/>
        <scheme val="minor"/>
      </rPr>
      <t>) - (H</t>
    </r>
    <r>
      <rPr>
        <vertAlign val="subscript"/>
        <sz val="11"/>
        <rFont val="Calibri"/>
        <family val="2"/>
        <scheme val="minor"/>
      </rPr>
      <t>H2PO4m</t>
    </r>
    <r>
      <rPr>
        <sz val="11"/>
        <rFont val="Calibri"/>
        <family val="2"/>
        <scheme val="minor"/>
      </rPr>
      <t>)</t>
    </r>
  </si>
  <si>
    <r>
      <t>dH</t>
    </r>
    <r>
      <rPr>
        <vertAlign val="subscript"/>
        <sz val="11"/>
        <rFont val="Calibri"/>
        <family val="2"/>
        <scheme val="minor"/>
      </rPr>
      <t>diss,PO4,3</t>
    </r>
  </si>
  <si>
    <t>Standard enthalpy change of phosphate dissociation, third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</si>
  <si>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PO43m</t>
    </r>
    <r>
      <rPr>
        <sz val="11"/>
        <rFont val="Calibri"/>
        <family val="2"/>
        <scheme val="minor"/>
      </rPr>
      <t>) - (H</t>
    </r>
    <r>
      <rPr>
        <vertAlign val="subscript"/>
        <sz val="11"/>
        <rFont val="Calibri"/>
        <family val="2"/>
        <scheme val="minor"/>
      </rPr>
      <t>HPO42m</t>
    </r>
    <r>
      <rPr>
        <sz val="11"/>
        <rFont val="Calibri"/>
        <family val="2"/>
        <scheme val="minor"/>
      </rPr>
      <t>)</t>
    </r>
  </si>
  <si>
    <r>
      <t>dH</t>
    </r>
    <r>
      <rPr>
        <vertAlign val="subscript"/>
        <sz val="11"/>
        <rFont val="Calibri"/>
        <family val="2"/>
        <scheme val="minor"/>
      </rPr>
      <t>diss,VFA</t>
    </r>
  </si>
  <si>
    <t>Standard enthalpy change of VFA dissociation</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</si>
  <si>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Acm</t>
    </r>
    <r>
      <rPr>
        <sz val="11"/>
        <rFont val="Calibri"/>
        <family val="2"/>
        <scheme val="minor"/>
      </rPr>
      <t>) - (H</t>
    </r>
    <r>
      <rPr>
        <vertAlign val="subscript"/>
        <sz val="11"/>
        <rFont val="Calibri"/>
        <family val="2"/>
        <scheme val="minor"/>
      </rPr>
      <t>HAc</t>
    </r>
    <r>
      <rPr>
        <sz val="11"/>
        <rFont val="Calibri"/>
        <family val="2"/>
        <scheme val="minor"/>
      </rPr>
      <t>)</t>
    </r>
  </si>
  <si>
    <r>
      <t>dH</t>
    </r>
    <r>
      <rPr>
        <vertAlign val="subscript"/>
        <sz val="11"/>
        <rFont val="Calibri"/>
        <family val="2"/>
        <scheme val="minor"/>
      </rPr>
      <t>diss,S,1</t>
    </r>
  </si>
  <si>
    <t>Standard enthalpy change of sulfide dissociation, first step</t>
  </si>
  <si>
    <r>
      <t>(H</t>
    </r>
    <r>
      <rPr>
        <vertAlign val="subscript"/>
        <sz val="11"/>
        <rFont val="Calibri"/>
        <family val="2"/>
        <scheme val="minor"/>
      </rPr>
      <t>HSm</t>
    </r>
    <r>
      <rPr>
        <sz val="11"/>
        <rFont val="Calibri"/>
        <family val="2"/>
        <scheme val="minor"/>
      </rPr>
      <t xml:space="preserve"> + H</t>
    </r>
    <r>
      <rPr>
        <vertAlign val="subscript"/>
        <sz val="11"/>
        <rFont val="Calibri"/>
        <family val="2"/>
        <scheme val="minor"/>
      </rPr>
      <t>H3Op</t>
    </r>
    <r>
      <rPr>
        <sz val="11"/>
        <rFont val="Calibri"/>
        <family val="2"/>
        <scheme val="minor"/>
      </rPr>
      <t>) - (H</t>
    </r>
    <r>
      <rPr>
        <vertAlign val="subscript"/>
        <sz val="11"/>
        <rFont val="Calibri"/>
        <family val="2"/>
        <scheme val="minor"/>
      </rPr>
      <t>H2S</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</si>
  <si>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diss,S,2</t>
    </r>
  </si>
  <si>
    <t>Standard enthalpy change of sulfide dissociation, second step</t>
  </si>
  <si>
    <r>
      <t>(H</t>
    </r>
    <r>
      <rPr>
        <vertAlign val="subscript"/>
        <sz val="11"/>
        <rFont val="Calibri"/>
        <family val="2"/>
        <scheme val="minor"/>
      </rPr>
      <t>H3Op</t>
    </r>
    <r>
      <rPr>
        <sz val="11"/>
        <rFont val="Calibri"/>
        <family val="2"/>
        <scheme val="minor"/>
      </rPr>
      <t xml:space="preserve"> + H</t>
    </r>
    <r>
      <rPr>
        <vertAlign val="subscript"/>
        <sz val="11"/>
        <rFont val="Calibri"/>
        <family val="2"/>
        <scheme val="minor"/>
      </rPr>
      <t>S2m</t>
    </r>
    <r>
      <rPr>
        <sz val="11"/>
        <rFont val="Calibri"/>
        <family val="2"/>
        <scheme val="minor"/>
      </rPr>
      <t>) - (H</t>
    </r>
    <r>
      <rPr>
        <vertAlign val="subscript"/>
        <sz val="11"/>
        <rFont val="Calibri"/>
        <family val="2"/>
        <scheme val="minor"/>
      </rPr>
      <t>HSm</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</si>
  <si>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diss,SO4,1</t>
    </r>
  </si>
  <si>
    <t>Standard enthalpy change of sulfate dissociation, first step</t>
  </si>
  <si>
    <r>
      <t>(H</t>
    </r>
    <r>
      <rPr>
        <vertAlign val="subscript"/>
        <sz val="11"/>
        <rFont val="Calibri"/>
        <family val="2"/>
        <scheme val="minor"/>
      </rPr>
      <t>HSO4m</t>
    </r>
    <r>
      <rPr>
        <sz val="11"/>
        <rFont val="Calibri"/>
        <family val="2"/>
        <scheme val="minor"/>
      </rPr>
      <t xml:space="preserve"> + H</t>
    </r>
    <r>
      <rPr>
        <vertAlign val="subscript"/>
        <sz val="11"/>
        <rFont val="Calibri"/>
        <family val="2"/>
        <scheme val="minor"/>
      </rPr>
      <t>H3Op</t>
    </r>
    <r>
      <rPr>
        <sz val="11"/>
        <rFont val="Calibri"/>
        <family val="2"/>
        <scheme val="minor"/>
      </rPr>
      <t>) - (H</t>
    </r>
    <r>
      <rPr>
        <vertAlign val="subscript"/>
        <sz val="11"/>
        <rFont val="Calibri"/>
        <family val="2"/>
        <scheme val="minor"/>
      </rPr>
      <t>H2SO4</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</si>
  <si>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diss,SO4,2</t>
    </r>
  </si>
  <si>
    <t>Standard enthalpy change of sulfate dissociation, second step</t>
  </si>
  <si>
    <r>
      <t>(H</t>
    </r>
    <r>
      <rPr>
        <vertAlign val="subscript"/>
        <sz val="11"/>
        <rFont val="Calibri"/>
        <family val="2"/>
        <scheme val="minor"/>
      </rPr>
      <t>H3Op</t>
    </r>
    <r>
      <rPr>
        <sz val="11"/>
        <rFont val="Calibri"/>
        <family val="2"/>
        <scheme val="minor"/>
      </rPr>
      <t xml:space="preserve"> + H</t>
    </r>
    <r>
      <rPr>
        <vertAlign val="subscript"/>
        <sz val="11"/>
        <rFont val="Calibri"/>
        <family val="2"/>
        <scheme val="minor"/>
      </rPr>
      <t>SO42m</t>
    </r>
    <r>
      <rPr>
        <sz val="11"/>
        <rFont val="Calibri"/>
        <family val="2"/>
        <scheme val="minor"/>
      </rPr>
      <t>) - (H</t>
    </r>
    <r>
      <rPr>
        <vertAlign val="subscript"/>
        <sz val="11"/>
        <rFont val="Calibri"/>
        <family val="2"/>
        <scheme val="minor"/>
      </rPr>
      <t>HSO4m</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</si>
  <si>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CaOHp</t>
    </r>
  </si>
  <si>
    <r>
      <t>Standard enthalpy change for ion pairing of CaOH</t>
    </r>
    <r>
      <rPr>
        <vertAlign val="superscript"/>
        <sz val="11"/>
        <rFont val="Calibri"/>
        <family val="2"/>
        <scheme val="minor"/>
      </rPr>
      <t>+</t>
    </r>
  </si>
  <si>
    <r>
      <t>dH</t>
    </r>
    <r>
      <rPr>
        <vertAlign val="subscript"/>
        <sz val="11"/>
        <rFont val="Calibri"/>
        <family val="2"/>
        <scheme val="minor"/>
      </rPr>
      <t>CaCO3</t>
    </r>
  </si>
  <si>
    <r>
      <t>Standard enthalpy change for ion pairing of CaCO</t>
    </r>
    <r>
      <rPr>
        <vertAlign val="subscript"/>
        <sz val="11"/>
        <rFont val="Calibri"/>
        <family val="2"/>
        <scheme val="minor"/>
      </rPr>
      <t>3</t>
    </r>
  </si>
  <si>
    <r>
      <t>dH</t>
    </r>
    <r>
      <rPr>
        <vertAlign val="subscript"/>
        <sz val="11"/>
        <rFont val="Calibri"/>
        <family val="2"/>
        <scheme val="minor"/>
      </rPr>
      <t>CaHCO3p</t>
    </r>
  </si>
  <si>
    <r>
      <t>Standard enthalpy change for ion pairing of CaHCO</t>
    </r>
    <r>
      <rPr>
        <vertAlign val="subscript"/>
        <sz val="11"/>
        <rFont val="Calibri"/>
        <family val="2"/>
        <scheme val="minor"/>
      </rPr>
      <t>3</t>
    </r>
    <r>
      <rPr>
        <vertAlign val="superscript"/>
        <sz val="11"/>
        <rFont val="Calibri"/>
        <family val="2"/>
        <scheme val="minor"/>
      </rPr>
      <t>+</t>
    </r>
  </si>
  <si>
    <r>
      <t>dH</t>
    </r>
    <r>
      <rPr>
        <vertAlign val="subscript"/>
        <sz val="11"/>
        <rFont val="Calibri"/>
        <family val="2"/>
        <scheme val="minor"/>
      </rPr>
      <t>CaPO4m</t>
    </r>
  </si>
  <si>
    <r>
      <t>Standard enthalpy change for ion pairing of CaPO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</si>
  <si>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CaHPO4</t>
    </r>
  </si>
  <si>
    <r>
      <t>Standard enthalpy change for ion pairing of CaHPO</t>
    </r>
    <r>
      <rPr>
        <vertAlign val="subscript"/>
        <sz val="11"/>
        <rFont val="Calibri"/>
        <family val="2"/>
        <scheme val="minor"/>
      </rPr>
      <t>4</t>
    </r>
  </si>
  <si>
    <r>
      <t>dH</t>
    </r>
    <r>
      <rPr>
        <vertAlign val="subscript"/>
        <sz val="11"/>
        <rFont val="Calibri"/>
        <family val="2"/>
        <scheme val="minor"/>
      </rPr>
      <t>CaH2PO4p</t>
    </r>
  </si>
  <si>
    <r>
      <t>Standard enthalpy change for ion pairing of CaH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</si>
  <si>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MgOHp</t>
    </r>
  </si>
  <si>
    <r>
      <t>Standard enthalpy change for ion pairing of MgOH</t>
    </r>
    <r>
      <rPr>
        <vertAlign val="superscript"/>
        <sz val="11"/>
        <rFont val="Calibri"/>
        <family val="2"/>
        <scheme val="minor"/>
      </rPr>
      <t>+</t>
    </r>
  </si>
  <si>
    <r>
      <t>dH</t>
    </r>
    <r>
      <rPr>
        <vertAlign val="subscript"/>
        <sz val="11"/>
        <rFont val="Calibri"/>
        <family val="2"/>
        <scheme val="minor"/>
      </rPr>
      <t>MgCO3</t>
    </r>
  </si>
  <si>
    <r>
      <t>Standard enthalpy change for ion pairing of MgCO</t>
    </r>
    <r>
      <rPr>
        <vertAlign val="subscript"/>
        <sz val="11"/>
        <rFont val="Calibri"/>
        <family val="2"/>
        <scheme val="minor"/>
      </rPr>
      <t>3</t>
    </r>
  </si>
  <si>
    <r>
      <t>dH</t>
    </r>
    <r>
      <rPr>
        <vertAlign val="subscript"/>
        <sz val="11"/>
        <rFont val="Calibri"/>
        <family val="2"/>
        <scheme val="minor"/>
      </rPr>
      <t>MgHCO3p</t>
    </r>
  </si>
  <si>
    <r>
      <t>Standard enthalpy change for ion pairing of MgHCO</t>
    </r>
    <r>
      <rPr>
        <vertAlign val="subscript"/>
        <sz val="11"/>
        <rFont val="Calibri"/>
        <family val="2"/>
        <scheme val="minor"/>
      </rPr>
      <t>3</t>
    </r>
    <r>
      <rPr>
        <vertAlign val="superscript"/>
        <sz val="11"/>
        <rFont val="Calibri"/>
        <family val="2"/>
        <scheme val="minor"/>
      </rPr>
      <t>+</t>
    </r>
  </si>
  <si>
    <r>
      <t>dH</t>
    </r>
    <r>
      <rPr>
        <vertAlign val="subscript"/>
        <sz val="11"/>
        <rFont val="Calibri"/>
        <family val="2"/>
        <scheme val="minor"/>
      </rPr>
      <t>MgHPO4</t>
    </r>
  </si>
  <si>
    <r>
      <t>Standard enthalpy change for ion pairing of MgHPO</t>
    </r>
    <r>
      <rPr>
        <vertAlign val="subscript"/>
        <sz val="11"/>
        <rFont val="Calibri"/>
        <family val="2"/>
        <scheme val="minor"/>
      </rPr>
      <t>4</t>
    </r>
  </si>
  <si>
    <r>
      <t>dH</t>
    </r>
    <r>
      <rPr>
        <vertAlign val="subscript"/>
        <sz val="11"/>
        <rFont val="Calibri"/>
        <family val="2"/>
        <scheme val="minor"/>
      </rPr>
      <t>MgPO4m</t>
    </r>
  </si>
  <si>
    <r>
      <t>Standard enthalpy change for ion pairing of MgPO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</si>
  <si>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MgH2PO4p</t>
    </r>
  </si>
  <si>
    <r>
      <t>Standard enthalpy change for ion pairing of MgH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</si>
  <si>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NaHPO4m</t>
    </r>
  </si>
  <si>
    <r>
      <t>Standard enthalpy change for ion pairing of NaHPO</t>
    </r>
    <r>
      <rPr>
        <vertAlign val="subscript"/>
        <sz val="11"/>
        <rFont val="Calibri"/>
        <family val="2"/>
        <scheme val="minor"/>
      </rPr>
      <t>4</t>
    </r>
    <r>
      <rPr>
        <vertAlign val="superscript"/>
        <sz val="11"/>
        <rFont val="Calibri"/>
        <family val="2"/>
        <scheme val="minor"/>
      </rPr>
      <t>-</t>
    </r>
  </si>
  <si>
    <t>Diffusion coefficients for liquid phase state variables</t>
  </si>
  <si>
    <r>
      <t>D</t>
    </r>
    <r>
      <rPr>
        <vertAlign val="subscript"/>
        <sz val="11"/>
        <rFont val="Calibri"/>
        <family val="2"/>
        <charset val="238"/>
        <scheme val="minor"/>
      </rPr>
      <t>SVFA</t>
    </r>
  </si>
  <si>
    <t>Diffusion coefficient of volatile fatty acids</t>
  </si>
  <si>
    <r>
      <t>cm</t>
    </r>
    <r>
      <rPr>
        <vertAlign val="superscript"/>
        <sz val="11"/>
        <rFont val="Calibri"/>
        <family val="2"/>
        <charset val="238"/>
        <scheme val="minor"/>
      </rPr>
      <t>2</t>
    </r>
    <r>
      <rPr>
        <sz val="11"/>
        <rFont val="Calibri"/>
        <family val="2"/>
        <scheme val="minor"/>
      </rPr>
      <t>.s</t>
    </r>
    <r>
      <rPr>
        <vertAlign val="superscript"/>
        <sz val="11"/>
        <rFont val="Calibri"/>
        <family val="2"/>
        <charset val="238"/>
        <scheme val="minor"/>
      </rPr>
      <t>-1</t>
    </r>
  </si>
  <si>
    <t>to be set accurately</t>
  </si>
  <si>
    <r>
      <t>D</t>
    </r>
    <r>
      <rPr>
        <vertAlign val="subscript"/>
        <sz val="11"/>
        <rFont val="Calibri"/>
        <family val="2"/>
        <charset val="238"/>
        <scheme val="minor"/>
      </rPr>
      <t>SA</t>
    </r>
  </si>
  <si>
    <r>
      <t>D</t>
    </r>
    <r>
      <rPr>
        <vertAlign val="subscript"/>
        <sz val="11"/>
        <rFont val="Calibri"/>
        <family val="2"/>
        <charset val="238"/>
        <scheme val="minor"/>
      </rPr>
      <t>SBSA</t>
    </r>
  </si>
  <si>
    <r>
      <t>D</t>
    </r>
    <r>
      <rPr>
        <vertAlign val="subscript"/>
        <sz val="11"/>
        <rFont val="Calibri"/>
        <family val="2"/>
        <charset val="238"/>
        <scheme val="minor"/>
      </rPr>
      <t>SB</t>
    </r>
  </si>
  <si>
    <t>Diffusion coefficient of soluble degradable organics</t>
  </si>
  <si>
    <r>
      <t>D</t>
    </r>
    <r>
      <rPr>
        <vertAlign val="subscript"/>
        <sz val="11"/>
        <rFont val="Calibri"/>
        <family val="2"/>
        <charset val="238"/>
        <scheme val="minor"/>
      </rPr>
      <t>SB,mono</t>
    </r>
  </si>
  <si>
    <t>Diffusion coefficient of soluble degradable organics (monomers)</t>
  </si>
  <si>
    <r>
      <t>D</t>
    </r>
    <r>
      <rPr>
        <vertAlign val="subscript"/>
        <sz val="11"/>
        <rFont val="Calibri"/>
        <family val="2"/>
        <charset val="238"/>
        <scheme val="minor"/>
      </rPr>
      <t>SB,poly</t>
    </r>
  </si>
  <si>
    <t>Diffusion coefficient of soluble degradable organics (polymers)</t>
  </si>
  <si>
    <r>
      <t>D</t>
    </r>
    <r>
      <rPr>
        <vertAlign val="subscript"/>
        <sz val="11"/>
        <rFont val="Calibri"/>
        <family val="2"/>
        <charset val="238"/>
        <scheme val="minor"/>
      </rPr>
      <t>SS</t>
    </r>
  </si>
  <si>
    <r>
      <t>D</t>
    </r>
    <r>
      <rPr>
        <vertAlign val="subscript"/>
        <sz val="11"/>
        <rFont val="Calibri"/>
        <family val="2"/>
        <charset val="238"/>
        <scheme val="minor"/>
      </rPr>
      <t>SF</t>
    </r>
  </si>
  <si>
    <t>Diffusion coefficient of fermentable organic matter</t>
  </si>
  <si>
    <r>
      <t>D</t>
    </r>
    <r>
      <rPr>
        <vertAlign val="subscript"/>
        <sz val="11"/>
        <rFont val="Calibri"/>
        <family val="2"/>
        <charset val="238"/>
        <scheme val="minor"/>
      </rPr>
      <t>SBSC</t>
    </r>
  </si>
  <si>
    <r>
      <t>D</t>
    </r>
    <r>
      <rPr>
        <vertAlign val="subscript"/>
        <sz val="11"/>
        <rFont val="Calibri"/>
        <family val="2"/>
        <charset val="238"/>
        <scheme val="minor"/>
      </rPr>
      <t>SMEOL</t>
    </r>
  </si>
  <si>
    <t>Diffusion coefficient of methanol</t>
  </si>
  <si>
    <r>
      <t>D</t>
    </r>
    <r>
      <rPr>
        <vertAlign val="subscript"/>
        <sz val="11"/>
        <rFont val="Calibri"/>
        <family val="2"/>
        <charset val="238"/>
        <scheme val="minor"/>
      </rPr>
      <t>SU</t>
    </r>
  </si>
  <si>
    <t>Diffusion coefficient of soluble undegradable organics</t>
  </si>
  <si>
    <r>
      <t>D</t>
    </r>
    <r>
      <rPr>
        <vertAlign val="subscript"/>
        <sz val="11"/>
        <rFont val="Calibri"/>
        <family val="2"/>
        <charset val="238"/>
        <scheme val="minor"/>
      </rPr>
      <t>SI</t>
    </r>
  </si>
  <si>
    <r>
      <t>D</t>
    </r>
    <r>
      <rPr>
        <vertAlign val="subscript"/>
        <sz val="11"/>
        <rFont val="Calibri"/>
        <family val="2"/>
        <charset val="238"/>
        <scheme val="minor"/>
      </rPr>
      <t>CB</t>
    </r>
  </si>
  <si>
    <t>Diffusion coefficient of colloidal biodegradable substrate</t>
  </si>
  <si>
    <r>
      <t>D</t>
    </r>
    <r>
      <rPr>
        <vertAlign val="subscript"/>
        <sz val="11"/>
        <rFont val="Calibri"/>
        <family val="2"/>
        <charset val="238"/>
        <scheme val="minor"/>
      </rPr>
      <t>CU</t>
    </r>
  </si>
  <si>
    <t>Diffusion coefficient of colloidal unbiodegradable organics</t>
  </si>
  <si>
    <r>
      <t>D</t>
    </r>
    <r>
      <rPr>
        <vertAlign val="subscript"/>
        <sz val="11"/>
        <rFont val="Calibri"/>
        <family val="2"/>
        <charset val="238"/>
        <scheme val="minor"/>
      </rPr>
      <t>SNHx</t>
    </r>
  </si>
  <si>
    <t>Diffusion coefficient of total ammonia</t>
  </si>
  <si>
    <t>Diffusivities from Perry, Handbook of Chemical Engineers, Table 2-372, for 25°C, as acetate</t>
  </si>
  <si>
    <r>
      <t>D</t>
    </r>
    <r>
      <rPr>
        <vertAlign val="subscript"/>
        <sz val="11"/>
        <rFont val="Calibri"/>
        <family val="2"/>
        <charset val="238"/>
        <scheme val="minor"/>
      </rPr>
      <t>SNH4</t>
    </r>
  </si>
  <si>
    <r>
      <t>D</t>
    </r>
    <r>
      <rPr>
        <vertAlign val="subscript"/>
        <sz val="11"/>
        <rFont val="Calibri"/>
        <family val="2"/>
        <charset val="238"/>
        <scheme val="minor"/>
      </rPr>
      <t>SNH</t>
    </r>
  </si>
  <si>
    <r>
      <t>D</t>
    </r>
    <r>
      <rPr>
        <vertAlign val="subscript"/>
        <sz val="11"/>
        <rFont val="Calibri"/>
        <family val="2"/>
        <charset val="238"/>
        <scheme val="minor"/>
      </rPr>
      <t>NH3</t>
    </r>
  </si>
  <si>
    <t>Diffusion coefficient of ammonia</t>
  </si>
  <si>
    <t>Diffusitives from Perry, Handbook of Chemical Engineers, Table 2-372, for 25°C, as acetate</t>
  </si>
  <si>
    <r>
      <t>D</t>
    </r>
    <r>
      <rPr>
        <vertAlign val="subscript"/>
        <sz val="11"/>
        <rFont val="Calibri"/>
        <family val="2"/>
        <charset val="238"/>
        <scheme val="minor"/>
      </rPr>
      <t>NO3</t>
    </r>
  </si>
  <si>
    <t>Diffusion coefficient of nitrate and nitrite</t>
  </si>
  <si>
    <r>
      <t>D</t>
    </r>
    <r>
      <rPr>
        <vertAlign val="subscript"/>
        <sz val="11"/>
        <rFont val="Calibri"/>
        <family val="2"/>
        <charset val="238"/>
        <scheme val="minor"/>
      </rPr>
      <t>PO4</t>
    </r>
  </si>
  <si>
    <t>Diffusion coefficient of orthophosphate</t>
  </si>
  <si>
    <r>
      <t>D</t>
    </r>
    <r>
      <rPr>
        <vertAlign val="subscript"/>
        <sz val="11"/>
        <rFont val="Calibri"/>
        <family val="2"/>
        <charset val="238"/>
        <scheme val="minor"/>
      </rPr>
      <t>SN2</t>
    </r>
  </si>
  <si>
    <t>Diffusion coefficient of dissolved nitrogen gas</t>
  </si>
  <si>
    <t>Diffusitives from Perry, Handbook of Chemical Engineers, Table 2-372, for 25°C</t>
  </si>
  <si>
    <r>
      <t>D</t>
    </r>
    <r>
      <rPr>
        <vertAlign val="subscript"/>
        <sz val="11"/>
        <rFont val="Calibri"/>
        <family val="2"/>
        <charset val="238"/>
        <scheme val="minor"/>
      </rPr>
      <t>NUS</t>
    </r>
  </si>
  <si>
    <t>Diffusion coefficient of soluble inert organic nitrogen</t>
  </si>
  <si>
    <t>Assumed the same as SS</t>
  </si>
  <si>
    <r>
      <t>D</t>
    </r>
    <r>
      <rPr>
        <vertAlign val="subscript"/>
        <sz val="11"/>
        <rFont val="Calibri"/>
        <family val="2"/>
        <charset val="238"/>
        <scheme val="minor"/>
      </rPr>
      <t>NBS</t>
    </r>
  </si>
  <si>
    <t>Diffusion coefficient of soluble biodegradable organic nitrogen</t>
  </si>
  <si>
    <r>
      <t>D</t>
    </r>
    <r>
      <rPr>
        <vertAlign val="subscript"/>
        <sz val="11"/>
        <rFont val="Calibri"/>
        <family val="2"/>
        <charset val="238"/>
        <scheme val="minor"/>
      </rPr>
      <t>SUS</t>
    </r>
  </si>
  <si>
    <r>
      <t>D</t>
    </r>
    <r>
      <rPr>
        <vertAlign val="subscript"/>
        <sz val="11"/>
        <rFont val="Calibri"/>
        <family val="2"/>
        <charset val="238"/>
        <scheme val="minor"/>
      </rPr>
      <t>SNOx</t>
    </r>
  </si>
  <si>
    <r>
      <t>D</t>
    </r>
    <r>
      <rPr>
        <vertAlign val="subscript"/>
        <sz val="11"/>
        <rFont val="Calibri"/>
        <family val="2"/>
        <charset val="238"/>
        <scheme val="minor"/>
      </rPr>
      <t>SNOX</t>
    </r>
  </si>
  <si>
    <r>
      <t>D</t>
    </r>
    <r>
      <rPr>
        <vertAlign val="subscript"/>
        <sz val="11"/>
        <rFont val="Calibri"/>
        <family val="2"/>
        <charset val="238"/>
        <scheme val="minor"/>
      </rPr>
      <t>SNO2</t>
    </r>
  </si>
  <si>
    <t>Diffusion coefficient of nitrite</t>
  </si>
  <si>
    <r>
      <t>D</t>
    </r>
    <r>
      <rPr>
        <vertAlign val="subscript"/>
        <sz val="11"/>
        <rFont val="Calibri"/>
        <family val="2"/>
        <charset val="238"/>
        <scheme val="minor"/>
      </rPr>
      <t>SNO3</t>
    </r>
  </si>
  <si>
    <t>Diffusion coefficient of nitrate</t>
  </si>
  <si>
    <r>
      <t>D</t>
    </r>
    <r>
      <rPr>
        <vertAlign val="subscript"/>
        <sz val="11"/>
        <rFont val="Calibri"/>
        <family val="2"/>
        <charset val="238"/>
        <scheme val="minor"/>
      </rPr>
      <t>SN,B</t>
    </r>
  </si>
  <si>
    <t>Diffusion coefficient of soluble biodegradable organic N</t>
  </si>
  <si>
    <r>
      <t>D</t>
    </r>
    <r>
      <rPr>
        <vertAlign val="subscript"/>
        <sz val="11"/>
        <rFont val="Calibri"/>
        <family val="2"/>
        <charset val="238"/>
        <scheme val="minor"/>
      </rPr>
      <t>SND</t>
    </r>
  </si>
  <si>
    <r>
      <t>D</t>
    </r>
    <r>
      <rPr>
        <vertAlign val="subscript"/>
        <sz val="11"/>
        <rFont val="Calibri"/>
        <family val="2"/>
        <charset val="238"/>
        <scheme val="minor"/>
      </rPr>
      <t>SPO4</t>
    </r>
  </si>
  <si>
    <r>
      <t>D</t>
    </r>
    <r>
      <rPr>
        <vertAlign val="subscript"/>
        <sz val="11"/>
        <rFont val="Calibri"/>
        <family val="2"/>
        <charset val="238"/>
        <scheme val="minor"/>
      </rPr>
      <t>SPO</t>
    </r>
  </si>
  <si>
    <r>
      <t>D</t>
    </r>
    <r>
      <rPr>
        <vertAlign val="subscript"/>
        <sz val="11"/>
        <rFont val="Calibri"/>
        <family val="2"/>
        <charset val="238"/>
        <scheme val="minor"/>
      </rPr>
      <t>SP,B</t>
    </r>
  </si>
  <si>
    <t>Diffusion coefficient of soluble biodegradable organic P</t>
  </si>
  <si>
    <r>
      <t>D</t>
    </r>
    <r>
      <rPr>
        <vertAlign val="subscript"/>
        <sz val="11"/>
        <rFont val="Calibri"/>
        <family val="2"/>
        <charset val="238"/>
        <scheme val="minor"/>
      </rPr>
      <t>SO2</t>
    </r>
  </si>
  <si>
    <t>Diffusion coefficient of dissolved oxygen</t>
  </si>
  <si>
    <t>Diffusivities from Perry, Handbook of Chemical Engineers, Table 2-372, for 25°C</t>
  </si>
  <si>
    <r>
      <t>D</t>
    </r>
    <r>
      <rPr>
        <vertAlign val="subscript"/>
        <sz val="11"/>
        <rFont val="Calibri"/>
        <family val="2"/>
        <charset val="238"/>
        <scheme val="minor"/>
      </rPr>
      <t>SCH4</t>
    </r>
  </si>
  <si>
    <t>Diffusion coefficient of dissolved methane</t>
  </si>
  <si>
    <r>
      <t>D</t>
    </r>
    <r>
      <rPr>
        <vertAlign val="subscript"/>
        <sz val="11"/>
        <rFont val="Calibri"/>
        <family val="2"/>
        <charset val="238"/>
        <scheme val="minor"/>
      </rPr>
      <t>SH2</t>
    </r>
  </si>
  <si>
    <t>Diffusion coefficient of dissolved hydrogen</t>
  </si>
  <si>
    <r>
      <t>D</t>
    </r>
    <r>
      <rPr>
        <vertAlign val="subscript"/>
        <sz val="11"/>
        <rFont val="Calibri"/>
        <family val="2"/>
        <charset val="238"/>
        <scheme val="minor"/>
      </rPr>
      <t>SCO2</t>
    </r>
  </si>
  <si>
    <t>Diffusion coefficient of dissolved carbon dioxide</t>
  </si>
  <si>
    <r>
      <t>D</t>
    </r>
    <r>
      <rPr>
        <vertAlign val="subscript"/>
        <sz val="11"/>
        <rFont val="Calibri"/>
        <family val="2"/>
        <charset val="238"/>
        <scheme val="minor"/>
      </rPr>
      <t>SK</t>
    </r>
  </si>
  <si>
    <t>Diffusion coefficient of dissolved potassium</t>
  </si>
  <si>
    <r>
      <t>D</t>
    </r>
    <r>
      <rPr>
        <vertAlign val="subscript"/>
        <sz val="11"/>
        <rFont val="Calibri"/>
        <family val="2"/>
        <charset val="238"/>
        <scheme val="minor"/>
      </rPr>
      <t>SCa</t>
    </r>
  </si>
  <si>
    <t>Diffusion coefficient of dissolved calcium</t>
  </si>
  <si>
    <r>
      <t>D</t>
    </r>
    <r>
      <rPr>
        <vertAlign val="subscript"/>
        <sz val="11"/>
        <rFont val="Calibri"/>
        <family val="2"/>
        <charset val="238"/>
        <scheme val="minor"/>
      </rPr>
      <t>SMg</t>
    </r>
  </si>
  <si>
    <t>Diffusion coefficient of dissolved magnesium</t>
  </si>
  <si>
    <r>
      <t>D</t>
    </r>
    <r>
      <rPr>
        <vertAlign val="subscript"/>
        <sz val="11"/>
        <rFont val="Calibri"/>
        <family val="2"/>
        <charset val="238"/>
        <scheme val="minor"/>
      </rPr>
      <t>SCAT</t>
    </r>
  </si>
  <si>
    <t>Diffusion coefficient of dissolved strong cations</t>
  </si>
  <si>
    <r>
      <t>D</t>
    </r>
    <r>
      <rPr>
        <vertAlign val="subscript"/>
        <sz val="11"/>
        <rFont val="Calibri"/>
        <family val="2"/>
        <charset val="238"/>
        <scheme val="minor"/>
      </rPr>
      <t>SAN</t>
    </r>
  </si>
  <si>
    <t>Diffusion coefficient of dissolved strong anions</t>
  </si>
  <si>
    <r>
      <t>D</t>
    </r>
    <r>
      <rPr>
        <vertAlign val="subscript"/>
        <sz val="11"/>
        <rFont val="Calibri"/>
        <family val="2"/>
        <charset val="238"/>
        <scheme val="minor"/>
      </rPr>
      <t>SH2S</t>
    </r>
  </si>
  <si>
    <t>Diffusion coefficient of hydrogen sulfide</t>
  </si>
  <si>
    <r>
      <t>D</t>
    </r>
    <r>
      <rPr>
        <vertAlign val="subscript"/>
        <sz val="11"/>
        <rFont val="Calibri"/>
        <family val="2"/>
        <charset val="238"/>
        <scheme val="minor"/>
      </rPr>
      <t>SSO4</t>
    </r>
  </si>
  <si>
    <t>Diffusion coefficient of sulphate</t>
  </si>
  <si>
    <r>
      <t>D</t>
    </r>
    <r>
      <rPr>
        <vertAlign val="subscript"/>
        <sz val="11"/>
        <rFont val="Calibri"/>
        <family val="2"/>
        <charset val="238"/>
        <scheme val="minor"/>
      </rPr>
      <t>SFe2</t>
    </r>
  </si>
  <si>
    <t>Diffusion coefficient of dissolved ferrous ion</t>
  </si>
  <si>
    <r>
      <t>D</t>
    </r>
    <r>
      <rPr>
        <vertAlign val="subscript"/>
        <sz val="11"/>
        <rFont val="Calibri"/>
        <family val="2"/>
        <charset val="238"/>
        <scheme val="minor"/>
      </rPr>
      <t>SALK</t>
    </r>
  </si>
  <si>
    <t>Diffusion coefficient of alkalinity</t>
  </si>
  <si>
    <r>
      <t>D</t>
    </r>
    <r>
      <rPr>
        <vertAlign val="subscript"/>
        <sz val="11"/>
        <rFont val="Calibri"/>
        <family val="2"/>
        <charset val="238"/>
        <scheme val="minor"/>
      </rPr>
      <t>SMM,index</t>
    </r>
  </si>
  <si>
    <t>Diffusion coefficient of Methyl Mercaptan production index</t>
  </si>
  <si>
    <t>Calculated variables</t>
  </si>
  <si>
    <r>
      <t>μ</t>
    </r>
    <r>
      <rPr>
        <vertAlign val="subscript"/>
        <sz val="12"/>
        <rFont val="Arial"/>
        <family val="2"/>
      </rPr>
      <t>H</t>
    </r>
    <r>
      <rPr>
        <sz val="12"/>
        <rFont val="Arial"/>
        <family val="2"/>
      </rPr>
      <t>*Msat</t>
    </r>
    <r>
      <rPr>
        <vertAlign val="subscript"/>
        <sz val="12"/>
        <rFont val="Arial"/>
        <family val="2"/>
      </rPr>
      <t>SO,KO,H</t>
    </r>
    <r>
      <rPr>
        <sz val="12"/>
        <rFont val="Arial"/>
        <family val="2"/>
      </rPr>
      <t>*Msat</t>
    </r>
    <r>
      <rPr>
        <vertAlign val="subscript"/>
        <sz val="12"/>
        <rFont val="Arial"/>
        <family val="2"/>
      </rPr>
      <t>SA,KAc</t>
    </r>
    <r>
      <rPr>
        <sz val="12"/>
        <rFont val="Arial"/>
        <family val="2"/>
      </rPr>
      <t>*S</t>
    </r>
    <r>
      <rPr>
        <vertAlign val="subscript"/>
        <sz val="12"/>
        <rFont val="Arial"/>
        <family val="2"/>
      </rPr>
      <t>A</t>
    </r>
    <r>
      <rPr>
        <sz val="12"/>
        <rFont val="Arial"/>
        <family val="2"/>
      </rPr>
      <t>/(S</t>
    </r>
    <r>
      <rPr>
        <vertAlign val="subscript"/>
        <sz val="12"/>
        <rFont val="Arial"/>
        <family val="2"/>
      </rPr>
      <t>F</t>
    </r>
    <r>
      <rPr>
        <sz val="12"/>
        <rFont val="Arial"/>
        <family val="2"/>
      </rPr>
      <t>+S</t>
    </r>
    <r>
      <rPr>
        <vertAlign val="subscript"/>
        <sz val="12"/>
        <rFont val="Arial"/>
        <family val="2"/>
      </rPr>
      <t>A</t>
    </r>
    <r>
      <rPr>
        <sz val="12"/>
        <rFont val="Arial"/>
        <family val="2"/>
      </rPr>
      <t>)*Msat</t>
    </r>
    <r>
      <rPr>
        <vertAlign val="subscript"/>
        <sz val="12"/>
        <rFont val="Arial"/>
        <family val="2"/>
      </rPr>
      <t>SNH,KN,H</t>
    </r>
    <r>
      <rPr>
        <sz val="12"/>
        <rFont val="Arial"/>
        <family val="2"/>
      </rPr>
      <t>*Msat</t>
    </r>
    <r>
      <rPr>
        <vertAlign val="subscript"/>
        <sz val="12"/>
        <rFont val="Arial"/>
        <family val="2"/>
      </rPr>
      <t>SPO,KP,H</t>
    </r>
    <r>
      <rPr>
        <sz val="12"/>
        <rFont val="Arial"/>
        <family val="2"/>
      </rPr>
      <t>*Msat</t>
    </r>
    <r>
      <rPr>
        <vertAlign val="subscript"/>
        <sz val="12"/>
        <rFont val="Arial"/>
        <family val="2"/>
      </rPr>
      <t>SHCO,KHCO,H</t>
    </r>
    <r>
      <rPr>
        <sz val="12"/>
        <rFont val="Arial"/>
        <family val="2"/>
      </rPr>
      <t>*</t>
    </r>
    <r>
      <rPr>
        <i/>
        <sz val="12"/>
        <rFont val="Arial"/>
        <family val="2"/>
      </rPr>
      <t>X</t>
    </r>
    <r>
      <rPr>
        <vertAlign val="subscript"/>
        <sz val="12"/>
        <rFont val="Arial"/>
        <family val="2"/>
      </rPr>
      <t>H</t>
    </r>
  </si>
  <si>
    <r>
      <t>μ</t>
    </r>
    <r>
      <rPr>
        <vertAlign val="subscript"/>
        <sz val="12"/>
        <rFont val="Arial"/>
        <family val="2"/>
      </rPr>
      <t>H</t>
    </r>
    <r>
      <rPr>
        <sz val="12"/>
        <rFont val="Arial"/>
        <family val="2"/>
      </rPr>
      <t>*Msat</t>
    </r>
    <r>
      <rPr>
        <vertAlign val="subscript"/>
        <sz val="12"/>
        <rFont val="Arial"/>
        <family val="2"/>
      </rPr>
      <t>SO,KO,H</t>
    </r>
    <r>
      <rPr>
        <sz val="12"/>
        <rFont val="Arial"/>
        <family val="2"/>
      </rPr>
      <t>*Msat</t>
    </r>
    <r>
      <rPr>
        <vertAlign val="subscript"/>
        <sz val="12"/>
        <rFont val="Arial"/>
        <family val="2"/>
      </rPr>
      <t>SF,KF</t>
    </r>
    <r>
      <rPr>
        <sz val="12"/>
        <rFont val="Arial"/>
        <family val="2"/>
      </rPr>
      <t>*S</t>
    </r>
    <r>
      <rPr>
        <vertAlign val="subscript"/>
        <sz val="12"/>
        <rFont val="Arial"/>
        <family val="2"/>
      </rPr>
      <t>F</t>
    </r>
    <r>
      <rPr>
        <sz val="12"/>
        <rFont val="Arial"/>
        <family val="2"/>
      </rPr>
      <t>/(S</t>
    </r>
    <r>
      <rPr>
        <vertAlign val="subscript"/>
        <sz val="12"/>
        <rFont val="Arial"/>
        <family val="2"/>
      </rPr>
      <t>F</t>
    </r>
    <r>
      <rPr>
        <sz val="12"/>
        <rFont val="Arial"/>
        <family val="2"/>
      </rPr>
      <t>+S</t>
    </r>
    <r>
      <rPr>
        <vertAlign val="subscript"/>
        <sz val="12"/>
        <rFont val="Arial"/>
        <family val="2"/>
      </rPr>
      <t>A</t>
    </r>
    <r>
      <rPr>
        <sz val="12"/>
        <rFont val="Arial"/>
        <family val="2"/>
      </rPr>
      <t>)*Msat</t>
    </r>
    <r>
      <rPr>
        <vertAlign val="subscript"/>
        <sz val="12"/>
        <rFont val="Arial"/>
        <family val="2"/>
      </rPr>
      <t>SNH,KN,H</t>
    </r>
    <r>
      <rPr>
        <sz val="12"/>
        <rFont val="Arial"/>
        <family val="2"/>
      </rPr>
      <t>*Msat</t>
    </r>
    <r>
      <rPr>
        <vertAlign val="subscript"/>
        <sz val="12"/>
        <rFont val="Arial"/>
        <family val="2"/>
      </rPr>
      <t>SPO,KP,H</t>
    </r>
    <r>
      <rPr>
        <sz val="12"/>
        <rFont val="Arial"/>
        <family val="2"/>
      </rPr>
      <t>*Msat</t>
    </r>
    <r>
      <rPr>
        <vertAlign val="subscript"/>
        <sz val="12"/>
        <rFont val="Arial"/>
        <family val="2"/>
      </rPr>
      <t>SHCO,KHCO,H</t>
    </r>
    <r>
      <rPr>
        <sz val="12"/>
        <rFont val="Arial"/>
        <family val="2"/>
      </rPr>
      <t>*</t>
    </r>
    <r>
      <rPr>
        <i/>
        <sz val="12"/>
        <rFont val="Arial"/>
        <family val="2"/>
      </rPr>
      <t>X</t>
    </r>
    <r>
      <rPr>
        <vertAlign val="subscript"/>
        <sz val="12"/>
        <rFont val="Arial"/>
        <family val="2"/>
      </rPr>
      <t>H</t>
    </r>
  </si>
  <si>
    <r>
      <t>μ</t>
    </r>
    <r>
      <rPr>
        <vertAlign val="subscript"/>
        <sz val="12"/>
        <rFont val="Arial"/>
        <family val="2"/>
      </rPr>
      <t>H</t>
    </r>
    <r>
      <rPr>
        <sz val="12"/>
        <rFont val="Arial"/>
        <family val="2"/>
      </rPr>
      <t>*</t>
    </r>
    <r>
      <rPr>
        <i/>
        <sz val="12"/>
        <rFont val="Arial"/>
        <family val="2"/>
      </rPr>
      <t>η</t>
    </r>
    <r>
      <rPr>
        <vertAlign val="subscript"/>
        <sz val="12"/>
        <rFont val="Arial"/>
        <family val="2"/>
      </rPr>
      <t>NO,H</t>
    </r>
    <r>
      <rPr>
        <sz val="12"/>
        <rFont val="Arial"/>
        <family val="2"/>
      </rPr>
      <t>*Minh</t>
    </r>
    <r>
      <rPr>
        <vertAlign val="subscript"/>
        <sz val="12"/>
        <rFont val="Arial"/>
        <family val="2"/>
      </rPr>
      <t>SO,KO,H</t>
    </r>
    <r>
      <rPr>
        <sz val="12"/>
        <rFont val="Arial"/>
        <family val="2"/>
      </rPr>
      <t>*Msat</t>
    </r>
    <r>
      <rPr>
        <vertAlign val="subscript"/>
        <sz val="12"/>
        <rFont val="Arial"/>
        <family val="2"/>
      </rPr>
      <t>SNO,KNO,H</t>
    </r>
    <r>
      <rPr>
        <sz val="12"/>
        <rFont val="Arial"/>
        <family val="2"/>
      </rPr>
      <t>*Msat</t>
    </r>
    <r>
      <rPr>
        <vertAlign val="subscript"/>
        <sz val="12"/>
        <rFont val="Arial"/>
        <family val="2"/>
      </rPr>
      <t>SF,KF</t>
    </r>
    <r>
      <rPr>
        <sz val="12"/>
        <rFont val="Arial"/>
        <family val="2"/>
      </rPr>
      <t>*S</t>
    </r>
    <r>
      <rPr>
        <vertAlign val="subscript"/>
        <sz val="12"/>
        <rFont val="Arial"/>
        <family val="2"/>
      </rPr>
      <t>F</t>
    </r>
    <r>
      <rPr>
        <sz val="12"/>
        <rFont val="Arial"/>
        <family val="2"/>
      </rPr>
      <t>/(S</t>
    </r>
    <r>
      <rPr>
        <vertAlign val="subscript"/>
        <sz val="12"/>
        <rFont val="Arial"/>
        <family val="2"/>
      </rPr>
      <t>F</t>
    </r>
    <r>
      <rPr>
        <sz val="12"/>
        <rFont val="Arial"/>
        <family val="2"/>
      </rPr>
      <t>+S</t>
    </r>
    <r>
      <rPr>
        <vertAlign val="subscript"/>
        <sz val="12"/>
        <rFont val="Arial"/>
        <family val="2"/>
      </rPr>
      <t>A</t>
    </r>
    <r>
      <rPr>
        <sz val="12"/>
        <rFont val="Arial"/>
        <family val="2"/>
      </rPr>
      <t>)*Msat</t>
    </r>
    <r>
      <rPr>
        <vertAlign val="subscript"/>
        <sz val="12"/>
        <rFont val="Arial"/>
        <family val="2"/>
      </rPr>
      <t>SNH,KN,H</t>
    </r>
    <r>
      <rPr>
        <sz val="12"/>
        <rFont val="Arial"/>
        <family val="2"/>
      </rPr>
      <t>*Msat</t>
    </r>
    <r>
      <rPr>
        <vertAlign val="subscript"/>
        <sz val="12"/>
        <rFont val="Arial"/>
        <family val="2"/>
      </rPr>
      <t>SPO,KP,H</t>
    </r>
    <r>
      <rPr>
        <sz val="12"/>
        <rFont val="Arial"/>
        <family val="2"/>
      </rPr>
      <t>*Msat</t>
    </r>
    <r>
      <rPr>
        <vertAlign val="subscript"/>
        <sz val="12"/>
        <rFont val="Arial"/>
        <family val="2"/>
      </rPr>
      <t>SHCO,KHCO,H</t>
    </r>
    <r>
      <rPr>
        <sz val="12"/>
        <rFont val="Arial"/>
        <family val="2"/>
      </rPr>
      <t>*</t>
    </r>
    <r>
      <rPr>
        <i/>
        <sz val="12"/>
        <rFont val="Arial"/>
        <family val="2"/>
      </rPr>
      <t>X</t>
    </r>
    <r>
      <rPr>
        <vertAlign val="subscript"/>
        <sz val="12"/>
        <rFont val="Arial"/>
        <family val="2"/>
      </rPr>
      <t>H</t>
    </r>
  </si>
  <si>
    <r>
      <t>μ</t>
    </r>
    <r>
      <rPr>
        <vertAlign val="subscript"/>
        <sz val="12"/>
        <rFont val="Arial"/>
        <family val="2"/>
      </rPr>
      <t>H</t>
    </r>
    <r>
      <rPr>
        <sz val="12"/>
        <rFont val="Arial"/>
        <family val="2"/>
      </rPr>
      <t>*</t>
    </r>
    <r>
      <rPr>
        <i/>
        <sz val="12"/>
        <rFont val="Arial"/>
        <family val="2"/>
      </rPr>
      <t>η</t>
    </r>
    <r>
      <rPr>
        <vertAlign val="subscript"/>
        <sz val="12"/>
        <rFont val="Arial"/>
        <family val="2"/>
      </rPr>
      <t>NO,H</t>
    </r>
    <r>
      <rPr>
        <sz val="12"/>
        <rFont val="Arial"/>
        <family val="2"/>
      </rPr>
      <t>*Minh</t>
    </r>
    <r>
      <rPr>
        <vertAlign val="subscript"/>
        <sz val="12"/>
        <rFont val="Arial"/>
        <family val="2"/>
      </rPr>
      <t>SO,KO,H</t>
    </r>
    <r>
      <rPr>
        <sz val="12"/>
        <rFont val="Arial"/>
        <family val="2"/>
      </rPr>
      <t>*Msat</t>
    </r>
    <r>
      <rPr>
        <vertAlign val="subscript"/>
        <sz val="12"/>
        <rFont val="Arial"/>
        <family val="2"/>
      </rPr>
      <t>SNO,KNO,H</t>
    </r>
    <r>
      <rPr>
        <sz val="12"/>
        <rFont val="Arial"/>
        <family val="2"/>
      </rPr>
      <t>*Msat</t>
    </r>
    <r>
      <rPr>
        <vertAlign val="subscript"/>
        <sz val="12"/>
        <rFont val="Arial"/>
        <family val="2"/>
      </rPr>
      <t>SA,KAc</t>
    </r>
    <r>
      <rPr>
        <sz val="12"/>
        <rFont val="Arial"/>
        <family val="2"/>
      </rPr>
      <t>*S</t>
    </r>
    <r>
      <rPr>
        <vertAlign val="subscript"/>
        <sz val="12"/>
        <rFont val="Arial"/>
        <family val="2"/>
      </rPr>
      <t>A</t>
    </r>
    <r>
      <rPr>
        <sz val="12"/>
        <rFont val="Arial"/>
        <family val="2"/>
      </rPr>
      <t>/(S</t>
    </r>
    <r>
      <rPr>
        <vertAlign val="subscript"/>
        <sz val="12"/>
        <rFont val="Arial"/>
        <family val="2"/>
      </rPr>
      <t>F</t>
    </r>
    <r>
      <rPr>
        <sz val="12"/>
        <rFont val="Arial"/>
        <family val="2"/>
      </rPr>
      <t>+S</t>
    </r>
    <r>
      <rPr>
        <vertAlign val="subscript"/>
        <sz val="12"/>
        <rFont val="Arial"/>
        <family val="2"/>
      </rPr>
      <t>A</t>
    </r>
    <r>
      <rPr>
        <sz val="12"/>
        <rFont val="Arial"/>
        <family val="2"/>
      </rPr>
      <t>)*Msat</t>
    </r>
    <r>
      <rPr>
        <vertAlign val="subscript"/>
        <sz val="12"/>
        <rFont val="Arial"/>
        <family val="2"/>
      </rPr>
      <t>SNH,KN,H</t>
    </r>
    <r>
      <rPr>
        <sz val="12"/>
        <rFont val="Arial"/>
        <family val="2"/>
      </rPr>
      <t>*Msat</t>
    </r>
    <r>
      <rPr>
        <vertAlign val="subscript"/>
        <sz val="12"/>
        <rFont val="Arial"/>
        <family val="2"/>
      </rPr>
      <t>SPO,KP,H</t>
    </r>
    <r>
      <rPr>
        <sz val="12"/>
        <rFont val="Arial"/>
        <family val="2"/>
      </rPr>
      <t>*Msat</t>
    </r>
    <r>
      <rPr>
        <vertAlign val="subscript"/>
        <sz val="12"/>
        <rFont val="Arial"/>
        <family val="2"/>
      </rPr>
      <t>SHCO,KHCO,H</t>
    </r>
    <r>
      <rPr>
        <sz val="12"/>
        <rFont val="Arial"/>
        <family val="2"/>
      </rPr>
      <t>*</t>
    </r>
    <r>
      <rPr>
        <i/>
        <sz val="12"/>
        <rFont val="Arial"/>
        <family val="2"/>
      </rPr>
      <t>X</t>
    </r>
    <r>
      <rPr>
        <vertAlign val="subscript"/>
        <sz val="12"/>
        <rFont val="Arial"/>
        <family val="2"/>
      </rPr>
      <t>H</t>
    </r>
  </si>
  <si>
    <r>
      <t>K</t>
    </r>
    <r>
      <rPr>
        <i/>
        <vertAlign val="subscript"/>
        <sz val="11"/>
        <rFont val="Calibri"/>
        <family val="2"/>
        <scheme val="minor"/>
      </rPr>
      <t>HCO</t>
    </r>
    <r>
      <rPr>
        <vertAlign val="subscript"/>
        <sz val="11"/>
        <rFont val="Calibri"/>
        <family val="2"/>
        <scheme val="minor"/>
      </rPr>
      <t>,H</t>
    </r>
  </si>
  <si>
    <r>
      <t>K</t>
    </r>
    <r>
      <rPr>
        <vertAlign val="subscript"/>
        <sz val="11"/>
        <rFont val="Calibri"/>
        <family val="2"/>
        <scheme val="minor"/>
      </rPr>
      <t>fPP</t>
    </r>
  </si>
  <si>
    <r>
      <t>K</t>
    </r>
    <r>
      <rPr>
        <vertAlign val="subscript"/>
        <sz val="11"/>
        <rFont val="Calibri"/>
        <family val="2"/>
        <scheme val="minor"/>
      </rPr>
      <t>fGLY</t>
    </r>
  </si>
  <si>
    <r>
      <t>K</t>
    </r>
    <r>
      <rPr>
        <vertAlign val="subscript"/>
        <sz val="11"/>
        <rFont val="Calibri"/>
        <family val="2"/>
        <scheme val="minor"/>
      </rPr>
      <t>fPHA</t>
    </r>
  </si>
  <si>
    <r>
      <t>K</t>
    </r>
    <r>
      <rPr>
        <vertAlign val="subscript"/>
        <sz val="11"/>
        <rFont val="Calibri"/>
        <family val="2"/>
        <scheme val="minor"/>
      </rPr>
      <t>GLY</t>
    </r>
  </si>
  <si>
    <r>
      <t>K</t>
    </r>
    <r>
      <rPr>
        <i/>
        <vertAlign val="subscript"/>
        <sz val="11"/>
        <rFont val="Calibri"/>
        <family val="2"/>
        <scheme val="minor"/>
      </rPr>
      <t>HCO</t>
    </r>
    <r>
      <rPr>
        <vertAlign val="subscript"/>
        <sz val="11"/>
        <rFont val="Calibri"/>
        <family val="2"/>
        <scheme val="minor"/>
      </rPr>
      <t>,PAO</t>
    </r>
  </si>
  <si>
    <r>
      <t>K</t>
    </r>
    <r>
      <rPr>
        <vertAlign val="subscript"/>
        <sz val="11"/>
        <rFont val="Calibri"/>
        <family val="2"/>
        <scheme val="minor"/>
      </rPr>
      <t>O,A</t>
    </r>
  </si>
  <si>
    <r>
      <t>K</t>
    </r>
    <r>
      <rPr>
        <vertAlign val="subscript"/>
        <sz val="11"/>
        <rFont val="Calibri"/>
        <family val="2"/>
        <scheme val="minor"/>
      </rPr>
      <t>NH,A</t>
    </r>
  </si>
  <si>
    <r>
      <t>K</t>
    </r>
    <r>
      <rPr>
        <vertAlign val="subscript"/>
        <sz val="11"/>
        <rFont val="Calibri"/>
        <family val="2"/>
        <scheme val="minor"/>
      </rPr>
      <t>P,A</t>
    </r>
  </si>
  <si>
    <r>
      <t>K</t>
    </r>
    <r>
      <rPr>
        <vertAlign val="subscript"/>
        <sz val="11"/>
        <rFont val="Calibri"/>
        <family val="2"/>
        <scheme val="minor"/>
      </rPr>
      <t>HCO,A</t>
    </r>
  </si>
  <si>
    <t>NUR</t>
  </si>
  <si>
    <t>Nitrate uptake rate (NUR)</t>
  </si>
  <si>
    <t>www.dynamita.com</t>
  </si>
  <si>
    <t>Meijer, S. C. F. (2004). Theoretical and practical aspects of modelling activated sludge processes. Department of Biotechnological Engineering. Delft University of Technology, The Netherlands: 218</t>
  </si>
  <si>
    <t>Press "Global Check" button</t>
  </si>
  <si>
    <t>In Process code/System files/systemcode.xlsx (if necessary)</t>
  </si>
  <si>
    <t>On Constants Tab add the required thermodynamic constants and molecular masses</t>
  </si>
  <si>
    <t>On Functions Tab add the required custom functions</t>
  </si>
  <si>
    <t>In your Model workbook, unhide the systemcode_constants and systemcode_functions and delete them</t>
  </si>
  <si>
    <t>Copy the Constants and Functions Tab from systemcode.xlsx into your Model workbook and renamed them systemcode_constants and systemcode_functions respectively</t>
  </si>
  <si>
    <t>Check the species does exist in the systemcode.xlsx file</t>
  </si>
  <si>
    <t>In the systemcode.xlsx file</t>
  </si>
  <si>
    <t>Insert new rows for dissociation constants and enthalpies in the constant tab</t>
  </si>
  <si>
    <t>On the Calculated variables tab</t>
  </si>
  <si>
    <t>Insert new rows for "Dissociation constants - temperature correction" and "Dissociation constants - activity correction" tables</t>
  </si>
  <si>
    <t>Fill in names, other information (expression required)</t>
  </si>
  <si>
    <t>Press "calculate" and name "Value" cells from symbols (use CTRL-M [Mark Name] shortcut)</t>
  </si>
  <si>
    <t>In the Kinetic Matrix tab, insert or delete columns in the existing model matrix so that matrix columns match with States list in States Tab</t>
  </si>
  <si>
    <t>The algebraic expressions are determined based on the system of the chemical reactions and a mass balance. A symbolic solver (e.g. http://live.sympy.org/) can be used.</t>
  </si>
  <si>
    <t>Check "Alkalinity" expression and modify it if required depending on the new species added</t>
  </si>
  <si>
    <t>Custom functions can be created on functions tab (systemcode.xlsx file).</t>
  </si>
  <si>
    <t>SV group</t>
  </si>
  <si>
    <t>O2</t>
  </si>
  <si>
    <t>TSS</t>
  </si>
  <si>
    <t>TIC</t>
  </si>
  <si>
    <t>Biomass</t>
  </si>
  <si>
    <t>Saturation term for PP storage (PAO)</t>
  </si>
  <si>
    <t>Saturation term for PHA storage (PAO)</t>
  </si>
  <si>
    <t xml:space="preserve">Saturation term for ammonia (NH4+NH3)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</si>
</sst>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0"/>
    <numFmt numFmtId="165" formatCode="0.000"/>
    <numFmt numFmtId="166" formatCode="0.0"/>
  </numFmts>
  <fonts count="81" x14ac:knownFonts="1">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9"/>
      <color indexed="81"/>
      <name val="Tahoma"/>
      <family val="2"/>
    </font>
    <font>
      <b/>
      <sz val="11"/>
      <color indexed="8"/>
      <name val="Calibri"/>
      <family val="2"/>
    </font>
    <font>
      <b/>
      <i/>
      <sz val="11"/>
      <color indexed="8"/>
      <name val="Calibri"/>
      <family val="2"/>
    </font>
    <font>
      <sz val="8"/>
      <name val="Calibri"/>
      <family val="2"/>
    </font>
    <font>
      <sz val="11"/>
      <color indexed="8"/>
      <name val="Arial"/>
      <family val="2"/>
      <charset val="238"/>
    </font>
    <font>
      <b/>
      <sz val="11"/>
      <color indexed="8"/>
      <name val="Arial"/>
      <family val="2"/>
    </font>
    <font>
      <sz val="11"/>
      <color rgb="FFFF0000"/>
      <name val="Calibri"/>
      <family val="2"/>
    </font>
    <font>
      <b/>
      <sz val="11"/>
      <color theme="1"/>
      <name val="Calibri"/>
      <family val="2"/>
      <scheme val="minor"/>
    </font>
    <font>
      <vertAlign val="subscript"/>
      <sz val="11"/>
      <color indexed="8"/>
      <name val="Calibri"/>
      <family val="2"/>
      <charset val="238"/>
    </font>
    <font>
      <b/>
      <sz val="11"/>
      <color indexed="8"/>
      <name val="Calibri"/>
      <family val="2"/>
      <charset val="238"/>
    </font>
    <font>
      <sz val="11"/>
      <color indexed="8"/>
      <name val="Calibri"/>
      <family val="2"/>
      <charset val="238"/>
    </font>
    <font>
      <b/>
      <sz val="14"/>
      <color indexed="8"/>
      <name val="Calibri"/>
      <family val="2"/>
      <charset val="238"/>
    </font>
    <font>
      <b/>
      <sz val="11"/>
      <color rgb="FF002060"/>
      <name val="Calibri"/>
      <family val="2"/>
    </font>
    <font>
      <sz val="11"/>
      <color rgb="FFC00000"/>
      <name val="Calibri"/>
      <family val="2"/>
    </font>
    <font>
      <sz val="11"/>
      <color theme="1"/>
      <name val="Calibri"/>
      <family val="2"/>
    </font>
    <font>
      <b/>
      <i/>
      <sz val="11"/>
      <color indexed="8"/>
      <name val="Calibri"/>
      <family val="2"/>
      <charset val="238"/>
    </font>
    <font>
      <sz val="11"/>
      <color indexed="8"/>
      <name val="Calibri"/>
      <family val="2"/>
    </font>
    <font>
      <b/>
      <sz val="11"/>
      <color rgb="FFFF0000"/>
      <name val="Calibri"/>
      <family val="2"/>
      <scheme val="minor"/>
    </font>
    <font>
      <sz val="10"/>
      <name val="Arial"/>
      <family val="2"/>
    </font>
    <font>
      <sz val="10"/>
      <name val="Arial"/>
      <family val="2"/>
      <charset val="238"/>
    </font>
    <font>
      <sz val="11"/>
      <name val="Calibri"/>
      <family val="2"/>
    </font>
    <font>
      <sz val="11"/>
      <color indexed="8"/>
      <name val="Arial"/>
      <family val="2"/>
    </font>
    <font>
      <b/>
      <i/>
      <sz val="12"/>
      <color rgb="FF0070C0"/>
      <name val="Arial"/>
      <family val="2"/>
    </font>
    <font>
      <b/>
      <sz val="11"/>
      <name val="Calibri"/>
      <family val="2"/>
    </font>
    <font>
      <sz val="11"/>
      <name val="Calibri"/>
      <family val="2"/>
      <scheme val="minor"/>
    </font>
    <font>
      <sz val="11"/>
      <color indexed="9"/>
      <name val="Calibri"/>
      <family val="2"/>
      <charset val="238"/>
    </font>
    <font>
      <sz val="11"/>
      <color indexed="62"/>
      <name val="Calibri"/>
      <family val="2"/>
      <charset val="238"/>
    </font>
    <font>
      <b/>
      <sz val="18"/>
      <color indexed="56"/>
      <name val="Cambria"/>
      <family val="2"/>
      <charset val="238"/>
    </font>
    <font>
      <b/>
      <sz val="15"/>
      <color indexed="56"/>
      <name val="Calibri"/>
      <family val="2"/>
      <charset val="238"/>
    </font>
    <font>
      <b/>
      <sz val="13"/>
      <color indexed="56"/>
      <name val="Calibri"/>
      <family val="2"/>
      <charset val="238"/>
    </font>
    <font>
      <b/>
      <sz val="11"/>
      <color indexed="56"/>
      <name val="Calibri"/>
      <family val="2"/>
      <charset val="238"/>
    </font>
    <font>
      <b/>
      <sz val="11"/>
      <color indexed="9"/>
      <name val="Calibri"/>
      <family val="2"/>
      <charset val="238"/>
    </font>
    <font>
      <sz val="11"/>
      <color indexed="10"/>
      <name val="Calibri"/>
      <family val="2"/>
      <charset val="238"/>
    </font>
    <font>
      <sz val="11"/>
      <color indexed="52"/>
      <name val="Calibri"/>
      <family val="2"/>
      <charset val="238"/>
    </font>
    <font>
      <sz val="11"/>
      <color indexed="17"/>
      <name val="Calibri"/>
      <family val="2"/>
      <charset val="238"/>
    </font>
    <font>
      <b/>
      <sz val="11"/>
      <color indexed="63"/>
      <name val="Calibri"/>
      <family val="2"/>
      <charset val="238"/>
    </font>
    <font>
      <i/>
      <sz val="11"/>
      <color indexed="23"/>
      <name val="Calibri"/>
      <family val="2"/>
      <charset val="238"/>
    </font>
    <font>
      <sz val="11"/>
      <color indexed="20"/>
      <name val="Calibri"/>
      <family val="2"/>
      <charset val="238"/>
    </font>
    <font>
      <sz val="11"/>
      <color indexed="60"/>
      <name val="Calibri"/>
      <family val="2"/>
      <charset val="238"/>
    </font>
    <font>
      <b/>
      <sz val="11"/>
      <color indexed="52"/>
      <name val="Calibri"/>
      <family val="2"/>
      <charset val="238"/>
    </font>
    <font>
      <vertAlign val="subscript"/>
      <sz val="12"/>
      <color indexed="8"/>
      <name val="Arial"/>
      <family val="2"/>
    </font>
    <font>
      <i/>
      <sz val="12"/>
      <color indexed="8"/>
      <name val="Arial"/>
      <family val="2"/>
    </font>
    <font>
      <vertAlign val="subscript"/>
      <sz val="12"/>
      <name val="Arial"/>
      <family val="2"/>
    </font>
    <font>
      <i/>
      <sz val="12"/>
      <name val="Arial"/>
      <family val="2"/>
    </font>
    <font>
      <sz val="12"/>
      <name val="Arial"/>
      <family val="2"/>
    </font>
    <font>
      <b/>
      <sz val="12"/>
      <color indexed="8"/>
      <name val="Arial"/>
      <family val="2"/>
    </font>
    <font>
      <sz val="12"/>
      <color indexed="8"/>
      <name val="Arial"/>
      <family val="2"/>
    </font>
    <font>
      <i/>
      <vertAlign val="subscript"/>
      <sz val="12"/>
      <name val="Arial"/>
      <family val="2"/>
    </font>
    <font>
      <b/>
      <sz val="11"/>
      <name val="Calibri"/>
      <family val="2"/>
      <charset val="238"/>
    </font>
    <font>
      <b/>
      <i/>
      <sz val="12"/>
      <name val="Arial"/>
      <family val="2"/>
    </font>
    <font>
      <b/>
      <vertAlign val="subscript"/>
      <sz val="12"/>
      <name val="Arial"/>
      <family val="2"/>
    </font>
    <font>
      <b/>
      <i/>
      <sz val="11"/>
      <name val="Calibri"/>
      <family val="2"/>
      <charset val="238"/>
    </font>
    <font>
      <b/>
      <sz val="12"/>
      <name val="Arial"/>
      <family val="2"/>
    </font>
    <font>
      <vertAlign val="subscript"/>
      <sz val="11"/>
      <name val="Calibri"/>
      <family val="2"/>
    </font>
    <font>
      <b/>
      <i/>
      <vertAlign val="subscript"/>
      <sz val="12"/>
      <name val="Arial"/>
      <family val="2"/>
    </font>
    <font>
      <b/>
      <sz val="11"/>
      <name val="Calibri"/>
      <family val="2"/>
      <scheme val="minor"/>
    </font>
    <font>
      <vertAlign val="superscript"/>
      <sz val="11"/>
      <name val="Calibri"/>
      <family val="2"/>
    </font>
    <font>
      <b/>
      <sz val="11"/>
      <color indexed="8"/>
      <name val="Calibri"/>
      <family val="2"/>
      <scheme val="minor"/>
    </font>
    <font>
      <sz val="11"/>
      <color indexed="8"/>
      <name val="Calibri"/>
      <family val="2"/>
      <scheme val="minor"/>
    </font>
    <font>
      <i/>
      <sz val="11"/>
      <name val="Calibri"/>
      <family val="2"/>
      <scheme val="minor"/>
    </font>
    <font>
      <i/>
      <vertAlign val="subscript"/>
      <sz val="11"/>
      <name val="Calibri"/>
      <family val="2"/>
      <scheme val="minor"/>
    </font>
    <font>
      <vertAlign val="subscript"/>
      <sz val="11"/>
      <name val="Calibri"/>
      <family val="2"/>
      <scheme val="minor"/>
    </font>
    <font>
      <vertAlign val="superscript"/>
      <sz val="11"/>
      <name val="Calibri"/>
      <family val="2"/>
      <scheme val="minor"/>
    </font>
    <font>
      <b/>
      <i/>
      <sz val="11"/>
      <name val="Calibri"/>
      <family val="2"/>
      <scheme val="minor"/>
    </font>
    <font>
      <vertAlign val="subscript"/>
      <sz val="11"/>
      <name val="Calibri"/>
      <family val="2"/>
      <charset val="238"/>
    </font>
    <font>
      <vertAlign val="subscript"/>
      <sz val="11"/>
      <name val="Calibri"/>
      <family val="2"/>
      <charset val="238"/>
      <scheme val="minor"/>
    </font>
    <font>
      <vertAlign val="superscript"/>
      <sz val="11"/>
      <name val="Calibri"/>
      <family val="2"/>
      <charset val="238"/>
      <scheme val="minor"/>
    </font>
    <font>
      <vertAlign val="subscript"/>
      <sz val="11"/>
      <color rgb="FF000000"/>
      <name val="Calibri"/>
      <family val="2"/>
      <scheme val="minor"/>
    </font>
    <font>
      <sz val="11"/>
      <color rgb="FF000000"/>
      <name val="Calibri"/>
      <family val="2"/>
      <charset val="238"/>
      <scheme val="minor"/>
    </font>
    <font>
      <vertAlign val="superscript"/>
      <sz val="11"/>
      <color rgb="FF000000"/>
      <name val="Calibri"/>
      <family val="2"/>
      <scheme val="minor"/>
    </font>
    <font>
      <b/>
      <sz val="11"/>
      <color indexed="9"/>
      <name val="Calibri"/>
      <family val="2"/>
      <scheme val="minor"/>
    </font>
    <font>
      <sz val="11"/>
      <color rgb="FF0082C8"/>
      <name val="Calibri"/>
      <family val="2"/>
      <scheme val="minor"/>
    </font>
    <font>
      <u/>
      <sz val="11"/>
      <color theme="10"/>
      <name val="Calibri"/>
      <family val="2"/>
    </font>
  </fonts>
  <fills count="38">
    <fill>
      <patternFill patternType="none"/>
    </fill>
    <fill>
      <patternFill patternType="gray125"/>
    </fill>
    <fill>
      <patternFill patternType="solid">
        <fgColor theme="0"/>
        <bgColor indexed="64"/>
      </patternFill>
    </fill>
    <fill>
      <patternFill patternType="solid">
        <fgColor rgb="FF498F87"/>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26"/>
      </patternFill>
    </fill>
    <fill>
      <patternFill patternType="solid">
        <fgColor indexed="55"/>
      </patternFill>
    </fill>
    <fill>
      <patternFill patternType="solid">
        <fgColor indexed="43"/>
      </patternFill>
    </fill>
    <fill>
      <patternFill patternType="solid">
        <fgColor indexed="13"/>
        <bgColor indexed="64"/>
      </patternFill>
    </fill>
    <fill>
      <patternFill patternType="solid">
        <fgColor theme="0" tint="-4.9989318521683403E-2"/>
        <bgColor indexed="64"/>
      </patternFill>
    </fill>
    <fill>
      <patternFill patternType="solid">
        <fgColor theme="9" tint="0.79995117038483843"/>
        <bgColor indexed="64"/>
      </patternFill>
    </fill>
    <fill>
      <patternFill patternType="solid">
        <fgColor rgb="FFFFFF00"/>
        <bgColor indexed="64"/>
      </patternFill>
    </fill>
    <fill>
      <patternFill patternType="solid">
        <fgColor theme="8" tint="0.39997558519241921"/>
        <bgColor indexed="64"/>
      </patternFill>
    </fill>
    <fill>
      <patternFill patternType="solid">
        <fgColor rgb="FFFFFFFF"/>
        <bgColor indexed="64"/>
      </patternFill>
    </fill>
    <fill>
      <patternFill patternType="solid">
        <fgColor indexed="11"/>
        <bgColor indexed="64"/>
      </patternFill>
    </fill>
    <fill>
      <patternFill patternType="solid">
        <fgColor rgb="FFC00000"/>
        <bgColor indexed="64"/>
      </patternFill>
    </fill>
    <fill>
      <patternFill patternType="solid">
        <fgColor rgb="FF2B8DD5"/>
        <bgColor indexed="64"/>
      </patternFill>
    </fill>
  </fills>
  <borders count="82">
    <border>
      <left/>
      <right/>
      <top/>
      <bottom/>
      <diagonal/>
    </border>
    <border>
      <left style="medium">
        <color indexed="64"/>
      </left>
      <right style="medium">
        <color indexed="8"/>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8"/>
      </left>
      <right style="medium">
        <color indexed="8"/>
      </right>
      <top style="medium">
        <color indexed="8"/>
      </top>
      <bottom/>
      <diagonal/>
    </border>
    <border>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rgb="FF000000"/>
      </left>
      <right style="medium">
        <color rgb="FF000000"/>
      </right>
      <top style="medium">
        <color rgb="FF000000"/>
      </top>
      <bottom/>
      <diagonal/>
    </border>
    <border>
      <left style="medium">
        <color indexed="64"/>
      </left>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8"/>
      </left>
      <right style="medium">
        <color indexed="8"/>
      </right>
      <top style="medium">
        <color indexed="8"/>
      </top>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double">
        <color indexed="63"/>
      </left>
      <right style="double">
        <color indexed="63"/>
      </right>
      <top style="double">
        <color indexed="63"/>
      </top>
      <bottom style="double">
        <color indexed="63"/>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ck">
        <color indexed="64"/>
      </right>
      <top/>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medium">
        <color indexed="64"/>
      </bottom>
      <diagonal/>
    </border>
    <border>
      <left/>
      <right/>
      <top/>
      <bottom style="medium">
        <color indexed="64"/>
      </bottom>
      <diagonal/>
    </border>
    <border>
      <left style="thin">
        <color indexed="23"/>
      </left>
      <right style="thin">
        <color indexed="23"/>
      </right>
      <top style="thin">
        <color indexed="9"/>
      </top>
      <bottom style="medium">
        <color indexed="9"/>
      </bottom>
      <diagonal/>
    </border>
    <border>
      <left style="thin">
        <color indexed="23"/>
      </left>
      <right style="medium">
        <color indexed="9"/>
      </right>
      <top style="thin">
        <color indexed="9"/>
      </top>
      <bottom style="medium">
        <color indexed="9"/>
      </bottom>
      <diagonal/>
    </border>
    <border>
      <left style="medium">
        <color indexed="9"/>
      </left>
      <right style="medium">
        <color indexed="9"/>
      </right>
      <top/>
      <bottom style="medium">
        <color indexed="9"/>
      </bottom>
      <diagonal/>
    </border>
    <border>
      <left style="medium">
        <color indexed="9"/>
      </left>
      <right style="medium">
        <color indexed="9"/>
      </right>
      <top style="thin">
        <color indexed="9"/>
      </top>
      <bottom style="medium">
        <color indexed="9"/>
      </bottom>
      <diagonal/>
    </border>
    <border>
      <left style="medium">
        <color indexed="9"/>
      </left>
      <right style="thin">
        <color indexed="23"/>
      </right>
      <top style="thin">
        <color indexed="9"/>
      </top>
      <bottom style="medium">
        <color indexed="9"/>
      </bottom>
      <diagonal/>
    </border>
    <border>
      <left style="thin">
        <color indexed="23"/>
      </left>
      <right style="thin">
        <color indexed="23"/>
      </right>
      <top/>
      <bottom style="thin">
        <color indexed="23"/>
      </bottom>
      <diagonal/>
    </border>
    <border>
      <left style="medium">
        <color indexed="64"/>
      </left>
      <right style="thin">
        <color indexed="64"/>
      </right>
      <top style="medium">
        <color auto="1"/>
      </top>
      <bottom/>
      <diagonal/>
    </border>
    <border>
      <left style="thin">
        <color indexed="64"/>
      </left>
      <right style="thin">
        <color indexed="64"/>
      </right>
      <top style="medium">
        <color auto="1"/>
      </top>
      <bottom/>
      <diagonal/>
    </border>
    <border>
      <left style="thin">
        <color indexed="64"/>
      </left>
      <right style="medium">
        <color indexed="64"/>
      </right>
      <top style="medium">
        <color auto="1"/>
      </top>
      <bottom/>
      <diagonal/>
    </border>
    <border>
      <left style="thin">
        <color auto="1"/>
      </left>
      <right/>
      <top style="medium">
        <color auto="1"/>
      </top>
      <bottom style="thin">
        <color indexed="64"/>
      </bottom>
      <diagonal/>
    </border>
    <border>
      <left/>
      <right/>
      <top style="medium">
        <color auto="1"/>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auto="1"/>
      </top>
      <bottom style="medium">
        <color indexed="64"/>
      </bottom>
      <diagonal/>
    </border>
    <border>
      <left/>
      <right style="medium">
        <color indexed="64"/>
      </right>
      <top style="thin">
        <color indexed="64"/>
      </top>
      <bottom style="medium">
        <color indexed="64"/>
      </bottom>
      <diagonal/>
    </border>
  </borders>
  <cellStyleXfs count="65">
    <xf numFmtId="0" fontId="0" fillId="0" borderId="0"/>
    <xf numFmtId="0" fontId="7" fillId="0" borderId="0"/>
    <xf numFmtId="0" fontId="24" fillId="0" borderId="0"/>
    <xf numFmtId="0" fontId="26" fillId="0" borderId="0"/>
    <xf numFmtId="0" fontId="18" fillId="7" borderId="0" applyNumberFormat="0" applyBorder="0" applyAlignment="0" applyProtection="0"/>
    <xf numFmtId="0" fontId="18" fillId="8"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8"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18" fillId="14" borderId="0" applyNumberFormat="0" applyBorder="0" applyAlignment="0" applyProtection="0"/>
    <xf numFmtId="0" fontId="18" fillId="15" borderId="0" applyNumberFormat="0" applyBorder="0" applyAlignment="0" applyProtection="0"/>
    <xf numFmtId="0" fontId="18" fillId="10" borderId="0" applyNumberFormat="0" applyBorder="0" applyAlignment="0" applyProtection="0"/>
    <xf numFmtId="0" fontId="18" fillId="13" borderId="0" applyNumberFormat="0" applyBorder="0" applyAlignment="0" applyProtection="0"/>
    <xf numFmtId="0" fontId="18" fillId="16" borderId="0" applyNumberFormat="0" applyBorder="0" applyAlignment="0" applyProtection="0"/>
    <xf numFmtId="0" fontId="33" fillId="17" borderId="0" applyNumberFormat="0" applyBorder="0" applyAlignment="0" applyProtection="0"/>
    <xf numFmtId="0" fontId="33" fillId="14" borderId="0" applyNumberFormat="0" applyBorder="0" applyAlignment="0" applyProtection="0"/>
    <xf numFmtId="0" fontId="33" fillId="15" borderId="0" applyNumberFormat="0" applyBorder="0" applyAlignment="0" applyProtection="0"/>
    <xf numFmtId="0" fontId="33" fillId="18" borderId="0" applyNumberFormat="0" applyBorder="0" applyAlignment="0" applyProtection="0"/>
    <xf numFmtId="0" fontId="33" fillId="19" borderId="0" applyNumberFormat="0" applyBorder="0" applyAlignment="0" applyProtection="0"/>
    <xf numFmtId="0" fontId="33" fillId="20" borderId="0" applyNumberFormat="0" applyBorder="0" applyAlignment="0" applyProtection="0"/>
    <xf numFmtId="0" fontId="34" fillId="12" borderId="38" applyNumberFormat="0" applyAlignment="0" applyProtection="0"/>
    <xf numFmtId="0" fontId="35" fillId="0" borderId="0" applyNumberFormat="0" applyFill="0" applyBorder="0" applyAlignment="0" applyProtection="0"/>
    <xf numFmtId="0" fontId="36" fillId="0" borderId="40" applyNumberFormat="0" applyFill="0" applyAlignment="0" applyProtection="0"/>
    <xf numFmtId="0" fontId="37" fillId="0" borderId="41" applyNumberFormat="0" applyFill="0" applyAlignment="0" applyProtection="0"/>
    <xf numFmtId="0" fontId="38" fillId="0" borderId="42" applyNumberFormat="0" applyFill="0" applyAlignment="0" applyProtection="0"/>
    <xf numFmtId="0" fontId="38" fillId="0" borderId="0" applyNumberFormat="0" applyFill="0" applyBorder="0" applyAlignment="0" applyProtection="0"/>
    <xf numFmtId="0" fontId="39" fillId="27" borderId="44" applyNumberFormat="0" applyAlignment="0" applyProtection="0"/>
    <xf numFmtId="0" fontId="40" fillId="0" borderId="0" applyNumberFormat="0" applyFill="0" applyBorder="0" applyAlignment="0" applyProtection="0"/>
    <xf numFmtId="0" fontId="41" fillId="0" borderId="39" applyNumberFormat="0" applyFill="0" applyAlignment="0" applyProtection="0"/>
    <xf numFmtId="0" fontId="27" fillId="26" borderId="43" applyNumberFormat="0" applyFont="0" applyAlignment="0" applyProtection="0"/>
    <xf numFmtId="0" fontId="33" fillId="21" borderId="0" applyNumberFormat="0" applyBorder="0" applyAlignment="0" applyProtection="0"/>
    <xf numFmtId="0" fontId="33" fillId="22" borderId="0" applyNumberFormat="0" applyBorder="0" applyAlignment="0" applyProtection="0"/>
    <xf numFmtId="0" fontId="33" fillId="23" borderId="0" applyNumberFormat="0" applyBorder="0" applyAlignment="0" applyProtection="0"/>
    <xf numFmtId="0" fontId="33" fillId="18" borderId="0" applyNumberFormat="0" applyBorder="0" applyAlignment="0" applyProtection="0"/>
    <xf numFmtId="0" fontId="33" fillId="19" borderId="0" applyNumberFormat="0" applyBorder="0" applyAlignment="0" applyProtection="0"/>
    <xf numFmtId="0" fontId="33" fillId="24" borderId="0" applyNumberFormat="0" applyBorder="0" applyAlignment="0" applyProtection="0"/>
    <xf numFmtId="0" fontId="42" fillId="9" borderId="0" applyNumberFormat="0" applyBorder="0" applyAlignment="0" applyProtection="0"/>
    <xf numFmtId="0" fontId="43" fillId="25" borderId="45" applyNumberFormat="0" applyAlignment="0" applyProtection="0"/>
    <xf numFmtId="0" fontId="44" fillId="0" borderId="0" applyNumberFormat="0" applyFill="0" applyBorder="0" applyAlignment="0" applyProtection="0"/>
    <xf numFmtId="0" fontId="17" fillId="0" borderId="46" applyNumberFormat="0" applyFill="0" applyAlignment="0" applyProtection="0"/>
    <xf numFmtId="0" fontId="45" fillId="8" borderId="0" applyNumberFormat="0" applyBorder="0" applyAlignment="0" applyProtection="0"/>
    <xf numFmtId="0" fontId="46" fillId="28" borderId="0" applyNumberFormat="0" applyBorder="0" applyAlignment="0" applyProtection="0"/>
    <xf numFmtId="0" fontId="47" fillId="25" borderId="38" applyNumberFormat="0" applyAlignment="0" applyProtection="0"/>
    <xf numFmtId="0" fontId="26" fillId="0" borderId="0"/>
    <xf numFmtId="0" fontId="26" fillId="0" borderId="0"/>
    <xf numFmtId="0" fontId="6" fillId="0" borderId="0"/>
    <xf numFmtId="0" fontId="5" fillId="0" borderId="0"/>
    <xf numFmtId="0" fontId="5" fillId="0" borderId="0"/>
    <xf numFmtId="0" fontId="24"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0" borderId="0"/>
    <xf numFmtId="0" fontId="3" fillId="0" borderId="0"/>
    <xf numFmtId="0" fontId="3" fillId="0" borderId="0"/>
    <xf numFmtId="0" fontId="3" fillId="0" borderId="0"/>
    <xf numFmtId="0" fontId="1" fillId="0" borderId="0"/>
    <xf numFmtId="0" fontId="80" fillId="0" borderId="0" applyNumberFormat="0" applyFill="0" applyBorder="0" applyAlignment="0" applyProtection="0"/>
  </cellStyleXfs>
  <cellXfs count="426">
    <xf numFmtId="0" fontId="0" fillId="0" borderId="0" xfId="0"/>
    <xf numFmtId="0" fontId="9" fillId="0" borderId="0" xfId="0" applyFont="1"/>
    <xf numFmtId="0" fontId="9" fillId="0" borderId="5" xfId="0" applyFont="1" applyBorder="1" applyAlignment="1">
      <alignment vertical="top" wrapText="1"/>
    </xf>
    <xf numFmtId="0" fontId="0" fillId="0" borderId="0" xfId="0" applyAlignment="1">
      <alignment horizontal="left" vertical="center"/>
    </xf>
    <xf numFmtId="0" fontId="0" fillId="0" borderId="7" xfId="0" applyBorder="1"/>
    <xf numFmtId="0" fontId="17" fillId="0" borderId="0" xfId="0" applyFont="1"/>
    <xf numFmtId="0" fontId="0" fillId="0" borderId="0" xfId="0" applyAlignment="1">
      <alignment vertical="top"/>
    </xf>
    <xf numFmtId="0" fontId="0" fillId="2" borderId="0" xfId="0" applyFill="1"/>
    <xf numFmtId="0" fontId="14" fillId="3" borderId="19" xfId="0" applyFont="1" applyFill="1" applyBorder="1"/>
    <xf numFmtId="0" fontId="14" fillId="3" borderId="20" xfId="0" applyFont="1" applyFill="1" applyBorder="1"/>
    <xf numFmtId="0" fontId="14" fillId="3" borderId="21" xfId="0" applyFont="1" applyFill="1" applyBorder="1"/>
    <xf numFmtId="0" fontId="15" fillId="0" borderId="0" xfId="0" applyFont="1" applyAlignment="1">
      <alignment horizontal="left" vertical="center"/>
    </xf>
    <xf numFmtId="0" fontId="9" fillId="0" borderId="0" xfId="0" applyFont="1" applyAlignment="1">
      <alignment horizontal="center" vertical="center"/>
    </xf>
    <xf numFmtId="0" fontId="9" fillId="0" borderId="0" xfId="0" applyFont="1" applyAlignment="1">
      <alignment horizontal="center" vertical="center" wrapText="1"/>
    </xf>
    <xf numFmtId="0" fontId="15" fillId="0" borderId="31" xfId="0" applyFont="1" applyBorder="1" applyAlignment="1">
      <alignment horizontal="left" vertical="center"/>
    </xf>
    <xf numFmtId="0" fontId="15" fillId="0" borderId="4" xfId="0" applyFont="1" applyBorder="1" applyAlignment="1">
      <alignment horizontal="left" vertical="center"/>
    </xf>
    <xf numFmtId="0" fontId="15" fillId="0" borderId="20" xfId="0" applyFont="1" applyBorder="1" applyAlignment="1">
      <alignment horizontal="left" vertical="center"/>
    </xf>
    <xf numFmtId="0" fontId="15" fillId="0" borderId="30" xfId="0" applyFont="1" applyBorder="1" applyAlignment="1">
      <alignment horizontal="left" vertical="center"/>
    </xf>
    <xf numFmtId="0" fontId="15" fillId="0" borderId="29" xfId="0" applyFont="1" applyBorder="1" applyAlignment="1">
      <alignment horizontal="left" vertical="center"/>
    </xf>
    <xf numFmtId="0" fontId="15" fillId="0" borderId="0" xfId="1" applyFont="1"/>
    <xf numFmtId="0" fontId="7" fillId="0" borderId="0" xfId="1"/>
    <xf numFmtId="0" fontId="25" fillId="4" borderId="2" xfId="1" applyFont="1" applyFill="1" applyBorder="1"/>
    <xf numFmtId="0" fontId="15" fillId="4" borderId="13" xfId="1" applyFont="1" applyFill="1" applyBorder="1" applyAlignment="1">
      <alignment horizontal="center" vertical="center"/>
    </xf>
    <xf numFmtId="0" fontId="15" fillId="4" borderId="3" xfId="1" applyFont="1" applyFill="1" applyBorder="1" applyAlignment="1">
      <alignment horizontal="center" vertical="center"/>
    </xf>
    <xf numFmtId="0" fontId="15" fillId="4" borderId="2" xfId="1" applyFont="1" applyFill="1" applyBorder="1"/>
    <xf numFmtId="0" fontId="7" fillId="4" borderId="13" xfId="1" applyFill="1" applyBorder="1" applyAlignment="1">
      <alignment horizontal="center" vertical="center"/>
    </xf>
    <xf numFmtId="0" fontId="7" fillId="4" borderId="3" xfId="1" applyFill="1" applyBorder="1" applyAlignment="1">
      <alignment horizontal="center" vertical="center"/>
    </xf>
    <xf numFmtId="0" fontId="7" fillId="0" borderId="0" xfId="1" applyAlignment="1">
      <alignment horizontal="center" vertical="center"/>
    </xf>
    <xf numFmtId="0" fontId="15" fillId="4" borderId="32" xfId="1" applyFont="1" applyFill="1" applyBorder="1"/>
    <xf numFmtId="0" fontId="7" fillId="4" borderId="0" xfId="1" applyFill="1" applyAlignment="1">
      <alignment horizontal="center" vertical="center"/>
    </xf>
    <xf numFmtId="0" fontId="7" fillId="4" borderId="23" xfId="1" applyFill="1" applyBorder="1" applyAlignment="1">
      <alignment horizontal="center" vertical="center"/>
    </xf>
    <xf numFmtId="0" fontId="15" fillId="4" borderId="33" xfId="1" applyFont="1" applyFill="1" applyBorder="1"/>
    <xf numFmtId="0" fontId="7" fillId="4" borderId="25" xfId="1" applyFill="1" applyBorder="1" applyAlignment="1">
      <alignment horizontal="center" vertical="center"/>
    </xf>
    <xf numFmtId="0" fontId="7" fillId="4" borderId="26" xfId="1" applyFill="1" applyBorder="1" applyAlignment="1">
      <alignment horizontal="center" vertical="center"/>
    </xf>
    <xf numFmtId="0" fontId="7" fillId="4" borderId="4" xfId="1" applyFill="1" applyBorder="1" applyAlignment="1">
      <alignment horizontal="center" vertical="center"/>
    </xf>
    <xf numFmtId="0" fontId="7" fillId="4" borderId="33" xfId="1" applyFill="1" applyBorder="1" applyAlignment="1">
      <alignment horizontal="center" vertical="center"/>
    </xf>
    <xf numFmtId="0" fontId="15" fillId="4" borderId="4" xfId="1" applyFont="1" applyFill="1" applyBorder="1"/>
    <xf numFmtId="0" fontId="7" fillId="4" borderId="29" xfId="1" applyFill="1" applyBorder="1" applyAlignment="1">
      <alignment horizontal="center" vertical="center"/>
    </xf>
    <xf numFmtId="11" fontId="7" fillId="4" borderId="25" xfId="1" applyNumberFormat="1" applyFill="1" applyBorder="1" applyAlignment="1">
      <alignment horizontal="center" vertical="center"/>
    </xf>
    <xf numFmtId="0" fontId="7" fillId="4" borderId="35" xfId="1" applyFill="1" applyBorder="1" applyAlignment="1">
      <alignment horizontal="center" vertical="center"/>
    </xf>
    <xf numFmtId="0" fontId="29" fillId="0" borderId="17" xfId="3" applyFont="1" applyBorder="1" applyAlignment="1">
      <alignment horizontal="left" vertical="center" wrapText="1"/>
    </xf>
    <xf numFmtId="0" fontId="29" fillId="0" borderId="17" xfId="3" applyFont="1" applyBorder="1" applyAlignment="1">
      <alignment horizontal="center" vertical="center" wrapText="1"/>
    </xf>
    <xf numFmtId="0" fontId="0" fillId="0" borderId="17" xfId="0" applyBorder="1" applyAlignment="1">
      <alignment horizontal="center" vertical="center" wrapText="1"/>
    </xf>
    <xf numFmtId="0" fontId="24" fillId="0" borderId="17" xfId="0" applyFont="1" applyBorder="1" applyAlignment="1">
      <alignment horizontal="center" vertical="center"/>
    </xf>
    <xf numFmtId="0" fontId="32" fillId="0" borderId="0" xfId="0" applyFont="1" applyAlignment="1">
      <alignment vertical="center"/>
    </xf>
    <xf numFmtId="0" fontId="32" fillId="0" borderId="0" xfId="0" applyFont="1"/>
    <xf numFmtId="0" fontId="0" fillId="5" borderId="0" xfId="0" applyFill="1"/>
    <xf numFmtId="0" fontId="13" fillId="5" borderId="0" xfId="0" applyFont="1" applyFill="1" applyAlignment="1">
      <alignment horizontal="center" vertical="center" wrapText="1"/>
    </xf>
    <xf numFmtId="0" fontId="19" fillId="5" borderId="0" xfId="0" applyFont="1" applyFill="1" applyAlignment="1">
      <alignment horizontal="center" vertical="center" wrapText="1"/>
    </xf>
    <xf numFmtId="0" fontId="20" fillId="6" borderId="0" xfId="0" applyFont="1" applyFill="1"/>
    <xf numFmtId="0" fontId="0" fillId="6" borderId="0" xfId="0" applyFill="1"/>
    <xf numFmtId="0" fontId="9" fillId="6" borderId="1" xfId="0" applyFont="1" applyFill="1" applyBorder="1" applyAlignment="1">
      <alignment horizontal="center" vertical="center" wrapText="1"/>
    </xf>
    <xf numFmtId="0" fontId="9" fillId="6" borderId="4" xfId="0" applyFont="1" applyFill="1" applyBorder="1" applyAlignment="1">
      <alignment horizontal="center" vertical="center"/>
    </xf>
    <xf numFmtId="0" fontId="15" fillId="6" borderId="31" xfId="0" applyFont="1" applyFill="1" applyBorder="1" applyAlignment="1">
      <alignment horizontal="left" vertical="center"/>
    </xf>
    <xf numFmtId="0" fontId="15" fillId="6" borderId="4" xfId="0" applyFont="1" applyFill="1" applyBorder="1" applyAlignment="1">
      <alignment horizontal="left" vertical="center"/>
    </xf>
    <xf numFmtId="0" fontId="15" fillId="6" borderId="20" xfId="0" applyFont="1" applyFill="1" applyBorder="1" applyAlignment="1">
      <alignment horizontal="left" vertical="center"/>
    </xf>
    <xf numFmtId="0" fontId="15" fillId="6" borderId="30" xfId="0" applyFont="1" applyFill="1" applyBorder="1" applyAlignment="1">
      <alignment horizontal="left" vertical="center"/>
    </xf>
    <xf numFmtId="0" fontId="15" fillId="6" borderId="29" xfId="0" applyFont="1" applyFill="1" applyBorder="1" applyAlignment="1">
      <alignment horizontal="left" vertical="center"/>
    </xf>
    <xf numFmtId="0" fontId="15" fillId="6" borderId="27" xfId="0" applyFont="1" applyFill="1" applyBorder="1" applyAlignment="1">
      <alignment horizontal="left" vertical="center" wrapText="1"/>
    </xf>
    <xf numFmtId="0" fontId="15" fillId="6" borderId="0" xfId="0" applyFont="1" applyFill="1" applyAlignment="1">
      <alignment horizontal="left" vertical="center"/>
    </xf>
    <xf numFmtId="0" fontId="9" fillId="6" borderId="5" xfId="0" applyFont="1" applyFill="1" applyBorder="1" applyAlignment="1">
      <alignment vertical="top" wrapText="1"/>
    </xf>
    <xf numFmtId="0" fontId="9" fillId="6" borderId="6" xfId="0" applyFont="1" applyFill="1" applyBorder="1" applyAlignment="1">
      <alignment horizontal="center" vertical="center" wrapText="1"/>
    </xf>
    <xf numFmtId="0" fontId="15" fillId="6" borderId="28" xfId="0" applyFont="1" applyFill="1" applyBorder="1" applyAlignment="1">
      <alignment horizontal="left" vertical="center"/>
    </xf>
    <xf numFmtId="0" fontId="15" fillId="6" borderId="2" xfId="0" applyFont="1" applyFill="1" applyBorder="1" applyAlignment="1">
      <alignment horizontal="left" vertical="center"/>
    </xf>
    <xf numFmtId="0" fontId="15" fillId="6" borderId="3" xfId="0" applyFont="1" applyFill="1" applyBorder="1" applyAlignment="1">
      <alignment horizontal="left" vertical="center"/>
    </xf>
    <xf numFmtId="0" fontId="15" fillId="6" borderId="13" xfId="0" applyFont="1" applyFill="1" applyBorder="1" applyAlignment="1">
      <alignment horizontal="left" vertical="center"/>
    </xf>
    <xf numFmtId="0" fontId="15" fillId="6" borderId="18" xfId="0" applyFont="1" applyFill="1" applyBorder="1" applyAlignment="1">
      <alignment horizontal="left" vertical="center"/>
    </xf>
    <xf numFmtId="0" fontId="17" fillId="0" borderId="0" xfId="0" applyFont="1" applyAlignment="1">
      <alignment horizontal="center" vertical="center"/>
    </xf>
    <xf numFmtId="0" fontId="30" fillId="0" borderId="0" xfId="2" applyFont="1" applyAlignment="1">
      <alignment horizontal="center" vertical="center" wrapText="1"/>
    </xf>
    <xf numFmtId="0" fontId="23" fillId="0" borderId="0" xfId="0" applyFont="1" applyAlignment="1">
      <alignment horizontal="center" vertical="center" wrapText="1"/>
    </xf>
    <xf numFmtId="0" fontId="52" fillId="0" borderId="7" xfId="3" applyFont="1" applyBorder="1" applyAlignment="1">
      <alignment horizontal="center" vertical="center" wrapText="1"/>
    </xf>
    <xf numFmtId="1" fontId="51" fillId="0" borderId="7" xfId="3" applyNumberFormat="1" applyFont="1" applyBorder="1" applyAlignment="1">
      <alignment horizontal="center" vertical="center" wrapText="1"/>
    </xf>
    <xf numFmtId="165" fontId="51" fillId="0" borderId="7" xfId="3" applyNumberFormat="1" applyFont="1" applyBorder="1" applyAlignment="1">
      <alignment horizontal="center" vertical="center" wrapText="1"/>
    </xf>
    <xf numFmtId="2" fontId="52" fillId="0" borderId="7" xfId="3" applyNumberFormat="1" applyFont="1" applyBorder="1" applyAlignment="1">
      <alignment horizontal="center" vertical="center" wrapText="1"/>
    </xf>
    <xf numFmtId="2" fontId="52" fillId="0" borderId="7" xfId="3" quotePrefix="1" applyNumberFormat="1" applyFont="1" applyBorder="1" applyAlignment="1">
      <alignment horizontal="center" vertical="center" wrapText="1"/>
    </xf>
    <xf numFmtId="2" fontId="51" fillId="0" borderId="7" xfId="3" applyNumberFormat="1" applyFont="1" applyBorder="1" applyAlignment="1">
      <alignment horizontal="center" vertical="center" wrapText="1"/>
    </xf>
    <xf numFmtId="165" fontId="52" fillId="0" borderId="7" xfId="3" applyNumberFormat="1" applyFont="1" applyBorder="1" applyAlignment="1">
      <alignment horizontal="center" vertical="center" wrapText="1"/>
    </xf>
    <xf numFmtId="1" fontId="52" fillId="0" borderId="7" xfId="3" applyNumberFormat="1" applyFont="1" applyBorder="1" applyAlignment="1">
      <alignment horizontal="center" vertical="center" wrapText="1"/>
    </xf>
    <xf numFmtId="0" fontId="52" fillId="0" borderId="11" xfId="3" applyFont="1" applyBorder="1" applyAlignment="1">
      <alignment horizontal="center" vertical="center" wrapText="1"/>
    </xf>
    <xf numFmtId="165" fontId="51" fillId="0" borderId="11" xfId="3" applyNumberFormat="1" applyFont="1" applyBorder="1" applyAlignment="1">
      <alignment horizontal="center" vertical="center" wrapText="1"/>
    </xf>
    <xf numFmtId="0" fontId="28" fillId="0" borderId="9" xfId="0" applyFont="1" applyBorder="1"/>
    <xf numFmtId="0" fontId="28" fillId="0" borderId="12" xfId="0" applyFont="1" applyBorder="1"/>
    <xf numFmtId="0" fontId="0" fillId="0" borderId="0" xfId="0" applyAlignment="1">
      <alignment horizontal="center" vertical="center"/>
    </xf>
    <xf numFmtId="0" fontId="60" fillId="0" borderId="8" xfId="3" applyFont="1" applyBorder="1" applyAlignment="1">
      <alignment horizontal="center" vertical="center" wrapText="1"/>
    </xf>
    <xf numFmtId="0" fontId="60" fillId="0" borderId="7" xfId="3" applyFont="1" applyBorder="1" applyAlignment="1">
      <alignment horizontal="center" vertical="center" wrapText="1"/>
    </xf>
    <xf numFmtId="0" fontId="51" fillId="0" borderId="7" xfId="3" applyFont="1" applyBorder="1" applyAlignment="1">
      <alignment horizontal="center" vertical="center" wrapText="1"/>
    </xf>
    <xf numFmtId="0" fontId="60" fillId="0" borderId="10" xfId="3" applyFont="1" applyBorder="1" applyAlignment="1">
      <alignment horizontal="center" vertical="center" wrapText="1"/>
    </xf>
    <xf numFmtId="0" fontId="60" fillId="0" borderId="11" xfId="3" applyFont="1" applyBorder="1" applyAlignment="1">
      <alignment horizontal="center" vertical="center" wrapText="1"/>
    </xf>
    <xf numFmtId="0" fontId="51" fillId="0" borderId="11" xfId="3" applyFont="1" applyBorder="1" applyAlignment="1">
      <alignment horizontal="center" vertical="center" wrapText="1"/>
    </xf>
    <xf numFmtId="0" fontId="52" fillId="0" borderId="7" xfId="3" quotePrefix="1" applyFont="1" applyBorder="1" applyAlignment="1">
      <alignment horizontal="center" vertical="center" wrapText="1"/>
    </xf>
    <xf numFmtId="0" fontId="53" fillId="30" borderId="8" xfId="3" applyFont="1" applyFill="1" applyBorder="1" applyAlignment="1">
      <alignment horizontal="center" vertical="center" wrapText="1"/>
    </xf>
    <xf numFmtId="0" fontId="54" fillId="30" borderId="7" xfId="3" applyFont="1" applyFill="1" applyBorder="1" applyAlignment="1">
      <alignment horizontal="center" vertical="center" wrapText="1"/>
    </xf>
    <xf numFmtId="0" fontId="49" fillId="30" borderId="7" xfId="3" applyFont="1" applyFill="1" applyBorder="1" applyAlignment="1">
      <alignment horizontal="center" vertical="center" wrapText="1"/>
    </xf>
    <xf numFmtId="0" fontId="53" fillId="30" borderId="10" xfId="3" applyFont="1" applyFill="1" applyBorder="1" applyAlignment="1">
      <alignment horizontal="center" vertical="center" wrapText="1"/>
    </xf>
    <xf numFmtId="0" fontId="54" fillId="30" borderId="11" xfId="3" applyFont="1" applyFill="1" applyBorder="1" applyAlignment="1">
      <alignment horizontal="center" vertical="center" wrapText="1"/>
    </xf>
    <xf numFmtId="0" fontId="49" fillId="30" borderId="11" xfId="3" applyFont="1" applyFill="1" applyBorder="1" applyAlignment="1">
      <alignment horizontal="center" vertical="center" wrapText="1"/>
    </xf>
    <xf numFmtId="0" fontId="28" fillId="0" borderId="7" xfId="0" applyFont="1" applyBorder="1" applyAlignment="1">
      <alignment horizontal="left" vertical="center"/>
    </xf>
    <xf numFmtId="0" fontId="65" fillId="5" borderId="0" xfId="0" applyFont="1" applyFill="1" applyAlignment="1">
      <alignment horizontal="center" wrapText="1"/>
    </xf>
    <xf numFmtId="0" fontId="66" fillId="5" borderId="0" xfId="0" applyFont="1" applyFill="1" applyAlignment="1">
      <alignment horizontal="left" vertical="center"/>
    </xf>
    <xf numFmtId="0" fontId="66" fillId="5" borderId="0" xfId="0" applyFont="1" applyFill="1"/>
    <xf numFmtId="0" fontId="65" fillId="0" borderId="0" xfId="0" applyFont="1"/>
    <xf numFmtId="0" fontId="66" fillId="0" borderId="0" xfId="0" applyFont="1" applyAlignment="1">
      <alignment vertical="center"/>
    </xf>
    <xf numFmtId="0" fontId="65" fillId="6" borderId="34" xfId="0" applyFont="1" applyFill="1" applyBorder="1" applyAlignment="1">
      <alignment vertical="center" wrapText="1"/>
    </xf>
    <xf numFmtId="0" fontId="66" fillId="0" borderId="0" xfId="0" applyFont="1"/>
    <xf numFmtId="0" fontId="67" fillId="0" borderId="47" xfId="46" applyFont="1" applyBorder="1" applyAlignment="1">
      <alignment horizontal="center" vertical="center" wrapText="1"/>
    </xf>
    <xf numFmtId="0" fontId="32" fillId="0" borderId="17" xfId="0" applyFont="1" applyBorder="1" applyAlignment="1">
      <alignment horizontal="left" vertical="center"/>
    </xf>
    <xf numFmtId="0" fontId="32" fillId="0" borderId="17" xfId="46" applyFont="1" applyBorder="1" applyAlignment="1">
      <alignment horizontal="center" vertical="center" wrapText="1"/>
    </xf>
    <xf numFmtId="0" fontId="63" fillId="0" borderId="17" xfId="0" applyFont="1" applyBorder="1"/>
    <xf numFmtId="0" fontId="67" fillId="0" borderId="8" xfId="46" applyFont="1" applyBorder="1" applyAlignment="1">
      <alignment horizontal="center" vertical="center" wrapText="1"/>
    </xf>
    <xf numFmtId="0" fontId="32" fillId="0" borderId="7" xfId="0" applyFont="1" applyBorder="1" applyAlignment="1">
      <alignment vertical="center"/>
    </xf>
    <xf numFmtId="0" fontId="32" fillId="0" borderId="7" xfId="46" applyFont="1" applyBorder="1" applyAlignment="1">
      <alignment horizontal="center" vertical="center" wrapText="1"/>
    </xf>
    <xf numFmtId="0" fontId="63" fillId="0" borderId="7" xfId="0" applyFont="1" applyBorder="1"/>
    <xf numFmtId="0" fontId="67" fillId="0" borderId="10" xfId="46" applyFont="1" applyBorder="1" applyAlignment="1">
      <alignment horizontal="center" vertical="center" wrapText="1"/>
    </xf>
    <xf numFmtId="0" fontId="32" fillId="0" borderId="11" xfId="0" applyFont="1" applyBorder="1" applyAlignment="1">
      <alignment vertical="center"/>
    </xf>
    <xf numFmtId="0" fontId="32" fillId="0" borderId="11" xfId="46" applyFont="1" applyBorder="1" applyAlignment="1">
      <alignment horizontal="center" vertical="center" wrapText="1"/>
    </xf>
    <xf numFmtId="0" fontId="63" fillId="0" borderId="11" xfId="0" applyFont="1" applyBorder="1"/>
    <xf numFmtId="0" fontId="67" fillId="0" borderId="0" xfId="46" applyFont="1" applyAlignment="1">
      <alignment horizontal="center" vertical="center" wrapText="1"/>
    </xf>
    <xf numFmtId="0" fontId="32" fillId="0" borderId="0" xfId="46" applyFont="1" applyAlignment="1">
      <alignment horizontal="center" vertical="center" wrapText="1"/>
    </xf>
    <xf numFmtId="0" fontId="63" fillId="0" borderId="0" xfId="0" applyFont="1"/>
    <xf numFmtId="0" fontId="32" fillId="0" borderId="0" xfId="0" applyFont="1" applyAlignment="1">
      <alignment horizontal="center" vertical="center"/>
    </xf>
    <xf numFmtId="0" fontId="32" fillId="0" borderId="7" xfId="46" applyFont="1" applyBorder="1" applyAlignment="1">
      <alignment horizontal="center" vertical="center"/>
    </xf>
    <xf numFmtId="0" fontId="67" fillId="0" borderId="8" xfId="46" applyFont="1" applyBorder="1" applyAlignment="1">
      <alignment horizontal="center" vertical="center"/>
    </xf>
    <xf numFmtId="0" fontId="67" fillId="0" borderId="10" xfId="46" applyFont="1" applyBorder="1" applyAlignment="1">
      <alignment horizontal="center" vertical="center"/>
    </xf>
    <xf numFmtId="0" fontId="32" fillId="0" borderId="11" xfId="46" applyFont="1" applyBorder="1" applyAlignment="1">
      <alignment horizontal="center" vertical="center"/>
    </xf>
    <xf numFmtId="0" fontId="66" fillId="0" borderId="0" xfId="0" applyFont="1" applyAlignment="1">
      <alignment horizontal="center" vertical="center"/>
    </xf>
    <xf numFmtId="0" fontId="66" fillId="0" borderId="0" xfId="0" applyFont="1" applyAlignment="1">
      <alignment horizontal="left" vertical="center" wrapText="1"/>
    </xf>
    <xf numFmtId="0" fontId="66" fillId="0" borderId="0" xfId="0" applyFont="1" applyAlignment="1">
      <alignment horizontal="center" vertical="center" wrapText="1"/>
    </xf>
    <xf numFmtId="0" fontId="32" fillId="0" borderId="17" xfId="0" applyFont="1" applyBorder="1"/>
    <xf numFmtId="0" fontId="32" fillId="0" borderId="7" xfId="0" applyFont="1" applyBorder="1" applyAlignment="1">
      <alignment horizontal="left" vertical="center"/>
    </xf>
    <xf numFmtId="0" fontId="32" fillId="0" borderId="7" xfId="0" applyFont="1" applyBorder="1"/>
    <xf numFmtId="164" fontId="32" fillId="0" borderId="7" xfId="46" applyNumberFormat="1" applyFont="1" applyBorder="1" applyAlignment="1">
      <alignment horizontal="center" vertical="center" wrapText="1"/>
    </xf>
    <xf numFmtId="0" fontId="32" fillId="0" borderId="11" xfId="0" applyFont="1" applyBorder="1" applyAlignment="1">
      <alignment horizontal="left" vertical="center"/>
    </xf>
    <xf numFmtId="0" fontId="32" fillId="0" borderId="11" xfId="0" applyFont="1" applyBorder="1" applyAlignment="1">
      <alignment horizontal="center" vertical="center"/>
    </xf>
    <xf numFmtId="0" fontId="66" fillId="0" borderId="0" xfId="0" applyFont="1" applyAlignment="1">
      <alignment horizontal="left" vertical="center"/>
    </xf>
    <xf numFmtId="0" fontId="63" fillId="6" borderId="36" xfId="0" applyFont="1" applyFill="1" applyBorder="1" applyAlignment="1">
      <alignment vertical="center"/>
    </xf>
    <xf numFmtId="0" fontId="63" fillId="6" borderId="18" xfId="0" applyFont="1" applyFill="1" applyBorder="1" applyAlignment="1">
      <alignment vertical="center" wrapText="1"/>
    </xf>
    <xf numFmtId="0" fontId="63" fillId="6" borderId="18" xfId="0" applyFont="1" applyFill="1" applyBorder="1" applyAlignment="1">
      <alignment horizontal="center" vertical="center" wrapText="1"/>
    </xf>
    <xf numFmtId="0" fontId="32" fillId="0" borderId="0" xfId="0" applyFont="1" applyAlignment="1">
      <alignment horizontal="left" vertical="center"/>
    </xf>
    <xf numFmtId="0" fontId="32" fillId="0" borderId="10" xfId="0" applyFont="1" applyBorder="1" applyAlignment="1">
      <alignment horizontal="center" vertical="center"/>
    </xf>
    <xf numFmtId="0" fontId="32" fillId="0" borderId="11" xfId="0" applyFont="1" applyBorder="1" applyAlignment="1">
      <alignment vertical="center" wrapText="1"/>
    </xf>
    <xf numFmtId="0" fontId="32" fillId="0" borderId="11" xfId="0" applyFont="1" applyBorder="1" applyAlignment="1">
      <alignment horizontal="center" vertical="center" wrapText="1"/>
    </xf>
    <xf numFmtId="0" fontId="32" fillId="0" borderId="7" xfId="0" applyFont="1" applyBorder="1" applyAlignment="1">
      <alignment horizontal="center" vertical="center"/>
    </xf>
    <xf numFmtId="0" fontId="67" fillId="0" borderId="47" xfId="0" applyFont="1" applyBorder="1" applyAlignment="1">
      <alignment horizontal="center" vertical="center"/>
    </xf>
    <xf numFmtId="0" fontId="32" fillId="0" borderId="17" xfId="0" applyFont="1" applyBorder="1" applyAlignment="1">
      <alignment horizontal="center" vertical="center"/>
    </xf>
    <xf numFmtId="164" fontId="32" fillId="0" borderId="11" xfId="46" applyNumberFormat="1" applyFont="1" applyBorder="1" applyAlignment="1">
      <alignment horizontal="center" vertical="center" wrapText="1"/>
    </xf>
    <xf numFmtId="0" fontId="32" fillId="0" borderId="11" xfId="0" applyFont="1" applyBorder="1"/>
    <xf numFmtId="0" fontId="67" fillId="0" borderId="47" xfId="46" applyFont="1" applyBorder="1" applyAlignment="1">
      <alignment horizontal="center" vertical="center"/>
    </xf>
    <xf numFmtId="164" fontId="32" fillId="0" borderId="17" xfId="46" applyNumberFormat="1" applyFont="1" applyBorder="1" applyAlignment="1">
      <alignment horizontal="center" vertical="center" wrapText="1"/>
    </xf>
    <xf numFmtId="0" fontId="32" fillId="0" borderId="17" xfId="0" applyFont="1" applyBorder="1" applyAlignment="1">
      <alignment vertical="center"/>
    </xf>
    <xf numFmtId="0" fontId="32" fillId="0" borderId="17" xfId="46" applyFont="1" applyBorder="1" applyAlignment="1">
      <alignment horizontal="center" vertical="center"/>
    </xf>
    <xf numFmtId="166" fontId="28" fillId="0" borderId="17" xfId="0" applyNumberFormat="1" applyFont="1" applyBorder="1" applyAlignment="1">
      <alignment horizontal="center" vertical="center"/>
    </xf>
    <xf numFmtId="0" fontId="32" fillId="0" borderId="8" xfId="0" applyFont="1" applyBorder="1" applyAlignment="1">
      <alignment horizontal="left" vertical="center"/>
    </xf>
    <xf numFmtId="0" fontId="63" fillId="0" borderId="7" xfId="0" applyFont="1" applyBorder="1" applyAlignment="1">
      <alignment horizontal="center" vertical="center"/>
    </xf>
    <xf numFmtId="0" fontId="63" fillId="0" borderId="9" xfId="0" applyFont="1" applyBorder="1" applyAlignment="1">
      <alignment horizontal="left" vertical="center"/>
    </xf>
    <xf numFmtId="0" fontId="63" fillId="6" borderId="36" xfId="0" applyFont="1" applyFill="1" applyBorder="1" applyAlignment="1">
      <alignment horizontal="left" vertical="center"/>
    </xf>
    <xf numFmtId="0" fontId="63" fillId="6" borderId="18" xfId="0" applyFont="1" applyFill="1" applyBorder="1" applyAlignment="1">
      <alignment horizontal="left" vertical="center"/>
    </xf>
    <xf numFmtId="0" fontId="63" fillId="6" borderId="18" xfId="0" applyFont="1" applyFill="1" applyBorder="1" applyAlignment="1">
      <alignment horizontal="center" vertical="center"/>
    </xf>
    <xf numFmtId="0" fontId="63" fillId="6" borderId="37" xfId="0" applyFont="1" applyFill="1" applyBorder="1" applyAlignment="1">
      <alignment horizontal="left" vertical="center"/>
    </xf>
    <xf numFmtId="0" fontId="63" fillId="0" borderId="48" xfId="0" applyFont="1" applyBorder="1"/>
    <xf numFmtId="0" fontId="63" fillId="0" borderId="9" xfId="0" applyFont="1" applyBorder="1"/>
    <xf numFmtId="0" fontId="63" fillId="0" borderId="12" xfId="0" applyFont="1" applyBorder="1"/>
    <xf numFmtId="0" fontId="63" fillId="6" borderId="37" xfId="0" applyFont="1" applyFill="1" applyBorder="1"/>
    <xf numFmtId="0" fontId="32" fillId="0" borderId="12" xfId="0" applyFont="1" applyBorder="1"/>
    <xf numFmtId="0" fontId="5" fillId="0" borderId="0" xfId="51"/>
    <xf numFmtId="0" fontId="63" fillId="31" borderId="4" xfId="51" applyFont="1" applyFill="1" applyBorder="1"/>
    <xf numFmtId="0" fontId="65" fillId="6" borderId="4" xfId="0" applyFont="1" applyFill="1" applyBorder="1" applyAlignment="1">
      <alignment horizontal="center" vertical="center" wrapText="1"/>
    </xf>
    <xf numFmtId="0" fontId="71" fillId="31" borderId="36" xfId="0" applyFont="1" applyFill="1" applyBorder="1" applyAlignment="1">
      <alignment horizontal="center" vertical="center" wrapText="1"/>
    </xf>
    <xf numFmtId="0" fontId="71" fillId="31" borderId="18" xfId="0" applyFont="1" applyFill="1" applyBorder="1" applyAlignment="1">
      <alignment horizontal="center" vertical="center" wrapText="1"/>
    </xf>
    <xf numFmtId="0" fontId="63" fillId="31" borderId="18" xfId="0" applyFont="1" applyFill="1" applyBorder="1" applyAlignment="1">
      <alignment horizontal="center" vertical="center"/>
    </xf>
    <xf numFmtId="0" fontId="71" fillId="31" borderId="37" xfId="0" applyFont="1" applyFill="1" applyBorder="1" applyAlignment="1">
      <alignment horizontal="center" vertical="center" wrapText="1"/>
    </xf>
    <xf numFmtId="0" fontId="12" fillId="0" borderId="52" xfId="0" applyFont="1" applyBorder="1" applyAlignment="1">
      <alignment horizontal="center" vertical="center"/>
    </xf>
    <xf numFmtId="0" fontId="56" fillId="31" borderId="36" xfId="0" applyFont="1" applyFill="1" applyBorder="1" applyAlignment="1">
      <alignment horizontal="center" vertical="center"/>
    </xf>
    <xf numFmtId="0" fontId="56" fillId="31" borderId="18" xfId="0" applyFont="1" applyFill="1" applyBorder="1" applyAlignment="1">
      <alignment horizontal="center" vertical="center"/>
    </xf>
    <xf numFmtId="0" fontId="57" fillId="31" borderId="18" xfId="45" applyFont="1" applyFill="1" applyBorder="1" applyAlignment="1">
      <alignment horizontal="center" vertical="center" wrapText="1"/>
    </xf>
    <xf numFmtId="0" fontId="59" fillId="31" borderId="18" xfId="0" applyFont="1" applyFill="1" applyBorder="1" applyAlignment="1">
      <alignment horizontal="center" vertical="center" wrapText="1"/>
    </xf>
    <xf numFmtId="0" fontId="59" fillId="31" borderId="37" xfId="0" applyFont="1" applyFill="1" applyBorder="1" applyAlignment="1">
      <alignment horizontal="center" vertical="center" wrapText="1"/>
    </xf>
    <xf numFmtId="0" fontId="32" fillId="0" borderId="7" xfId="0" applyFont="1" applyBorder="1" applyAlignment="1">
      <alignment horizontal="left" vertical="center" wrapText="1"/>
    </xf>
    <xf numFmtId="0" fontId="32" fillId="0" borderId="12" xfId="0" applyFont="1" applyBorder="1" applyAlignment="1">
      <alignment horizontal="center" vertical="center"/>
    </xf>
    <xf numFmtId="0" fontId="15" fillId="0" borderId="0" xfId="0" applyFont="1" applyAlignment="1">
      <alignment horizontal="center" vertical="center"/>
    </xf>
    <xf numFmtId="0" fontId="63" fillId="31" borderId="37" xfId="0" applyFont="1" applyFill="1" applyBorder="1" applyAlignment="1">
      <alignment horizontal="center" vertical="center"/>
    </xf>
    <xf numFmtId="166" fontId="28" fillId="0" borderId="7" xfId="0" applyNumberFormat="1" applyFont="1" applyBorder="1" applyAlignment="1">
      <alignment horizontal="center" vertical="center"/>
    </xf>
    <xf numFmtId="0" fontId="51" fillId="0" borderId="7" xfId="3" applyFont="1" applyBorder="1" applyAlignment="1">
      <alignment horizontal="left" vertical="center" wrapText="1"/>
    </xf>
    <xf numFmtId="0" fontId="32" fillId="0" borderId="48" xfId="0" applyFont="1" applyBorder="1"/>
    <xf numFmtId="0" fontId="32" fillId="0" borderId="9" xfId="0" applyFont="1" applyBorder="1"/>
    <xf numFmtId="0" fontId="31" fillId="6" borderId="4" xfId="0" applyFont="1" applyFill="1" applyBorder="1" applyAlignment="1">
      <alignment horizontal="center" vertical="top" wrapText="1"/>
    </xf>
    <xf numFmtId="0" fontId="31" fillId="6" borderId="56" xfId="0" applyFont="1" applyFill="1" applyBorder="1" applyAlignment="1">
      <alignment horizontal="center" vertical="center"/>
    </xf>
    <xf numFmtId="0" fontId="31" fillId="6" borderId="57" xfId="0" applyFont="1" applyFill="1" applyBorder="1" applyAlignment="1">
      <alignment horizontal="center" vertical="center"/>
    </xf>
    <xf numFmtId="0" fontId="31" fillId="6" borderId="57" xfId="0" applyFont="1" applyFill="1" applyBorder="1" applyAlignment="1">
      <alignment horizontal="center" vertical="center" wrapText="1"/>
    </xf>
    <xf numFmtId="0" fontId="31" fillId="6" borderId="58" xfId="0" applyFont="1" applyFill="1" applyBorder="1" applyAlignment="1">
      <alignment horizontal="center" vertical="center" wrapText="1"/>
    </xf>
    <xf numFmtId="0" fontId="9" fillId="0" borderId="0" xfId="0" applyFont="1" applyAlignment="1">
      <alignment horizontal="left" vertical="center" wrapText="1"/>
    </xf>
    <xf numFmtId="0" fontId="32" fillId="0" borderId="47" xfId="0" applyFont="1" applyBorder="1" applyAlignment="1">
      <alignment vertical="center"/>
    </xf>
    <xf numFmtId="0" fontId="32" fillId="0" borderId="17" xfId="0" applyFont="1" applyBorder="1" applyAlignment="1">
      <alignment wrapText="1"/>
    </xf>
    <xf numFmtId="0" fontId="32" fillId="0" borderId="7" xfId="0" applyFont="1" applyBorder="1" applyAlignment="1">
      <alignment wrapText="1"/>
    </xf>
    <xf numFmtId="0" fontId="32" fillId="0" borderId="8" xfId="0" applyFont="1" applyBorder="1" applyAlignment="1">
      <alignment vertical="center"/>
    </xf>
    <xf numFmtId="0" fontId="15" fillId="32" borderId="0" xfId="0" applyFont="1" applyFill="1" applyAlignment="1">
      <alignment horizontal="left" vertical="center"/>
    </xf>
    <xf numFmtId="0" fontId="6" fillId="0" borderId="0" xfId="47"/>
    <xf numFmtId="0" fontId="63" fillId="31" borderId="56" xfId="51" applyFont="1" applyFill="1" applyBorder="1" applyAlignment="1">
      <alignment horizontal="center"/>
    </xf>
    <xf numFmtId="0" fontId="63" fillId="31" borderId="57" xfId="51" applyFont="1" applyFill="1" applyBorder="1" applyAlignment="1">
      <alignment horizontal="center" vertical="top" wrapText="1"/>
    </xf>
    <xf numFmtId="0" fontId="63" fillId="31" borderId="57" xfId="51" applyFont="1" applyFill="1" applyBorder="1" applyAlignment="1">
      <alignment horizontal="center" vertical="center" wrapText="1"/>
    </xf>
    <xf numFmtId="0" fontId="63" fillId="31" borderId="58" xfId="51" applyFont="1" applyFill="1" applyBorder="1" applyAlignment="1">
      <alignment horizontal="center" vertical="top" wrapText="1"/>
    </xf>
    <xf numFmtId="0" fontId="28" fillId="0" borderId="47" xfId="47" applyFont="1" applyBorder="1"/>
    <xf numFmtId="0" fontId="28" fillId="0" borderId="17" xfId="47" applyFont="1" applyBorder="1"/>
    <xf numFmtId="0" fontId="28" fillId="0" borderId="48" xfId="47" applyFont="1" applyBorder="1"/>
    <xf numFmtId="0" fontId="20" fillId="0" borderId="0" xfId="0" applyFont="1"/>
    <xf numFmtId="0" fontId="0" fillId="0" borderId="0" xfId="0" quotePrefix="1" applyAlignment="1">
      <alignment horizontal="right"/>
    </xf>
    <xf numFmtId="0" fontId="21" fillId="0" borderId="0" xfId="0" quotePrefix="1" applyFont="1"/>
    <xf numFmtId="0" fontId="0" fillId="0" borderId="14" xfId="0" applyBorder="1"/>
    <xf numFmtId="0" fontId="0" fillId="0" borderId="15" xfId="0" applyBorder="1"/>
    <xf numFmtId="0" fontId="0" fillId="0" borderId="16" xfId="0" applyBorder="1"/>
    <xf numFmtId="0" fontId="0" fillId="33" borderId="8" xfId="0" applyFill="1" applyBorder="1"/>
    <xf numFmtId="0" fontId="0" fillId="33" borderId="7" xfId="0" applyFill="1" applyBorder="1"/>
    <xf numFmtId="2" fontId="0" fillId="33" borderId="9" xfId="0" applyNumberFormat="1" applyFill="1" applyBorder="1"/>
    <xf numFmtId="0" fontId="0" fillId="33" borderId="10" xfId="0" applyFill="1" applyBorder="1"/>
    <xf numFmtId="0" fontId="0" fillId="33" borderId="11" xfId="0" applyFill="1" applyBorder="1"/>
    <xf numFmtId="2" fontId="0" fillId="33" borderId="12" xfId="0" applyNumberFormat="1" applyFill="1" applyBorder="1"/>
    <xf numFmtId="0" fontId="0" fillId="0" borderId="17" xfId="0" applyBorder="1"/>
    <xf numFmtId="0" fontId="14" fillId="0" borderId="0" xfId="0" applyFont="1"/>
    <xf numFmtId="0" fontId="18" fillId="0" borderId="0" xfId="0" applyFont="1"/>
    <xf numFmtId="0" fontId="32" fillId="0" borderId="8" xfId="59" applyFont="1" applyBorder="1" applyAlignment="1">
      <alignment vertical="center"/>
    </xf>
    <xf numFmtId="0" fontId="32" fillId="0" borderId="7" xfId="59" applyFont="1" applyBorder="1"/>
    <xf numFmtId="0" fontId="32" fillId="0" borderId="9" xfId="59" applyFont="1" applyBorder="1"/>
    <xf numFmtId="0" fontId="32" fillId="0" borderId="10" xfId="0" applyFont="1" applyBorder="1" applyAlignment="1">
      <alignment vertical="center"/>
    </xf>
    <xf numFmtId="0" fontId="32" fillId="0" borderId="11" xfId="0" applyFont="1" applyBorder="1" applyAlignment="1">
      <alignment wrapText="1"/>
    </xf>
    <xf numFmtId="0" fontId="28" fillId="0" borderId="17" xfId="0" applyFont="1" applyBorder="1" applyAlignment="1">
      <alignment horizontal="center" vertical="center"/>
    </xf>
    <xf numFmtId="0" fontId="28" fillId="0" borderId="7" xfId="0" applyFont="1" applyBorder="1" applyAlignment="1">
      <alignment horizontal="center" vertical="center"/>
    </xf>
    <xf numFmtId="0" fontId="28" fillId="0" borderId="11" xfId="0" applyFont="1" applyBorder="1" applyAlignment="1">
      <alignment horizontal="center" vertical="center"/>
    </xf>
    <xf numFmtId="0" fontId="32" fillId="0" borderId="0" xfId="0" applyFont="1" applyAlignment="1">
      <alignment horizontal="left"/>
    </xf>
    <xf numFmtId="0" fontId="32" fillId="0" borderId="0" xfId="0" applyFont="1" applyAlignment="1">
      <alignment horizontal="center"/>
    </xf>
    <xf numFmtId="0" fontId="32" fillId="0" borderId="0" xfId="0" quotePrefix="1" applyFont="1" applyAlignment="1">
      <alignment horizontal="center"/>
    </xf>
    <xf numFmtId="11" fontId="32" fillId="0" borderId="0" xfId="0" applyNumberFormat="1" applyFont="1" applyAlignment="1">
      <alignment horizontal="center"/>
    </xf>
    <xf numFmtId="0" fontId="28" fillId="0" borderId="0" xfId="50" applyFont="1"/>
    <xf numFmtId="0" fontId="28" fillId="0" borderId="50" xfId="47" applyFont="1" applyBorder="1"/>
    <xf numFmtId="0" fontId="28" fillId="0" borderId="49" xfId="47" applyFont="1" applyBorder="1"/>
    <xf numFmtId="0" fontId="28" fillId="0" borderId="49" xfId="47" applyFont="1" applyBorder="1" applyAlignment="1">
      <alignment horizontal="center"/>
    </xf>
    <xf numFmtId="0" fontId="28" fillId="0" borderId="51" xfId="47" applyFont="1" applyBorder="1"/>
    <xf numFmtId="0" fontId="2" fillId="0" borderId="0" xfId="51" applyFont="1"/>
    <xf numFmtId="0" fontId="28" fillId="0" borderId="8" xfId="47" applyFont="1" applyBorder="1"/>
    <xf numFmtId="0" fontId="28" fillId="0" borderId="7" xfId="47" applyFont="1" applyBorder="1"/>
    <xf numFmtId="0" fontId="28" fillId="0" borderId="9" xfId="47" applyFont="1" applyBorder="1"/>
    <xf numFmtId="0" fontId="28" fillId="0" borderId="10" xfId="47" applyFont="1" applyBorder="1"/>
    <xf numFmtId="0" fontId="28" fillId="0" borderId="11" xfId="47" applyFont="1" applyBorder="1"/>
    <xf numFmtId="0" fontId="28" fillId="0" borderId="12" xfId="47" applyFont="1" applyBorder="1"/>
    <xf numFmtId="0" fontId="32" fillId="0" borderId="11" xfId="0" applyFont="1" applyBorder="1" applyAlignment="1">
      <alignment horizontal="center"/>
    </xf>
    <xf numFmtId="0" fontId="63" fillId="0" borderId="0" xfId="0" applyFont="1" applyAlignment="1">
      <alignment horizontal="center" vertical="center" wrapText="1"/>
    </xf>
    <xf numFmtId="0" fontId="32" fillId="0" borderId="17" xfId="0" applyFont="1" applyBorder="1" applyAlignment="1">
      <alignment horizontal="center" vertical="center" wrapText="1"/>
    </xf>
    <xf numFmtId="0" fontId="66" fillId="5" borderId="0" xfId="0" applyFont="1" applyFill="1" applyAlignment="1">
      <alignment horizontal="center" vertical="center"/>
    </xf>
    <xf numFmtId="0" fontId="63" fillId="0" borderId="0" xfId="0" applyFont="1" applyAlignment="1">
      <alignment horizontal="center" vertical="center"/>
    </xf>
    <xf numFmtId="0" fontId="32" fillId="0" borderId="7" xfId="0" applyFont="1" applyBorder="1" applyAlignment="1">
      <alignment horizontal="center" vertical="center" wrapText="1"/>
    </xf>
    <xf numFmtId="0" fontId="66" fillId="5" borderId="0" xfId="0" applyFont="1" applyFill="1" applyAlignment="1">
      <alignment horizontal="center"/>
    </xf>
    <xf numFmtId="0" fontId="66" fillId="0" borderId="0" xfId="0" applyFont="1" applyAlignment="1">
      <alignment horizontal="center"/>
    </xf>
    <xf numFmtId="0" fontId="32" fillId="0" borderId="17" xfId="0" applyFont="1" applyBorder="1" applyAlignment="1">
      <alignment horizontal="center"/>
    </xf>
    <xf numFmtId="0" fontId="32" fillId="0" borderId="7" xfId="0" applyFont="1" applyBorder="1" applyAlignment="1">
      <alignment horizontal="center"/>
    </xf>
    <xf numFmtId="0" fontId="63" fillId="0" borderId="0" xfId="0" applyFont="1" applyAlignment="1">
      <alignment horizontal="center"/>
    </xf>
    <xf numFmtId="0" fontId="28" fillId="0" borderId="11" xfId="0" applyFont="1" applyBorder="1" applyAlignment="1">
      <alignment horizontal="left" vertical="center"/>
    </xf>
    <xf numFmtId="0" fontId="0" fillId="0" borderId="0" xfId="0" applyAlignment="1">
      <alignment horizontal="left"/>
    </xf>
    <xf numFmtId="0" fontId="28" fillId="0" borderId="0" xfId="0" applyFont="1" applyAlignment="1">
      <alignment horizontal="left" vertical="center"/>
    </xf>
    <xf numFmtId="166" fontId="28" fillId="0" borderId="0" xfId="0" applyNumberFormat="1" applyFont="1" applyAlignment="1">
      <alignment horizontal="center" vertical="center"/>
    </xf>
    <xf numFmtId="0" fontId="9" fillId="6" borderId="34" xfId="0" applyFont="1" applyFill="1" applyBorder="1" applyAlignment="1">
      <alignment horizontal="left" vertical="center" wrapText="1"/>
    </xf>
    <xf numFmtId="0" fontId="65" fillId="0" borderId="0" xfId="0" applyFont="1" applyAlignment="1">
      <alignment horizontal="center" vertical="center"/>
    </xf>
    <xf numFmtId="0" fontId="28" fillId="0" borderId="0" xfId="0" applyFont="1" applyAlignment="1">
      <alignment horizontal="center" vertical="center"/>
    </xf>
    <xf numFmtId="0" fontId="63" fillId="31" borderId="36" xfId="0" applyFont="1" applyFill="1" applyBorder="1" applyAlignment="1">
      <alignment horizontal="left" vertical="center"/>
    </xf>
    <xf numFmtId="0" fontId="63" fillId="31" borderId="18" xfId="0" applyFont="1" applyFill="1" applyBorder="1" applyAlignment="1">
      <alignment horizontal="left" vertical="center"/>
    </xf>
    <xf numFmtId="166" fontId="66" fillId="0" borderId="0" xfId="0" applyNumberFormat="1" applyFont="1" applyAlignment="1">
      <alignment horizontal="center" vertical="center" wrapText="1"/>
    </xf>
    <xf numFmtId="0" fontId="63" fillId="31" borderId="59" xfId="0" applyFont="1" applyFill="1" applyBorder="1" applyAlignment="1">
      <alignment horizontal="center" vertical="center"/>
    </xf>
    <xf numFmtId="0" fontId="63" fillId="31" borderId="59" xfId="0" applyFont="1" applyFill="1" applyBorder="1" applyAlignment="1">
      <alignment horizontal="center"/>
    </xf>
    <xf numFmtId="0" fontId="32" fillId="31" borderId="59" xfId="0" applyFont="1" applyFill="1" applyBorder="1" applyAlignment="1">
      <alignment horizontal="left" vertical="center" wrapText="1"/>
    </xf>
    <xf numFmtId="166" fontId="32" fillId="31" borderId="59" xfId="0" applyNumberFormat="1" applyFont="1" applyFill="1" applyBorder="1" applyAlignment="1">
      <alignment horizontal="center" vertical="center" wrapText="1"/>
    </xf>
    <xf numFmtId="0" fontId="32" fillId="31" borderId="59" xfId="0" applyFont="1" applyFill="1" applyBorder="1" applyAlignment="1">
      <alignment horizontal="center" vertical="center" wrapText="1"/>
    </xf>
    <xf numFmtId="0" fontId="32" fillId="0" borderId="0" xfId="0" applyFont="1" applyAlignment="1">
      <alignment horizontal="left" vertical="center" wrapText="1"/>
    </xf>
    <xf numFmtId="166" fontId="32" fillId="0" borderId="0" xfId="0" applyNumberFormat="1" applyFont="1" applyAlignment="1">
      <alignment horizontal="center" vertical="center" wrapText="1"/>
    </xf>
    <xf numFmtId="0" fontId="32" fillId="0" borderId="0" xfId="0" applyFont="1" applyAlignment="1">
      <alignment horizontal="center" vertical="center" wrapText="1"/>
    </xf>
    <xf numFmtId="0" fontId="32" fillId="0" borderId="8" xfId="0" applyFont="1" applyBorder="1" applyAlignment="1">
      <alignment horizontal="center" vertical="center" wrapText="1"/>
    </xf>
    <xf numFmtId="2" fontId="32" fillId="0" borderId="7" xfId="0" applyNumberFormat="1" applyFont="1" applyBorder="1" applyAlignment="1">
      <alignment horizontal="center" vertical="center" wrapText="1"/>
    </xf>
    <xf numFmtId="0" fontId="32" fillId="0" borderId="10" xfId="0" applyFont="1" applyBorder="1" applyAlignment="1">
      <alignment horizontal="left" vertical="center"/>
    </xf>
    <xf numFmtId="0" fontId="32" fillId="0" borderId="11" xfId="0" applyFont="1" applyBorder="1" applyAlignment="1">
      <alignment horizontal="left" vertical="center" wrapText="1"/>
    </xf>
    <xf numFmtId="166" fontId="32" fillId="0" borderId="11" xfId="0" applyNumberFormat="1" applyFont="1" applyBorder="1" applyAlignment="1">
      <alignment horizontal="center" vertical="center"/>
    </xf>
    <xf numFmtId="0" fontId="28" fillId="0" borderId="63" xfId="0" applyFont="1" applyBorder="1"/>
    <xf numFmtId="0" fontId="59" fillId="31" borderId="64" xfId="0" applyFont="1" applyFill="1" applyBorder="1" applyAlignment="1">
      <alignment horizontal="center" vertical="center" wrapText="1"/>
    </xf>
    <xf numFmtId="0" fontId="60" fillId="0" borderId="61" xfId="3" applyFont="1" applyBorder="1" applyAlignment="1">
      <alignment horizontal="center" vertical="center" wrapText="1"/>
    </xf>
    <xf numFmtId="0" fontId="60" fillId="0" borderId="62" xfId="3" applyFont="1" applyBorder="1" applyAlignment="1">
      <alignment horizontal="center" vertical="center" wrapText="1"/>
    </xf>
    <xf numFmtId="0" fontId="52" fillId="0" borderId="62" xfId="3" applyFont="1" applyBorder="1" applyAlignment="1">
      <alignment horizontal="center" vertical="center" wrapText="1"/>
    </xf>
    <xf numFmtId="0" fontId="51" fillId="0" borderId="62" xfId="3" applyFont="1" applyBorder="1" applyAlignment="1">
      <alignment horizontal="center" vertical="center" wrapText="1"/>
    </xf>
    <xf numFmtId="1" fontId="51" fillId="0" borderId="62" xfId="3" applyNumberFormat="1" applyFont="1" applyBorder="1" applyAlignment="1">
      <alignment horizontal="center" vertical="center" wrapText="1"/>
    </xf>
    <xf numFmtId="165" fontId="51" fillId="0" borderId="62" xfId="3" applyNumberFormat="1" applyFont="1" applyBorder="1" applyAlignment="1">
      <alignment horizontal="center" vertical="center" wrapText="1"/>
    </xf>
    <xf numFmtId="0" fontId="51" fillId="0" borderId="62" xfId="3" applyFont="1" applyBorder="1" applyAlignment="1">
      <alignment horizontal="left" vertical="center" wrapText="1"/>
    </xf>
    <xf numFmtId="0" fontId="28" fillId="0" borderId="62" xfId="0" applyFont="1" applyBorder="1" applyAlignment="1">
      <alignment horizontal="left" vertical="center"/>
    </xf>
    <xf numFmtId="0" fontId="53" fillId="30" borderId="61" xfId="3" applyFont="1" applyFill="1" applyBorder="1" applyAlignment="1">
      <alignment horizontal="center" vertical="center" wrapText="1"/>
    </xf>
    <xf numFmtId="0" fontId="54" fillId="30" borderId="62" xfId="3" applyFont="1" applyFill="1" applyBorder="1" applyAlignment="1">
      <alignment horizontal="center" vertical="center" wrapText="1"/>
    </xf>
    <xf numFmtId="0" fontId="49" fillId="30" borderId="62" xfId="3" applyFont="1" applyFill="1" applyBorder="1" applyAlignment="1">
      <alignment horizontal="center" vertical="center" wrapText="1"/>
    </xf>
    <xf numFmtId="165" fontId="52" fillId="0" borderId="7" xfId="3" quotePrefix="1" applyNumberFormat="1" applyFont="1" applyBorder="1" applyAlignment="1">
      <alignment horizontal="center" vertical="center" wrapText="1"/>
    </xf>
    <xf numFmtId="0" fontId="0" fillId="35" borderId="7" xfId="0" applyFill="1" applyBorder="1"/>
    <xf numFmtId="0" fontId="13" fillId="5" borderId="0" xfId="0" applyFont="1" applyFill="1" applyAlignment="1">
      <alignment horizontal="left" vertical="center"/>
    </xf>
    <xf numFmtId="0" fontId="12" fillId="5" borderId="0" xfId="0" applyFont="1" applyFill="1" applyAlignment="1">
      <alignment horizontal="left" vertical="center"/>
    </xf>
    <xf numFmtId="0" fontId="9" fillId="6" borderId="4" xfId="0" applyFont="1" applyFill="1" applyBorder="1" applyAlignment="1">
      <alignment horizontal="left" vertical="center"/>
    </xf>
    <xf numFmtId="0" fontId="13" fillId="0" borderId="0" xfId="0" applyFont="1" applyAlignment="1">
      <alignment horizontal="left" vertical="center"/>
    </xf>
    <xf numFmtId="0" fontId="71" fillId="31" borderId="36" xfId="0" applyFont="1" applyFill="1" applyBorder="1" applyAlignment="1">
      <alignment horizontal="left" vertical="center" wrapText="1"/>
    </xf>
    <xf numFmtId="0" fontId="71" fillId="31" borderId="18" xfId="0" applyFont="1" applyFill="1" applyBorder="1" applyAlignment="1">
      <alignment horizontal="left" vertical="center" wrapText="1"/>
    </xf>
    <xf numFmtId="0" fontId="71" fillId="31" borderId="18" xfId="0" applyFont="1" applyFill="1" applyBorder="1" applyAlignment="1">
      <alignment horizontal="left" vertical="center"/>
    </xf>
    <xf numFmtId="0" fontId="63" fillId="6" borderId="60" xfId="0" applyFont="1" applyFill="1" applyBorder="1" applyAlignment="1">
      <alignment horizontal="left" vertical="center" wrapText="1"/>
    </xf>
    <xf numFmtId="0" fontId="71" fillId="31" borderId="53" xfId="0" applyFont="1" applyFill="1" applyBorder="1" applyAlignment="1">
      <alignment horizontal="left" vertical="center" wrapText="1"/>
    </xf>
    <xf numFmtId="0" fontId="71" fillId="31" borderId="37" xfId="0" applyFont="1" applyFill="1" applyBorder="1" applyAlignment="1">
      <alignment horizontal="left" vertical="center" wrapText="1"/>
    </xf>
    <xf numFmtId="0" fontId="67" fillId="0" borderId="47" xfId="45" applyFont="1" applyBorder="1" applyAlignment="1">
      <alignment horizontal="left" vertical="center" wrapText="1"/>
    </xf>
    <xf numFmtId="0" fontId="28" fillId="0" borderId="17" xfId="0" applyFont="1" applyBorder="1" applyAlignment="1">
      <alignment horizontal="left" vertical="center"/>
    </xf>
    <xf numFmtId="0" fontId="32" fillId="0" borderId="17" xfId="0" quotePrefix="1" applyFont="1" applyBorder="1" applyAlignment="1">
      <alignment horizontal="left" vertical="center"/>
    </xf>
    <xf numFmtId="0" fontId="32" fillId="0" borderId="17" xfId="0" applyFont="1" applyBorder="1" applyAlignment="1">
      <alignment horizontal="left" vertical="center" wrapText="1"/>
    </xf>
    <xf numFmtId="0" fontId="32" fillId="0" borderId="54" xfId="0" applyFont="1" applyBorder="1" applyAlignment="1">
      <alignment horizontal="left" vertical="center" wrapText="1"/>
    </xf>
    <xf numFmtId="0" fontId="32" fillId="0" borderId="48" xfId="0" applyFont="1" applyBorder="1" applyAlignment="1">
      <alignment horizontal="left" vertical="center"/>
    </xf>
    <xf numFmtId="0" fontId="67" fillId="0" borderId="8" xfId="45" applyFont="1" applyBorder="1" applyAlignment="1">
      <alignment horizontal="left" vertical="center" wrapText="1"/>
    </xf>
    <xf numFmtId="0" fontId="32" fillId="0" borderId="15" xfId="0" applyFont="1" applyBorder="1" applyAlignment="1">
      <alignment horizontal="left" vertical="center" wrapText="1"/>
    </xf>
    <xf numFmtId="0" fontId="32" fillId="0" borderId="9" xfId="0" applyFont="1" applyBorder="1" applyAlignment="1">
      <alignment horizontal="left" vertical="center"/>
    </xf>
    <xf numFmtId="0" fontId="32" fillId="0" borderId="9" xfId="0" applyFont="1" applyBorder="1" applyAlignment="1">
      <alignment horizontal="left" vertical="center" wrapText="1"/>
    </xf>
    <xf numFmtId="0" fontId="71" fillId="0" borderId="7" xfId="0" applyFont="1" applyBorder="1" applyAlignment="1">
      <alignment horizontal="left" vertical="center" wrapText="1"/>
    </xf>
    <xf numFmtId="0" fontId="67" fillId="0" borderId="10" xfId="45" applyFont="1" applyBorder="1" applyAlignment="1">
      <alignment horizontal="left" vertical="center" wrapText="1"/>
    </xf>
    <xf numFmtId="0" fontId="32" fillId="0" borderId="55" xfId="0" applyFont="1" applyBorder="1" applyAlignment="1">
      <alignment horizontal="left" vertical="center" wrapText="1"/>
    </xf>
    <xf numFmtId="0" fontId="32" fillId="0" borderId="12" xfId="0" applyFont="1" applyBorder="1" applyAlignment="1">
      <alignment horizontal="left" vertical="center"/>
    </xf>
    <xf numFmtId="0" fontId="0" fillId="5" borderId="0" xfId="0" applyFill="1" applyAlignment="1">
      <alignment horizontal="left" vertical="center"/>
    </xf>
    <xf numFmtId="0" fontId="51" fillId="0" borderId="11" xfId="3" applyFont="1" applyBorder="1" applyAlignment="1">
      <alignment horizontal="left" vertical="center" wrapText="1"/>
    </xf>
    <xf numFmtId="166" fontId="28" fillId="0" borderId="65" xfId="0" applyNumberFormat="1" applyFont="1" applyBorder="1" applyAlignment="1">
      <alignment horizontal="center" vertical="center"/>
    </xf>
    <xf numFmtId="0" fontId="1" fillId="0" borderId="0" xfId="63" applyAlignment="1">
      <alignment horizontal="left" vertical="center"/>
    </xf>
    <xf numFmtId="0" fontId="78" fillId="36" borderId="66" xfId="63" applyFont="1" applyFill="1" applyBorder="1" applyAlignment="1">
      <alignment horizontal="left" vertical="center"/>
    </xf>
    <xf numFmtId="0" fontId="78" fillId="36" borderId="67" xfId="63" applyFont="1" applyFill="1" applyBorder="1" applyAlignment="1">
      <alignment horizontal="left" vertical="center"/>
    </xf>
    <xf numFmtId="0" fontId="78" fillId="36" borderId="68" xfId="63" applyFont="1" applyFill="1" applyBorder="1" applyAlignment="1">
      <alignment horizontal="left" vertical="center"/>
    </xf>
    <xf numFmtId="0" fontId="78" fillId="36" borderId="69" xfId="63" applyFont="1" applyFill="1" applyBorder="1" applyAlignment="1">
      <alignment horizontal="left" vertical="center"/>
    </xf>
    <xf numFmtId="0" fontId="78" fillId="36" borderId="70" xfId="63" applyFont="1" applyFill="1" applyBorder="1" applyAlignment="1">
      <alignment horizontal="left" vertical="center"/>
    </xf>
    <xf numFmtId="0" fontId="28" fillId="0" borderId="71" xfId="0" applyFont="1" applyBorder="1" applyAlignment="1">
      <alignment horizontal="left" vertical="center"/>
    </xf>
    <xf numFmtId="0" fontId="32" fillId="0" borderId="71" xfId="0" applyFont="1" applyBorder="1" applyAlignment="1">
      <alignment horizontal="left" vertical="center"/>
    </xf>
    <xf numFmtId="0" fontId="32" fillId="0" borderId="71" xfId="0" applyFont="1" applyBorder="1" applyAlignment="1">
      <alignment horizontal="left"/>
    </xf>
    <xf numFmtId="0" fontId="32" fillId="0" borderId="71" xfId="0" applyFont="1" applyBorder="1" applyAlignment="1">
      <alignment horizontal="center" vertical="center"/>
    </xf>
    <xf numFmtId="0" fontId="78" fillId="37" borderId="66" xfId="63" applyFont="1" applyFill="1" applyBorder="1" applyAlignment="1">
      <alignment horizontal="left" vertical="center"/>
    </xf>
    <xf numFmtId="0" fontId="78" fillId="37" borderId="67" xfId="63" applyFont="1" applyFill="1" applyBorder="1" applyAlignment="1">
      <alignment horizontal="left" vertical="center"/>
    </xf>
    <xf numFmtId="0" fontId="78" fillId="37" borderId="68" xfId="63" applyFont="1" applyFill="1" applyBorder="1" applyAlignment="1">
      <alignment horizontal="left" vertical="center"/>
    </xf>
    <xf numFmtId="0" fontId="78" fillId="37" borderId="69" xfId="63" applyFont="1" applyFill="1" applyBorder="1" applyAlignment="1">
      <alignment horizontal="left" vertical="center"/>
    </xf>
    <xf numFmtId="0" fontId="78" fillId="37" borderId="70" xfId="63" applyFont="1" applyFill="1" applyBorder="1" applyAlignment="1">
      <alignment horizontal="left" vertical="center"/>
    </xf>
    <xf numFmtId="0" fontId="32" fillId="0" borderId="38" xfId="63" applyFont="1" applyBorder="1" applyAlignment="1">
      <alignment horizontal="left" vertical="center"/>
    </xf>
    <xf numFmtId="0" fontId="65" fillId="6" borderId="34" xfId="0" applyFont="1" applyFill="1" applyBorder="1" applyAlignment="1">
      <alignment horizontal="left" vertical="center" wrapText="1"/>
    </xf>
    <xf numFmtId="0" fontId="63" fillId="31" borderId="72" xfId="0" applyFont="1" applyFill="1" applyBorder="1" applyAlignment="1">
      <alignment horizontal="left" vertical="center"/>
    </xf>
    <xf numFmtId="0" fontId="63" fillId="31" borderId="73" xfId="0" applyFont="1" applyFill="1" applyBorder="1" applyAlignment="1">
      <alignment horizontal="left" vertical="center"/>
    </xf>
    <xf numFmtId="0" fontId="63" fillId="31" borderId="73" xfId="0" applyFont="1" applyFill="1" applyBorder="1" applyAlignment="1">
      <alignment horizontal="center" vertical="center"/>
    </xf>
    <xf numFmtId="0" fontId="63" fillId="31" borderId="74" xfId="0" applyFont="1" applyFill="1" applyBorder="1" applyAlignment="1">
      <alignment horizontal="left" vertical="center"/>
    </xf>
    <xf numFmtId="0" fontId="32" fillId="0" borderId="61" xfId="0" applyFont="1" applyBorder="1" applyAlignment="1">
      <alignment horizontal="left" vertical="center"/>
    </xf>
    <xf numFmtId="0" fontId="32" fillId="0" borderId="62" xfId="0" applyFont="1" applyBorder="1" applyAlignment="1">
      <alignment horizontal="left" vertical="center"/>
    </xf>
    <xf numFmtId="0" fontId="63" fillId="0" borderId="62" xfId="0" applyFont="1" applyBorder="1" applyAlignment="1">
      <alignment horizontal="center" vertical="center"/>
    </xf>
    <xf numFmtId="0" fontId="63" fillId="0" borderId="63" xfId="0" applyFont="1" applyBorder="1" applyAlignment="1">
      <alignment horizontal="left" vertical="center"/>
    </xf>
    <xf numFmtId="0" fontId="28" fillId="0" borderId="8" xfId="0" applyFont="1" applyBorder="1" applyAlignment="1">
      <alignment horizontal="left" vertical="center"/>
    </xf>
    <xf numFmtId="0" fontId="10" fillId="0" borderId="0" xfId="0" applyFont="1" applyAlignment="1">
      <alignment horizontal="right"/>
    </xf>
    <xf numFmtId="0" fontId="0" fillId="33" borderId="61" xfId="0" applyFill="1" applyBorder="1"/>
    <xf numFmtId="0" fontId="0" fillId="33" borderId="62" xfId="0" applyFill="1" applyBorder="1"/>
    <xf numFmtId="2" fontId="0" fillId="33" borderId="63" xfId="0" applyNumberFormat="1" applyFill="1" applyBorder="1"/>
    <xf numFmtId="0" fontId="63" fillId="6" borderId="56" xfId="0" applyFont="1" applyFill="1" applyBorder="1" applyAlignment="1">
      <alignment horizontal="left" vertical="center"/>
    </xf>
    <xf numFmtId="0" fontId="32" fillId="0" borderId="47" xfId="0" applyFont="1" applyBorder="1" applyAlignment="1">
      <alignment horizontal="left" vertical="center"/>
    </xf>
    <xf numFmtId="0" fontId="63" fillId="6" borderId="72" xfId="0" applyFont="1" applyFill="1" applyBorder="1" applyAlignment="1">
      <alignment horizontal="left" vertical="center"/>
    </xf>
    <xf numFmtId="0" fontId="63" fillId="6" borderId="73" xfId="0" applyFont="1" applyFill="1" applyBorder="1" applyAlignment="1">
      <alignment horizontal="left" vertical="center" wrapText="1"/>
    </xf>
    <xf numFmtId="0" fontId="63" fillId="6" borderId="74" xfId="0" applyFont="1" applyFill="1" applyBorder="1" applyAlignment="1">
      <alignment vertical="center" wrapText="1"/>
    </xf>
    <xf numFmtId="0" fontId="32" fillId="0" borderId="61" xfId="0" applyFont="1" applyBorder="1" applyAlignment="1">
      <alignment vertical="center"/>
    </xf>
    <xf numFmtId="0" fontId="32" fillId="0" borderId="62" xfId="0" applyFont="1" applyBorder="1"/>
    <xf numFmtId="0" fontId="32" fillId="0" borderId="63" xfId="0" applyFont="1" applyBorder="1"/>
    <xf numFmtId="0" fontId="32" fillId="0" borderId="9" xfId="0" applyFont="1" applyBorder="1" applyAlignment="1">
      <alignment vertical="center"/>
    </xf>
    <xf numFmtId="0" fontId="32" fillId="0" borderId="12" xfId="0" applyFont="1" applyBorder="1" applyAlignment="1">
      <alignment vertical="center"/>
    </xf>
    <xf numFmtId="0" fontId="80" fillId="0" borderId="0" xfId="64" applyAlignment="1" applyProtection="1"/>
    <xf numFmtId="0" fontId="71" fillId="31" borderId="64" xfId="0" applyFont="1" applyFill="1" applyBorder="1" applyAlignment="1">
      <alignment horizontal="left" vertical="center" wrapText="1"/>
    </xf>
    <xf numFmtId="0" fontId="63" fillId="31" borderId="73" xfId="0" applyFont="1" applyFill="1" applyBorder="1" applyAlignment="1">
      <alignment horizontal="left" vertical="center" wrapText="1"/>
    </xf>
    <xf numFmtId="0" fontId="32" fillId="0" borderId="62" xfId="0" applyFont="1" applyBorder="1" applyAlignment="1">
      <alignment horizontal="left" vertical="center" wrapText="1"/>
    </xf>
    <xf numFmtId="0" fontId="28" fillId="0" borderId="7" xfId="0" applyFont="1" applyBorder="1" applyAlignment="1">
      <alignment horizontal="left" vertical="center" wrapText="1"/>
    </xf>
    <xf numFmtId="0" fontId="15" fillId="0" borderId="0" xfId="0" applyFont="1" applyAlignment="1">
      <alignment horizontal="left" vertical="center" wrapText="1"/>
    </xf>
    <xf numFmtId="0" fontId="63" fillId="6" borderId="18" xfId="0" applyFont="1" applyFill="1" applyBorder="1" applyAlignment="1">
      <alignment horizontal="left" vertical="center" wrapText="1"/>
    </xf>
    <xf numFmtId="0" fontId="28" fillId="0" borderId="0" xfId="0" applyFont="1" applyAlignment="1">
      <alignment horizontal="left" vertical="center" wrapText="1"/>
    </xf>
    <xf numFmtId="0" fontId="63" fillId="31" borderId="18" xfId="0" applyFont="1" applyFill="1" applyBorder="1" applyAlignment="1">
      <alignment horizontal="left" vertical="center" wrapText="1"/>
    </xf>
    <xf numFmtId="0" fontId="0" fillId="5" borderId="0" xfId="0" applyFill="1" applyAlignment="1">
      <alignment horizontal="left" vertical="center" wrapText="1"/>
    </xf>
    <xf numFmtId="0" fontId="0" fillId="5" borderId="0" xfId="0" applyFill="1" applyAlignment="1">
      <alignment horizontal="center" vertical="center"/>
    </xf>
    <xf numFmtId="0" fontId="0" fillId="5" borderId="0" xfId="0" applyFill="1" applyAlignment="1">
      <alignment vertical="center"/>
    </xf>
    <xf numFmtId="0" fontId="0" fillId="0" borderId="0" xfId="0" applyAlignment="1">
      <alignment vertical="center"/>
    </xf>
    <xf numFmtId="0" fontId="28" fillId="0" borderId="62" xfId="0" applyFont="1" applyBorder="1" applyAlignment="1">
      <alignment horizontal="center" vertical="center"/>
    </xf>
    <xf numFmtId="0" fontId="28" fillId="0" borderId="7" xfId="0" applyFont="1" applyBorder="1" applyAlignment="1">
      <alignment vertical="center"/>
    </xf>
    <xf numFmtId="0" fontId="28" fillId="0" borderId="9" xfId="0" applyFont="1" applyBorder="1" applyAlignment="1">
      <alignment vertical="center"/>
    </xf>
    <xf numFmtId="0" fontId="0" fillId="0" borderId="0" xfId="0" applyAlignment="1">
      <alignment horizontal="left" vertical="center" wrapText="1"/>
    </xf>
    <xf numFmtId="0" fontId="28" fillId="0" borderId="47" xfId="0" applyFont="1" applyBorder="1" applyAlignment="1">
      <alignment horizontal="left" vertical="center"/>
    </xf>
    <xf numFmtId="0" fontId="28" fillId="0" borderId="17" xfId="0" quotePrefix="1" applyFont="1" applyBorder="1" applyAlignment="1">
      <alignment horizontal="left" vertical="center" wrapText="1"/>
    </xf>
    <xf numFmtId="0" fontId="28" fillId="0" borderId="17" xfId="0" applyFont="1" applyBorder="1" applyAlignment="1">
      <alignment vertical="center"/>
    </xf>
    <xf numFmtId="0" fontId="28" fillId="0" borderId="48" xfId="0" applyFont="1" applyBorder="1" applyAlignment="1">
      <alignment vertical="center"/>
    </xf>
    <xf numFmtId="0" fontId="28" fillId="0" borderId="8" xfId="0" applyFont="1" applyBorder="1" applyAlignment="1">
      <alignment vertical="center"/>
    </xf>
    <xf numFmtId="0" fontId="28" fillId="0" borderId="7" xfId="0" quotePrefix="1" applyFont="1" applyBorder="1" applyAlignment="1">
      <alignment horizontal="left" vertical="center" wrapText="1"/>
    </xf>
    <xf numFmtId="0" fontId="28" fillId="0" borderId="7" xfId="0" quotePrefix="1" applyFont="1" applyBorder="1" applyAlignment="1">
      <alignment horizontal="center" vertical="center"/>
    </xf>
    <xf numFmtId="0" fontId="28" fillId="0" borderId="10" xfId="0" applyFont="1" applyBorder="1" applyAlignment="1">
      <alignment horizontal="left" vertical="center"/>
    </xf>
    <xf numFmtId="0" fontId="28" fillId="0" borderId="11" xfId="0" quotePrefix="1" applyFont="1" applyBorder="1" applyAlignment="1">
      <alignment horizontal="left" vertical="center" wrapText="1"/>
    </xf>
    <xf numFmtId="0" fontId="28" fillId="0" borderId="11" xfId="0" quotePrefix="1" applyFont="1" applyBorder="1" applyAlignment="1">
      <alignment horizontal="center" vertical="center"/>
    </xf>
    <xf numFmtId="0" fontId="28" fillId="0" borderId="11" xfId="0" applyFont="1" applyBorder="1" applyAlignment="1">
      <alignment vertical="center"/>
    </xf>
    <xf numFmtId="0" fontId="28" fillId="0" borderId="12" xfId="0" applyFont="1" applyBorder="1" applyAlignment="1">
      <alignment vertical="center"/>
    </xf>
    <xf numFmtId="0" fontId="28" fillId="0" borderId="9" xfId="0" applyFont="1" applyBorder="1" applyAlignment="1">
      <alignment horizontal="center" vertical="center"/>
    </xf>
    <xf numFmtId="166" fontId="28" fillId="0" borderId="11" xfId="0" quotePrefix="1" applyNumberFormat="1" applyFont="1" applyBorder="1" applyAlignment="1">
      <alignment horizontal="center" vertical="center"/>
    </xf>
    <xf numFmtId="0" fontId="0" fillId="0" borderId="0" xfId="0" quotePrefix="1" applyAlignment="1">
      <alignment horizontal="left" vertical="center" wrapText="1"/>
    </xf>
    <xf numFmtId="0" fontId="28" fillId="0" borderId="0" xfId="0" quotePrefix="1" applyFont="1" applyAlignment="1">
      <alignment horizontal="center" vertical="center"/>
    </xf>
    <xf numFmtId="0" fontId="52" fillId="0" borderId="62" xfId="3" applyNumberFormat="1" applyFont="1" applyBorder="1" applyAlignment="1">
      <alignment horizontal="center" vertical="center" wrapText="1"/>
    </xf>
    <xf numFmtId="0" fontId="52" fillId="0" borderId="7" xfId="3" applyNumberFormat="1" applyFont="1" applyBorder="1" applyAlignment="1">
      <alignment horizontal="center" vertical="center" wrapText="1"/>
    </xf>
    <xf numFmtId="0" fontId="52" fillId="0" borderId="7" xfId="3" quotePrefix="1" applyNumberFormat="1" applyFont="1" applyBorder="1" applyAlignment="1">
      <alignment horizontal="center" vertical="center" wrapText="1"/>
    </xf>
    <xf numFmtId="0" fontId="52" fillId="0" borderId="11" xfId="3" applyNumberFormat="1" applyFont="1" applyBorder="1" applyAlignment="1">
      <alignment horizontal="center" vertical="center" wrapText="1"/>
    </xf>
    <xf numFmtId="0" fontId="51" fillId="0" borderId="62" xfId="3" applyNumberFormat="1" applyFont="1" applyBorder="1" applyAlignment="1">
      <alignment horizontal="center" vertical="center" wrapText="1"/>
    </xf>
    <xf numFmtId="0" fontId="51" fillId="0" borderId="7" xfId="3" applyNumberFormat="1" applyFont="1" applyBorder="1" applyAlignment="1">
      <alignment horizontal="center" vertical="center" wrapText="1"/>
    </xf>
    <xf numFmtId="0" fontId="51" fillId="0" borderId="11" xfId="3" applyNumberFormat="1" applyFont="1" applyBorder="1" applyAlignment="1">
      <alignment horizontal="center" vertical="center" wrapText="1"/>
    </xf>
    <xf numFmtId="0" fontId="52" fillId="29" borderId="62" xfId="3" applyNumberFormat="1" applyFont="1" applyFill="1" applyBorder="1" applyAlignment="1">
      <alignment horizontal="center" vertical="center" wrapText="1"/>
    </xf>
    <xf numFmtId="0" fontId="52" fillId="29" borderId="7" xfId="3" applyNumberFormat="1" applyFont="1" applyFill="1" applyBorder="1" applyAlignment="1">
      <alignment horizontal="center" vertical="center" wrapText="1"/>
    </xf>
    <xf numFmtId="0" fontId="51" fillId="29" borderId="7" xfId="3" applyNumberFormat="1" applyFont="1" applyFill="1" applyBorder="1" applyAlignment="1">
      <alignment horizontal="center" vertical="center" wrapText="1"/>
    </xf>
    <xf numFmtId="0" fontId="51" fillId="29" borderId="11" xfId="3" applyNumberFormat="1" applyFont="1" applyFill="1" applyBorder="1" applyAlignment="1">
      <alignment horizontal="center" vertical="center" wrapText="1"/>
    </xf>
    <xf numFmtId="0" fontId="51" fillId="34" borderId="62" xfId="3" quotePrefix="1" applyNumberFormat="1" applyFont="1" applyFill="1" applyBorder="1" applyAlignment="1">
      <alignment horizontal="left" vertical="center" wrapText="1"/>
    </xf>
    <xf numFmtId="0" fontId="51" fillId="34" borderId="7" xfId="3" quotePrefix="1" applyNumberFormat="1" applyFont="1" applyFill="1" applyBorder="1" applyAlignment="1">
      <alignment horizontal="left" vertical="center" wrapText="1"/>
    </xf>
    <xf numFmtId="0" fontId="51" fillId="34" borderId="11" xfId="3" quotePrefix="1" applyNumberFormat="1" applyFont="1" applyFill="1" applyBorder="1" applyAlignment="1">
      <alignment horizontal="left" vertical="center" wrapText="1"/>
    </xf>
    <xf numFmtId="0" fontId="53" fillId="30" borderId="0" xfId="3" applyFont="1" applyFill="1" applyBorder="1" applyAlignment="1">
      <alignment horizontal="center" vertical="center" wrapText="1"/>
    </xf>
    <xf numFmtId="0" fontId="0" fillId="0" borderId="0" xfId="0" applyAlignment="1">
      <alignment horizontal="left" wrapText="1"/>
    </xf>
    <xf numFmtId="0" fontId="63" fillId="6" borderId="64" xfId="0" applyFont="1" applyFill="1" applyBorder="1" applyAlignment="1">
      <alignment horizontal="left" vertical="center" wrapText="1"/>
    </xf>
    <xf numFmtId="0" fontId="63" fillId="6" borderId="59" xfId="0" applyFont="1" applyFill="1" applyBorder="1" applyAlignment="1">
      <alignment horizontal="left" vertical="center" wrapText="1"/>
    </xf>
    <xf numFmtId="0" fontId="63" fillId="6" borderId="3" xfId="0" applyFont="1" applyFill="1" applyBorder="1" applyAlignment="1">
      <alignment horizontal="left" vertical="center" wrapText="1"/>
    </xf>
    <xf numFmtId="0" fontId="32" fillId="0" borderId="75" xfId="0" applyFont="1" applyBorder="1" applyAlignment="1">
      <alignment horizontal="left" vertical="center"/>
    </xf>
    <xf numFmtId="0" fontId="32" fillId="0" borderId="76" xfId="0" applyFont="1" applyBorder="1" applyAlignment="1">
      <alignment horizontal="left" vertical="center"/>
    </xf>
    <xf numFmtId="0" fontId="32" fillId="0" borderId="77" xfId="0" applyFont="1" applyBorder="1" applyAlignment="1">
      <alignment horizontal="left" vertical="center"/>
    </xf>
    <xf numFmtId="0" fontId="32" fillId="0" borderId="15" xfId="0" applyFont="1" applyBorder="1" applyAlignment="1">
      <alignment horizontal="left" vertical="center"/>
    </xf>
    <xf numFmtId="0" fontId="32" fillId="0" borderId="78" xfId="0" applyFont="1" applyBorder="1" applyAlignment="1">
      <alignment horizontal="left" vertical="center"/>
    </xf>
    <xf numFmtId="0" fontId="32" fillId="0" borderId="79" xfId="0" applyFont="1" applyBorder="1" applyAlignment="1">
      <alignment horizontal="left" vertical="center"/>
    </xf>
    <xf numFmtId="0" fontId="32" fillId="0" borderId="55" xfId="0" applyFont="1" applyBorder="1" applyAlignment="1">
      <alignment horizontal="left" vertical="center"/>
    </xf>
    <xf numFmtId="0" fontId="32" fillId="0" borderId="80" xfId="0" applyFont="1" applyBorder="1" applyAlignment="1">
      <alignment horizontal="left" vertical="center"/>
    </xf>
    <xf numFmtId="0" fontId="32" fillId="0" borderId="81" xfId="0" applyFont="1" applyBorder="1" applyAlignment="1">
      <alignment horizontal="left" vertical="center"/>
    </xf>
    <xf numFmtId="0" fontId="22" fillId="3" borderId="22" xfId="0" applyFont="1" applyFill="1" applyBorder="1" applyAlignment="1">
      <alignment horizontal="center" vertical="top" wrapText="1"/>
    </xf>
    <xf numFmtId="0" fontId="22" fillId="3" borderId="0" xfId="0" applyFont="1" applyFill="1" applyAlignment="1">
      <alignment horizontal="center" vertical="top" wrapText="1"/>
    </xf>
    <xf numFmtId="0" fontId="22" fillId="3" borderId="23" xfId="0" applyFont="1" applyFill="1" applyBorder="1" applyAlignment="1">
      <alignment horizontal="center" vertical="top" wrapText="1"/>
    </xf>
    <xf numFmtId="0" fontId="22" fillId="3" borderId="24" xfId="0" applyFont="1" applyFill="1" applyBorder="1" applyAlignment="1">
      <alignment wrapText="1"/>
    </xf>
    <xf numFmtId="0" fontId="22" fillId="3" borderId="25" xfId="0" applyFont="1" applyFill="1" applyBorder="1" applyAlignment="1">
      <alignment wrapText="1"/>
    </xf>
    <xf numFmtId="0" fontId="22" fillId="3" borderId="26" xfId="0" applyFont="1" applyFill="1" applyBorder="1" applyAlignment="1">
      <alignment wrapText="1"/>
    </xf>
    <xf numFmtId="0" fontId="0" fillId="2" borderId="0" xfId="0" applyFill="1" applyAlignment="1">
      <alignment wrapText="1"/>
    </xf>
  </cellXfs>
  <cellStyles count="65">
    <cellStyle name="20% - 1. jelölőszín" xfId="4"/>
    <cellStyle name="20% - 2. jelölőszín" xfId="5"/>
    <cellStyle name="20% - 3. jelölőszín" xfId="6"/>
    <cellStyle name="20% - 4. jelölőszín" xfId="7"/>
    <cellStyle name="20% - 5. jelölőszín" xfId="8"/>
    <cellStyle name="20% - 6. jelölőszín" xfId="9"/>
    <cellStyle name="40% - 1. jelölőszín" xfId="10"/>
    <cellStyle name="40% - 2. jelölőszín" xfId="11"/>
    <cellStyle name="40% - 3. jelölőszín" xfId="12"/>
    <cellStyle name="40% - 4. jelölőszín" xfId="13"/>
    <cellStyle name="40% - 5. jelölőszín" xfId="14"/>
    <cellStyle name="40% - 6. jelölőszín" xfId="15"/>
    <cellStyle name="60% - 1. jelölőszín" xfId="16"/>
    <cellStyle name="60% - 2. jelölőszín" xfId="17"/>
    <cellStyle name="60% - 3. jelölőszín" xfId="18"/>
    <cellStyle name="60% - 4. jelölőszín" xfId="19"/>
    <cellStyle name="60% - 5. jelölőszín" xfId="20"/>
    <cellStyle name="60% - 6. jelölőszín" xfId="21"/>
    <cellStyle name="Bevitel" xfId="22"/>
    <cellStyle name="Cím" xfId="23"/>
    <cellStyle name="Címsor 1" xfId="24"/>
    <cellStyle name="Címsor 2" xfId="25"/>
    <cellStyle name="Címsor 3" xfId="26"/>
    <cellStyle name="Címsor 4" xfId="27"/>
    <cellStyle name="Ellenőrzőcella" xfId="28"/>
    <cellStyle name="Figyelmeztetés" xfId="29"/>
    <cellStyle name="Hivatkozás" xfId="64" builtinId="8"/>
    <cellStyle name="Hivatkozott cella" xfId="30"/>
    <cellStyle name="Jegyzet" xfId="31"/>
    <cellStyle name="Jelölőszín (1)" xfId="32"/>
    <cellStyle name="Jelölőszín (2)" xfId="33"/>
    <cellStyle name="Jelölőszín (3)" xfId="34"/>
    <cellStyle name="Jelölőszín (4)" xfId="35"/>
    <cellStyle name="Jelölőszín (5)" xfId="36"/>
    <cellStyle name="Jelölőszín (6)" xfId="37"/>
    <cellStyle name="Jó" xfId="38"/>
    <cellStyle name="Kimenet" xfId="39"/>
    <cellStyle name="Magyarázó szöveg" xfId="40"/>
    <cellStyle name="Normál" xfId="0" builtinId="0"/>
    <cellStyle name="Normal 10" xfId="59"/>
    <cellStyle name="Normal 11 2" xfId="60"/>
    <cellStyle name="Normal 11 2 2" xfId="63"/>
    <cellStyle name="Normal 2" xfId="1"/>
    <cellStyle name="Normál 2" xfId="52"/>
    <cellStyle name="Normal 2 2" xfId="47"/>
    <cellStyle name="Normal 2 3" xfId="50"/>
    <cellStyle name="Normal 3" xfId="48"/>
    <cellStyle name="Normal 3 2" xfId="53"/>
    <cellStyle name="Normal 3 5" xfId="61"/>
    <cellStyle name="Normal 4" xfId="49"/>
    <cellStyle name="Normal 4 2" xfId="54"/>
    <cellStyle name="Normal 4 3" xfId="55"/>
    <cellStyle name="Normal 4 6" xfId="62"/>
    <cellStyle name="Normal 5" xfId="56"/>
    <cellStyle name="Normal 6" xfId="57"/>
    <cellStyle name="Normal 7" xfId="58"/>
    <cellStyle name="Normal 8" xfId="51"/>
    <cellStyle name="Normal_ASM1" xfId="2"/>
    <cellStyle name="Normal_Kinetic matrix" xfId="3"/>
    <cellStyle name="Normal_Parameters" xfId="46"/>
    <cellStyle name="Normal_States_1" xfId="45"/>
    <cellStyle name="Összesen" xfId="41"/>
    <cellStyle name="Rossz" xfId="42"/>
    <cellStyle name="Semleges" xfId="43"/>
    <cellStyle name="Számítás" xfId="44"/>
  </cellStyles>
  <dxfs count="24">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9" defaultPivotStyle="PivotStyleLight16"/>
  <colors>
    <mruColors>
      <color rgb="FF498787"/>
      <color rgb="FF499687"/>
      <color rgb="FF498F87"/>
      <color rgb="FFC0C0C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142875</xdr:colOff>
      <xdr:row>0</xdr:row>
      <xdr:rowOff>104775</xdr:rowOff>
    </xdr:from>
    <xdr:to>
      <xdr:col>2</xdr:col>
      <xdr:colOff>752475</xdr:colOff>
      <xdr:row>0</xdr:row>
      <xdr:rowOff>476250</xdr:rowOff>
    </xdr:to>
    <xdr:sp macro="[0]!Versions" textlink="">
      <xdr:nvSpPr>
        <xdr:cNvPr id="2" name="bt_showver">
          <a:extLst>
            <a:ext uri="{FF2B5EF4-FFF2-40B4-BE49-F238E27FC236}">
              <a16:creationId xmlns:a16="http://schemas.microsoft.com/office/drawing/2014/main" id="{00000000-0008-0000-0100-000002000000}"/>
            </a:ext>
          </a:extLst>
        </xdr:cNvPr>
        <xdr:cNvSpPr/>
      </xdr:nvSpPr>
      <xdr:spPr>
        <a:xfrm>
          <a:off x="400050" y="104775"/>
          <a:ext cx="1485900" cy="37147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Show Macro Versions</a:t>
          </a:r>
        </a:p>
      </xdr:txBody>
    </xdr:sp>
    <xdr:clientData/>
  </xdr:twoCellAnchor>
  <xdr:twoCellAnchor editAs="absolute">
    <xdr:from>
      <xdr:col>3</xdr:col>
      <xdr:colOff>66675</xdr:colOff>
      <xdr:row>0</xdr:row>
      <xdr:rowOff>76200</xdr:rowOff>
    </xdr:from>
    <xdr:to>
      <xdr:col>4</xdr:col>
      <xdr:colOff>1066800</xdr:colOff>
      <xdr:row>0</xdr:row>
      <xdr:rowOff>476250</xdr:rowOff>
    </xdr:to>
    <xdr:sp macro="[0]!GlobalCheck" textlink="">
      <xdr:nvSpPr>
        <xdr:cNvPr id="7" name="bt_globalcheck">
          <a:extLst>
            <a:ext uri="{FF2B5EF4-FFF2-40B4-BE49-F238E27FC236}">
              <a16:creationId xmlns:a16="http://schemas.microsoft.com/office/drawing/2014/main" id="{00000000-0008-0000-0100-000007000000}"/>
            </a:ext>
          </a:extLst>
        </xdr:cNvPr>
        <xdr:cNvSpPr/>
      </xdr:nvSpPr>
      <xdr:spPr>
        <a:xfrm>
          <a:off x="2019300" y="76200"/>
          <a:ext cx="1609725" cy="400050"/>
        </a:xfrm>
        <a:prstGeom prst="roundRect">
          <a:avLst/>
        </a:prstGeom>
        <a:solidFill>
          <a:srgbClr val="FFFF00"/>
        </a:solidFill>
        <a:ln w="25400" cap="flat" cmpd="sng" algn="ctr">
          <a:solidFill>
            <a:sysClr val="windowText" lastClr="000000"/>
          </a:solidFill>
          <a:prstDash val="solid"/>
        </a:ln>
        <a:effectLst>
          <a:outerShdw blurRad="50800" dist="38100" dir="2700000" algn="tl" rotWithShape="0">
            <a:prstClr val="black">
              <a:alpha val="40000"/>
            </a:prstClr>
          </a:outerShdw>
        </a:effectLst>
      </xdr:spPr>
      <xdr:txBody>
        <a:bodyPr vertOverflow="clip" horzOverflow="clip" rtlCol="0" anchor="ctr" anchorCtr="0"/>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hu-HU" sz="1100" b="0" i="0" u="none" strike="noStrike" kern="0" cap="none" spc="0" normalizeH="0" baseline="0" noProof="0">
              <a:ln>
                <a:noFill/>
              </a:ln>
              <a:solidFill>
                <a:sysClr val="windowText" lastClr="000000"/>
              </a:solidFill>
              <a:effectLst/>
              <a:uLnTx/>
              <a:uFillTx/>
              <a:latin typeface="Calibri" panose="020F0502020204030204"/>
            </a:rPr>
            <a:t>Global Check</a:t>
          </a:r>
        </a:p>
      </xdr:txBody>
    </xdr:sp>
    <xdr:clientData/>
  </xdr:twoCellAnchor>
  <xdr:oneCellAnchor>
    <xdr:from>
      <xdr:col>4</xdr:col>
      <xdr:colOff>986872</xdr:colOff>
      <xdr:row>234</xdr:row>
      <xdr:rowOff>58232</xdr:rowOff>
    </xdr:from>
    <xdr:ext cx="5000625" cy="833438"/>
    <xdr:pic>
      <xdr:nvPicPr>
        <xdr:cNvPr id="11" name="Picture 1">
          <a:extLst>
            <a:ext uri="{FF2B5EF4-FFF2-40B4-BE49-F238E27FC236}">
              <a16:creationId xmlns:a16="http://schemas.microsoft.com/office/drawing/2014/main" id="{00000000-0008-0000-01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58622" y="46340207"/>
          <a:ext cx="5000625" cy="833438"/>
        </a:xfrm>
        <a:prstGeom prst="rect">
          <a:avLst/>
        </a:prstGeom>
        <a:noFill/>
        <a:ln w="1">
          <a:noFill/>
          <a:miter lim="800000"/>
          <a:headEnd/>
          <a:tailEnd type="none" w="med" len="med"/>
        </a:ln>
        <a:effectLst/>
      </xdr:spPr>
    </xdr:pic>
    <xdr:clientData/>
  </xdr:oneCellAnchor>
  <xdr:oneCellAnchor>
    <xdr:from>
      <xdr:col>4</xdr:col>
      <xdr:colOff>826190</xdr:colOff>
      <xdr:row>230</xdr:row>
      <xdr:rowOff>80341</xdr:rowOff>
    </xdr:from>
    <xdr:ext cx="3455193" cy="622300"/>
    <xdr:pic>
      <xdr:nvPicPr>
        <xdr:cNvPr id="14" name="Picture 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397940" y="45600316"/>
          <a:ext cx="3455193" cy="622300"/>
        </a:xfrm>
        <a:prstGeom prst="rect">
          <a:avLst/>
        </a:prstGeom>
        <a:noFill/>
        <a:ln w="1">
          <a:noFill/>
          <a:miter lim="800000"/>
          <a:headEnd/>
          <a:tailEnd type="none" w="med" len="med"/>
        </a:ln>
        <a:effectLst/>
      </xdr:spPr>
    </xdr:pic>
    <xdr:clientData/>
  </xdr:oneCellAnchor>
  <xdr:twoCellAnchor>
    <xdr:from>
      <xdr:col>3</xdr:col>
      <xdr:colOff>152401</xdr:colOff>
      <xdr:row>142</xdr:row>
      <xdr:rowOff>114300</xdr:rowOff>
    </xdr:from>
    <xdr:to>
      <xdr:col>5</xdr:col>
      <xdr:colOff>476251</xdr:colOff>
      <xdr:row>145</xdr:row>
      <xdr:rowOff>133350</xdr:rowOff>
    </xdr:to>
    <xdr:sp macro="" textlink="">
      <xdr:nvSpPr>
        <xdr:cNvPr id="15" name="Curved Up Arrow 3">
          <a:extLst>
            <a:ext uri="{FF2B5EF4-FFF2-40B4-BE49-F238E27FC236}">
              <a16:creationId xmlns:a16="http://schemas.microsoft.com/office/drawing/2014/main" id="{00000000-0008-0000-0100-00000F000000}"/>
            </a:ext>
          </a:extLst>
        </xdr:cNvPr>
        <xdr:cNvSpPr/>
      </xdr:nvSpPr>
      <xdr:spPr>
        <a:xfrm>
          <a:off x="2114551" y="28736925"/>
          <a:ext cx="2428875" cy="590550"/>
        </a:xfrm>
        <a:prstGeom prst="curvedUpArrow">
          <a:avLst>
            <a:gd name="adj1" fmla="val 22228"/>
            <a:gd name="adj2" fmla="val 50000"/>
            <a:gd name="adj3" fmla="val 25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tx1"/>
              </a:solidFill>
            </a:rPr>
            <a:t>Names</a:t>
          </a:r>
          <a:r>
            <a:rPr lang="en-US" sz="1100" baseline="0">
              <a:solidFill>
                <a:schemeClr val="tx1"/>
              </a:solidFill>
            </a:rPr>
            <a:t> assigned</a:t>
          </a:r>
          <a:endParaRPr lang="en-US" sz="1100">
            <a:solidFill>
              <a:schemeClr val="tx1"/>
            </a:solidFill>
          </a:endParaRPr>
        </a:p>
      </xdr:txBody>
    </xdr:sp>
    <xdr:clientData/>
  </xdr:twoCellAnchor>
  <xdr:twoCellAnchor editAs="oneCell">
    <xdr:from>
      <xdr:col>7</xdr:col>
      <xdr:colOff>0</xdr:colOff>
      <xdr:row>2</xdr:row>
      <xdr:rowOff>0</xdr:rowOff>
    </xdr:from>
    <xdr:to>
      <xdr:col>15</xdr:col>
      <xdr:colOff>327670</xdr:colOff>
      <xdr:row>10</xdr:row>
      <xdr:rowOff>30483</xdr:rowOff>
    </xdr:to>
    <xdr:pic>
      <xdr:nvPicPr>
        <xdr:cNvPr id="3" name="Kép 2"/>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877050" y="790575"/>
          <a:ext cx="4937770" cy="155448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84667</xdr:colOff>
      <xdr:row>0</xdr:row>
      <xdr:rowOff>74084</xdr:rowOff>
    </xdr:from>
    <xdr:to>
      <xdr:col>2</xdr:col>
      <xdr:colOff>350838</xdr:colOff>
      <xdr:row>0</xdr:row>
      <xdr:rowOff>605897</xdr:rowOff>
    </xdr:to>
    <xdr:sp macro="[0]!bt_checkusages" textlink="">
      <xdr:nvSpPr>
        <xdr:cNvPr id="2" name="bt_chkunused">
          <a:extLst>
            <a:ext uri="{FF2B5EF4-FFF2-40B4-BE49-F238E27FC236}">
              <a16:creationId xmlns:a16="http://schemas.microsoft.com/office/drawing/2014/main" id="{00000000-0008-0000-0200-000002000000}"/>
            </a:ext>
          </a:extLst>
        </xdr:cNvPr>
        <xdr:cNvSpPr/>
      </xdr:nvSpPr>
      <xdr:spPr>
        <a:xfrm>
          <a:off x="656167" y="74084"/>
          <a:ext cx="1430338" cy="531813"/>
        </a:xfrm>
        <a:prstGeom prst="roundRect">
          <a:avLst/>
        </a:prstGeom>
        <a:solidFill>
          <a:srgbClr val="FF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parameters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339989</xdr:colOff>
      <xdr:row>0</xdr:row>
      <xdr:rowOff>63500</xdr:rowOff>
    </xdr:from>
    <xdr:to>
      <xdr:col>2</xdr:col>
      <xdr:colOff>341577</xdr:colOff>
      <xdr:row>0</xdr:row>
      <xdr:rowOff>595313</xdr:rowOff>
    </xdr:to>
    <xdr:sp macro="[0]!bt_chkcont_click" textlink="">
      <xdr:nvSpPr>
        <xdr:cNvPr id="2" name="bt_chkcont">
          <a:extLst>
            <a:ext uri="{FF2B5EF4-FFF2-40B4-BE49-F238E27FC236}">
              <a16:creationId xmlns:a16="http://schemas.microsoft.com/office/drawing/2014/main" id="{00000000-0008-0000-0300-000002000000}"/>
            </a:ext>
          </a:extLst>
        </xdr:cNvPr>
        <xdr:cNvSpPr/>
      </xdr:nvSpPr>
      <xdr:spPr>
        <a:xfrm>
          <a:off x="339989" y="63500"/>
          <a:ext cx="1430338" cy="531813"/>
        </a:xfrm>
        <a:prstGeom prst="roundRect">
          <a:avLst/>
        </a:prstGeom>
        <a:solidFill>
          <a:srgbClr val="FF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and Rates</a:t>
          </a:r>
        </a:p>
      </xdr:txBody>
    </xdr:sp>
    <xdr:clientData/>
  </xdr:twoCellAnchor>
  <xdr:twoCellAnchor editAs="absolute">
    <xdr:from>
      <xdr:col>3</xdr:col>
      <xdr:colOff>244928</xdr:colOff>
      <xdr:row>0</xdr:row>
      <xdr:rowOff>68035</xdr:rowOff>
    </xdr:from>
    <xdr:to>
      <xdr:col>3</xdr:col>
      <xdr:colOff>1682410</xdr:colOff>
      <xdr:row>0</xdr:row>
      <xdr:rowOff>599848</xdr:rowOff>
    </xdr:to>
    <xdr:sp macro="[0]!bt_chkcont_norates_click" textlink="">
      <xdr:nvSpPr>
        <xdr:cNvPr id="3" name="bt_chkcont">
          <a:extLst>
            <a:ext uri="{FF2B5EF4-FFF2-40B4-BE49-F238E27FC236}">
              <a16:creationId xmlns:a16="http://schemas.microsoft.com/office/drawing/2014/main" id="{00000000-0008-0000-0300-000003000000}"/>
            </a:ext>
          </a:extLst>
        </xdr:cNvPr>
        <xdr:cNvSpPr/>
      </xdr:nvSpPr>
      <xdr:spPr>
        <a:xfrm>
          <a:off x="2177142" y="68035"/>
          <a:ext cx="1437482" cy="531813"/>
        </a:xfrm>
        <a:prstGeom prst="roundRect">
          <a:avLst/>
        </a:prstGeom>
        <a:solidFill>
          <a:schemeClr val="bg1">
            <a:lumMod val="8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without Rates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190500</xdr:colOff>
      <xdr:row>0</xdr:row>
      <xdr:rowOff>95250</xdr:rowOff>
    </xdr:from>
    <xdr:to>
      <xdr:col>2</xdr:col>
      <xdr:colOff>295275</xdr:colOff>
      <xdr:row>0</xdr:row>
      <xdr:rowOff>466725</xdr:rowOff>
    </xdr:to>
    <xdr:sp macro="[0]!bt_pewpph" textlink="">
      <xdr:nvSpPr>
        <xdr:cNvPr id="2" name="bt_prepph">
          <a:extLst>
            <a:ext uri="{FF2B5EF4-FFF2-40B4-BE49-F238E27FC236}">
              <a16:creationId xmlns:a16="http://schemas.microsoft.com/office/drawing/2014/main" id="{00000000-0008-0000-0400-000002000000}"/>
            </a:ext>
          </a:extLst>
        </xdr:cNvPr>
        <xdr:cNvSpPr/>
      </xdr:nvSpPr>
      <xdr:spPr>
        <a:xfrm>
          <a:off x="190500" y="95250"/>
          <a:ext cx="1485900" cy="371475"/>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Prepare pH Check</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152400</xdr:colOff>
      <xdr:row>0</xdr:row>
      <xdr:rowOff>85725</xdr:rowOff>
    </xdr:from>
    <xdr:to>
      <xdr:col>1</xdr:col>
      <xdr:colOff>657334</xdr:colOff>
      <xdr:row>0</xdr:row>
      <xdr:rowOff>523875</xdr:rowOff>
    </xdr:to>
    <xdr:sp macro="[0]!bt_crkinma_click" textlink="">
      <xdr:nvSpPr>
        <xdr:cNvPr id="2" name="bt_crkinma">
          <a:extLst>
            <a:ext uri="{FF2B5EF4-FFF2-40B4-BE49-F238E27FC236}">
              <a16:creationId xmlns:a16="http://schemas.microsoft.com/office/drawing/2014/main" id="{00000000-0008-0000-0600-000002000000}"/>
            </a:ext>
          </a:extLst>
        </xdr:cNvPr>
        <xdr:cNvSpPr/>
      </xdr:nvSpPr>
      <xdr:spPr>
        <a:xfrm>
          <a:off x="152400" y="85725"/>
          <a:ext cx="1485900" cy="438150"/>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Kinetic Matrix</a:t>
          </a:r>
        </a:p>
      </xdr:txBody>
    </xdr:sp>
    <xdr:clientData/>
  </xdr:twoCellAnchor>
  <xdr:twoCellAnchor editAs="absolute">
    <xdr:from>
      <xdr:col>2</xdr:col>
      <xdr:colOff>78827</xdr:colOff>
      <xdr:row>0</xdr:row>
      <xdr:rowOff>95250</xdr:rowOff>
    </xdr:from>
    <xdr:to>
      <xdr:col>2</xdr:col>
      <xdr:colOff>1683735</xdr:colOff>
      <xdr:row>0</xdr:row>
      <xdr:rowOff>523875</xdr:rowOff>
    </xdr:to>
    <xdr:sp macro="[0]!bt_chkst_click" textlink="">
      <xdr:nvSpPr>
        <xdr:cNvPr id="3" name="bt_chkst">
          <a:extLst>
            <a:ext uri="{FF2B5EF4-FFF2-40B4-BE49-F238E27FC236}">
              <a16:creationId xmlns:a16="http://schemas.microsoft.com/office/drawing/2014/main" id="{00000000-0008-0000-0600-000003000000}"/>
            </a:ext>
          </a:extLst>
        </xdr:cNvPr>
        <xdr:cNvSpPr/>
      </xdr:nvSpPr>
      <xdr:spPr>
        <a:xfrm>
          <a:off x="1771650" y="95250"/>
          <a:ext cx="1581150" cy="4286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Components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104776</xdr:colOff>
      <xdr:row>0</xdr:row>
      <xdr:rowOff>142875</xdr:rowOff>
    </xdr:from>
    <xdr:to>
      <xdr:col>1</xdr:col>
      <xdr:colOff>428626</xdr:colOff>
      <xdr:row>0</xdr:row>
      <xdr:rowOff>600075</xdr:rowOff>
    </xdr:to>
    <xdr:sp macro="[0]!bt_chkalg_click" textlink="">
      <xdr:nvSpPr>
        <xdr:cNvPr id="3" name="bt_chkalg">
          <a:extLst>
            <a:ext uri="{FF2B5EF4-FFF2-40B4-BE49-F238E27FC236}">
              <a16:creationId xmlns:a16="http://schemas.microsoft.com/office/drawing/2014/main" id="{00000000-0008-0000-0700-000003000000}"/>
            </a:ext>
          </a:extLst>
        </xdr:cNvPr>
        <xdr:cNvSpPr/>
      </xdr:nvSpPr>
      <xdr:spPr>
        <a:xfrm>
          <a:off x="104776" y="142875"/>
          <a:ext cx="1447800" cy="457200"/>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Expressions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152400</xdr:colOff>
      <xdr:row>0</xdr:row>
      <xdr:rowOff>123824</xdr:rowOff>
    </xdr:from>
    <xdr:to>
      <xdr:col>1</xdr:col>
      <xdr:colOff>1028700</xdr:colOff>
      <xdr:row>0</xdr:row>
      <xdr:rowOff>628649</xdr:rowOff>
    </xdr:to>
    <xdr:sp macro="[0]!CreateFunctions" textlink="">
      <xdr:nvSpPr>
        <xdr:cNvPr id="2" name="bt_crfunc">
          <a:extLst>
            <a:ext uri="{FF2B5EF4-FFF2-40B4-BE49-F238E27FC236}">
              <a16:creationId xmlns:a16="http://schemas.microsoft.com/office/drawing/2014/main" id="{00000000-0008-0000-0900-000002000000}"/>
            </a:ext>
          </a:extLst>
        </xdr:cNvPr>
        <xdr:cNvSpPr/>
      </xdr:nvSpPr>
      <xdr:spPr>
        <a:xfrm>
          <a:off x="152400" y="123824"/>
          <a:ext cx="1485900" cy="5048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Functions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228600</xdr:colOff>
      <xdr:row>0</xdr:row>
      <xdr:rowOff>180975</xdr:rowOff>
    </xdr:from>
    <xdr:to>
      <xdr:col>2</xdr:col>
      <xdr:colOff>266700</xdr:colOff>
      <xdr:row>0</xdr:row>
      <xdr:rowOff>552450</xdr:rowOff>
    </xdr:to>
    <xdr:sp macro="[0]!bt_calcvar" textlink="">
      <xdr:nvSpPr>
        <xdr:cNvPr id="2" name="bt_calc">
          <a:extLst>
            <a:ext uri="{FF2B5EF4-FFF2-40B4-BE49-F238E27FC236}">
              <a16:creationId xmlns:a16="http://schemas.microsoft.com/office/drawing/2014/main" id="{00000000-0008-0000-0A00-000002000000}"/>
            </a:ext>
          </a:extLst>
        </xdr:cNvPr>
        <xdr:cNvSpPr/>
      </xdr:nvSpPr>
      <xdr:spPr>
        <a:xfrm>
          <a:off x="228600" y="180975"/>
          <a:ext cx="1485900" cy="37147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Calculate</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1</xdr:col>
      <xdr:colOff>1485900</xdr:colOff>
      <xdr:row>0</xdr:row>
      <xdr:rowOff>504825</xdr:rowOff>
    </xdr:to>
    <xdr:sp macro="[0]!CreateFunctions" textlink="">
      <xdr:nvSpPr>
        <xdr:cNvPr id="2" name="bt_crfunc">
          <a:extLst>
            <a:ext uri="{FF2B5EF4-FFF2-40B4-BE49-F238E27FC236}">
              <a16:creationId xmlns:a16="http://schemas.microsoft.com/office/drawing/2014/main" id="{00000000-0008-0000-0B00-000002000000}"/>
            </a:ext>
          </a:extLst>
        </xdr:cNvPr>
        <xdr:cNvSpPr/>
      </xdr:nvSpPr>
      <xdr:spPr>
        <a:xfrm>
          <a:off x="390525" y="0"/>
          <a:ext cx="1485900" cy="5048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Functions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647700</xdr:colOff>
      <xdr:row>5</xdr:row>
      <xdr:rowOff>161925</xdr:rowOff>
    </xdr:from>
    <xdr:to>
      <xdr:col>5</xdr:col>
      <xdr:colOff>304800</xdr:colOff>
      <xdr:row>7</xdr:row>
      <xdr:rowOff>142875</xdr:rowOff>
    </xdr:to>
    <xdr:sp macro="[0]!ThisWorkbook.ShowAllSheets" textlink="">
      <xdr:nvSpPr>
        <xdr:cNvPr id="2" name="bt_colchange">
          <a:extLst>
            <a:ext uri="{FF2B5EF4-FFF2-40B4-BE49-F238E27FC236}">
              <a16:creationId xmlns:a16="http://schemas.microsoft.com/office/drawing/2014/main" id="{00000000-0008-0000-0E00-000002000000}"/>
            </a:ext>
          </a:extLst>
        </xdr:cNvPr>
        <xdr:cNvSpPr/>
      </xdr:nvSpPr>
      <xdr:spPr>
        <a:xfrm>
          <a:off x="2352675" y="1123950"/>
          <a:ext cx="2943225" cy="361950"/>
        </a:xfrm>
        <a:prstGeom prst="roundRect">
          <a:avLst/>
        </a:prstGeom>
        <a:gradFill flip="none" rotWithShape="1">
          <a:gsLst>
            <a:gs pos="0">
              <a:srgbClr val="498787"/>
            </a:gs>
            <a:gs pos="100000">
              <a:srgbClr val="499687"/>
            </a:gs>
          </a:gsLst>
          <a:lin ang="0" scaled="1"/>
          <a:tileRect/>
        </a:gra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hu-HU" sz="1100" baseline="0">
              <a:solidFill>
                <a:sysClr val="windowText" lastClr="000000"/>
              </a:solidFill>
            </a:rPr>
            <a:t>Continue</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2</xdr:col>
      <xdr:colOff>1247775</xdr:colOff>
      <xdr:row>0</xdr:row>
      <xdr:rowOff>428625</xdr:rowOff>
    </xdr:to>
    <xdr:sp macro="[0]!bt_creqma_click" textlink="">
      <xdr:nvSpPr>
        <xdr:cNvPr id="2" name="bt_creqma">
          <a:extLst>
            <a:ext uri="{FF2B5EF4-FFF2-40B4-BE49-F238E27FC236}">
              <a16:creationId xmlns:a16="http://schemas.microsoft.com/office/drawing/2014/main" id="{00000000-0008-0000-1000-000002000000}"/>
            </a:ext>
          </a:extLst>
        </xdr:cNvPr>
        <xdr:cNvSpPr/>
      </xdr:nvSpPr>
      <xdr:spPr>
        <a:xfrm>
          <a:off x="609600" y="0"/>
          <a:ext cx="1857375" cy="42862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Equilibrium Matrix</a:t>
          </a:r>
        </a:p>
      </xdr:txBody>
    </xdr:sp>
    <xdr:clientData/>
  </xdr:twoCellAnchor>
  <xdr:twoCellAnchor editAs="absolute">
    <xdr:from>
      <xdr:col>3</xdr:col>
      <xdr:colOff>0</xdr:colOff>
      <xdr:row>0</xdr:row>
      <xdr:rowOff>0</xdr:rowOff>
    </xdr:from>
    <xdr:to>
      <xdr:col>5</xdr:col>
      <xdr:colOff>388555</xdr:colOff>
      <xdr:row>0</xdr:row>
      <xdr:rowOff>400050</xdr:rowOff>
    </xdr:to>
    <xdr:sp macro="[0]!bt_chksp_click" textlink="">
      <xdr:nvSpPr>
        <xdr:cNvPr id="3" name="bt_chksp">
          <a:extLst>
            <a:ext uri="{FF2B5EF4-FFF2-40B4-BE49-F238E27FC236}">
              <a16:creationId xmlns:a16="http://schemas.microsoft.com/office/drawing/2014/main" id="{00000000-0008-0000-1000-000003000000}"/>
            </a:ext>
          </a:extLst>
        </xdr:cNvPr>
        <xdr:cNvSpPr/>
      </xdr:nvSpPr>
      <xdr:spPr>
        <a:xfrm>
          <a:off x="2981325" y="0"/>
          <a:ext cx="1607755" cy="400050"/>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Species</a:t>
          </a:r>
        </a:p>
      </xdr:txBody>
    </xdr:sp>
    <xdr:clientData/>
  </xdr:twoCellAnchor>
</xdr:wsDr>
</file>

<file path=xl/theme/theme1.xml><?xml version="1.0" encoding="utf-8"?>
<a:theme xmlns:a="http://schemas.openxmlformats.org/drawingml/2006/main" name="Office-té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ebbook.nist.gov/cgi/cbook.cgi?Formula=CH4&amp;NoIon=on&amp;Units=SI&amp;cSO=on" TargetMode="External"/><Relationship Id="rId3" Type="http://schemas.openxmlformats.org/officeDocument/2006/relationships/hyperlink" Target="http://webbook.nist.gov/cgi/cbook.cgi?Formula=NH3&amp;NoIon=on&amp;Units=SI&amp;cSO=on" TargetMode="External"/><Relationship Id="rId7" Type="http://schemas.openxmlformats.org/officeDocument/2006/relationships/hyperlink" Target="http://webbook.nist.gov/cgi/cbook.cgi?Formula=H2&amp;NoIon=on&amp;Units=SI&amp;cSO=on" TargetMode="External"/><Relationship Id="rId12" Type="http://schemas.openxmlformats.org/officeDocument/2006/relationships/printerSettings" Target="../printerSettings/printerSettings1.bin"/><Relationship Id="rId2" Type="http://schemas.openxmlformats.org/officeDocument/2006/relationships/hyperlink" Target="http://webbook.nist.gov/cgi/cbook.cgi?Formula=NH3&amp;NoIon=on&amp;Units=SI&amp;cSO=on" TargetMode="External"/><Relationship Id="rId1" Type="http://schemas.openxmlformats.org/officeDocument/2006/relationships/hyperlink" Target="http://webbook.nist.gov/cgi/cbook.cgi?ID=C7782447&amp;Mask=10" TargetMode="External"/><Relationship Id="rId6" Type="http://schemas.openxmlformats.org/officeDocument/2006/relationships/hyperlink" Target="http://webbook.nist.gov/cgi/cbook.cgi?Formula=H2&amp;NoIon=on&amp;Units=SI&amp;cSO=on" TargetMode="External"/><Relationship Id="rId11" Type="http://schemas.openxmlformats.org/officeDocument/2006/relationships/hyperlink" Target="http://webbook.nist.gov/cgi/cbook.cgi?ID=C124389&amp;Mask=10" TargetMode="External"/><Relationship Id="rId5" Type="http://schemas.openxmlformats.org/officeDocument/2006/relationships/hyperlink" Target="http://webbook.nist.gov/cgi/cbook.cgi?Formula=H2S&amp;NoIon=on&amp;Units=SI&amp;cSO=on" TargetMode="External"/><Relationship Id="rId10" Type="http://schemas.openxmlformats.org/officeDocument/2006/relationships/hyperlink" Target="http://www.vias.org/genchem/standard_enthalpies_table.html" TargetMode="External"/><Relationship Id="rId4" Type="http://schemas.openxmlformats.org/officeDocument/2006/relationships/hyperlink" Target="http://webbook.nist.gov/cgi/cbook.cgi?Formula=H2S&amp;NoIon=on&amp;Units=SI&amp;cSO=on" TargetMode="External"/><Relationship Id="rId9" Type="http://schemas.openxmlformats.org/officeDocument/2006/relationships/hyperlink" Target="http://webbook.nist.gov/cgi/cbook.cgi?Formula=CH4&amp;NoIon=on&amp;Units=SI&amp;cSO=on"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dynamita.com/"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3" Type="http://schemas.openxmlformats.org/officeDocument/2006/relationships/hyperlink" Target="http://www.cplusplus.com/reference/cmath/log/" TargetMode="External"/><Relationship Id="rId18" Type="http://schemas.openxmlformats.org/officeDocument/2006/relationships/hyperlink" Target="http://www.cplusplus.com/reference/cmath/floor/" TargetMode="External"/><Relationship Id="rId26" Type="http://schemas.openxmlformats.org/officeDocument/2006/relationships/hyperlink" Target="http://www.cplusplus.com/reference/cmath/atan2/" TargetMode="External"/><Relationship Id="rId39" Type="http://schemas.openxmlformats.org/officeDocument/2006/relationships/printerSettings" Target="../printerSettings/printerSettings9.bin"/><Relationship Id="rId21" Type="http://schemas.openxmlformats.org/officeDocument/2006/relationships/hyperlink" Target="http://www.cplusplus.com/reference/cmath/sin/" TargetMode="External"/><Relationship Id="rId34" Type="http://schemas.openxmlformats.org/officeDocument/2006/relationships/hyperlink" Target="http://www.cplusplus.com/reference/cmath/sqrt/" TargetMode="External"/><Relationship Id="rId7" Type="http://schemas.openxmlformats.org/officeDocument/2006/relationships/hyperlink" Target="http://www.cplusplus.com/reference/cmath/atan2/" TargetMode="External"/><Relationship Id="rId12" Type="http://schemas.openxmlformats.org/officeDocument/2006/relationships/hyperlink" Target="http://www.cplusplus.com/reference/cmath/ldexp/" TargetMode="External"/><Relationship Id="rId17" Type="http://schemas.openxmlformats.org/officeDocument/2006/relationships/hyperlink" Target="http://www.cplusplus.com/reference/cmath/fabs/" TargetMode="External"/><Relationship Id="rId25" Type="http://schemas.openxmlformats.org/officeDocument/2006/relationships/hyperlink" Target="http://www.cplusplus.com/reference/cmath/atan/" TargetMode="External"/><Relationship Id="rId33" Type="http://schemas.openxmlformats.org/officeDocument/2006/relationships/hyperlink" Target="http://www.cplusplus.com/reference/cmath/log10/" TargetMode="External"/><Relationship Id="rId38" Type="http://schemas.openxmlformats.org/officeDocument/2006/relationships/hyperlink" Target="http://www.cplusplus.com/reference/cmath/fmod/" TargetMode="External"/><Relationship Id="rId2" Type="http://schemas.openxmlformats.org/officeDocument/2006/relationships/hyperlink" Target="http://www.cplusplus.com/reference/cmath/sin/" TargetMode="External"/><Relationship Id="rId16" Type="http://schemas.openxmlformats.org/officeDocument/2006/relationships/hyperlink" Target="http://www.cplusplus.com/reference/cmath/ceil/" TargetMode="External"/><Relationship Id="rId20" Type="http://schemas.openxmlformats.org/officeDocument/2006/relationships/hyperlink" Target="http://www.cplusplus.com/reference/cmath/cos/" TargetMode="External"/><Relationship Id="rId29" Type="http://schemas.openxmlformats.org/officeDocument/2006/relationships/hyperlink" Target="http://www.cplusplus.com/reference/cmath/tanh/" TargetMode="External"/><Relationship Id="rId1" Type="http://schemas.openxmlformats.org/officeDocument/2006/relationships/hyperlink" Target="http://www.cplusplus.com/reference/cmath/cos/" TargetMode="External"/><Relationship Id="rId6" Type="http://schemas.openxmlformats.org/officeDocument/2006/relationships/hyperlink" Target="http://www.cplusplus.com/reference/cmath/atan/" TargetMode="External"/><Relationship Id="rId11" Type="http://schemas.openxmlformats.org/officeDocument/2006/relationships/hyperlink" Target="http://www.cplusplus.com/reference/cmath/exp/" TargetMode="External"/><Relationship Id="rId24" Type="http://schemas.openxmlformats.org/officeDocument/2006/relationships/hyperlink" Target="http://www.cplusplus.com/reference/cmath/asin/" TargetMode="External"/><Relationship Id="rId32" Type="http://schemas.openxmlformats.org/officeDocument/2006/relationships/hyperlink" Target="http://www.cplusplus.com/reference/cmath/log/" TargetMode="External"/><Relationship Id="rId37" Type="http://schemas.openxmlformats.org/officeDocument/2006/relationships/hyperlink" Target="http://www.cplusplus.com/reference/cmath/floor/" TargetMode="External"/><Relationship Id="rId40" Type="http://schemas.openxmlformats.org/officeDocument/2006/relationships/drawing" Target="../drawings/drawing9.xml"/><Relationship Id="rId5" Type="http://schemas.openxmlformats.org/officeDocument/2006/relationships/hyperlink" Target="http://www.cplusplus.com/reference/cmath/asin/" TargetMode="External"/><Relationship Id="rId15" Type="http://schemas.openxmlformats.org/officeDocument/2006/relationships/hyperlink" Target="http://www.cplusplus.com/reference/cmath/sqrt/" TargetMode="External"/><Relationship Id="rId23" Type="http://schemas.openxmlformats.org/officeDocument/2006/relationships/hyperlink" Target="http://www.cplusplus.com/reference/cmath/acos/" TargetMode="External"/><Relationship Id="rId28" Type="http://schemas.openxmlformats.org/officeDocument/2006/relationships/hyperlink" Target="http://www.cplusplus.com/reference/cmath/sinh/" TargetMode="External"/><Relationship Id="rId36" Type="http://schemas.openxmlformats.org/officeDocument/2006/relationships/hyperlink" Target="http://www.cplusplus.com/reference/cmath/fabs/" TargetMode="External"/><Relationship Id="rId10" Type="http://schemas.openxmlformats.org/officeDocument/2006/relationships/hyperlink" Target="http://www.cplusplus.com/reference/cmath/tanh/" TargetMode="External"/><Relationship Id="rId19" Type="http://schemas.openxmlformats.org/officeDocument/2006/relationships/hyperlink" Target="http://www.cplusplus.com/reference/cmath/fmod/" TargetMode="External"/><Relationship Id="rId31" Type="http://schemas.openxmlformats.org/officeDocument/2006/relationships/hyperlink" Target="http://www.cplusplus.com/reference/cmath/ldexp/" TargetMode="External"/><Relationship Id="rId4" Type="http://schemas.openxmlformats.org/officeDocument/2006/relationships/hyperlink" Target="http://www.cplusplus.com/reference/cmath/acos/" TargetMode="External"/><Relationship Id="rId9" Type="http://schemas.openxmlformats.org/officeDocument/2006/relationships/hyperlink" Target="http://www.cplusplus.com/reference/cmath/sinh/" TargetMode="External"/><Relationship Id="rId14" Type="http://schemas.openxmlformats.org/officeDocument/2006/relationships/hyperlink" Target="http://www.cplusplus.com/reference/cmath/log10/" TargetMode="External"/><Relationship Id="rId22" Type="http://schemas.openxmlformats.org/officeDocument/2006/relationships/hyperlink" Target="http://www.cplusplus.com/reference/cmath/tan/" TargetMode="External"/><Relationship Id="rId27" Type="http://schemas.openxmlformats.org/officeDocument/2006/relationships/hyperlink" Target="http://www.cplusplus.com/reference/cmath/cosh/" TargetMode="External"/><Relationship Id="rId30" Type="http://schemas.openxmlformats.org/officeDocument/2006/relationships/hyperlink" Target="http://www.cplusplus.com/reference/cmath/exp/" TargetMode="External"/><Relationship Id="rId35" Type="http://schemas.openxmlformats.org/officeDocument/2006/relationships/hyperlink" Target="http://www.cplusplus.com/reference/cmath/ceil/" TargetMode="External"/><Relationship Id="rId8" Type="http://schemas.openxmlformats.org/officeDocument/2006/relationships/hyperlink" Target="http://www.cplusplus.com/reference/cmath/cosh/" TargetMode="External"/><Relationship Id="rId3" Type="http://schemas.openxmlformats.org/officeDocument/2006/relationships/hyperlink" Target="http://www.cplusplus.com/reference/cmath/tan/"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L485"/>
  <sheetViews>
    <sheetView showGridLines="0" zoomScaleNormal="100" zoomScalePageLayoutView="85" workbookViewId="0">
      <selection activeCell="B3" sqref="B3:D485"/>
    </sheetView>
  </sheetViews>
  <sheetFormatPr defaultColWidth="9.140625" defaultRowHeight="15" x14ac:dyDescent="0.25"/>
  <cols>
    <col min="1" max="1" width="9.140625" style="318"/>
    <col min="2" max="2" width="13.140625" style="318" customWidth="1"/>
    <col min="3" max="3" width="58.140625" style="318" bestFit="1" customWidth="1"/>
    <col min="4" max="4" width="29.42578125" style="318" bestFit="1" customWidth="1"/>
    <col min="5" max="6" width="21" style="318" customWidth="1"/>
    <col min="7" max="7" width="18" style="318" bestFit="1" customWidth="1"/>
    <col min="8" max="8" width="18" style="318" customWidth="1"/>
    <col min="9" max="9" width="9.140625" style="318"/>
    <col min="10" max="10" width="76.85546875" style="318" customWidth="1"/>
    <col min="11" max="11" width="9.140625" style="318"/>
    <col min="12" max="12" width="29.42578125" style="318" bestFit="1" customWidth="1"/>
    <col min="13" max="16384" width="9.140625" style="318"/>
  </cols>
  <sheetData>
    <row r="2" spans="2:10" ht="15.75" thickBot="1" x14ac:dyDescent="0.3">
      <c r="C2" s="319" t="s">
        <v>1466</v>
      </c>
    </row>
    <row r="3" spans="2:10" ht="15.75" thickBot="1" x14ac:dyDescent="0.3">
      <c r="B3" s="320" t="s">
        <v>0</v>
      </c>
      <c r="C3" s="321" t="s">
        <v>1</v>
      </c>
      <c r="D3" s="322" t="s">
        <v>150</v>
      </c>
      <c r="E3" s="322" t="s">
        <v>550</v>
      </c>
      <c r="F3" s="322" t="s">
        <v>551</v>
      </c>
      <c r="G3" s="322" t="s">
        <v>2</v>
      </c>
      <c r="H3" s="322" t="s">
        <v>492</v>
      </c>
      <c r="I3" s="322" t="s">
        <v>114</v>
      </c>
      <c r="J3" s="323" t="s">
        <v>115</v>
      </c>
    </row>
    <row r="4" spans="2:10" ht="18" x14ac:dyDescent="0.25">
      <c r="B4" s="324" t="s">
        <v>1110</v>
      </c>
      <c r="C4" s="325" t="s">
        <v>1111</v>
      </c>
      <c r="D4" s="325">
        <v>273.14999999999998</v>
      </c>
      <c r="E4" s="326"/>
      <c r="F4" s="326"/>
      <c r="G4" s="325" t="s">
        <v>555</v>
      </c>
      <c r="H4" s="327"/>
      <c r="I4" s="327"/>
      <c r="J4" s="325" t="s">
        <v>1467</v>
      </c>
    </row>
    <row r="5" spans="2:10" ht="18" x14ac:dyDescent="0.25">
      <c r="B5" s="324" t="s">
        <v>594</v>
      </c>
      <c r="C5" s="325" t="s">
        <v>595</v>
      </c>
      <c r="D5" s="325">
        <v>101325</v>
      </c>
      <c r="E5" s="326"/>
      <c r="F5" s="326"/>
      <c r="G5" s="325" t="s">
        <v>596</v>
      </c>
      <c r="H5" s="327"/>
      <c r="I5" s="327"/>
      <c r="J5" s="325" t="s">
        <v>1467</v>
      </c>
    </row>
    <row r="6" spans="2:10" ht="18" x14ac:dyDescent="0.25">
      <c r="B6" s="324" t="s">
        <v>1299</v>
      </c>
      <c r="C6" s="325" t="s">
        <v>1300</v>
      </c>
      <c r="D6" s="325">
        <v>0</v>
      </c>
      <c r="E6" s="326"/>
      <c r="F6" s="326"/>
      <c r="G6" s="325" t="s">
        <v>1468</v>
      </c>
      <c r="H6" s="327"/>
      <c r="I6" s="327"/>
      <c r="J6" s="325" t="s">
        <v>1467</v>
      </c>
    </row>
    <row r="8" spans="2:10" ht="15.75" thickBot="1" x14ac:dyDescent="0.3">
      <c r="C8" s="328" t="s">
        <v>549</v>
      </c>
    </row>
    <row r="9" spans="2:10" ht="15.75" thickBot="1" x14ac:dyDescent="0.3">
      <c r="B9" s="329" t="s">
        <v>0</v>
      </c>
      <c r="C9" s="330" t="s">
        <v>1</v>
      </c>
      <c r="D9" s="331" t="s">
        <v>150</v>
      </c>
      <c r="E9" s="331" t="s">
        <v>550</v>
      </c>
      <c r="F9" s="331" t="s">
        <v>551</v>
      </c>
      <c r="G9" s="331" t="s">
        <v>2</v>
      </c>
      <c r="H9" s="331" t="s">
        <v>492</v>
      </c>
      <c r="I9" s="331" t="s">
        <v>114</v>
      </c>
      <c r="J9" s="332" t="s">
        <v>115</v>
      </c>
    </row>
    <row r="10" spans="2:10" ht="18" x14ac:dyDescent="0.25">
      <c r="B10" s="324" t="s">
        <v>1089</v>
      </c>
      <c r="C10" s="325" t="s">
        <v>552</v>
      </c>
      <c r="D10" s="325">
        <v>1.2999999999999999E-3</v>
      </c>
      <c r="E10" s="326"/>
      <c r="F10" s="326"/>
      <c r="G10" s="325" t="s">
        <v>553</v>
      </c>
      <c r="H10" s="327"/>
      <c r="I10" s="327"/>
      <c r="J10" s="325" t="s">
        <v>1090</v>
      </c>
    </row>
    <row r="11" spans="2:10" ht="18" x14ac:dyDescent="0.25">
      <c r="B11" s="324" t="s">
        <v>1091</v>
      </c>
      <c r="C11" s="325" t="s">
        <v>554</v>
      </c>
      <c r="D11" s="325">
        <v>1500</v>
      </c>
      <c r="E11" s="326"/>
      <c r="F11" s="326"/>
      <c r="G11" s="325" t="s">
        <v>555</v>
      </c>
      <c r="H11" s="327"/>
      <c r="I11" s="327"/>
      <c r="J11" s="325" t="s">
        <v>1090</v>
      </c>
    </row>
    <row r="12" spans="2:10" ht="18" x14ac:dyDescent="0.25">
      <c r="B12" s="324" t="s">
        <v>1092</v>
      </c>
      <c r="C12" s="325" t="s">
        <v>556</v>
      </c>
      <c r="D12" s="325">
        <v>3.5000000000000003E-2</v>
      </c>
      <c r="E12" s="326"/>
      <c r="F12" s="326"/>
      <c r="G12" s="325" t="s">
        <v>553</v>
      </c>
      <c r="H12" s="327"/>
      <c r="I12" s="327"/>
      <c r="J12" s="325" t="s">
        <v>1093</v>
      </c>
    </row>
    <row r="13" spans="2:10" ht="18" x14ac:dyDescent="0.25">
      <c r="B13" s="324" t="s">
        <v>1094</v>
      </c>
      <c r="C13" s="325" t="s">
        <v>557</v>
      </c>
      <c r="D13" s="325">
        <v>2400</v>
      </c>
      <c r="E13" s="326"/>
      <c r="F13" s="326"/>
      <c r="G13" s="325" t="s">
        <v>555</v>
      </c>
      <c r="H13" s="327"/>
      <c r="I13" s="327"/>
      <c r="J13" s="325" t="s">
        <v>1093</v>
      </c>
    </row>
    <row r="14" spans="2:10" ht="18" x14ac:dyDescent="0.25">
      <c r="B14" s="324" t="s">
        <v>1095</v>
      </c>
      <c r="C14" s="325" t="s">
        <v>558</v>
      </c>
      <c r="D14" s="325">
        <v>1.9E-3</v>
      </c>
      <c r="E14" s="326"/>
      <c r="F14" s="326"/>
      <c r="G14" s="325" t="s">
        <v>553</v>
      </c>
      <c r="H14" s="327"/>
      <c r="I14" s="327"/>
      <c r="J14" s="325" t="s">
        <v>1096</v>
      </c>
    </row>
    <row r="15" spans="2:10" ht="18" x14ac:dyDescent="0.25">
      <c r="B15" s="324" t="s">
        <v>1097</v>
      </c>
      <c r="C15" s="325" t="s">
        <v>559</v>
      </c>
      <c r="D15" s="325">
        <v>1400</v>
      </c>
      <c r="E15" s="326"/>
      <c r="F15" s="326"/>
      <c r="G15" s="325" t="s">
        <v>555</v>
      </c>
      <c r="H15" s="327"/>
      <c r="I15" s="327"/>
      <c r="J15" s="325" t="s">
        <v>1096</v>
      </c>
    </row>
    <row r="16" spans="2:10" ht="18" x14ac:dyDescent="0.25">
      <c r="B16" s="324" t="s">
        <v>1098</v>
      </c>
      <c r="C16" s="325" t="s">
        <v>560</v>
      </c>
      <c r="D16" s="325">
        <v>2.5000000000000001E-2</v>
      </c>
      <c r="E16" s="326"/>
      <c r="F16" s="326"/>
      <c r="G16" s="325" t="s">
        <v>553</v>
      </c>
      <c r="H16" s="327"/>
      <c r="I16" s="327"/>
      <c r="J16" s="325" t="s">
        <v>1099</v>
      </c>
    </row>
    <row r="17" spans="2:10" ht="18" x14ac:dyDescent="0.25">
      <c r="B17" s="324" t="s">
        <v>1100</v>
      </c>
      <c r="C17" s="325" t="s">
        <v>557</v>
      </c>
      <c r="D17" s="325">
        <v>2600</v>
      </c>
      <c r="E17" s="326"/>
      <c r="F17" s="326"/>
      <c r="G17" s="325" t="s">
        <v>555</v>
      </c>
      <c r="H17" s="327"/>
      <c r="I17" s="327"/>
      <c r="J17" s="325" t="s">
        <v>1099</v>
      </c>
    </row>
    <row r="18" spans="2:10" ht="18" x14ac:dyDescent="0.25">
      <c r="B18" s="324" t="s">
        <v>1101</v>
      </c>
      <c r="C18" s="325" t="s">
        <v>561</v>
      </c>
      <c r="D18" s="325">
        <v>6.4999999999999997E-4</v>
      </c>
      <c r="E18" s="326"/>
      <c r="F18" s="326"/>
      <c r="G18" s="325" t="s">
        <v>553</v>
      </c>
      <c r="H18" s="327"/>
      <c r="I18" s="327"/>
      <c r="J18" s="325" t="s">
        <v>1102</v>
      </c>
    </row>
    <row r="19" spans="2:10" ht="18" x14ac:dyDescent="0.25">
      <c r="B19" s="324" t="s">
        <v>1103</v>
      </c>
      <c r="C19" s="325" t="s">
        <v>562</v>
      </c>
      <c r="D19" s="325">
        <v>1300</v>
      </c>
      <c r="E19" s="326"/>
      <c r="F19" s="326"/>
      <c r="G19" s="325" t="s">
        <v>555</v>
      </c>
      <c r="H19" s="327"/>
      <c r="I19" s="327"/>
      <c r="J19" s="325" t="s">
        <v>1102</v>
      </c>
    </row>
    <row r="20" spans="2:10" ht="18" x14ac:dyDescent="0.25">
      <c r="B20" s="324" t="s">
        <v>1104</v>
      </c>
      <c r="C20" s="325" t="s">
        <v>563</v>
      </c>
      <c r="D20" s="325">
        <v>7.7999999999999999E-4</v>
      </c>
      <c r="E20" s="326"/>
      <c r="F20" s="326"/>
      <c r="G20" s="325" t="s">
        <v>553</v>
      </c>
      <c r="H20" s="327"/>
      <c r="I20" s="327"/>
      <c r="J20" s="325" t="s">
        <v>1469</v>
      </c>
    </row>
    <row r="21" spans="2:10" ht="18" x14ac:dyDescent="0.25">
      <c r="B21" s="324" t="s">
        <v>1105</v>
      </c>
      <c r="C21" s="325" t="s">
        <v>564</v>
      </c>
      <c r="D21" s="325">
        <v>500</v>
      </c>
      <c r="E21" s="326"/>
      <c r="F21" s="326"/>
      <c r="G21" s="325" t="s">
        <v>555</v>
      </c>
      <c r="H21" s="327"/>
      <c r="I21" s="327"/>
      <c r="J21" s="325" t="s">
        <v>1469</v>
      </c>
    </row>
    <row r="22" spans="2:10" ht="18" x14ac:dyDescent="0.25">
      <c r="B22" s="324" t="s">
        <v>1106</v>
      </c>
      <c r="C22" s="325" t="s">
        <v>565</v>
      </c>
      <c r="D22" s="325">
        <v>1.4E-3</v>
      </c>
      <c r="E22" s="326"/>
      <c r="F22" s="326"/>
      <c r="G22" s="325" t="s">
        <v>553</v>
      </c>
      <c r="H22" s="327"/>
      <c r="I22" s="327"/>
      <c r="J22" s="325" t="s">
        <v>1470</v>
      </c>
    </row>
    <row r="23" spans="2:10" ht="18" x14ac:dyDescent="0.25">
      <c r="B23" s="324" t="s">
        <v>1107</v>
      </c>
      <c r="C23" s="325" t="s">
        <v>566</v>
      </c>
      <c r="D23" s="325">
        <v>1600</v>
      </c>
      <c r="E23" s="326"/>
      <c r="F23" s="326"/>
      <c r="G23" s="325" t="s">
        <v>555</v>
      </c>
      <c r="H23" s="327"/>
      <c r="I23" s="327"/>
      <c r="J23" s="325" t="s">
        <v>1470</v>
      </c>
    </row>
    <row r="24" spans="2:10" ht="18" x14ac:dyDescent="0.25">
      <c r="B24" s="324" t="s">
        <v>1471</v>
      </c>
      <c r="C24" s="325" t="s">
        <v>1472</v>
      </c>
      <c r="D24" s="325">
        <v>61</v>
      </c>
      <c r="E24" s="326"/>
      <c r="F24" s="326"/>
      <c r="G24" s="325" t="s">
        <v>553</v>
      </c>
      <c r="H24" s="327"/>
      <c r="I24" s="327"/>
      <c r="J24" s="325" t="s">
        <v>1473</v>
      </c>
    </row>
    <row r="25" spans="2:10" ht="18" x14ac:dyDescent="0.25">
      <c r="B25" s="324" t="s">
        <v>1474</v>
      </c>
      <c r="C25" s="325" t="s">
        <v>1475</v>
      </c>
      <c r="D25" s="325">
        <v>4100</v>
      </c>
      <c r="E25" s="326"/>
      <c r="F25" s="326"/>
      <c r="G25" s="325" t="s">
        <v>555</v>
      </c>
      <c r="H25" s="327"/>
      <c r="I25" s="327"/>
      <c r="J25" s="325" t="s">
        <v>1473</v>
      </c>
    </row>
    <row r="26" spans="2:10" ht="18" x14ac:dyDescent="0.25">
      <c r="B26" s="324" t="s">
        <v>1476</v>
      </c>
      <c r="C26" s="325" t="s">
        <v>1477</v>
      </c>
      <c r="D26" s="325">
        <v>0.1</v>
      </c>
      <c r="E26" s="326"/>
      <c r="F26" s="326"/>
      <c r="G26" s="325" t="s">
        <v>553</v>
      </c>
      <c r="H26" s="327"/>
      <c r="I26" s="327"/>
      <c r="J26" s="325" t="s">
        <v>1478</v>
      </c>
    </row>
    <row r="27" spans="2:10" ht="18" x14ac:dyDescent="0.25">
      <c r="B27" s="324" t="s">
        <v>1479</v>
      </c>
      <c r="C27" s="325" t="s">
        <v>1480</v>
      </c>
      <c r="D27" s="325">
        <v>2200</v>
      </c>
      <c r="E27" s="326"/>
      <c r="F27" s="326"/>
      <c r="G27" s="325" t="s">
        <v>555</v>
      </c>
      <c r="H27" s="327"/>
      <c r="I27" s="327"/>
      <c r="J27" s="325" t="s">
        <v>1478</v>
      </c>
    </row>
    <row r="29" spans="2:10" ht="15.75" thickBot="1" x14ac:dyDescent="0.3">
      <c r="C29" s="328" t="s">
        <v>1481</v>
      </c>
    </row>
    <row r="30" spans="2:10" ht="15.75" thickBot="1" x14ac:dyDescent="0.3">
      <c r="B30" s="329" t="s">
        <v>0</v>
      </c>
      <c r="C30" s="330" t="s">
        <v>1</v>
      </c>
      <c r="D30" s="331" t="s">
        <v>150</v>
      </c>
      <c r="E30" s="331" t="s">
        <v>550</v>
      </c>
      <c r="F30" s="331" t="s">
        <v>551</v>
      </c>
      <c r="G30" s="331" t="s">
        <v>2</v>
      </c>
      <c r="H30" s="331" t="s">
        <v>492</v>
      </c>
      <c r="I30" s="331" t="s">
        <v>114</v>
      </c>
      <c r="J30" s="332" t="s">
        <v>115</v>
      </c>
    </row>
    <row r="31" spans="2:10" ht="18" x14ac:dyDescent="0.25">
      <c r="B31" s="324" t="s">
        <v>1482</v>
      </c>
      <c r="C31" s="325" t="s">
        <v>567</v>
      </c>
      <c r="D31" s="325">
        <v>2.0900000000000001E-4</v>
      </c>
      <c r="E31" s="326"/>
      <c r="F31" s="326"/>
      <c r="G31" s="325" t="s">
        <v>568</v>
      </c>
      <c r="H31" s="327">
        <v>2</v>
      </c>
      <c r="I31" s="327"/>
      <c r="J31" s="325"/>
    </row>
    <row r="32" spans="2:10" ht="18" x14ac:dyDescent="0.25">
      <c r="B32" s="324" t="s">
        <v>1483</v>
      </c>
      <c r="C32" s="325" t="s">
        <v>569</v>
      </c>
      <c r="D32" s="325">
        <v>1.73E-4</v>
      </c>
      <c r="E32" s="326"/>
      <c r="F32" s="326"/>
      <c r="G32" s="325" t="s">
        <v>568</v>
      </c>
      <c r="H32" s="327">
        <v>2</v>
      </c>
      <c r="I32" s="327"/>
      <c r="J32" s="325"/>
    </row>
    <row r="33" spans="2:10" ht="18" x14ac:dyDescent="0.25">
      <c r="B33" s="324" t="s">
        <v>1484</v>
      </c>
      <c r="C33" s="325" t="s">
        <v>1233</v>
      </c>
      <c r="D33" s="325">
        <f>0.0000693*216/25</f>
        <v>5.9875200000000003E-4</v>
      </c>
      <c r="E33" s="326"/>
      <c r="F33" s="326"/>
      <c r="G33" s="325" t="s">
        <v>568</v>
      </c>
      <c r="H33" s="327">
        <v>2</v>
      </c>
      <c r="I33" s="327"/>
      <c r="J33" s="325"/>
    </row>
    <row r="34" spans="2:10" ht="18" x14ac:dyDescent="0.25">
      <c r="B34" s="324" t="s">
        <v>1485</v>
      </c>
      <c r="C34" s="325" t="s">
        <v>570</v>
      </c>
      <c r="D34" s="325">
        <v>1.65E-4</v>
      </c>
      <c r="E34" s="326"/>
      <c r="F34" s="326"/>
      <c r="G34" s="325" t="s">
        <v>568</v>
      </c>
      <c r="H34" s="327">
        <v>2</v>
      </c>
      <c r="I34" s="327"/>
      <c r="J34" s="325"/>
    </row>
    <row r="35" spans="2:10" ht="18" x14ac:dyDescent="0.25">
      <c r="B35" s="324" t="s">
        <v>1486</v>
      </c>
      <c r="C35" s="325" t="s">
        <v>571</v>
      </c>
      <c r="D35" s="325">
        <v>4.4999999999999999E-4</v>
      </c>
      <c r="E35" s="326"/>
      <c r="F35" s="326"/>
      <c r="G35" s="325" t="s">
        <v>572</v>
      </c>
      <c r="H35" s="327">
        <v>2</v>
      </c>
      <c r="I35" s="327"/>
      <c r="J35" s="325"/>
    </row>
    <row r="36" spans="2:10" ht="18" x14ac:dyDescent="0.25">
      <c r="B36" s="324" t="s">
        <v>1487</v>
      </c>
      <c r="C36" s="325" t="s">
        <v>573</v>
      </c>
      <c r="D36" s="325">
        <v>1.4899999999999999E-4</v>
      </c>
      <c r="E36" s="326"/>
      <c r="F36" s="326"/>
      <c r="G36" s="325" t="s">
        <v>572</v>
      </c>
      <c r="H36" s="327">
        <v>2</v>
      </c>
      <c r="I36" s="327"/>
      <c r="J36" s="325"/>
    </row>
    <row r="37" spans="2:10" ht="18" x14ac:dyDescent="0.25">
      <c r="B37" s="324" t="s">
        <v>1488</v>
      </c>
      <c r="C37" s="325" t="s">
        <v>574</v>
      </c>
      <c r="D37" s="325">
        <v>2.9499999999999999E-5</v>
      </c>
      <c r="E37" s="326"/>
      <c r="F37" s="326"/>
      <c r="G37" s="325" t="s">
        <v>572</v>
      </c>
      <c r="H37" s="327">
        <v>2</v>
      </c>
      <c r="I37" s="327"/>
      <c r="J37" s="325"/>
    </row>
    <row r="38" spans="2:10" ht="18" x14ac:dyDescent="0.25">
      <c r="B38" s="324" t="s">
        <v>1489</v>
      </c>
      <c r="C38" s="325" t="s">
        <v>1490</v>
      </c>
      <c r="D38" s="325">
        <v>1.8E-5</v>
      </c>
      <c r="E38" s="326"/>
      <c r="F38" s="326"/>
      <c r="G38" s="325" t="s">
        <v>572</v>
      </c>
      <c r="H38" s="327">
        <v>2</v>
      </c>
      <c r="I38" s="327"/>
      <c r="J38" s="325"/>
    </row>
    <row r="39" spans="2:10" ht="18" x14ac:dyDescent="0.25">
      <c r="B39" s="324" t="s">
        <v>1491</v>
      </c>
      <c r="C39" s="325" t="s">
        <v>1492</v>
      </c>
      <c r="D39" s="325">
        <v>1.22E-4</v>
      </c>
      <c r="E39" s="326"/>
      <c r="F39" s="326"/>
      <c r="G39" s="325" t="s">
        <v>568</v>
      </c>
      <c r="H39" s="327">
        <v>2</v>
      </c>
      <c r="I39" s="327"/>
      <c r="J39" s="325"/>
    </row>
    <row r="41" spans="2:10" ht="15.75" thickBot="1" x14ac:dyDescent="0.3">
      <c r="C41" s="328" t="s">
        <v>575</v>
      </c>
    </row>
    <row r="42" spans="2:10" ht="15.75" thickBot="1" x14ac:dyDescent="0.3">
      <c r="B42" s="329" t="s">
        <v>0</v>
      </c>
      <c r="C42" s="330" t="s">
        <v>1</v>
      </c>
      <c r="D42" s="331" t="s">
        <v>150</v>
      </c>
      <c r="E42" s="331" t="s">
        <v>550</v>
      </c>
      <c r="F42" s="331" t="s">
        <v>551</v>
      </c>
      <c r="G42" s="331" t="s">
        <v>2</v>
      </c>
      <c r="H42" s="331" t="s">
        <v>492</v>
      </c>
      <c r="I42" s="331" t="s">
        <v>114</v>
      </c>
      <c r="J42" s="332" t="s">
        <v>115</v>
      </c>
    </row>
    <row r="43" spans="2:10" ht="18" x14ac:dyDescent="0.25">
      <c r="B43" s="324" t="s">
        <v>576</v>
      </c>
      <c r="C43" s="325" t="s">
        <v>577</v>
      </c>
      <c r="D43" s="325">
        <v>8.0713100000000004</v>
      </c>
      <c r="E43" s="326"/>
      <c r="F43" s="326"/>
      <c r="G43" s="325" t="s">
        <v>215</v>
      </c>
      <c r="H43" s="327"/>
      <c r="I43" s="327"/>
      <c r="J43" s="325"/>
    </row>
    <row r="44" spans="2:10" ht="18" x14ac:dyDescent="0.25">
      <c r="B44" s="324" t="s">
        <v>578</v>
      </c>
      <c r="C44" s="325" t="s">
        <v>579</v>
      </c>
      <c r="D44" s="325">
        <v>1730.63</v>
      </c>
      <c r="E44" s="326"/>
      <c r="F44" s="326"/>
      <c r="G44" s="325" t="s">
        <v>215</v>
      </c>
      <c r="H44" s="327"/>
      <c r="I44" s="327"/>
      <c r="J44" s="325"/>
    </row>
    <row r="45" spans="2:10" ht="18" x14ac:dyDescent="0.25">
      <c r="B45" s="324" t="s">
        <v>580</v>
      </c>
      <c r="C45" s="325" t="s">
        <v>581</v>
      </c>
      <c r="D45" s="325">
        <v>233.42599999999999</v>
      </c>
      <c r="E45" s="326"/>
      <c r="F45" s="326"/>
      <c r="G45" s="325" t="s">
        <v>215</v>
      </c>
      <c r="H45" s="327"/>
      <c r="I45" s="327"/>
      <c r="J45" s="325"/>
    </row>
    <row r="46" spans="2:10" ht="18" x14ac:dyDescent="0.25">
      <c r="B46" s="324" t="s">
        <v>1493</v>
      </c>
      <c r="C46" s="325" t="s">
        <v>1494</v>
      </c>
      <c r="D46" s="325">
        <v>7.2800000000000004E-2</v>
      </c>
      <c r="E46" s="326"/>
      <c r="F46" s="326"/>
      <c r="G46" s="325" t="s">
        <v>1495</v>
      </c>
      <c r="H46" s="327"/>
      <c r="I46" s="327"/>
      <c r="J46" s="325"/>
    </row>
    <row r="47" spans="2:10" ht="18" x14ac:dyDescent="0.25">
      <c r="B47" s="324" t="s">
        <v>582</v>
      </c>
      <c r="C47" s="325" t="s">
        <v>1496</v>
      </c>
      <c r="D47" s="325">
        <v>1000000</v>
      </c>
      <c r="E47" s="326"/>
      <c r="F47" s="326"/>
      <c r="G47" s="325" t="s">
        <v>583</v>
      </c>
      <c r="H47" s="327"/>
      <c r="I47" s="327"/>
      <c r="J47" s="325"/>
    </row>
    <row r="48" spans="2:10" ht="18" x14ac:dyDescent="0.25">
      <c r="B48" s="324" t="s">
        <v>1497</v>
      </c>
      <c r="C48" s="325" t="s">
        <v>1498</v>
      </c>
      <c r="D48" s="325">
        <f>10^-3</f>
        <v>1E-3</v>
      </c>
      <c r="E48" s="326"/>
      <c r="F48" s="326"/>
      <c r="G48" s="325" t="s">
        <v>1499</v>
      </c>
      <c r="H48" s="327"/>
      <c r="I48" s="327"/>
      <c r="J48" s="325"/>
    </row>
    <row r="50" spans="2:10" ht="15.75" thickBot="1" x14ac:dyDescent="0.3">
      <c r="C50" s="328" t="s">
        <v>584</v>
      </c>
    </row>
    <row r="51" spans="2:10" ht="15.75" thickBot="1" x14ac:dyDescent="0.3">
      <c r="B51" s="329" t="s">
        <v>0</v>
      </c>
      <c r="C51" s="330" t="s">
        <v>1</v>
      </c>
      <c r="D51" s="331" t="s">
        <v>150</v>
      </c>
      <c r="E51" s="331" t="s">
        <v>550</v>
      </c>
      <c r="F51" s="331" t="s">
        <v>551</v>
      </c>
      <c r="G51" s="331" t="s">
        <v>2</v>
      </c>
      <c r="H51" s="331" t="s">
        <v>492</v>
      </c>
      <c r="I51" s="331" t="s">
        <v>114</v>
      </c>
      <c r="J51" s="332" t="s">
        <v>115</v>
      </c>
    </row>
    <row r="52" spans="2:10" ht="18" x14ac:dyDescent="0.25">
      <c r="B52" s="324" t="s">
        <v>585</v>
      </c>
      <c r="C52" s="325" t="s">
        <v>586</v>
      </c>
      <c r="D52" s="325">
        <v>0.20949999999999999</v>
      </c>
      <c r="E52" s="326">
        <v>0</v>
      </c>
      <c r="F52" s="326">
        <v>1</v>
      </c>
      <c r="G52" s="325" t="s">
        <v>587</v>
      </c>
      <c r="H52" s="327"/>
      <c r="I52" s="327"/>
      <c r="J52" s="325"/>
    </row>
    <row r="53" spans="2:10" ht="18" x14ac:dyDescent="0.25">
      <c r="B53" s="324" t="s">
        <v>588</v>
      </c>
      <c r="C53" s="325" t="s">
        <v>589</v>
      </c>
      <c r="D53" s="325">
        <v>0.78080000000000005</v>
      </c>
      <c r="E53" s="326">
        <v>0</v>
      </c>
      <c r="F53" s="326">
        <v>1</v>
      </c>
      <c r="G53" s="325" t="s">
        <v>587</v>
      </c>
      <c r="H53" s="327"/>
      <c r="I53" s="327"/>
      <c r="J53" s="325"/>
    </row>
    <row r="54" spans="2:10" ht="18" x14ac:dyDescent="0.25">
      <c r="B54" s="324" t="s">
        <v>590</v>
      </c>
      <c r="C54" s="325" t="s">
        <v>591</v>
      </c>
      <c r="D54" s="325">
        <v>9.2999999999999992E-3</v>
      </c>
      <c r="E54" s="326">
        <v>0</v>
      </c>
      <c r="F54" s="326">
        <v>1</v>
      </c>
      <c r="G54" s="325" t="s">
        <v>587</v>
      </c>
      <c r="H54" s="327"/>
      <c r="I54" s="327"/>
      <c r="J54" s="325"/>
    </row>
    <row r="55" spans="2:10" ht="18" x14ac:dyDescent="0.25">
      <c r="B55" s="324" t="s">
        <v>592</v>
      </c>
      <c r="C55" s="325" t="s">
        <v>593</v>
      </c>
      <c r="D55" s="325">
        <v>4.0000000000000002E-4</v>
      </c>
      <c r="E55" s="326">
        <v>0</v>
      </c>
      <c r="F55" s="326">
        <v>1</v>
      </c>
      <c r="G55" s="325" t="s">
        <v>587</v>
      </c>
      <c r="H55" s="327"/>
      <c r="I55" s="327"/>
      <c r="J55" s="325"/>
    </row>
    <row r="56" spans="2:10" ht="18" x14ac:dyDescent="0.25">
      <c r="B56" s="324" t="s">
        <v>1500</v>
      </c>
      <c r="C56" s="325" t="s">
        <v>1501</v>
      </c>
      <c r="D56" s="325">
        <v>1200</v>
      </c>
      <c r="E56" s="326"/>
      <c r="F56" s="326"/>
      <c r="G56" s="325" t="s">
        <v>583</v>
      </c>
      <c r="H56" s="327"/>
      <c r="I56" s="327"/>
      <c r="J56" s="325"/>
    </row>
    <row r="57" spans="2:10" ht="18" x14ac:dyDescent="0.25">
      <c r="B57" s="324" t="s">
        <v>1502</v>
      </c>
      <c r="C57" s="325" t="s">
        <v>595</v>
      </c>
      <c r="D57" s="325">
        <v>101325</v>
      </c>
      <c r="E57" s="326">
        <v>0</v>
      </c>
      <c r="F57" s="326"/>
      <c r="G57" s="325" t="s">
        <v>596</v>
      </c>
      <c r="H57" s="327"/>
      <c r="I57" s="327"/>
      <c r="J57" s="325"/>
    </row>
    <row r="58" spans="2:10" ht="18" x14ac:dyDescent="0.25">
      <c r="B58" s="324" t="s">
        <v>1503</v>
      </c>
      <c r="C58" s="325" t="s">
        <v>1504</v>
      </c>
      <c r="D58" s="325">
        <v>101325</v>
      </c>
      <c r="E58" s="326">
        <v>0</v>
      </c>
      <c r="F58" s="326"/>
      <c r="G58" s="325" t="s">
        <v>596</v>
      </c>
      <c r="H58" s="327"/>
      <c r="I58" s="327"/>
      <c r="J58" s="325"/>
    </row>
    <row r="60" spans="2:10" ht="15.75" thickBot="1" x14ac:dyDescent="0.3">
      <c r="C60" s="328" t="s">
        <v>1505</v>
      </c>
    </row>
    <row r="61" spans="2:10" ht="15.75" thickBot="1" x14ac:dyDescent="0.3">
      <c r="B61" s="329" t="s">
        <v>0</v>
      </c>
      <c r="C61" s="330" t="s">
        <v>1</v>
      </c>
      <c r="D61" s="331" t="s">
        <v>150</v>
      </c>
      <c r="E61" s="331" t="s">
        <v>550</v>
      </c>
      <c r="F61" s="331" t="s">
        <v>551</v>
      </c>
      <c r="G61" s="331" t="s">
        <v>2</v>
      </c>
      <c r="H61" s="331" t="s">
        <v>492</v>
      </c>
      <c r="I61" s="331" t="s">
        <v>114</v>
      </c>
      <c r="J61" s="332" t="s">
        <v>115</v>
      </c>
    </row>
    <row r="62" spans="2:10" ht="18" x14ac:dyDescent="0.25">
      <c r="B62" s="324" t="s">
        <v>1506</v>
      </c>
      <c r="C62" s="325" t="s">
        <v>1507</v>
      </c>
      <c r="D62" s="325">
        <v>0.04</v>
      </c>
      <c r="E62" s="326">
        <v>0</v>
      </c>
      <c r="F62" s="326">
        <v>100</v>
      </c>
      <c r="G62" s="325" t="s">
        <v>1508</v>
      </c>
      <c r="H62" s="327"/>
      <c r="I62" s="327"/>
      <c r="J62" s="325"/>
    </row>
    <row r="63" spans="2:10" ht="18" x14ac:dyDescent="0.25">
      <c r="B63" s="324" t="s">
        <v>1509</v>
      </c>
      <c r="C63" s="325" t="s">
        <v>1510</v>
      </c>
      <c r="D63" s="325" t="s">
        <v>1318</v>
      </c>
      <c r="E63" s="326">
        <v>0</v>
      </c>
      <c r="F63" s="326">
        <v>100</v>
      </c>
      <c r="G63" s="325" t="s">
        <v>1508</v>
      </c>
      <c r="H63" s="327"/>
      <c r="I63" s="327"/>
      <c r="J63" s="325"/>
    </row>
    <row r="64" spans="2:10" ht="18" x14ac:dyDescent="0.25">
      <c r="B64" s="324" t="s">
        <v>1511</v>
      </c>
      <c r="C64" s="325" t="s">
        <v>1512</v>
      </c>
      <c r="D64" s="325" t="s">
        <v>1318</v>
      </c>
      <c r="E64" s="326">
        <v>0</v>
      </c>
      <c r="F64" s="326">
        <v>100</v>
      </c>
      <c r="G64" s="325" t="s">
        <v>1508</v>
      </c>
      <c r="H64" s="327"/>
      <c r="I64" s="327"/>
      <c r="J64" s="325"/>
    </row>
    <row r="65" spans="2:12" ht="18" x14ac:dyDescent="0.25">
      <c r="B65" s="324" t="s">
        <v>1513</v>
      </c>
      <c r="C65" s="325" t="s">
        <v>1514</v>
      </c>
      <c r="D65" s="325">
        <v>20.95</v>
      </c>
      <c r="E65" s="326">
        <v>0</v>
      </c>
      <c r="F65" s="326">
        <v>100</v>
      </c>
      <c r="G65" s="325" t="s">
        <v>1508</v>
      </c>
      <c r="H65" s="327"/>
      <c r="I65" s="327"/>
      <c r="J65" s="325"/>
    </row>
    <row r="66" spans="2:12" ht="18" x14ac:dyDescent="0.25">
      <c r="B66" s="324" t="s">
        <v>1515</v>
      </c>
      <c r="C66" s="325" t="s">
        <v>1516</v>
      </c>
      <c r="D66" s="325" t="s">
        <v>1318</v>
      </c>
      <c r="E66" s="326">
        <v>0</v>
      </c>
      <c r="F66" s="326">
        <v>100</v>
      </c>
      <c r="G66" s="325" t="s">
        <v>1508</v>
      </c>
      <c r="H66" s="327"/>
      <c r="I66" s="327"/>
      <c r="J66" s="325"/>
    </row>
    <row r="67" spans="2:12" ht="18" x14ac:dyDescent="0.25">
      <c r="B67" s="324" t="s">
        <v>1517</v>
      </c>
      <c r="C67" s="325" t="s">
        <v>1518</v>
      </c>
      <c r="D67" s="325">
        <v>79.010000000000005</v>
      </c>
      <c r="E67" s="326">
        <v>0</v>
      </c>
      <c r="F67" s="326">
        <v>100</v>
      </c>
      <c r="G67" s="325" t="s">
        <v>1508</v>
      </c>
      <c r="H67" s="327"/>
      <c r="I67" s="327"/>
      <c r="J67" s="325"/>
    </row>
    <row r="68" spans="2:12" ht="18" x14ac:dyDescent="0.25">
      <c r="B68" s="324" t="s">
        <v>1519</v>
      </c>
      <c r="C68" s="325" t="s">
        <v>1520</v>
      </c>
      <c r="D68" s="325" t="s">
        <v>1318</v>
      </c>
      <c r="E68" s="326">
        <v>0</v>
      </c>
      <c r="F68" s="326">
        <v>100</v>
      </c>
      <c r="G68" s="325" t="s">
        <v>1508</v>
      </c>
      <c r="H68" s="327"/>
      <c r="I68" s="327"/>
      <c r="J68" s="325"/>
    </row>
    <row r="69" spans="2:12" ht="18" x14ac:dyDescent="0.25">
      <c r="B69" s="324" t="s">
        <v>1521</v>
      </c>
      <c r="C69" s="325" t="s">
        <v>1522</v>
      </c>
      <c r="D69" s="325">
        <v>1</v>
      </c>
      <c r="E69" s="326">
        <v>0</v>
      </c>
      <c r="F69" s="326">
        <v>1</v>
      </c>
      <c r="G69" s="325" t="s">
        <v>1523</v>
      </c>
      <c r="H69" s="327"/>
      <c r="I69" s="327"/>
      <c r="J69" s="325" t="s">
        <v>1524</v>
      </c>
    </row>
    <row r="71" spans="2:12" ht="15.75" thickBot="1" x14ac:dyDescent="0.3">
      <c r="C71" s="328" t="s">
        <v>597</v>
      </c>
    </row>
    <row r="72" spans="2:12" ht="15.75" thickBot="1" x14ac:dyDescent="0.3">
      <c r="B72" s="329" t="s">
        <v>0</v>
      </c>
      <c r="C72" s="330" t="s">
        <v>1</v>
      </c>
      <c r="D72" s="331" t="s">
        <v>150</v>
      </c>
      <c r="E72" s="331" t="s">
        <v>550</v>
      </c>
      <c r="F72" s="331" t="s">
        <v>551</v>
      </c>
      <c r="G72" s="331" t="s">
        <v>2</v>
      </c>
      <c r="H72" s="331" t="s">
        <v>492</v>
      </c>
      <c r="I72" s="331" t="s">
        <v>114</v>
      </c>
      <c r="J72" s="332" t="s">
        <v>115</v>
      </c>
    </row>
    <row r="73" spans="2:12" ht="17.25" x14ac:dyDescent="0.25">
      <c r="B73" s="324" t="s">
        <v>598</v>
      </c>
      <c r="C73" s="325" t="s">
        <v>599</v>
      </c>
      <c r="D73" s="325">
        <v>8.3144721500000003</v>
      </c>
      <c r="E73" s="326"/>
      <c r="F73" s="326"/>
      <c r="G73" s="325" t="s">
        <v>600</v>
      </c>
      <c r="H73" s="327"/>
      <c r="I73" s="327"/>
      <c r="J73" s="325"/>
    </row>
    <row r="74" spans="2:12" ht="18" x14ac:dyDescent="0.25">
      <c r="B74" s="324" t="s">
        <v>1525</v>
      </c>
      <c r="C74" s="325" t="s">
        <v>1526</v>
      </c>
      <c r="D74" s="325">
        <v>287.10199999999998</v>
      </c>
      <c r="E74" s="326"/>
      <c r="F74" s="326"/>
      <c r="G74" s="325" t="s">
        <v>1527</v>
      </c>
      <c r="H74" s="327"/>
      <c r="I74" s="327"/>
      <c r="J74" s="325"/>
    </row>
    <row r="75" spans="2:12" ht="18" x14ac:dyDescent="0.25">
      <c r="B75" s="324" t="s">
        <v>1528</v>
      </c>
      <c r="C75" s="325" t="s">
        <v>1529</v>
      </c>
      <c r="D75" s="325">
        <f>(T_STP_K*R__)/p_N</f>
        <v>2.24139952407846E-2</v>
      </c>
      <c r="E75" s="326"/>
      <c r="F75" s="326"/>
      <c r="G75" s="325" t="s">
        <v>1530</v>
      </c>
      <c r="H75" s="327"/>
      <c r="I75" s="327"/>
      <c r="J75" s="325"/>
    </row>
    <row r="76" spans="2:12" x14ac:dyDescent="0.25">
      <c r="B76" s="324" t="s">
        <v>1531</v>
      </c>
      <c r="C76" s="325" t="s">
        <v>1532</v>
      </c>
      <c r="D76" s="325">
        <v>1.4</v>
      </c>
      <c r="E76" s="326"/>
      <c r="F76" s="326"/>
      <c r="G76" s="325" t="s">
        <v>215</v>
      </c>
      <c r="H76" s="327"/>
      <c r="I76" s="327"/>
      <c r="J76" s="325"/>
      <c r="L76" s="318">
        <v>2.24139952407846E-2</v>
      </c>
    </row>
    <row r="77" spans="2:12" ht="17.25" x14ac:dyDescent="0.25">
      <c r="B77" s="324" t="s">
        <v>601</v>
      </c>
      <c r="C77" s="325" t="s">
        <v>602</v>
      </c>
      <c r="D77" s="325">
        <v>96485.339924</v>
      </c>
      <c r="E77" s="326"/>
      <c r="F77" s="326"/>
      <c r="G77" s="325" t="s">
        <v>603</v>
      </c>
      <c r="H77" s="327"/>
      <c r="I77" s="327"/>
      <c r="J77" s="325"/>
    </row>
    <row r="78" spans="2:12" ht="18" x14ac:dyDescent="0.25">
      <c r="B78" s="324" t="s">
        <v>604</v>
      </c>
      <c r="C78" s="325" t="s">
        <v>605</v>
      </c>
      <c r="D78" s="325">
        <v>9.8066499999999994</v>
      </c>
      <c r="E78" s="326"/>
      <c r="F78" s="326"/>
      <c r="G78" s="325" t="s">
        <v>606</v>
      </c>
      <c r="H78" s="327"/>
      <c r="I78" s="327"/>
      <c r="J78" s="325"/>
    </row>
    <row r="79" spans="2:12" ht="18" x14ac:dyDescent="0.25">
      <c r="B79" s="324" t="s">
        <v>1108</v>
      </c>
      <c r="C79" s="325" t="s">
        <v>1109</v>
      </c>
      <c r="D79" s="325">
        <v>4.1813000000000002</v>
      </c>
      <c r="E79" s="326"/>
      <c r="F79" s="326"/>
      <c r="G79" s="325" t="s">
        <v>1533</v>
      </c>
      <c r="H79" s="327"/>
      <c r="I79" s="327"/>
      <c r="J79" s="325"/>
    </row>
    <row r="80" spans="2:12" ht="18" x14ac:dyDescent="0.25">
      <c r="B80" s="324" t="s">
        <v>1534</v>
      </c>
      <c r="C80" s="325" t="s">
        <v>1535</v>
      </c>
      <c r="D80" s="325">
        <v>298.14999999999998</v>
      </c>
      <c r="E80" s="326"/>
      <c r="F80" s="326"/>
      <c r="G80" s="325" t="s">
        <v>555</v>
      </c>
      <c r="H80" s="327"/>
      <c r="I80" s="327"/>
      <c r="J80" s="325" t="s">
        <v>1536</v>
      </c>
    </row>
    <row r="81" spans="2:10" ht="18" x14ac:dyDescent="0.25">
      <c r="B81" s="324" t="s">
        <v>1537</v>
      </c>
      <c r="C81" s="325" t="s">
        <v>1538</v>
      </c>
      <c r="D81" s="325">
        <v>293.14999999999998</v>
      </c>
      <c r="E81" s="326"/>
      <c r="F81" s="326"/>
      <c r="G81" s="325" t="s">
        <v>555</v>
      </c>
      <c r="H81" s="327"/>
      <c r="I81" s="327"/>
      <c r="J81" s="325" t="s">
        <v>1539</v>
      </c>
    </row>
    <row r="82" spans="2:10" ht="18" x14ac:dyDescent="0.25">
      <c r="B82" s="324" t="s">
        <v>1540</v>
      </c>
      <c r="C82" s="325" t="s">
        <v>1541</v>
      </c>
      <c r="D82" s="325">
        <v>273.14999999999998</v>
      </c>
      <c r="E82" s="326"/>
      <c r="F82" s="326"/>
      <c r="G82" s="325" t="s">
        <v>555</v>
      </c>
      <c r="H82" s="327"/>
      <c r="I82" s="327"/>
      <c r="J82" s="325" t="s">
        <v>1542</v>
      </c>
    </row>
    <row r="83" spans="2:10" ht="18" x14ac:dyDescent="0.25">
      <c r="B83" s="324" t="s">
        <v>1543</v>
      </c>
      <c r="C83" s="325" t="s">
        <v>1300</v>
      </c>
      <c r="D83" s="325">
        <v>0</v>
      </c>
      <c r="E83" s="326"/>
      <c r="F83" s="326"/>
      <c r="G83" s="325" t="s">
        <v>1468</v>
      </c>
      <c r="H83" s="327"/>
      <c r="I83" s="327"/>
      <c r="J83" s="325" t="s">
        <v>1544</v>
      </c>
    </row>
    <row r="85" spans="2:10" ht="15.75" thickBot="1" x14ac:dyDescent="0.3">
      <c r="C85" s="328" t="s">
        <v>607</v>
      </c>
    </row>
    <row r="86" spans="2:10" ht="15.75" thickBot="1" x14ac:dyDescent="0.3">
      <c r="B86" s="329" t="s">
        <v>0</v>
      </c>
      <c r="C86" s="330" t="s">
        <v>1</v>
      </c>
      <c r="D86" s="331" t="s">
        <v>150</v>
      </c>
      <c r="E86" s="331" t="s">
        <v>550</v>
      </c>
      <c r="F86" s="331" t="s">
        <v>551</v>
      </c>
      <c r="G86" s="331" t="s">
        <v>2</v>
      </c>
      <c r="H86" s="331" t="s">
        <v>492</v>
      </c>
      <c r="I86" s="331" t="s">
        <v>114</v>
      </c>
      <c r="J86" s="332" t="s">
        <v>115</v>
      </c>
    </row>
    <row r="87" spans="2:10" x14ac:dyDescent="0.25">
      <c r="B87" s="324" t="s">
        <v>608</v>
      </c>
      <c r="C87" s="325" t="s">
        <v>609</v>
      </c>
      <c r="D87" s="325">
        <v>3.1415926500000002</v>
      </c>
      <c r="E87" s="326"/>
      <c r="F87" s="326"/>
      <c r="G87" s="325" t="s">
        <v>215</v>
      </c>
      <c r="H87" s="327"/>
      <c r="I87" s="327"/>
      <c r="J87" s="325"/>
    </row>
    <row r="89" spans="2:10" ht="15.75" thickBot="1" x14ac:dyDescent="0.3">
      <c r="C89" s="328" t="s">
        <v>610</v>
      </c>
    </row>
    <row r="90" spans="2:10" ht="15.75" thickBot="1" x14ac:dyDescent="0.3">
      <c r="B90" s="329" t="s">
        <v>0</v>
      </c>
      <c r="C90" s="330" t="s">
        <v>1</v>
      </c>
      <c r="D90" s="331" t="s">
        <v>150</v>
      </c>
      <c r="E90" s="331" t="s">
        <v>550</v>
      </c>
      <c r="F90" s="331" t="s">
        <v>551</v>
      </c>
      <c r="G90" s="331" t="s">
        <v>2</v>
      </c>
      <c r="H90" s="331" t="s">
        <v>492</v>
      </c>
      <c r="I90" s="331" t="s">
        <v>114</v>
      </c>
      <c r="J90" s="332" t="s">
        <v>115</v>
      </c>
    </row>
    <row r="91" spans="2:10" ht="18" x14ac:dyDescent="0.25">
      <c r="B91" s="324" t="s">
        <v>611</v>
      </c>
      <c r="C91" s="325" t="s">
        <v>612</v>
      </c>
      <c r="D91" s="325">
        <v>1.0079400000000001</v>
      </c>
      <c r="E91" s="326"/>
      <c r="F91" s="326"/>
      <c r="G91" s="325" t="s">
        <v>613</v>
      </c>
      <c r="H91" s="327"/>
      <c r="I91" s="327"/>
      <c r="J91" s="325"/>
    </row>
    <row r="92" spans="2:10" ht="18" x14ac:dyDescent="0.25">
      <c r="B92" s="324" t="s">
        <v>614</v>
      </c>
      <c r="C92" s="325" t="s">
        <v>615</v>
      </c>
      <c r="D92" s="325">
        <v>4.0026020000000004</v>
      </c>
      <c r="E92" s="326"/>
      <c r="F92" s="326"/>
      <c r="G92" s="325" t="s">
        <v>613</v>
      </c>
      <c r="H92" s="327"/>
      <c r="I92" s="327"/>
      <c r="J92" s="325"/>
    </row>
    <row r="93" spans="2:10" ht="18" x14ac:dyDescent="0.25">
      <c r="B93" s="324" t="s">
        <v>616</v>
      </c>
      <c r="C93" s="325" t="s">
        <v>617</v>
      </c>
      <c r="D93" s="325">
        <v>6.9409999999999998</v>
      </c>
      <c r="E93" s="326"/>
      <c r="F93" s="326"/>
      <c r="G93" s="325" t="s">
        <v>613</v>
      </c>
      <c r="H93" s="327"/>
      <c r="I93" s="327"/>
      <c r="J93" s="325"/>
    </row>
    <row r="94" spans="2:10" ht="18" x14ac:dyDescent="0.25">
      <c r="B94" s="324" t="s">
        <v>618</v>
      </c>
      <c r="C94" s="325" t="s">
        <v>619</v>
      </c>
      <c r="D94" s="325">
        <v>9.0121819999999992</v>
      </c>
      <c r="E94" s="326"/>
      <c r="F94" s="326"/>
      <c r="G94" s="325" t="s">
        <v>613</v>
      </c>
      <c r="H94" s="327"/>
      <c r="I94" s="327"/>
      <c r="J94" s="325"/>
    </row>
    <row r="95" spans="2:10" ht="18" x14ac:dyDescent="0.25">
      <c r="B95" s="324" t="s">
        <v>620</v>
      </c>
      <c r="C95" s="325" t="s">
        <v>621</v>
      </c>
      <c r="D95" s="325">
        <v>10.811</v>
      </c>
      <c r="E95" s="326"/>
      <c r="F95" s="326"/>
      <c r="G95" s="325" t="s">
        <v>613</v>
      </c>
      <c r="H95" s="327"/>
      <c r="I95" s="327"/>
      <c r="J95" s="325"/>
    </row>
    <row r="96" spans="2:10" ht="18" x14ac:dyDescent="0.25">
      <c r="B96" s="324" t="s">
        <v>622</v>
      </c>
      <c r="C96" s="325" t="s">
        <v>623</v>
      </c>
      <c r="D96" s="325">
        <v>12.0107</v>
      </c>
      <c r="E96" s="326"/>
      <c r="F96" s="326"/>
      <c r="G96" s="325" t="s">
        <v>613</v>
      </c>
      <c r="H96" s="327"/>
      <c r="I96" s="327"/>
      <c r="J96" s="325"/>
    </row>
    <row r="97" spans="2:10" ht="18" x14ac:dyDescent="0.25">
      <c r="B97" s="324" t="s">
        <v>624</v>
      </c>
      <c r="C97" s="325" t="s">
        <v>625</v>
      </c>
      <c r="D97" s="325">
        <v>14.0067</v>
      </c>
      <c r="E97" s="326"/>
      <c r="F97" s="326"/>
      <c r="G97" s="325" t="s">
        <v>613</v>
      </c>
      <c r="H97" s="327"/>
      <c r="I97" s="327"/>
      <c r="J97" s="325"/>
    </row>
    <row r="98" spans="2:10" ht="18" x14ac:dyDescent="0.25">
      <c r="B98" s="324" t="s">
        <v>626</v>
      </c>
      <c r="C98" s="325" t="s">
        <v>627</v>
      </c>
      <c r="D98" s="325">
        <v>15.9994</v>
      </c>
      <c r="E98" s="326"/>
      <c r="F98" s="326"/>
      <c r="G98" s="325" t="s">
        <v>613</v>
      </c>
      <c r="H98" s="327"/>
      <c r="I98" s="327"/>
      <c r="J98" s="325"/>
    </row>
    <row r="99" spans="2:10" ht="18" x14ac:dyDescent="0.25">
      <c r="B99" s="324" t="s">
        <v>628</v>
      </c>
      <c r="C99" s="325" t="s">
        <v>629</v>
      </c>
      <c r="D99" s="325">
        <v>18.998403</v>
      </c>
      <c r="E99" s="326"/>
      <c r="F99" s="326"/>
      <c r="G99" s="325" t="s">
        <v>613</v>
      </c>
      <c r="H99" s="327"/>
      <c r="I99" s="327"/>
      <c r="J99" s="325"/>
    </row>
    <row r="100" spans="2:10" ht="18" x14ac:dyDescent="0.25">
      <c r="B100" s="324" t="s">
        <v>630</v>
      </c>
      <c r="C100" s="325" t="s">
        <v>631</v>
      </c>
      <c r="D100" s="325">
        <v>20.1797</v>
      </c>
      <c r="E100" s="326"/>
      <c r="F100" s="326"/>
      <c r="G100" s="325" t="s">
        <v>613</v>
      </c>
      <c r="H100" s="327"/>
      <c r="I100" s="327"/>
      <c r="J100" s="325"/>
    </row>
    <row r="101" spans="2:10" ht="18" x14ac:dyDescent="0.25">
      <c r="B101" s="324" t="s">
        <v>632</v>
      </c>
      <c r="C101" s="325" t="s">
        <v>633</v>
      </c>
      <c r="D101" s="325">
        <v>22.989768999999999</v>
      </c>
      <c r="E101" s="326"/>
      <c r="F101" s="326"/>
      <c r="G101" s="325" t="s">
        <v>613</v>
      </c>
      <c r="H101" s="327"/>
      <c r="I101" s="327"/>
      <c r="J101" s="325"/>
    </row>
    <row r="102" spans="2:10" ht="18" x14ac:dyDescent="0.25">
      <c r="B102" s="324" t="s">
        <v>634</v>
      </c>
      <c r="C102" s="325" t="s">
        <v>635</v>
      </c>
      <c r="D102" s="325">
        <v>24.305</v>
      </c>
      <c r="E102" s="326"/>
      <c r="F102" s="326"/>
      <c r="G102" s="325" t="s">
        <v>613</v>
      </c>
      <c r="H102" s="327"/>
      <c r="I102" s="327"/>
      <c r="J102" s="325"/>
    </row>
    <row r="103" spans="2:10" ht="18" x14ac:dyDescent="0.25">
      <c r="B103" s="324" t="s">
        <v>636</v>
      </c>
      <c r="C103" s="325" t="s">
        <v>637</v>
      </c>
      <c r="D103" s="325">
        <v>26.9815</v>
      </c>
      <c r="E103" s="326"/>
      <c r="F103" s="326"/>
      <c r="G103" s="325" t="s">
        <v>613</v>
      </c>
      <c r="H103" s="327"/>
      <c r="I103" s="327"/>
      <c r="J103" s="325"/>
    </row>
    <row r="104" spans="2:10" ht="18" x14ac:dyDescent="0.25">
      <c r="B104" s="324" t="s">
        <v>638</v>
      </c>
      <c r="C104" s="325" t="s">
        <v>639</v>
      </c>
      <c r="D104" s="325">
        <v>28.0855</v>
      </c>
      <c r="E104" s="326"/>
      <c r="F104" s="326"/>
      <c r="G104" s="325" t="s">
        <v>613</v>
      </c>
      <c r="H104" s="327"/>
      <c r="I104" s="327"/>
      <c r="J104" s="325"/>
    </row>
    <row r="105" spans="2:10" ht="18" x14ac:dyDescent="0.25">
      <c r="B105" s="324" t="s">
        <v>640</v>
      </c>
      <c r="C105" s="325" t="s">
        <v>641</v>
      </c>
      <c r="D105" s="325">
        <v>30.973762199999999</v>
      </c>
      <c r="E105" s="326"/>
      <c r="F105" s="326"/>
      <c r="G105" s="325" t="s">
        <v>613</v>
      </c>
      <c r="H105" s="327"/>
      <c r="I105" s="327"/>
      <c r="J105" s="325"/>
    </row>
    <row r="106" spans="2:10" ht="18" x14ac:dyDescent="0.25">
      <c r="B106" s="324" t="s">
        <v>642</v>
      </c>
      <c r="C106" s="325" t="s">
        <v>643</v>
      </c>
      <c r="D106" s="325">
        <v>32.064999999999998</v>
      </c>
      <c r="E106" s="326"/>
      <c r="F106" s="326"/>
      <c r="G106" s="325" t="s">
        <v>613</v>
      </c>
      <c r="H106" s="327"/>
      <c r="I106" s="327"/>
      <c r="J106" s="325"/>
    </row>
    <row r="107" spans="2:10" ht="18" x14ac:dyDescent="0.25">
      <c r="B107" s="324" t="s">
        <v>644</v>
      </c>
      <c r="C107" s="325" t="s">
        <v>645</v>
      </c>
      <c r="D107" s="325">
        <v>35.453000000000003</v>
      </c>
      <c r="E107" s="326"/>
      <c r="F107" s="326"/>
      <c r="G107" s="325" t="s">
        <v>613</v>
      </c>
      <c r="H107" s="327"/>
      <c r="I107" s="327"/>
      <c r="J107" s="325"/>
    </row>
    <row r="108" spans="2:10" ht="18" x14ac:dyDescent="0.25">
      <c r="B108" s="324" t="s">
        <v>646</v>
      </c>
      <c r="C108" s="325" t="s">
        <v>647</v>
      </c>
      <c r="D108" s="325">
        <v>39.948</v>
      </c>
      <c r="E108" s="326"/>
      <c r="F108" s="326"/>
      <c r="G108" s="325" t="s">
        <v>613</v>
      </c>
      <c r="H108" s="327"/>
      <c r="I108" s="327"/>
      <c r="J108" s="325"/>
    </row>
    <row r="109" spans="2:10" ht="18" x14ac:dyDescent="0.25">
      <c r="B109" s="324" t="s">
        <v>648</v>
      </c>
      <c r="C109" s="325" t="s">
        <v>649</v>
      </c>
      <c r="D109" s="325">
        <v>39.098300000000002</v>
      </c>
      <c r="E109" s="326"/>
      <c r="F109" s="326"/>
      <c r="G109" s="325" t="s">
        <v>613</v>
      </c>
      <c r="H109" s="327"/>
      <c r="I109" s="327"/>
      <c r="J109" s="325"/>
    </row>
    <row r="110" spans="2:10" ht="18" x14ac:dyDescent="0.25">
      <c r="B110" s="324" t="s">
        <v>650</v>
      </c>
      <c r="C110" s="325" t="s">
        <v>651</v>
      </c>
      <c r="D110" s="325">
        <v>40.078000000000003</v>
      </c>
      <c r="E110" s="326"/>
      <c r="F110" s="326"/>
      <c r="G110" s="325" t="s">
        <v>613</v>
      </c>
      <c r="H110" s="327"/>
      <c r="I110" s="327"/>
      <c r="J110" s="325"/>
    </row>
    <row r="111" spans="2:10" ht="18" x14ac:dyDescent="0.25">
      <c r="B111" s="324" t="s">
        <v>652</v>
      </c>
      <c r="C111" s="325" t="s">
        <v>653</v>
      </c>
      <c r="D111" s="325">
        <v>44.955911999999998</v>
      </c>
      <c r="E111" s="326"/>
      <c r="F111" s="326"/>
      <c r="G111" s="325" t="s">
        <v>613</v>
      </c>
      <c r="H111" s="327"/>
      <c r="I111" s="327"/>
      <c r="J111" s="325"/>
    </row>
    <row r="112" spans="2:10" ht="18" x14ac:dyDescent="0.25">
      <c r="B112" s="324" t="s">
        <v>654</v>
      </c>
      <c r="C112" s="325" t="s">
        <v>655</v>
      </c>
      <c r="D112" s="325">
        <v>47.866999999999997</v>
      </c>
      <c r="E112" s="326"/>
      <c r="F112" s="326"/>
      <c r="G112" s="325" t="s">
        <v>613</v>
      </c>
      <c r="H112" s="327"/>
      <c r="I112" s="327"/>
      <c r="J112" s="325"/>
    </row>
    <row r="113" spans="2:10" ht="18" x14ac:dyDescent="0.25">
      <c r="B113" s="324" t="s">
        <v>656</v>
      </c>
      <c r="C113" s="325" t="s">
        <v>657</v>
      </c>
      <c r="D113" s="325">
        <v>50.941499999999998</v>
      </c>
      <c r="E113" s="326"/>
      <c r="F113" s="326"/>
      <c r="G113" s="325" t="s">
        <v>613</v>
      </c>
      <c r="H113" s="327"/>
      <c r="I113" s="327"/>
      <c r="J113" s="325"/>
    </row>
    <row r="114" spans="2:10" ht="18" x14ac:dyDescent="0.25">
      <c r="B114" s="324" t="s">
        <v>658</v>
      </c>
      <c r="C114" s="325" t="s">
        <v>659</v>
      </c>
      <c r="D114" s="325">
        <v>51.996099999999998</v>
      </c>
      <c r="E114" s="326"/>
      <c r="F114" s="326"/>
      <c r="G114" s="325" t="s">
        <v>613</v>
      </c>
      <c r="H114" s="327"/>
      <c r="I114" s="327"/>
      <c r="J114" s="325"/>
    </row>
    <row r="115" spans="2:10" ht="18" x14ac:dyDescent="0.25">
      <c r="B115" s="324" t="s">
        <v>660</v>
      </c>
      <c r="C115" s="325" t="s">
        <v>661</v>
      </c>
      <c r="D115" s="325">
        <v>54.938045000000002</v>
      </c>
      <c r="E115" s="326"/>
      <c r="F115" s="326"/>
      <c r="G115" s="325" t="s">
        <v>613</v>
      </c>
      <c r="H115" s="327"/>
      <c r="I115" s="327"/>
      <c r="J115" s="325"/>
    </row>
    <row r="116" spans="2:10" ht="18" x14ac:dyDescent="0.25">
      <c r="B116" s="324" t="s">
        <v>662</v>
      </c>
      <c r="C116" s="325" t="s">
        <v>663</v>
      </c>
      <c r="D116" s="325">
        <v>55.844999999999999</v>
      </c>
      <c r="E116" s="326"/>
      <c r="F116" s="326"/>
      <c r="G116" s="325" t="s">
        <v>613</v>
      </c>
      <c r="H116" s="327"/>
      <c r="I116" s="327"/>
      <c r="J116" s="325"/>
    </row>
    <row r="117" spans="2:10" ht="18" x14ac:dyDescent="0.25">
      <c r="B117" s="324" t="s">
        <v>664</v>
      </c>
      <c r="C117" s="325" t="s">
        <v>665</v>
      </c>
      <c r="D117" s="325">
        <v>58.933194999999998</v>
      </c>
      <c r="E117" s="326"/>
      <c r="F117" s="326"/>
      <c r="G117" s="325" t="s">
        <v>613</v>
      </c>
      <c r="H117" s="327"/>
      <c r="I117" s="327"/>
      <c r="J117" s="325"/>
    </row>
    <row r="118" spans="2:10" ht="18" x14ac:dyDescent="0.25">
      <c r="B118" s="324" t="s">
        <v>666</v>
      </c>
      <c r="C118" s="325" t="s">
        <v>667</v>
      </c>
      <c r="D118" s="325">
        <v>58.693399999999997</v>
      </c>
      <c r="E118" s="326"/>
      <c r="F118" s="326"/>
      <c r="G118" s="325" t="s">
        <v>613</v>
      </c>
      <c r="H118" s="327"/>
      <c r="I118" s="327"/>
      <c r="J118" s="325"/>
    </row>
    <row r="119" spans="2:10" ht="18" x14ac:dyDescent="0.25">
      <c r="B119" s="324" t="s">
        <v>668</v>
      </c>
      <c r="C119" s="325" t="s">
        <v>669</v>
      </c>
      <c r="D119" s="325">
        <v>63.545999999999999</v>
      </c>
      <c r="E119" s="326"/>
      <c r="F119" s="326"/>
      <c r="G119" s="325" t="s">
        <v>613</v>
      </c>
      <c r="H119" s="327"/>
      <c r="I119" s="327"/>
      <c r="J119" s="325"/>
    </row>
    <row r="120" spans="2:10" ht="18" x14ac:dyDescent="0.25">
      <c r="B120" s="324" t="s">
        <v>670</v>
      </c>
      <c r="C120" s="325" t="s">
        <v>671</v>
      </c>
      <c r="D120" s="325">
        <v>65.38</v>
      </c>
      <c r="E120" s="326"/>
      <c r="F120" s="326"/>
      <c r="G120" s="325" t="s">
        <v>613</v>
      </c>
      <c r="H120" s="327"/>
      <c r="I120" s="327"/>
      <c r="J120" s="325"/>
    </row>
    <row r="121" spans="2:10" ht="18" x14ac:dyDescent="0.25">
      <c r="B121" s="324" t="s">
        <v>672</v>
      </c>
      <c r="C121" s="325" t="s">
        <v>673</v>
      </c>
      <c r="D121" s="325">
        <v>69.722999999999999</v>
      </c>
      <c r="E121" s="326"/>
      <c r="F121" s="326"/>
      <c r="G121" s="325" t="s">
        <v>613</v>
      </c>
      <c r="H121" s="327"/>
      <c r="I121" s="327"/>
      <c r="J121" s="325"/>
    </row>
    <row r="122" spans="2:10" ht="18" x14ac:dyDescent="0.25">
      <c r="B122" s="324" t="s">
        <v>674</v>
      </c>
      <c r="C122" s="325" t="s">
        <v>675</v>
      </c>
      <c r="D122" s="325">
        <v>72.64</v>
      </c>
      <c r="E122" s="326"/>
      <c r="F122" s="326"/>
      <c r="G122" s="325" t="s">
        <v>613</v>
      </c>
      <c r="H122" s="327"/>
      <c r="I122" s="327"/>
      <c r="J122" s="325"/>
    </row>
    <row r="123" spans="2:10" ht="18" x14ac:dyDescent="0.25">
      <c r="B123" s="324" t="s">
        <v>676</v>
      </c>
      <c r="C123" s="325" t="s">
        <v>677</v>
      </c>
      <c r="D123" s="325">
        <v>74.921599999999998</v>
      </c>
      <c r="E123" s="326"/>
      <c r="F123" s="326"/>
      <c r="G123" s="325" t="s">
        <v>613</v>
      </c>
      <c r="H123" s="327"/>
      <c r="I123" s="327"/>
      <c r="J123" s="325"/>
    </row>
    <row r="124" spans="2:10" ht="18" x14ac:dyDescent="0.25">
      <c r="B124" s="324" t="s">
        <v>678</v>
      </c>
      <c r="C124" s="325" t="s">
        <v>679</v>
      </c>
      <c r="D124" s="325">
        <v>78.959999999999994</v>
      </c>
      <c r="E124" s="326"/>
      <c r="F124" s="326"/>
      <c r="G124" s="325" t="s">
        <v>613</v>
      </c>
      <c r="H124" s="327"/>
      <c r="I124" s="327"/>
      <c r="J124" s="325"/>
    </row>
    <row r="125" spans="2:10" ht="18" x14ac:dyDescent="0.25">
      <c r="B125" s="324" t="s">
        <v>680</v>
      </c>
      <c r="C125" s="325" t="s">
        <v>681</v>
      </c>
      <c r="D125" s="325">
        <v>79.903999999999996</v>
      </c>
      <c r="E125" s="326"/>
      <c r="F125" s="326"/>
      <c r="G125" s="325" t="s">
        <v>613</v>
      </c>
      <c r="H125" s="327"/>
      <c r="I125" s="327"/>
      <c r="J125" s="325"/>
    </row>
    <row r="126" spans="2:10" ht="18" x14ac:dyDescent="0.25">
      <c r="B126" s="324" t="s">
        <v>682</v>
      </c>
      <c r="C126" s="325" t="s">
        <v>683</v>
      </c>
      <c r="D126" s="325">
        <v>83.798000000000002</v>
      </c>
      <c r="E126" s="326"/>
      <c r="F126" s="326"/>
      <c r="G126" s="325" t="s">
        <v>613</v>
      </c>
      <c r="H126" s="327"/>
      <c r="I126" s="327"/>
      <c r="J126" s="325"/>
    </row>
    <row r="127" spans="2:10" ht="18" x14ac:dyDescent="0.25">
      <c r="B127" s="324" t="s">
        <v>684</v>
      </c>
      <c r="C127" s="325" t="s">
        <v>685</v>
      </c>
      <c r="D127" s="325">
        <v>85.467799999999997</v>
      </c>
      <c r="E127" s="326"/>
      <c r="F127" s="326"/>
      <c r="G127" s="325" t="s">
        <v>613</v>
      </c>
      <c r="H127" s="327"/>
      <c r="I127" s="327"/>
      <c r="J127" s="325"/>
    </row>
    <row r="128" spans="2:10" ht="18" x14ac:dyDescent="0.25">
      <c r="B128" s="324" t="s">
        <v>686</v>
      </c>
      <c r="C128" s="325" t="s">
        <v>687</v>
      </c>
      <c r="D128" s="325">
        <v>87.62</v>
      </c>
      <c r="E128" s="326"/>
      <c r="F128" s="326"/>
      <c r="G128" s="325" t="s">
        <v>613</v>
      </c>
      <c r="H128" s="327"/>
      <c r="I128" s="327"/>
      <c r="J128" s="325"/>
    </row>
    <row r="129" spans="2:10" ht="18" x14ac:dyDescent="0.25">
      <c r="B129" s="324" t="s">
        <v>688</v>
      </c>
      <c r="C129" s="325" t="s">
        <v>689</v>
      </c>
      <c r="D129" s="325">
        <v>88.905850000000001</v>
      </c>
      <c r="E129" s="326"/>
      <c r="F129" s="326"/>
      <c r="G129" s="325" t="s">
        <v>613</v>
      </c>
      <c r="H129" s="327"/>
      <c r="I129" s="327"/>
      <c r="J129" s="325"/>
    </row>
    <row r="130" spans="2:10" ht="18" x14ac:dyDescent="0.25">
      <c r="B130" s="324" t="s">
        <v>690</v>
      </c>
      <c r="C130" s="325" t="s">
        <v>691</v>
      </c>
      <c r="D130" s="325">
        <v>91.224000000000004</v>
      </c>
      <c r="E130" s="326"/>
      <c r="F130" s="326"/>
      <c r="G130" s="325" t="s">
        <v>613</v>
      </c>
      <c r="H130" s="327"/>
      <c r="I130" s="327"/>
      <c r="J130" s="325"/>
    </row>
    <row r="131" spans="2:10" ht="18" x14ac:dyDescent="0.25">
      <c r="B131" s="324" t="s">
        <v>692</v>
      </c>
      <c r="C131" s="325" t="s">
        <v>693</v>
      </c>
      <c r="D131" s="325">
        <v>92.906379999999999</v>
      </c>
      <c r="E131" s="326"/>
      <c r="F131" s="326"/>
      <c r="G131" s="325" t="s">
        <v>613</v>
      </c>
      <c r="H131" s="327"/>
      <c r="I131" s="327"/>
      <c r="J131" s="325"/>
    </row>
    <row r="132" spans="2:10" ht="18" x14ac:dyDescent="0.25">
      <c r="B132" s="324" t="s">
        <v>694</v>
      </c>
      <c r="C132" s="325" t="s">
        <v>695</v>
      </c>
      <c r="D132" s="325">
        <v>95.94</v>
      </c>
      <c r="E132" s="326"/>
      <c r="F132" s="326"/>
      <c r="G132" s="325" t="s">
        <v>613</v>
      </c>
      <c r="H132" s="327"/>
      <c r="I132" s="327"/>
      <c r="J132" s="325"/>
    </row>
    <row r="133" spans="2:10" ht="18" x14ac:dyDescent="0.25">
      <c r="B133" s="324" t="s">
        <v>696</v>
      </c>
      <c r="C133" s="325" t="s">
        <v>697</v>
      </c>
      <c r="D133" s="325">
        <v>98</v>
      </c>
      <c r="E133" s="326"/>
      <c r="F133" s="326"/>
      <c r="G133" s="325" t="s">
        <v>613</v>
      </c>
      <c r="H133" s="327"/>
      <c r="I133" s="327"/>
      <c r="J133" s="325"/>
    </row>
    <row r="134" spans="2:10" ht="18" x14ac:dyDescent="0.25">
      <c r="B134" s="324" t="s">
        <v>698</v>
      </c>
      <c r="C134" s="325" t="s">
        <v>699</v>
      </c>
      <c r="D134" s="325">
        <v>101.07</v>
      </c>
      <c r="E134" s="326"/>
      <c r="F134" s="326"/>
      <c r="G134" s="325" t="s">
        <v>613</v>
      </c>
      <c r="H134" s="327"/>
      <c r="I134" s="327"/>
      <c r="J134" s="325"/>
    </row>
    <row r="135" spans="2:10" ht="18" x14ac:dyDescent="0.25">
      <c r="B135" s="324" t="s">
        <v>700</v>
      </c>
      <c r="C135" s="325" t="s">
        <v>701</v>
      </c>
      <c r="D135" s="325">
        <v>102.9055</v>
      </c>
      <c r="E135" s="326"/>
      <c r="F135" s="326"/>
      <c r="G135" s="325" t="s">
        <v>613</v>
      </c>
      <c r="H135" s="327"/>
      <c r="I135" s="327"/>
      <c r="J135" s="325"/>
    </row>
    <row r="136" spans="2:10" ht="18" x14ac:dyDescent="0.25">
      <c r="B136" s="324" t="s">
        <v>702</v>
      </c>
      <c r="C136" s="325" t="s">
        <v>703</v>
      </c>
      <c r="D136" s="325">
        <v>106.42</v>
      </c>
      <c r="E136" s="326"/>
      <c r="F136" s="326"/>
      <c r="G136" s="325" t="s">
        <v>613</v>
      </c>
      <c r="H136" s="327"/>
      <c r="I136" s="327"/>
      <c r="J136" s="325"/>
    </row>
    <row r="137" spans="2:10" ht="18" x14ac:dyDescent="0.25">
      <c r="B137" s="324" t="s">
        <v>704</v>
      </c>
      <c r="C137" s="325" t="s">
        <v>705</v>
      </c>
      <c r="D137" s="325">
        <v>107.8682</v>
      </c>
      <c r="E137" s="326"/>
      <c r="F137" s="326"/>
      <c r="G137" s="325" t="s">
        <v>613</v>
      </c>
      <c r="H137" s="327"/>
      <c r="I137" s="327"/>
      <c r="J137" s="325"/>
    </row>
    <row r="138" spans="2:10" ht="18" x14ac:dyDescent="0.25">
      <c r="B138" s="324" t="s">
        <v>706</v>
      </c>
      <c r="C138" s="325" t="s">
        <v>707</v>
      </c>
      <c r="D138" s="325">
        <v>112.411</v>
      </c>
      <c r="E138" s="326"/>
      <c r="F138" s="326"/>
      <c r="G138" s="325" t="s">
        <v>613</v>
      </c>
      <c r="H138" s="327"/>
      <c r="I138" s="327"/>
      <c r="J138" s="325"/>
    </row>
    <row r="139" spans="2:10" ht="18" x14ac:dyDescent="0.25">
      <c r="B139" s="324" t="s">
        <v>708</v>
      </c>
      <c r="C139" s="325" t="s">
        <v>709</v>
      </c>
      <c r="D139" s="325">
        <v>114.818</v>
      </c>
      <c r="E139" s="326"/>
      <c r="F139" s="326"/>
      <c r="G139" s="325" t="s">
        <v>613</v>
      </c>
      <c r="H139" s="327"/>
      <c r="I139" s="327"/>
      <c r="J139" s="325"/>
    </row>
    <row r="140" spans="2:10" ht="18" x14ac:dyDescent="0.25">
      <c r="B140" s="324" t="s">
        <v>710</v>
      </c>
      <c r="C140" s="325" t="s">
        <v>711</v>
      </c>
      <c r="D140" s="325">
        <v>118.71</v>
      </c>
      <c r="E140" s="326"/>
      <c r="F140" s="326"/>
      <c r="G140" s="325" t="s">
        <v>613</v>
      </c>
      <c r="H140" s="327"/>
      <c r="I140" s="327"/>
      <c r="J140" s="325"/>
    </row>
    <row r="141" spans="2:10" ht="18" x14ac:dyDescent="0.25">
      <c r="B141" s="324" t="s">
        <v>712</v>
      </c>
      <c r="C141" s="325" t="s">
        <v>713</v>
      </c>
      <c r="D141" s="325">
        <v>121.76</v>
      </c>
      <c r="E141" s="326"/>
      <c r="F141" s="326"/>
      <c r="G141" s="325" t="s">
        <v>613</v>
      </c>
      <c r="H141" s="327"/>
      <c r="I141" s="327"/>
      <c r="J141" s="325"/>
    </row>
    <row r="142" spans="2:10" ht="18" x14ac:dyDescent="0.25">
      <c r="B142" s="324" t="s">
        <v>714</v>
      </c>
      <c r="C142" s="325" t="s">
        <v>715</v>
      </c>
      <c r="D142" s="325">
        <v>127.6</v>
      </c>
      <c r="E142" s="326"/>
      <c r="F142" s="326"/>
      <c r="G142" s="325" t="s">
        <v>613</v>
      </c>
      <c r="H142" s="327"/>
      <c r="I142" s="327"/>
      <c r="J142" s="325"/>
    </row>
    <row r="143" spans="2:10" ht="18" x14ac:dyDescent="0.25">
      <c r="B143" s="324" t="s">
        <v>716</v>
      </c>
      <c r="C143" s="325" t="s">
        <v>717</v>
      </c>
      <c r="D143" s="325">
        <v>126.90447</v>
      </c>
      <c r="E143" s="326"/>
      <c r="F143" s="326"/>
      <c r="G143" s="325" t="s">
        <v>613</v>
      </c>
      <c r="H143" s="327"/>
      <c r="I143" s="327"/>
      <c r="J143" s="325"/>
    </row>
    <row r="144" spans="2:10" ht="18" x14ac:dyDescent="0.25">
      <c r="B144" s="324" t="s">
        <v>718</v>
      </c>
      <c r="C144" s="325" t="s">
        <v>719</v>
      </c>
      <c r="D144" s="325">
        <v>131.29300000000001</v>
      </c>
      <c r="E144" s="326"/>
      <c r="F144" s="326"/>
      <c r="G144" s="325" t="s">
        <v>613</v>
      </c>
      <c r="H144" s="327"/>
      <c r="I144" s="327"/>
      <c r="J144" s="325"/>
    </row>
    <row r="145" spans="2:10" ht="18" x14ac:dyDescent="0.25">
      <c r="B145" s="324" t="s">
        <v>720</v>
      </c>
      <c r="C145" s="325" t="s">
        <v>721</v>
      </c>
      <c r="D145" s="325">
        <v>132.90545</v>
      </c>
      <c r="E145" s="326"/>
      <c r="F145" s="326"/>
      <c r="G145" s="325" t="s">
        <v>613</v>
      </c>
      <c r="H145" s="327"/>
      <c r="I145" s="327"/>
      <c r="J145" s="325"/>
    </row>
    <row r="146" spans="2:10" ht="18" x14ac:dyDescent="0.25">
      <c r="B146" s="324" t="s">
        <v>722</v>
      </c>
      <c r="C146" s="325" t="s">
        <v>723</v>
      </c>
      <c r="D146" s="325">
        <v>137.327</v>
      </c>
      <c r="E146" s="326"/>
      <c r="F146" s="326"/>
      <c r="G146" s="325" t="s">
        <v>613</v>
      </c>
      <c r="H146" s="327"/>
      <c r="I146" s="327"/>
      <c r="J146" s="325"/>
    </row>
    <row r="147" spans="2:10" ht="18" x14ac:dyDescent="0.25">
      <c r="B147" s="324" t="s">
        <v>724</v>
      </c>
      <c r="C147" s="325" t="s">
        <v>725</v>
      </c>
      <c r="D147" s="325">
        <v>138.90547000000001</v>
      </c>
      <c r="E147" s="326"/>
      <c r="F147" s="326"/>
      <c r="G147" s="325" t="s">
        <v>613</v>
      </c>
      <c r="H147" s="327"/>
      <c r="I147" s="327"/>
      <c r="J147" s="325"/>
    </row>
    <row r="148" spans="2:10" ht="18" x14ac:dyDescent="0.25">
      <c r="B148" s="324" t="s">
        <v>726</v>
      </c>
      <c r="C148" s="325" t="s">
        <v>727</v>
      </c>
      <c r="D148" s="325">
        <v>140.11600000000001</v>
      </c>
      <c r="E148" s="326"/>
      <c r="F148" s="326"/>
      <c r="G148" s="325" t="s">
        <v>613</v>
      </c>
      <c r="H148" s="327"/>
      <c r="I148" s="327"/>
      <c r="J148" s="325"/>
    </row>
    <row r="149" spans="2:10" ht="18" x14ac:dyDescent="0.25">
      <c r="B149" s="324" t="s">
        <v>728</v>
      </c>
      <c r="C149" s="325" t="s">
        <v>729</v>
      </c>
      <c r="D149" s="325">
        <v>140.90764999999999</v>
      </c>
      <c r="E149" s="326"/>
      <c r="F149" s="326"/>
      <c r="G149" s="325" t="s">
        <v>613</v>
      </c>
      <c r="H149" s="327"/>
      <c r="I149" s="327"/>
      <c r="J149" s="325"/>
    </row>
    <row r="150" spans="2:10" ht="18" x14ac:dyDescent="0.25">
      <c r="B150" s="324" t="s">
        <v>730</v>
      </c>
      <c r="C150" s="325" t="s">
        <v>731</v>
      </c>
      <c r="D150" s="325">
        <v>144.24199999999999</v>
      </c>
      <c r="E150" s="326"/>
      <c r="F150" s="326"/>
      <c r="G150" s="325" t="s">
        <v>613</v>
      </c>
      <c r="H150" s="327"/>
      <c r="I150" s="327"/>
      <c r="J150" s="325"/>
    </row>
    <row r="151" spans="2:10" ht="18" x14ac:dyDescent="0.25">
      <c r="B151" s="324" t="s">
        <v>732</v>
      </c>
      <c r="C151" s="325" t="s">
        <v>733</v>
      </c>
      <c r="D151" s="325">
        <v>145</v>
      </c>
      <c r="E151" s="326"/>
      <c r="F151" s="326"/>
      <c r="G151" s="325" t="s">
        <v>613</v>
      </c>
      <c r="H151" s="327"/>
      <c r="I151" s="327"/>
      <c r="J151" s="325"/>
    </row>
    <row r="152" spans="2:10" ht="18" x14ac:dyDescent="0.25">
      <c r="B152" s="324" t="s">
        <v>734</v>
      </c>
      <c r="C152" s="325" t="s">
        <v>735</v>
      </c>
      <c r="D152" s="325">
        <v>150.36000000000001</v>
      </c>
      <c r="E152" s="326"/>
      <c r="F152" s="326"/>
      <c r="G152" s="325" t="s">
        <v>613</v>
      </c>
      <c r="H152" s="327"/>
      <c r="I152" s="327"/>
      <c r="J152" s="325"/>
    </row>
    <row r="153" spans="2:10" ht="18" x14ac:dyDescent="0.25">
      <c r="B153" s="324" t="s">
        <v>736</v>
      </c>
      <c r="C153" s="325" t="s">
        <v>737</v>
      </c>
      <c r="D153" s="325">
        <v>151.964</v>
      </c>
      <c r="E153" s="326"/>
      <c r="F153" s="326"/>
      <c r="G153" s="325" t="s">
        <v>613</v>
      </c>
      <c r="H153" s="327"/>
      <c r="I153" s="327"/>
      <c r="J153" s="325"/>
    </row>
    <row r="154" spans="2:10" ht="18" x14ac:dyDescent="0.25">
      <c r="B154" s="324" t="s">
        <v>738</v>
      </c>
      <c r="C154" s="325" t="s">
        <v>739</v>
      </c>
      <c r="D154" s="325">
        <v>157.25</v>
      </c>
      <c r="E154" s="326"/>
      <c r="F154" s="326"/>
      <c r="G154" s="325" t="s">
        <v>613</v>
      </c>
      <c r="H154" s="327"/>
      <c r="I154" s="327"/>
      <c r="J154" s="325"/>
    </row>
    <row r="155" spans="2:10" ht="18" x14ac:dyDescent="0.25">
      <c r="B155" s="324" t="s">
        <v>740</v>
      </c>
      <c r="C155" s="325" t="s">
        <v>741</v>
      </c>
      <c r="D155" s="325">
        <v>158.92535000000001</v>
      </c>
      <c r="E155" s="326"/>
      <c r="F155" s="326"/>
      <c r="G155" s="325" t="s">
        <v>613</v>
      </c>
      <c r="H155" s="327"/>
      <c r="I155" s="327"/>
      <c r="J155" s="325"/>
    </row>
    <row r="156" spans="2:10" ht="18" x14ac:dyDescent="0.25">
      <c r="B156" s="324" t="s">
        <v>742</v>
      </c>
      <c r="C156" s="325" t="s">
        <v>743</v>
      </c>
      <c r="D156" s="325">
        <v>162.5</v>
      </c>
      <c r="E156" s="326"/>
      <c r="F156" s="326"/>
      <c r="G156" s="325" t="s">
        <v>613</v>
      </c>
      <c r="H156" s="327"/>
      <c r="I156" s="327"/>
      <c r="J156" s="325"/>
    </row>
    <row r="157" spans="2:10" ht="18" x14ac:dyDescent="0.25">
      <c r="B157" s="324" t="s">
        <v>744</v>
      </c>
      <c r="C157" s="325" t="s">
        <v>745</v>
      </c>
      <c r="D157" s="325">
        <v>164.93031999999999</v>
      </c>
      <c r="E157" s="326"/>
      <c r="F157" s="326"/>
      <c r="G157" s="325" t="s">
        <v>613</v>
      </c>
      <c r="H157" s="327"/>
      <c r="I157" s="327"/>
      <c r="J157" s="325"/>
    </row>
    <row r="158" spans="2:10" ht="18" x14ac:dyDescent="0.25">
      <c r="B158" s="324" t="s">
        <v>746</v>
      </c>
      <c r="C158" s="325" t="s">
        <v>747</v>
      </c>
      <c r="D158" s="325">
        <v>167.25899999999999</v>
      </c>
      <c r="E158" s="326"/>
      <c r="F158" s="326"/>
      <c r="G158" s="325" t="s">
        <v>613</v>
      </c>
      <c r="H158" s="327"/>
      <c r="I158" s="327"/>
      <c r="J158" s="325"/>
    </row>
    <row r="159" spans="2:10" ht="18" x14ac:dyDescent="0.25">
      <c r="B159" s="324" t="s">
        <v>748</v>
      </c>
      <c r="C159" s="325" t="s">
        <v>749</v>
      </c>
      <c r="D159" s="325">
        <v>168.93421000000001</v>
      </c>
      <c r="E159" s="326"/>
      <c r="F159" s="326"/>
      <c r="G159" s="325" t="s">
        <v>613</v>
      </c>
      <c r="H159" s="327"/>
      <c r="I159" s="327"/>
      <c r="J159" s="325"/>
    </row>
    <row r="160" spans="2:10" ht="18" x14ac:dyDescent="0.25">
      <c r="B160" s="324" t="s">
        <v>750</v>
      </c>
      <c r="C160" s="325" t="s">
        <v>751</v>
      </c>
      <c r="D160" s="325">
        <v>173.04</v>
      </c>
      <c r="E160" s="326"/>
      <c r="F160" s="326"/>
      <c r="G160" s="325" t="s">
        <v>613</v>
      </c>
      <c r="H160" s="327"/>
      <c r="I160" s="327"/>
      <c r="J160" s="325"/>
    </row>
    <row r="161" spans="2:10" ht="18" x14ac:dyDescent="0.25">
      <c r="B161" s="324" t="s">
        <v>752</v>
      </c>
      <c r="C161" s="325" t="s">
        <v>753</v>
      </c>
      <c r="D161" s="325">
        <v>174.96700000000001</v>
      </c>
      <c r="E161" s="326"/>
      <c r="F161" s="326"/>
      <c r="G161" s="325" t="s">
        <v>613</v>
      </c>
      <c r="H161" s="327"/>
      <c r="I161" s="327"/>
      <c r="J161" s="325"/>
    </row>
    <row r="162" spans="2:10" ht="18" x14ac:dyDescent="0.25">
      <c r="B162" s="324" t="s">
        <v>754</v>
      </c>
      <c r="C162" s="325" t="s">
        <v>755</v>
      </c>
      <c r="D162" s="325">
        <v>178.49</v>
      </c>
      <c r="E162" s="326"/>
      <c r="F162" s="326"/>
      <c r="G162" s="325" t="s">
        <v>613</v>
      </c>
      <c r="H162" s="327"/>
      <c r="I162" s="327"/>
      <c r="J162" s="325"/>
    </row>
    <row r="163" spans="2:10" ht="18" x14ac:dyDescent="0.25">
      <c r="B163" s="324" t="s">
        <v>756</v>
      </c>
      <c r="C163" s="325" t="s">
        <v>757</v>
      </c>
      <c r="D163" s="325">
        <v>180.94788</v>
      </c>
      <c r="E163" s="326"/>
      <c r="F163" s="326"/>
      <c r="G163" s="325" t="s">
        <v>613</v>
      </c>
      <c r="H163" s="327"/>
      <c r="I163" s="327"/>
      <c r="J163" s="325"/>
    </row>
    <row r="164" spans="2:10" ht="18" x14ac:dyDescent="0.25">
      <c r="B164" s="324" t="s">
        <v>758</v>
      </c>
      <c r="C164" s="325" t="s">
        <v>759</v>
      </c>
      <c r="D164" s="325">
        <v>183.84</v>
      </c>
      <c r="E164" s="326"/>
      <c r="F164" s="326"/>
      <c r="G164" s="325" t="s">
        <v>613</v>
      </c>
      <c r="H164" s="327"/>
      <c r="I164" s="327"/>
      <c r="J164" s="325"/>
    </row>
    <row r="165" spans="2:10" ht="18" x14ac:dyDescent="0.25">
      <c r="B165" s="324" t="s">
        <v>760</v>
      </c>
      <c r="C165" s="325" t="s">
        <v>761</v>
      </c>
      <c r="D165" s="325">
        <v>186.20699999999999</v>
      </c>
      <c r="E165" s="326"/>
      <c r="F165" s="326"/>
      <c r="G165" s="325" t="s">
        <v>613</v>
      </c>
      <c r="H165" s="327"/>
      <c r="I165" s="327"/>
      <c r="J165" s="325"/>
    </row>
    <row r="166" spans="2:10" ht="18" x14ac:dyDescent="0.25">
      <c r="B166" s="324" t="s">
        <v>762</v>
      </c>
      <c r="C166" s="325" t="s">
        <v>763</v>
      </c>
      <c r="D166" s="325">
        <v>190.23</v>
      </c>
      <c r="E166" s="326"/>
      <c r="F166" s="326"/>
      <c r="G166" s="325" t="s">
        <v>613</v>
      </c>
      <c r="H166" s="327"/>
      <c r="I166" s="327"/>
      <c r="J166" s="325"/>
    </row>
    <row r="167" spans="2:10" ht="18" x14ac:dyDescent="0.25">
      <c r="B167" s="324" t="s">
        <v>764</v>
      </c>
      <c r="C167" s="325" t="s">
        <v>765</v>
      </c>
      <c r="D167" s="325">
        <v>192.21700000000001</v>
      </c>
      <c r="E167" s="326"/>
      <c r="F167" s="326"/>
      <c r="G167" s="325" t="s">
        <v>613</v>
      </c>
      <c r="H167" s="327"/>
      <c r="I167" s="327"/>
      <c r="J167" s="325"/>
    </row>
    <row r="168" spans="2:10" ht="18" x14ac:dyDescent="0.25">
      <c r="B168" s="324" t="s">
        <v>766</v>
      </c>
      <c r="C168" s="325" t="s">
        <v>767</v>
      </c>
      <c r="D168" s="325">
        <v>195.084</v>
      </c>
      <c r="E168" s="326"/>
      <c r="F168" s="326"/>
      <c r="G168" s="325" t="s">
        <v>613</v>
      </c>
      <c r="H168" s="327"/>
      <c r="I168" s="327"/>
      <c r="J168" s="325"/>
    </row>
    <row r="169" spans="2:10" ht="18" x14ac:dyDescent="0.25">
      <c r="B169" s="324" t="s">
        <v>768</v>
      </c>
      <c r="C169" s="325" t="s">
        <v>769</v>
      </c>
      <c r="D169" s="325">
        <v>196.96656999999999</v>
      </c>
      <c r="E169" s="326"/>
      <c r="F169" s="326"/>
      <c r="G169" s="325" t="s">
        <v>613</v>
      </c>
      <c r="H169" s="327"/>
      <c r="I169" s="327"/>
      <c r="J169" s="325"/>
    </row>
    <row r="170" spans="2:10" ht="18" x14ac:dyDescent="0.25">
      <c r="B170" s="324" t="s">
        <v>770</v>
      </c>
      <c r="C170" s="325" t="s">
        <v>771</v>
      </c>
      <c r="D170" s="325">
        <v>200.59</v>
      </c>
      <c r="E170" s="326"/>
      <c r="F170" s="326"/>
      <c r="G170" s="325" t="s">
        <v>613</v>
      </c>
      <c r="H170" s="327"/>
      <c r="I170" s="327"/>
      <c r="J170" s="325"/>
    </row>
    <row r="171" spans="2:10" ht="18" x14ac:dyDescent="0.25">
      <c r="B171" s="324" t="s">
        <v>772</v>
      </c>
      <c r="C171" s="325" t="s">
        <v>773</v>
      </c>
      <c r="D171" s="325">
        <v>204.38329999999999</v>
      </c>
      <c r="E171" s="326"/>
      <c r="F171" s="326"/>
      <c r="G171" s="325" t="s">
        <v>613</v>
      </c>
      <c r="H171" s="327"/>
      <c r="I171" s="327"/>
      <c r="J171" s="325"/>
    </row>
    <row r="172" spans="2:10" ht="18" x14ac:dyDescent="0.25">
      <c r="B172" s="324" t="s">
        <v>774</v>
      </c>
      <c r="C172" s="325" t="s">
        <v>775</v>
      </c>
      <c r="D172" s="325">
        <v>207.2</v>
      </c>
      <c r="E172" s="326"/>
      <c r="F172" s="326"/>
      <c r="G172" s="325" t="s">
        <v>613</v>
      </c>
      <c r="H172" s="327"/>
      <c r="I172" s="327"/>
      <c r="J172" s="325"/>
    </row>
    <row r="173" spans="2:10" ht="18" x14ac:dyDescent="0.25">
      <c r="B173" s="324" t="s">
        <v>776</v>
      </c>
      <c r="C173" s="325" t="s">
        <v>777</v>
      </c>
      <c r="D173" s="325">
        <v>208.9804</v>
      </c>
      <c r="E173" s="326"/>
      <c r="F173" s="326"/>
      <c r="G173" s="325" t="s">
        <v>613</v>
      </c>
      <c r="H173" s="327"/>
      <c r="I173" s="327"/>
      <c r="J173" s="325"/>
    </row>
    <row r="174" spans="2:10" ht="18" x14ac:dyDescent="0.25">
      <c r="B174" s="324" t="s">
        <v>778</v>
      </c>
      <c r="C174" s="325" t="s">
        <v>779</v>
      </c>
      <c r="D174" s="325">
        <v>209</v>
      </c>
      <c r="E174" s="326"/>
      <c r="F174" s="326"/>
      <c r="G174" s="325" t="s">
        <v>613</v>
      </c>
      <c r="H174" s="327"/>
      <c r="I174" s="327"/>
      <c r="J174" s="325"/>
    </row>
    <row r="175" spans="2:10" ht="18" x14ac:dyDescent="0.25">
      <c r="B175" s="324" t="s">
        <v>780</v>
      </c>
      <c r="C175" s="325" t="s">
        <v>781</v>
      </c>
      <c r="D175" s="325">
        <v>210</v>
      </c>
      <c r="E175" s="326"/>
      <c r="F175" s="326"/>
      <c r="G175" s="325" t="s">
        <v>613</v>
      </c>
      <c r="H175" s="327"/>
      <c r="I175" s="327"/>
      <c r="J175" s="325"/>
    </row>
    <row r="176" spans="2:10" ht="18" x14ac:dyDescent="0.25">
      <c r="B176" s="324" t="s">
        <v>782</v>
      </c>
      <c r="C176" s="325" t="s">
        <v>783</v>
      </c>
      <c r="D176" s="325">
        <v>222</v>
      </c>
      <c r="E176" s="326"/>
      <c r="F176" s="326"/>
      <c r="G176" s="325" t="s">
        <v>613</v>
      </c>
      <c r="H176" s="327"/>
      <c r="I176" s="327"/>
      <c r="J176" s="325"/>
    </row>
    <row r="177" spans="2:10" ht="18" x14ac:dyDescent="0.25">
      <c r="B177" s="324" t="s">
        <v>784</v>
      </c>
      <c r="C177" s="325" t="s">
        <v>785</v>
      </c>
      <c r="D177" s="325">
        <v>223</v>
      </c>
      <c r="E177" s="326"/>
      <c r="F177" s="326"/>
      <c r="G177" s="325" t="s">
        <v>613</v>
      </c>
      <c r="H177" s="327"/>
      <c r="I177" s="327"/>
      <c r="J177" s="325"/>
    </row>
    <row r="178" spans="2:10" ht="18" x14ac:dyDescent="0.25">
      <c r="B178" s="324" t="s">
        <v>786</v>
      </c>
      <c r="C178" s="325" t="s">
        <v>787</v>
      </c>
      <c r="D178" s="325">
        <v>226</v>
      </c>
      <c r="E178" s="326"/>
      <c r="F178" s="326"/>
      <c r="G178" s="325" t="s">
        <v>613</v>
      </c>
      <c r="H178" s="327"/>
      <c r="I178" s="327"/>
      <c r="J178" s="325"/>
    </row>
    <row r="179" spans="2:10" ht="18" x14ac:dyDescent="0.25">
      <c r="B179" s="324" t="s">
        <v>788</v>
      </c>
      <c r="C179" s="325" t="s">
        <v>789</v>
      </c>
      <c r="D179" s="325">
        <v>227</v>
      </c>
      <c r="E179" s="326"/>
      <c r="F179" s="326"/>
      <c r="G179" s="325" t="s">
        <v>613</v>
      </c>
      <c r="H179" s="327"/>
      <c r="I179" s="327"/>
      <c r="J179" s="325"/>
    </row>
    <row r="180" spans="2:10" ht="18" x14ac:dyDescent="0.25">
      <c r="B180" s="324" t="s">
        <v>790</v>
      </c>
      <c r="C180" s="325" t="s">
        <v>791</v>
      </c>
      <c r="D180" s="325">
        <v>232.03806</v>
      </c>
      <c r="E180" s="326"/>
      <c r="F180" s="326"/>
      <c r="G180" s="325" t="s">
        <v>613</v>
      </c>
      <c r="H180" s="327"/>
      <c r="I180" s="327"/>
      <c r="J180" s="325"/>
    </row>
    <row r="181" spans="2:10" ht="18" x14ac:dyDescent="0.25">
      <c r="B181" s="324" t="s">
        <v>792</v>
      </c>
      <c r="C181" s="325" t="s">
        <v>793</v>
      </c>
      <c r="D181" s="325">
        <v>231.03587999999999</v>
      </c>
      <c r="E181" s="326"/>
      <c r="F181" s="326"/>
      <c r="G181" s="325" t="s">
        <v>613</v>
      </c>
      <c r="H181" s="327"/>
      <c r="I181" s="327"/>
      <c r="J181" s="325"/>
    </row>
    <row r="182" spans="2:10" ht="18" x14ac:dyDescent="0.25">
      <c r="B182" s="324" t="s">
        <v>794</v>
      </c>
      <c r="C182" s="325" t="s">
        <v>795</v>
      </c>
      <c r="D182" s="325">
        <v>238.02891</v>
      </c>
      <c r="E182" s="326"/>
      <c r="F182" s="326"/>
      <c r="G182" s="325" t="s">
        <v>613</v>
      </c>
      <c r="H182" s="327"/>
      <c r="I182" s="327"/>
      <c r="J182" s="325"/>
    </row>
    <row r="183" spans="2:10" ht="18" x14ac:dyDescent="0.25">
      <c r="B183" s="324" t="s">
        <v>796</v>
      </c>
      <c r="C183" s="325" t="s">
        <v>797</v>
      </c>
      <c r="D183" s="325">
        <v>237</v>
      </c>
      <c r="E183" s="326"/>
      <c r="F183" s="326"/>
      <c r="G183" s="325" t="s">
        <v>613</v>
      </c>
      <c r="H183" s="327"/>
      <c r="I183" s="327"/>
      <c r="J183" s="325"/>
    </row>
    <row r="184" spans="2:10" ht="18" x14ac:dyDescent="0.25">
      <c r="B184" s="324" t="s">
        <v>798</v>
      </c>
      <c r="C184" s="325" t="s">
        <v>799</v>
      </c>
      <c r="D184" s="325">
        <v>244</v>
      </c>
      <c r="E184" s="326"/>
      <c r="F184" s="326"/>
      <c r="G184" s="325" t="s">
        <v>613</v>
      </c>
      <c r="H184" s="327"/>
      <c r="I184" s="327"/>
      <c r="J184" s="325"/>
    </row>
    <row r="185" spans="2:10" ht="18" x14ac:dyDescent="0.25">
      <c r="B185" s="324" t="s">
        <v>800</v>
      </c>
      <c r="C185" s="325" t="s">
        <v>801</v>
      </c>
      <c r="D185" s="325">
        <v>243</v>
      </c>
      <c r="E185" s="326"/>
      <c r="F185" s="326"/>
      <c r="G185" s="325" t="s">
        <v>613</v>
      </c>
      <c r="H185" s="327"/>
      <c r="I185" s="327"/>
      <c r="J185" s="325"/>
    </row>
    <row r="186" spans="2:10" ht="18" x14ac:dyDescent="0.25">
      <c r="B186" s="324" t="s">
        <v>802</v>
      </c>
      <c r="C186" s="325" t="s">
        <v>803</v>
      </c>
      <c r="D186" s="325">
        <v>247</v>
      </c>
      <c r="E186" s="326"/>
      <c r="F186" s="326"/>
      <c r="G186" s="325" t="s">
        <v>613</v>
      </c>
      <c r="H186" s="327"/>
      <c r="I186" s="327"/>
      <c r="J186" s="325"/>
    </row>
    <row r="187" spans="2:10" ht="18" x14ac:dyDescent="0.25">
      <c r="B187" s="324" t="s">
        <v>804</v>
      </c>
      <c r="C187" s="325" t="s">
        <v>805</v>
      </c>
      <c r="D187" s="325">
        <v>247</v>
      </c>
      <c r="E187" s="326"/>
      <c r="F187" s="326"/>
      <c r="G187" s="325" t="s">
        <v>613</v>
      </c>
      <c r="H187" s="327"/>
      <c r="I187" s="327"/>
      <c r="J187" s="325"/>
    </row>
    <row r="188" spans="2:10" ht="18" x14ac:dyDescent="0.25">
      <c r="B188" s="324" t="s">
        <v>806</v>
      </c>
      <c r="C188" s="325" t="s">
        <v>807</v>
      </c>
      <c r="D188" s="325">
        <v>251</v>
      </c>
      <c r="E188" s="326"/>
      <c r="F188" s="326"/>
      <c r="G188" s="325" t="s">
        <v>613</v>
      </c>
      <c r="H188" s="327"/>
      <c r="I188" s="327"/>
      <c r="J188" s="325"/>
    </row>
    <row r="189" spans="2:10" ht="18" x14ac:dyDescent="0.25">
      <c r="B189" s="324" t="s">
        <v>808</v>
      </c>
      <c r="C189" s="325" t="s">
        <v>809</v>
      </c>
      <c r="D189" s="325">
        <v>252</v>
      </c>
      <c r="E189" s="326"/>
      <c r="F189" s="326"/>
      <c r="G189" s="325" t="s">
        <v>613</v>
      </c>
      <c r="H189" s="327"/>
      <c r="I189" s="327"/>
      <c r="J189" s="325"/>
    </row>
    <row r="190" spans="2:10" ht="18" x14ac:dyDescent="0.25">
      <c r="B190" s="324" t="s">
        <v>810</v>
      </c>
      <c r="C190" s="325" t="s">
        <v>811</v>
      </c>
      <c r="D190" s="325">
        <v>257</v>
      </c>
      <c r="E190" s="326"/>
      <c r="F190" s="326"/>
      <c r="G190" s="325" t="s">
        <v>613</v>
      </c>
      <c r="H190" s="327"/>
      <c r="I190" s="327"/>
      <c r="J190" s="325"/>
    </row>
    <row r="191" spans="2:10" ht="18" x14ac:dyDescent="0.25">
      <c r="B191" s="324" t="s">
        <v>812</v>
      </c>
      <c r="C191" s="325" t="s">
        <v>813</v>
      </c>
      <c r="D191" s="325">
        <v>258</v>
      </c>
      <c r="E191" s="326"/>
      <c r="F191" s="326"/>
      <c r="G191" s="325" t="s">
        <v>613</v>
      </c>
      <c r="H191" s="327"/>
      <c r="I191" s="327"/>
      <c r="J191" s="325"/>
    </row>
    <row r="192" spans="2:10" ht="18" x14ac:dyDescent="0.25">
      <c r="B192" s="324" t="s">
        <v>814</v>
      </c>
      <c r="C192" s="325" t="s">
        <v>815</v>
      </c>
      <c r="D192" s="325">
        <v>259</v>
      </c>
      <c r="E192" s="326"/>
      <c r="F192" s="326"/>
      <c r="G192" s="325" t="s">
        <v>613</v>
      </c>
      <c r="H192" s="327"/>
      <c r="I192" s="327"/>
      <c r="J192" s="325"/>
    </row>
    <row r="193" spans="2:10" ht="18" x14ac:dyDescent="0.25">
      <c r="B193" s="324" t="s">
        <v>816</v>
      </c>
      <c r="C193" s="325" t="s">
        <v>817</v>
      </c>
      <c r="D193" s="325">
        <v>262</v>
      </c>
      <c r="E193" s="326"/>
      <c r="F193" s="326"/>
      <c r="G193" s="325" t="s">
        <v>613</v>
      </c>
      <c r="H193" s="327"/>
      <c r="I193" s="327"/>
      <c r="J193" s="325"/>
    </row>
    <row r="194" spans="2:10" ht="18" x14ac:dyDescent="0.25">
      <c r="B194" s="324" t="s">
        <v>818</v>
      </c>
      <c r="C194" s="325" t="s">
        <v>819</v>
      </c>
      <c r="D194" s="325">
        <v>261</v>
      </c>
      <c r="E194" s="326"/>
      <c r="F194" s="326"/>
      <c r="G194" s="325" t="s">
        <v>613</v>
      </c>
      <c r="H194" s="327"/>
      <c r="I194" s="327"/>
      <c r="J194" s="325"/>
    </row>
    <row r="195" spans="2:10" ht="18" x14ac:dyDescent="0.25">
      <c r="B195" s="324" t="s">
        <v>820</v>
      </c>
      <c r="C195" s="325" t="s">
        <v>821</v>
      </c>
      <c r="D195" s="325">
        <v>262</v>
      </c>
      <c r="E195" s="326"/>
      <c r="F195" s="326"/>
      <c r="G195" s="325" t="s">
        <v>613</v>
      </c>
      <c r="H195" s="327"/>
      <c r="I195" s="327"/>
      <c r="J195" s="325"/>
    </row>
    <row r="196" spans="2:10" ht="18" x14ac:dyDescent="0.25">
      <c r="B196" s="324" t="s">
        <v>822</v>
      </c>
      <c r="C196" s="325" t="s">
        <v>823</v>
      </c>
      <c r="D196" s="325">
        <v>266</v>
      </c>
      <c r="E196" s="326"/>
      <c r="F196" s="326"/>
      <c r="G196" s="325" t="s">
        <v>613</v>
      </c>
      <c r="H196" s="327"/>
      <c r="I196" s="327"/>
      <c r="J196" s="325"/>
    </row>
    <row r="197" spans="2:10" ht="18" x14ac:dyDescent="0.25">
      <c r="B197" s="324" t="s">
        <v>824</v>
      </c>
      <c r="C197" s="325" t="s">
        <v>825</v>
      </c>
      <c r="D197" s="325">
        <v>264</v>
      </c>
      <c r="E197" s="326"/>
      <c r="F197" s="326"/>
      <c r="G197" s="325" t="s">
        <v>613</v>
      </c>
      <c r="H197" s="327"/>
      <c r="I197" s="327"/>
      <c r="J197" s="325"/>
    </row>
    <row r="198" spans="2:10" ht="18" x14ac:dyDescent="0.25">
      <c r="B198" s="324" t="s">
        <v>826</v>
      </c>
      <c r="C198" s="325" t="s">
        <v>827</v>
      </c>
      <c r="D198" s="325">
        <v>277</v>
      </c>
      <c r="E198" s="326"/>
      <c r="F198" s="326"/>
      <c r="G198" s="325" t="s">
        <v>613</v>
      </c>
      <c r="H198" s="327"/>
      <c r="I198" s="327"/>
      <c r="J198" s="325"/>
    </row>
    <row r="199" spans="2:10" ht="18" x14ac:dyDescent="0.25">
      <c r="B199" s="324" t="s">
        <v>828</v>
      </c>
      <c r="C199" s="325" t="s">
        <v>829</v>
      </c>
      <c r="D199" s="325">
        <v>268</v>
      </c>
      <c r="E199" s="326"/>
      <c r="F199" s="326"/>
      <c r="G199" s="325" t="s">
        <v>613</v>
      </c>
      <c r="H199" s="327"/>
      <c r="I199" s="327"/>
      <c r="J199" s="325"/>
    </row>
    <row r="200" spans="2:10" ht="18" x14ac:dyDescent="0.25">
      <c r="B200" s="324" t="s">
        <v>830</v>
      </c>
      <c r="C200" s="325" t="s">
        <v>831</v>
      </c>
      <c r="D200" s="325">
        <v>281</v>
      </c>
      <c r="E200" s="326"/>
      <c r="F200" s="326"/>
      <c r="G200" s="325" t="s">
        <v>613</v>
      </c>
      <c r="H200" s="327"/>
      <c r="I200" s="327"/>
      <c r="J200" s="325"/>
    </row>
    <row r="201" spans="2:10" ht="18" x14ac:dyDescent="0.25">
      <c r="B201" s="324" t="s">
        <v>832</v>
      </c>
      <c r="C201" s="325" t="s">
        <v>833</v>
      </c>
      <c r="D201" s="325">
        <v>272</v>
      </c>
      <c r="E201" s="326"/>
      <c r="F201" s="326"/>
      <c r="G201" s="325" t="s">
        <v>613</v>
      </c>
      <c r="H201" s="327"/>
      <c r="I201" s="327"/>
      <c r="J201" s="325"/>
    </row>
    <row r="202" spans="2:10" ht="18" x14ac:dyDescent="0.25">
      <c r="B202" s="324" t="s">
        <v>834</v>
      </c>
      <c r="C202" s="325" t="s">
        <v>835</v>
      </c>
      <c r="D202" s="325">
        <v>285</v>
      </c>
      <c r="E202" s="326"/>
      <c r="F202" s="326"/>
      <c r="G202" s="325" t="s">
        <v>613</v>
      </c>
      <c r="H202" s="327"/>
      <c r="I202" s="327"/>
      <c r="J202" s="325"/>
    </row>
    <row r="203" spans="2:10" ht="18" x14ac:dyDescent="0.25">
      <c r="B203" s="324" t="s">
        <v>836</v>
      </c>
      <c r="C203" s="325" t="s">
        <v>837</v>
      </c>
      <c r="D203" s="325">
        <v>284</v>
      </c>
      <c r="E203" s="326"/>
      <c r="F203" s="326"/>
      <c r="G203" s="325" t="s">
        <v>613</v>
      </c>
      <c r="H203" s="327"/>
      <c r="I203" s="327"/>
      <c r="J203" s="325"/>
    </row>
    <row r="204" spans="2:10" ht="18" x14ac:dyDescent="0.25">
      <c r="B204" s="324" t="s">
        <v>838</v>
      </c>
      <c r="C204" s="325" t="s">
        <v>839</v>
      </c>
      <c r="D204" s="325">
        <v>289</v>
      </c>
      <c r="E204" s="326"/>
      <c r="F204" s="326"/>
      <c r="G204" s="325" t="s">
        <v>613</v>
      </c>
      <c r="H204" s="327"/>
      <c r="I204" s="327"/>
      <c r="J204" s="325"/>
    </row>
    <row r="205" spans="2:10" ht="18" x14ac:dyDescent="0.25">
      <c r="B205" s="324" t="s">
        <v>840</v>
      </c>
      <c r="C205" s="325" t="s">
        <v>841</v>
      </c>
      <c r="D205" s="325">
        <v>288</v>
      </c>
      <c r="E205" s="326"/>
      <c r="F205" s="326"/>
      <c r="G205" s="325" t="s">
        <v>613</v>
      </c>
      <c r="H205" s="327"/>
      <c r="I205" s="327"/>
      <c r="J205" s="325"/>
    </row>
    <row r="206" spans="2:10" ht="18" x14ac:dyDescent="0.25">
      <c r="B206" s="324" t="s">
        <v>842</v>
      </c>
      <c r="C206" s="325" t="s">
        <v>843</v>
      </c>
      <c r="D206" s="325">
        <v>292</v>
      </c>
      <c r="E206" s="326"/>
      <c r="F206" s="326"/>
      <c r="G206" s="325" t="s">
        <v>613</v>
      </c>
      <c r="H206" s="327"/>
      <c r="I206" s="327"/>
      <c r="J206" s="325"/>
    </row>
    <row r="207" spans="2:10" ht="18" x14ac:dyDescent="0.25">
      <c r="B207" s="324" t="s">
        <v>844</v>
      </c>
      <c r="C207" s="325" t="s">
        <v>845</v>
      </c>
      <c r="D207" s="325">
        <v>292</v>
      </c>
      <c r="E207" s="326"/>
      <c r="F207" s="326"/>
      <c r="G207" s="325" t="s">
        <v>613</v>
      </c>
      <c r="H207" s="327"/>
      <c r="I207" s="327"/>
      <c r="J207" s="325"/>
    </row>
    <row r="208" spans="2:10" ht="18" x14ac:dyDescent="0.25">
      <c r="B208" s="324" t="s">
        <v>846</v>
      </c>
      <c r="C208" s="325" t="s">
        <v>847</v>
      </c>
      <c r="D208" s="325">
        <v>294</v>
      </c>
      <c r="E208" s="326"/>
      <c r="F208" s="326"/>
      <c r="G208" s="325" t="s">
        <v>613</v>
      </c>
      <c r="H208" s="327"/>
      <c r="I208" s="327"/>
      <c r="J208" s="325"/>
    </row>
    <row r="210" spans="2:10" ht="15.75" thickBot="1" x14ac:dyDescent="0.3">
      <c r="C210" s="328" t="s">
        <v>848</v>
      </c>
    </row>
    <row r="211" spans="2:10" ht="15.75" thickBot="1" x14ac:dyDescent="0.3">
      <c r="B211" s="329" t="s">
        <v>0</v>
      </c>
      <c r="C211" s="330" t="s">
        <v>1</v>
      </c>
      <c r="D211" s="331" t="s">
        <v>150</v>
      </c>
      <c r="E211" s="331" t="s">
        <v>550</v>
      </c>
      <c r="F211" s="331" t="s">
        <v>551</v>
      </c>
      <c r="G211" s="331" t="s">
        <v>2</v>
      </c>
      <c r="H211" s="331" t="s">
        <v>492</v>
      </c>
      <c r="I211" s="331" t="s">
        <v>114</v>
      </c>
      <c r="J211" s="332" t="s">
        <v>115</v>
      </c>
    </row>
    <row r="212" spans="2:10" ht="18" x14ac:dyDescent="0.25">
      <c r="B212" s="324" t="s">
        <v>1545</v>
      </c>
      <c r="C212" s="325" t="s">
        <v>1546</v>
      </c>
      <c r="D212" s="325">
        <v>28.97</v>
      </c>
      <c r="E212" s="326"/>
      <c r="F212" s="326"/>
      <c r="G212" s="325" t="s">
        <v>613</v>
      </c>
      <c r="H212" s="327"/>
      <c r="I212" s="327"/>
      <c r="J212" s="325"/>
    </row>
    <row r="213" spans="2:10" ht="18" x14ac:dyDescent="0.25">
      <c r="B213" s="324" t="s">
        <v>849</v>
      </c>
      <c r="C213" s="325" t="s">
        <v>850</v>
      </c>
      <c r="D213" s="325">
        <f>2*A_MH</f>
        <v>2.0158800000000001</v>
      </c>
      <c r="E213" s="326"/>
      <c r="F213" s="326"/>
      <c r="G213" s="325" t="s">
        <v>613</v>
      </c>
      <c r="H213" s="327"/>
      <c r="I213" s="327"/>
      <c r="J213" s="325"/>
    </row>
    <row r="214" spans="2:10" ht="18" x14ac:dyDescent="0.25">
      <c r="B214" s="324" t="s">
        <v>851</v>
      </c>
      <c r="C214" s="325" t="s">
        <v>852</v>
      </c>
      <c r="D214" s="325">
        <f>A_MC+4*A_MH</f>
        <v>16.042459999999998</v>
      </c>
      <c r="E214" s="326"/>
      <c r="F214" s="326"/>
      <c r="G214" s="325" t="s">
        <v>613</v>
      </c>
      <c r="H214" s="327"/>
      <c r="I214" s="327"/>
      <c r="J214" s="325"/>
    </row>
    <row r="215" spans="2:10" ht="18" x14ac:dyDescent="0.25">
      <c r="B215" s="324" t="s">
        <v>853</v>
      </c>
      <c r="C215" s="325" t="s">
        <v>854</v>
      </c>
      <c r="D215" s="325">
        <f>A_MC+2*A_MO</f>
        <v>44.009500000000003</v>
      </c>
      <c r="E215" s="326"/>
      <c r="F215" s="326"/>
      <c r="G215" s="325" t="s">
        <v>613</v>
      </c>
      <c r="H215" s="327"/>
      <c r="I215" s="327"/>
      <c r="J215" s="325"/>
    </row>
    <row r="216" spans="2:10" ht="18" x14ac:dyDescent="0.25">
      <c r="B216" s="324" t="s">
        <v>1234</v>
      </c>
      <c r="C216" s="325" t="s">
        <v>870</v>
      </c>
      <c r="D216" s="325">
        <f>A_MN+3*A_MH</f>
        <v>17.030519999999999</v>
      </c>
      <c r="E216" s="326"/>
      <c r="F216" s="326"/>
      <c r="G216" s="325" t="s">
        <v>613</v>
      </c>
      <c r="H216" s="327"/>
      <c r="I216" s="327"/>
      <c r="J216" s="325"/>
    </row>
    <row r="217" spans="2:10" ht="18" x14ac:dyDescent="0.25">
      <c r="B217" s="324" t="s">
        <v>855</v>
      </c>
      <c r="C217" s="325" t="s">
        <v>856</v>
      </c>
      <c r="D217" s="325">
        <f>2*A_MN</f>
        <v>28.013400000000001</v>
      </c>
      <c r="E217" s="326"/>
      <c r="F217" s="326"/>
      <c r="G217" s="325" t="s">
        <v>613</v>
      </c>
      <c r="H217" s="327"/>
      <c r="I217" s="327"/>
      <c r="J217" s="325"/>
    </row>
    <row r="218" spans="2:10" ht="18" x14ac:dyDescent="0.25">
      <c r="B218" s="324" t="s">
        <v>857</v>
      </c>
      <c r="C218" s="325" t="s">
        <v>858</v>
      </c>
      <c r="D218" s="325">
        <f>2*A_MO</f>
        <v>31.998799999999999</v>
      </c>
      <c r="E218" s="326"/>
      <c r="F218" s="326"/>
      <c r="G218" s="325" t="s">
        <v>613</v>
      </c>
      <c r="H218" s="327"/>
      <c r="I218" s="327"/>
      <c r="J218" s="325" t="s">
        <v>859</v>
      </c>
    </row>
    <row r="219" spans="2:10" ht="18" x14ac:dyDescent="0.25">
      <c r="B219" s="324" t="s">
        <v>860</v>
      </c>
      <c r="C219" s="325" t="s">
        <v>861</v>
      </c>
      <c r="D219" s="325">
        <f>A_MN+A_MO</f>
        <v>30.0061</v>
      </c>
      <c r="E219" s="326"/>
      <c r="F219" s="326"/>
      <c r="G219" s="325" t="s">
        <v>613</v>
      </c>
      <c r="H219" s="327"/>
      <c r="I219" s="327"/>
      <c r="J219" s="325" t="s">
        <v>862</v>
      </c>
    </row>
    <row r="220" spans="2:10" ht="18" x14ac:dyDescent="0.25">
      <c r="B220" s="324" t="s">
        <v>863</v>
      </c>
      <c r="C220" s="325" t="s">
        <v>864</v>
      </c>
      <c r="D220" s="325">
        <f>2*A_MN+A_MO</f>
        <v>44.012799999999999</v>
      </c>
      <c r="E220" s="326"/>
      <c r="F220" s="326"/>
      <c r="G220" s="325" t="s">
        <v>613</v>
      </c>
      <c r="H220" s="327"/>
      <c r="I220" s="327"/>
      <c r="J220" s="325" t="s">
        <v>865</v>
      </c>
    </row>
    <row r="221" spans="2:10" ht="18" x14ac:dyDescent="0.25">
      <c r="B221" s="324" t="s">
        <v>1547</v>
      </c>
      <c r="C221" s="325" t="s">
        <v>1548</v>
      </c>
      <c r="D221" s="325">
        <f>M_MH2S</f>
        <v>34.080880000000001</v>
      </c>
      <c r="E221" s="326"/>
      <c r="F221" s="326"/>
      <c r="G221" s="325" t="s">
        <v>613</v>
      </c>
      <c r="H221" s="327"/>
      <c r="I221" s="327"/>
      <c r="J221" s="325"/>
    </row>
    <row r="223" spans="2:10" ht="15.75" thickBot="1" x14ac:dyDescent="0.3">
      <c r="C223" s="328" t="s">
        <v>866</v>
      </c>
    </row>
    <row r="224" spans="2:10" ht="15.75" thickBot="1" x14ac:dyDescent="0.3">
      <c r="B224" s="329" t="s">
        <v>0</v>
      </c>
      <c r="C224" s="330" t="s">
        <v>1</v>
      </c>
      <c r="D224" s="331" t="s">
        <v>150</v>
      </c>
      <c r="E224" s="331" t="s">
        <v>550</v>
      </c>
      <c r="F224" s="331" t="s">
        <v>551</v>
      </c>
      <c r="G224" s="331" t="s">
        <v>2</v>
      </c>
      <c r="H224" s="331" t="s">
        <v>492</v>
      </c>
      <c r="I224" s="331" t="s">
        <v>114</v>
      </c>
      <c r="J224" s="332" t="s">
        <v>115</v>
      </c>
    </row>
    <row r="225" spans="2:10" ht="18" x14ac:dyDescent="0.25">
      <c r="B225" s="324" t="s">
        <v>1235</v>
      </c>
      <c r="C225" s="325" t="s">
        <v>1236</v>
      </c>
      <c r="D225" s="325">
        <f>2*A_MH+A_MO</f>
        <v>18.015280000000001</v>
      </c>
      <c r="E225" s="326"/>
      <c r="F225" s="326"/>
      <c r="G225" s="325" t="s">
        <v>613</v>
      </c>
      <c r="H225" s="327"/>
      <c r="I225" s="327"/>
      <c r="J225" s="325"/>
    </row>
    <row r="226" spans="2:10" ht="18" x14ac:dyDescent="0.25">
      <c r="B226" s="324" t="s">
        <v>867</v>
      </c>
      <c r="C226" s="325" t="s">
        <v>858</v>
      </c>
      <c r="D226" s="325">
        <f>2*A_MO</f>
        <v>31.998799999999999</v>
      </c>
      <c r="E226" s="326"/>
      <c r="F226" s="326"/>
      <c r="G226" s="325" t="s">
        <v>613</v>
      </c>
      <c r="H226" s="327"/>
      <c r="I226" s="327"/>
      <c r="J226" s="325"/>
    </row>
    <row r="227" spans="2:10" ht="18" x14ac:dyDescent="0.25">
      <c r="B227" s="324" t="s">
        <v>868</v>
      </c>
      <c r="C227" s="325" t="s">
        <v>856</v>
      </c>
      <c r="D227" s="325">
        <f>2*A_MN</f>
        <v>28.013400000000001</v>
      </c>
      <c r="E227" s="326"/>
      <c r="F227" s="326"/>
      <c r="G227" s="325" t="s">
        <v>613</v>
      </c>
      <c r="H227" s="327"/>
      <c r="I227" s="327"/>
      <c r="J227" s="325"/>
    </row>
    <row r="228" spans="2:10" ht="18" x14ac:dyDescent="0.25">
      <c r="B228" s="324" t="s">
        <v>869</v>
      </c>
      <c r="C228" s="325" t="s">
        <v>870</v>
      </c>
      <c r="D228" s="325">
        <f>A_MN+3*A_MH</f>
        <v>17.030519999999999</v>
      </c>
      <c r="E228" s="326"/>
      <c r="F228" s="326"/>
      <c r="G228" s="325" t="s">
        <v>613</v>
      </c>
      <c r="H228" s="327"/>
      <c r="I228" s="327"/>
      <c r="J228" s="325"/>
    </row>
    <row r="229" spans="2:10" ht="18" x14ac:dyDescent="0.25">
      <c r="B229" s="324" t="s">
        <v>1112</v>
      </c>
      <c r="C229" s="325" t="s">
        <v>1549</v>
      </c>
      <c r="D229" s="325">
        <f>A_MN+4*A_MH</f>
        <v>18.038460000000001</v>
      </c>
      <c r="E229" s="326"/>
      <c r="F229" s="326"/>
      <c r="G229" s="325" t="s">
        <v>613</v>
      </c>
      <c r="H229" s="327"/>
      <c r="I229" s="327"/>
      <c r="J229" s="325"/>
    </row>
    <row r="230" spans="2:10" ht="18" x14ac:dyDescent="0.25">
      <c r="B230" s="324" t="s">
        <v>1113</v>
      </c>
      <c r="C230" s="325" t="s">
        <v>1550</v>
      </c>
      <c r="D230" s="325">
        <f>A_MN + 2*A_MO</f>
        <v>46.005499999999998</v>
      </c>
      <c r="E230" s="326"/>
      <c r="F230" s="326"/>
      <c r="G230" s="325" t="s">
        <v>613</v>
      </c>
      <c r="H230" s="327"/>
      <c r="I230" s="327"/>
      <c r="J230" s="325"/>
    </row>
    <row r="231" spans="2:10" ht="18" x14ac:dyDescent="0.25">
      <c r="B231" s="324" t="s">
        <v>1114</v>
      </c>
      <c r="C231" s="325" t="s">
        <v>1551</v>
      </c>
      <c r="D231" s="325">
        <f>A_MN + 3*A_MO</f>
        <v>62.004899999999999</v>
      </c>
      <c r="E231" s="326"/>
      <c r="F231" s="326"/>
      <c r="G231" s="325" t="s">
        <v>613</v>
      </c>
      <c r="H231" s="327"/>
      <c r="I231" s="327"/>
      <c r="J231" s="325"/>
    </row>
    <row r="232" spans="2:10" ht="18" x14ac:dyDescent="0.25">
      <c r="B232" s="324" t="s">
        <v>1552</v>
      </c>
      <c r="C232" s="325" t="s">
        <v>1553</v>
      </c>
      <c r="D232" s="325">
        <f>2*A_MFe+3*A_MO</f>
        <v>159.68819999999999</v>
      </c>
      <c r="E232" s="326"/>
      <c r="F232" s="326"/>
      <c r="G232" s="325" t="s">
        <v>613</v>
      </c>
      <c r="H232" s="327"/>
      <c r="I232" s="327"/>
      <c r="J232" s="325"/>
    </row>
    <row r="233" spans="2:10" ht="18" x14ac:dyDescent="0.25">
      <c r="B233" s="324" t="s">
        <v>1554</v>
      </c>
      <c r="C233" s="325" t="s">
        <v>1555</v>
      </c>
      <c r="D233" s="325">
        <f>A_MFe+3*(A_MO+A_MH)</f>
        <v>106.86702</v>
      </c>
      <c r="E233" s="326"/>
      <c r="F233" s="326"/>
      <c r="G233" s="325" t="s">
        <v>613</v>
      </c>
      <c r="H233" s="327"/>
      <c r="I233" s="327"/>
      <c r="J233" s="325"/>
    </row>
    <row r="234" spans="2:10" ht="18" x14ac:dyDescent="0.25">
      <c r="B234" s="324" t="s">
        <v>1556</v>
      </c>
      <c r="C234" s="325" t="s">
        <v>1557</v>
      </c>
      <c r="D234" s="325">
        <f>A_MAl+3*(A_MO+A_MH)</f>
        <v>78.003519999999995</v>
      </c>
      <c r="E234" s="326"/>
      <c r="F234" s="326"/>
      <c r="G234" s="325" t="s">
        <v>613</v>
      </c>
      <c r="H234" s="327"/>
      <c r="I234" s="327"/>
      <c r="J234" s="325"/>
    </row>
    <row r="235" spans="2:10" ht="18" x14ac:dyDescent="0.25">
      <c r="B235" s="324" t="s">
        <v>1558</v>
      </c>
      <c r="C235" s="325" t="s">
        <v>1559</v>
      </c>
      <c r="D235" s="325">
        <f>A_MAl+A_MP+4*A_MO</f>
        <v>121.9528622</v>
      </c>
      <c r="E235" s="326"/>
      <c r="F235" s="326"/>
      <c r="G235" s="325" t="s">
        <v>613</v>
      </c>
      <c r="H235" s="327"/>
      <c r="I235" s="327"/>
      <c r="J235" s="325"/>
    </row>
    <row r="236" spans="2:10" ht="18" x14ac:dyDescent="0.25">
      <c r="B236" s="324" t="s">
        <v>1560</v>
      </c>
      <c r="C236" s="325" t="s">
        <v>871</v>
      </c>
      <c r="D236" s="325">
        <f>A_MP+4*A_MO</f>
        <v>94.971362200000002</v>
      </c>
      <c r="E236" s="326"/>
      <c r="F236" s="326"/>
      <c r="G236" s="325" t="s">
        <v>613</v>
      </c>
      <c r="H236" s="327"/>
      <c r="I236" s="327"/>
      <c r="J236" s="325"/>
    </row>
    <row r="237" spans="2:10" ht="18" x14ac:dyDescent="0.25">
      <c r="B237" s="324" t="s">
        <v>1561</v>
      </c>
      <c r="C237" s="325" t="s">
        <v>854</v>
      </c>
      <c r="D237" s="325">
        <f>A_MC+2*A_MO</f>
        <v>44.009500000000003</v>
      </c>
      <c r="E237" s="326"/>
      <c r="F237" s="326"/>
      <c r="G237" s="325" t="s">
        <v>613</v>
      </c>
      <c r="H237" s="327"/>
      <c r="I237" s="327"/>
      <c r="J237" s="325"/>
    </row>
    <row r="238" spans="2:10" ht="18" x14ac:dyDescent="0.25">
      <c r="B238" s="324" t="s">
        <v>1115</v>
      </c>
      <c r="C238" s="325" t="s">
        <v>1116</v>
      </c>
      <c r="D238" s="325">
        <f>A_MC + 3*A_MO</f>
        <v>60.008899999999997</v>
      </c>
      <c r="E238" s="326"/>
      <c r="F238" s="326"/>
      <c r="G238" s="325" t="s">
        <v>613</v>
      </c>
      <c r="H238" s="327"/>
      <c r="I238" s="327"/>
      <c r="J238" s="325"/>
    </row>
    <row r="239" spans="2:10" ht="18" x14ac:dyDescent="0.25">
      <c r="B239" s="324" t="s">
        <v>1117</v>
      </c>
      <c r="C239" s="325" t="s">
        <v>1118</v>
      </c>
      <c r="D239" s="325">
        <f>A_MH + A_MC + 3*A_MO</f>
        <v>61.016839999999995</v>
      </c>
      <c r="E239" s="326"/>
      <c r="F239" s="326"/>
      <c r="G239" s="325" t="s">
        <v>613</v>
      </c>
      <c r="H239" s="327"/>
      <c r="I239" s="327"/>
      <c r="J239" s="325"/>
    </row>
    <row r="240" spans="2:10" ht="18" x14ac:dyDescent="0.25">
      <c r="B240" s="324" t="s">
        <v>1119</v>
      </c>
      <c r="C240" s="325" t="s">
        <v>1120</v>
      </c>
      <c r="D240" s="325">
        <f>2*A_MH+A_MC + 3*A_MO</f>
        <v>62.024779999999993</v>
      </c>
      <c r="E240" s="326"/>
      <c r="F240" s="326"/>
      <c r="G240" s="325" t="s">
        <v>613</v>
      </c>
      <c r="H240" s="327"/>
      <c r="I240" s="327"/>
      <c r="J240" s="325"/>
    </row>
    <row r="241" spans="2:10" ht="18" x14ac:dyDescent="0.25">
      <c r="B241" s="324" t="s">
        <v>1237</v>
      </c>
      <c r="C241" s="325" t="s">
        <v>1238</v>
      </c>
      <c r="D241" s="325">
        <f>A_MS+4*A_MO</f>
        <v>96.062600000000003</v>
      </c>
      <c r="E241" s="326"/>
      <c r="F241" s="326"/>
      <c r="G241" s="325" t="s">
        <v>613</v>
      </c>
      <c r="H241" s="327"/>
      <c r="I241" s="327"/>
      <c r="J241" s="325"/>
    </row>
    <row r="242" spans="2:10" ht="18" x14ac:dyDescent="0.25">
      <c r="B242" s="324" t="s">
        <v>1239</v>
      </c>
      <c r="C242" s="325" t="s">
        <v>1240</v>
      </c>
      <c r="D242" s="325">
        <f>A_MH + A_MS+4*A_MO</f>
        <v>97.070539999999994</v>
      </c>
      <c r="E242" s="326"/>
      <c r="F242" s="326"/>
      <c r="G242" s="325" t="s">
        <v>613</v>
      </c>
      <c r="H242" s="327"/>
      <c r="I242" s="327"/>
      <c r="J242" s="325"/>
    </row>
    <row r="243" spans="2:10" ht="18" x14ac:dyDescent="0.25">
      <c r="B243" s="324" t="s">
        <v>1241</v>
      </c>
      <c r="C243" s="325" t="s">
        <v>1121</v>
      </c>
      <c r="D243" s="325">
        <f>2*A_MH + A_MS+4*A_MO</f>
        <v>98.078479999999999</v>
      </c>
      <c r="E243" s="326"/>
      <c r="F243" s="326"/>
      <c r="G243" s="325" t="s">
        <v>613</v>
      </c>
      <c r="H243" s="327"/>
      <c r="I243" s="327"/>
      <c r="J243" s="325"/>
    </row>
    <row r="244" spans="2:10" ht="18" x14ac:dyDescent="0.25">
      <c r="B244" s="324" t="s">
        <v>1242</v>
      </c>
      <c r="C244" s="325" t="s">
        <v>1123</v>
      </c>
      <c r="D244" s="325">
        <f>2*A_MH + A_MS</f>
        <v>34.080880000000001</v>
      </c>
      <c r="E244" s="326"/>
      <c r="F244" s="326"/>
      <c r="G244" s="325" t="s">
        <v>613</v>
      </c>
      <c r="H244" s="327"/>
      <c r="I244" s="327"/>
      <c r="J244" s="325"/>
    </row>
    <row r="245" spans="2:10" ht="18" x14ac:dyDescent="0.25">
      <c r="B245" s="324" t="s">
        <v>1122</v>
      </c>
      <c r="C245" s="325" t="s">
        <v>1243</v>
      </c>
      <c r="D245" s="325">
        <f>A_MH + A_MCl</f>
        <v>36.460940000000001</v>
      </c>
      <c r="E245" s="326"/>
      <c r="F245" s="326"/>
      <c r="G245" s="325" t="s">
        <v>613</v>
      </c>
      <c r="H245" s="327"/>
      <c r="I245" s="327"/>
      <c r="J245" s="325"/>
    </row>
    <row r="246" spans="2:10" ht="18" x14ac:dyDescent="0.25">
      <c r="B246" s="324" t="s">
        <v>872</v>
      </c>
      <c r="C246" s="325" t="s">
        <v>873</v>
      </c>
      <c r="D246" s="325">
        <f>A_MC+3*A_MH+A_MO+A_MH</f>
        <v>32.04186</v>
      </c>
      <c r="E246" s="326"/>
      <c r="F246" s="326"/>
      <c r="G246" s="325" t="s">
        <v>613</v>
      </c>
      <c r="H246" s="327"/>
      <c r="I246" s="327"/>
      <c r="J246" s="325"/>
    </row>
    <row r="247" spans="2:10" ht="18" x14ac:dyDescent="0.25">
      <c r="B247" s="324" t="s">
        <v>874</v>
      </c>
      <c r="C247" s="325" t="s">
        <v>875</v>
      </c>
      <c r="D247" s="325">
        <f>A_MC+3*A_MH+A_MC+2*A_MO+A_MH</f>
        <v>60.051960000000001</v>
      </c>
      <c r="E247" s="326"/>
      <c r="F247" s="326"/>
      <c r="G247" s="325" t="s">
        <v>613</v>
      </c>
      <c r="H247" s="327"/>
      <c r="I247" s="327"/>
      <c r="J247" s="325"/>
    </row>
    <row r="248" spans="2:10" ht="18" x14ac:dyDescent="0.25">
      <c r="B248" s="324" t="s">
        <v>1562</v>
      </c>
      <c r="C248" s="325" t="s">
        <v>1124</v>
      </c>
      <c r="D248" s="325">
        <f>A_MCa+A_MC+3*A_MO</f>
        <v>100.0869</v>
      </c>
      <c r="E248" s="326"/>
      <c r="F248" s="326"/>
      <c r="G248" s="325" t="s">
        <v>613</v>
      </c>
      <c r="H248" s="327"/>
      <c r="I248" s="327"/>
      <c r="J248" s="325"/>
    </row>
    <row r="249" spans="2:10" ht="18" x14ac:dyDescent="0.25">
      <c r="B249" s="324" t="s">
        <v>1244</v>
      </c>
      <c r="C249" s="325" t="s">
        <v>1245</v>
      </c>
      <c r="D249" s="325">
        <f>3*A_MCa+2*M_MPO4+4*M_MH2O</f>
        <v>382.23784440000003</v>
      </c>
      <c r="E249" s="326"/>
      <c r="F249" s="326"/>
      <c r="G249" s="325" t="s">
        <v>613</v>
      </c>
      <c r="H249" s="327"/>
      <c r="I249" s="327"/>
      <c r="J249" s="325"/>
    </row>
    <row r="250" spans="2:10" ht="18" x14ac:dyDescent="0.25">
      <c r="B250" s="324" t="s">
        <v>1563</v>
      </c>
      <c r="C250" s="325" t="s">
        <v>1125</v>
      </c>
      <c r="D250" s="325">
        <f>A_MMg+A_MN+4*A_MH+A_MP+4*A_MO+6*(M_MH2O)</f>
        <v>245.40650220000001</v>
      </c>
      <c r="E250" s="326"/>
      <c r="F250" s="326"/>
      <c r="G250" s="325" t="s">
        <v>613</v>
      </c>
      <c r="H250" s="327"/>
      <c r="I250" s="327"/>
      <c r="J250" s="325"/>
    </row>
    <row r="251" spans="2:10" ht="18" x14ac:dyDescent="0.25">
      <c r="B251" s="324" t="s">
        <v>1564</v>
      </c>
      <c r="C251" s="325" t="s">
        <v>1565</v>
      </c>
      <c r="D251" s="325">
        <f>A_MMg+A_MK+A_MP+4*A_MO+6*2*A_MH+6*A_MO</f>
        <v>266.46634219999999</v>
      </c>
      <c r="E251" s="326"/>
      <c r="F251" s="326"/>
      <c r="G251" s="325" t="s">
        <v>613</v>
      </c>
      <c r="H251" s="327"/>
      <c r="I251" s="327"/>
      <c r="J251" s="325"/>
    </row>
    <row r="252" spans="2:10" ht="18" x14ac:dyDescent="0.25">
      <c r="B252" s="324" t="s">
        <v>1246</v>
      </c>
      <c r="C252" s="325" t="s">
        <v>1247</v>
      </c>
      <c r="D252" s="325">
        <f>3*A_MFe+2*(A_MP+4*A_MO)+8*M_MH2O</f>
        <v>501.59996439999998</v>
      </c>
      <c r="E252" s="326"/>
      <c r="F252" s="326"/>
      <c r="G252" s="325" t="s">
        <v>613</v>
      </c>
      <c r="H252" s="327"/>
      <c r="I252" s="327"/>
      <c r="J252" s="325"/>
    </row>
    <row r="253" spans="2:10" ht="18" x14ac:dyDescent="0.25">
      <c r="B253" s="324" t="s">
        <v>1248</v>
      </c>
      <c r="C253" s="325" t="s">
        <v>1249</v>
      </c>
      <c r="D253" s="325">
        <f>A_MFe+A_MS</f>
        <v>87.91</v>
      </c>
      <c r="E253" s="326"/>
      <c r="F253" s="326"/>
      <c r="G253" s="325" t="s">
        <v>613</v>
      </c>
      <c r="H253" s="327"/>
      <c r="I253" s="327"/>
      <c r="J253" s="325"/>
    </row>
    <row r="254" spans="2:10" ht="18" x14ac:dyDescent="0.25">
      <c r="B254" s="324" t="s">
        <v>1566</v>
      </c>
      <c r="C254" s="325" t="s">
        <v>1567</v>
      </c>
      <c r="D254" s="325">
        <f>A_MFe+3*A_MCl</f>
        <v>162.20400000000001</v>
      </c>
      <c r="E254" s="326"/>
      <c r="F254" s="326"/>
      <c r="G254" s="325" t="s">
        <v>613</v>
      </c>
      <c r="H254" s="327"/>
      <c r="I254" s="327"/>
      <c r="J254" s="325"/>
    </row>
    <row r="255" spans="2:10" ht="18" x14ac:dyDescent="0.25">
      <c r="B255" s="324" t="s">
        <v>1568</v>
      </c>
      <c r="C255" s="325" t="s">
        <v>1569</v>
      </c>
      <c r="D255" s="325">
        <f>A_MFe+2*A_MCl</f>
        <v>126.751</v>
      </c>
      <c r="E255" s="326"/>
      <c r="F255" s="326"/>
      <c r="G255" s="325" t="s">
        <v>613</v>
      </c>
      <c r="H255" s="327"/>
      <c r="I255" s="327"/>
      <c r="J255" s="325"/>
    </row>
    <row r="256" spans="2:10" ht="18" x14ac:dyDescent="0.25">
      <c r="B256" s="324" t="s">
        <v>1570</v>
      </c>
      <c r="C256" s="325" t="s">
        <v>1571</v>
      </c>
      <c r="D256" s="325">
        <f>A_MFe+M_MSO4</f>
        <v>151.9076</v>
      </c>
      <c r="E256" s="326"/>
      <c r="F256" s="326"/>
      <c r="G256" s="325" t="s">
        <v>613</v>
      </c>
      <c r="H256" s="327"/>
      <c r="I256" s="327"/>
      <c r="J256" s="325"/>
    </row>
    <row r="257" spans="2:10" ht="18" x14ac:dyDescent="0.25">
      <c r="B257" s="324" t="s">
        <v>1126</v>
      </c>
      <c r="C257" s="325" t="s">
        <v>1127</v>
      </c>
      <c r="D257" s="325">
        <f>A_MSi + 2*A_MO</f>
        <v>60.084299999999999</v>
      </c>
      <c r="E257" s="326"/>
      <c r="F257" s="326"/>
      <c r="G257" s="325" t="s">
        <v>613</v>
      </c>
      <c r="H257" s="327"/>
      <c r="I257" s="327"/>
      <c r="J257" s="325"/>
    </row>
    <row r="258" spans="2:10" ht="18" x14ac:dyDescent="0.25">
      <c r="B258" s="324" t="s">
        <v>1572</v>
      </c>
      <c r="C258" s="325" t="s">
        <v>1573</v>
      </c>
      <c r="D258" s="325">
        <f>2*A_MCa+A_MP+4*A_MO+2*(A_MO+A_MH)</f>
        <v>209.14204219999999</v>
      </c>
      <c r="E258" s="326"/>
      <c r="F258" s="326"/>
      <c r="G258" s="325" t="s">
        <v>613</v>
      </c>
      <c r="H258" s="327"/>
      <c r="I258" s="327"/>
      <c r="J258" s="325"/>
    </row>
    <row r="259" spans="2:10" ht="18" x14ac:dyDescent="0.25">
      <c r="B259" s="324" t="s">
        <v>1574</v>
      </c>
      <c r="C259" s="325" t="s">
        <v>1575</v>
      </c>
      <c r="D259" s="325">
        <f>5*A_MCa+A_MP*3+4*3*A_MO+A_MO+A_MH</f>
        <v>502.3114266</v>
      </c>
      <c r="E259" s="326"/>
      <c r="F259" s="326"/>
      <c r="G259" s="325" t="s">
        <v>613</v>
      </c>
      <c r="H259" s="327"/>
      <c r="I259" s="327"/>
      <c r="J259" s="325"/>
    </row>
    <row r="260" spans="2:10" ht="18" x14ac:dyDescent="0.25">
      <c r="B260" s="324" t="s">
        <v>1576</v>
      </c>
      <c r="C260" s="325" t="s">
        <v>1577</v>
      </c>
      <c r="D260" s="325">
        <f>A_MCa+A_MO+A_MH</f>
        <v>57.085340000000002</v>
      </c>
      <c r="E260" s="326"/>
      <c r="F260" s="326"/>
      <c r="G260" s="325" t="s">
        <v>613</v>
      </c>
      <c r="H260" s="327"/>
      <c r="I260" s="327"/>
      <c r="J260" s="325"/>
    </row>
    <row r="261" spans="2:10" ht="18" x14ac:dyDescent="0.25">
      <c r="B261" s="324" t="s">
        <v>1578</v>
      </c>
      <c r="C261" s="325" t="s">
        <v>1579</v>
      </c>
      <c r="D261" s="325">
        <f>A_MCa+A_MH+A_MC+3*A_MO</f>
        <v>101.09484</v>
      </c>
      <c r="E261" s="326"/>
      <c r="F261" s="326"/>
      <c r="G261" s="325" t="s">
        <v>613</v>
      </c>
      <c r="H261" s="327"/>
      <c r="I261" s="327"/>
      <c r="J261" s="325"/>
    </row>
    <row r="262" spans="2:10" ht="18" x14ac:dyDescent="0.25">
      <c r="B262" s="324" t="s">
        <v>1580</v>
      </c>
      <c r="C262" s="325" t="s">
        <v>1581</v>
      </c>
      <c r="D262" s="325">
        <f>A_MCa+A_MP+4*A_MO</f>
        <v>135.04936219999999</v>
      </c>
      <c r="E262" s="326"/>
      <c r="F262" s="326"/>
      <c r="G262" s="325" t="s">
        <v>613</v>
      </c>
      <c r="H262" s="327"/>
      <c r="I262" s="327"/>
      <c r="J262" s="325"/>
    </row>
    <row r="263" spans="2:10" ht="18" x14ac:dyDescent="0.25">
      <c r="B263" s="324" t="s">
        <v>1582</v>
      </c>
      <c r="C263" s="325" t="s">
        <v>1583</v>
      </c>
      <c r="D263" s="325">
        <f>A_MCa+A_MH+A_MP+4*A_MO</f>
        <v>136.05730220000001</v>
      </c>
      <c r="E263" s="326"/>
      <c r="F263" s="326"/>
      <c r="G263" s="325" t="s">
        <v>613</v>
      </c>
      <c r="H263" s="327"/>
      <c r="I263" s="327"/>
      <c r="J263" s="325"/>
    </row>
    <row r="264" spans="2:10" ht="18" x14ac:dyDescent="0.25">
      <c r="B264" s="324" t="s">
        <v>1584</v>
      </c>
      <c r="C264" s="325" t="s">
        <v>1585</v>
      </c>
      <c r="D264" s="325">
        <f>A_MCa+2*A_MH+A_MP+4*A_MO</f>
        <v>137.0652422</v>
      </c>
      <c r="E264" s="326"/>
      <c r="F264" s="326"/>
      <c r="G264" s="325" t="s">
        <v>613</v>
      </c>
      <c r="H264" s="327"/>
      <c r="I264" s="327"/>
      <c r="J264" s="325"/>
    </row>
    <row r="265" spans="2:10" ht="18" x14ac:dyDescent="0.25">
      <c r="B265" s="324" t="s">
        <v>1586</v>
      </c>
      <c r="C265" s="325" t="s">
        <v>1587</v>
      </c>
      <c r="D265" s="325">
        <f>A_MMg+A_MO+A_MH</f>
        <v>41.312339999999999</v>
      </c>
      <c r="E265" s="326"/>
      <c r="F265" s="326"/>
      <c r="G265" s="325" t="s">
        <v>613</v>
      </c>
      <c r="H265" s="327"/>
      <c r="I265" s="327"/>
      <c r="J265" s="325"/>
    </row>
    <row r="266" spans="2:10" ht="18" x14ac:dyDescent="0.25">
      <c r="B266" s="324" t="s">
        <v>1588</v>
      </c>
      <c r="C266" s="325" t="s">
        <v>1589</v>
      </c>
      <c r="D266" s="325">
        <f>A_MMg+2*(A_MO+A_MH)</f>
        <v>58.319679999999998</v>
      </c>
      <c r="E266" s="326"/>
      <c r="F266" s="326"/>
      <c r="G266" s="325" t="s">
        <v>613</v>
      </c>
      <c r="H266" s="327"/>
      <c r="I266" s="327"/>
      <c r="J266" s="325"/>
    </row>
    <row r="267" spans="2:10" ht="18" x14ac:dyDescent="0.25">
      <c r="B267" s="324" t="s">
        <v>1590</v>
      </c>
      <c r="C267" s="325" t="s">
        <v>1591</v>
      </c>
      <c r="D267" s="325">
        <f>A_MMg+A_MC+3*A_MO</f>
        <v>84.31389999999999</v>
      </c>
      <c r="E267" s="326"/>
      <c r="F267" s="326"/>
      <c r="G267" s="325" t="s">
        <v>613</v>
      </c>
      <c r="H267" s="327"/>
      <c r="I267" s="327"/>
      <c r="J267" s="325"/>
    </row>
    <row r="268" spans="2:10" ht="18" x14ac:dyDescent="0.25">
      <c r="B268" s="324" t="s">
        <v>1592</v>
      </c>
      <c r="C268" s="325" t="s">
        <v>1593</v>
      </c>
      <c r="D268" s="325">
        <f>A_MMg+A_MH+A_MC+3*A_MO</f>
        <v>85.321839999999995</v>
      </c>
      <c r="E268" s="326"/>
      <c r="F268" s="326"/>
      <c r="G268" s="325" t="s">
        <v>613</v>
      </c>
      <c r="H268" s="327"/>
      <c r="I268" s="327"/>
      <c r="J268" s="325"/>
    </row>
    <row r="269" spans="2:10" ht="18" x14ac:dyDescent="0.25">
      <c r="B269" s="324" t="s">
        <v>1594</v>
      </c>
      <c r="C269" s="325" t="s">
        <v>1595</v>
      </c>
      <c r="D269" s="325">
        <f>A_MMg+A_MH+A_MP+4*A_MO</f>
        <v>120.2843022</v>
      </c>
      <c r="E269" s="326"/>
      <c r="F269" s="326"/>
      <c r="G269" s="325" t="s">
        <v>613</v>
      </c>
      <c r="H269" s="327"/>
      <c r="I269" s="327"/>
      <c r="J269" s="325"/>
    </row>
    <row r="270" spans="2:10" ht="18" x14ac:dyDescent="0.25">
      <c r="B270" s="324" t="s">
        <v>1596</v>
      </c>
      <c r="C270" s="325" t="s">
        <v>1597</v>
      </c>
      <c r="D270" s="325">
        <f>A_MMg+A_MP+4*A_MO</f>
        <v>119.27636219999999</v>
      </c>
      <c r="E270" s="326"/>
      <c r="F270" s="326"/>
      <c r="G270" s="325" t="s">
        <v>613</v>
      </c>
      <c r="H270" s="327"/>
      <c r="I270" s="327"/>
      <c r="J270" s="325"/>
    </row>
    <row r="271" spans="2:10" ht="18" x14ac:dyDescent="0.25">
      <c r="B271" s="324" t="s">
        <v>1598</v>
      </c>
      <c r="C271" s="325" t="s">
        <v>1599</v>
      </c>
      <c r="D271" s="325">
        <f>A_MMg+2*A_MH+A_MP+4*A_MO</f>
        <v>121.2922422</v>
      </c>
      <c r="E271" s="326"/>
      <c r="F271" s="326"/>
      <c r="G271" s="325" t="s">
        <v>613</v>
      </c>
      <c r="H271" s="327"/>
      <c r="I271" s="327"/>
      <c r="J271" s="325"/>
    </row>
    <row r="272" spans="2:10" ht="18" x14ac:dyDescent="0.25">
      <c r="B272" s="324" t="s">
        <v>1600</v>
      </c>
      <c r="C272" s="325" t="s">
        <v>1601</v>
      </c>
      <c r="D272" s="325">
        <f>A_MNa+A_MH+A_MP+4*A_MO</f>
        <v>118.9690712</v>
      </c>
      <c r="E272" s="326"/>
      <c r="F272" s="326"/>
      <c r="G272" s="325" t="s">
        <v>613</v>
      </c>
      <c r="H272" s="327"/>
      <c r="I272" s="327"/>
      <c r="J272" s="325"/>
    </row>
    <row r="273" spans="2:10" ht="18" x14ac:dyDescent="0.25">
      <c r="B273" s="324" t="s">
        <v>1602</v>
      </c>
      <c r="C273" s="325" t="s">
        <v>1603</v>
      </c>
      <c r="D273" s="325">
        <f>A_MNa+A_MCl</f>
        <v>58.442768999999998</v>
      </c>
      <c r="E273" s="326"/>
      <c r="F273" s="326"/>
      <c r="G273" s="325" t="s">
        <v>613</v>
      </c>
      <c r="H273" s="327"/>
      <c r="I273" s="327"/>
      <c r="J273" s="325"/>
    </row>
    <row r="274" spans="2:10" ht="18" x14ac:dyDescent="0.25">
      <c r="B274" s="324" t="s">
        <v>1604</v>
      </c>
      <c r="C274" s="325" t="s">
        <v>1605</v>
      </c>
      <c r="D274" s="325">
        <f>A_MNa+A_MH+A_MO</f>
        <v>39.997109000000002</v>
      </c>
      <c r="E274" s="326"/>
      <c r="F274" s="326"/>
      <c r="G274" s="325" t="s">
        <v>613</v>
      </c>
      <c r="H274" s="327"/>
      <c r="I274" s="327"/>
      <c r="J274" s="325"/>
    </row>
    <row r="275" spans="2:10" ht="18" x14ac:dyDescent="0.25">
      <c r="B275" s="324" t="s">
        <v>1606</v>
      </c>
      <c r="C275" s="325" t="s">
        <v>1607</v>
      </c>
      <c r="D275" s="325">
        <f>2*A_MNa+A_MC+3*A_MO</f>
        <v>105.988438</v>
      </c>
      <c r="E275" s="326"/>
      <c r="F275" s="326"/>
      <c r="G275" s="325" t="s">
        <v>613</v>
      </c>
      <c r="H275" s="327"/>
      <c r="I275" s="327"/>
      <c r="J275" s="325"/>
    </row>
    <row r="276" spans="2:10" ht="18" x14ac:dyDescent="0.25">
      <c r="B276" s="324" t="s">
        <v>1608</v>
      </c>
      <c r="C276" s="325" t="s">
        <v>1609</v>
      </c>
      <c r="D276" s="325">
        <f>A_MNa+A_MH+A_MC+3*A_MO</f>
        <v>84.006608999999997</v>
      </c>
      <c r="E276" s="326"/>
      <c r="F276" s="326"/>
      <c r="G276" s="325" t="s">
        <v>613</v>
      </c>
      <c r="H276" s="327"/>
      <c r="I276" s="327"/>
      <c r="J276" s="325"/>
    </row>
    <row r="277" spans="2:10" ht="18" x14ac:dyDescent="0.25">
      <c r="B277" s="324" t="s">
        <v>1610</v>
      </c>
      <c r="C277" s="325" t="s">
        <v>1611</v>
      </c>
      <c r="D277" s="325">
        <f>4*A_MH+A_MC+A_MS</f>
        <v>48.107459999999996</v>
      </c>
      <c r="E277" s="326"/>
      <c r="F277" s="326"/>
      <c r="G277" s="325" t="s">
        <v>613</v>
      </c>
      <c r="H277" s="327"/>
      <c r="I277" s="327"/>
      <c r="J277" s="325"/>
    </row>
    <row r="279" spans="2:10" ht="15.75" thickBot="1" x14ac:dyDescent="0.3">
      <c r="C279" s="328" t="s">
        <v>876</v>
      </c>
    </row>
    <row r="280" spans="2:10" ht="15.75" thickBot="1" x14ac:dyDescent="0.3">
      <c r="B280" s="329" t="s">
        <v>0</v>
      </c>
      <c r="C280" s="330" t="s">
        <v>1</v>
      </c>
      <c r="D280" s="331" t="s">
        <v>150</v>
      </c>
      <c r="E280" s="331" t="s">
        <v>550</v>
      </c>
      <c r="F280" s="331" t="s">
        <v>551</v>
      </c>
      <c r="G280" s="331" t="s">
        <v>2</v>
      </c>
      <c r="H280" s="331" t="s">
        <v>492</v>
      </c>
      <c r="I280" s="331" t="s">
        <v>114</v>
      </c>
      <c r="J280" s="332" t="s">
        <v>115</v>
      </c>
    </row>
    <row r="281" spans="2:10" ht="18" x14ac:dyDescent="0.25">
      <c r="B281" s="324" t="s">
        <v>1612</v>
      </c>
      <c r="C281" s="325" t="s">
        <v>1250</v>
      </c>
      <c r="D281" s="325">
        <f>2*A_MN</f>
        <v>28.013400000000001</v>
      </c>
      <c r="E281" s="326"/>
      <c r="F281" s="326"/>
      <c r="G281" s="325" t="s">
        <v>1613</v>
      </c>
      <c r="H281" s="327"/>
      <c r="I281" s="327"/>
      <c r="J281" s="325"/>
    </row>
    <row r="282" spans="2:10" ht="18" x14ac:dyDescent="0.25">
      <c r="B282" s="324" t="s">
        <v>1614</v>
      </c>
      <c r="C282" s="325" t="s">
        <v>1251</v>
      </c>
      <c r="D282" s="325">
        <f>A_MN</f>
        <v>14.0067</v>
      </c>
      <c r="E282" s="326"/>
      <c r="F282" s="326"/>
      <c r="G282" s="325" t="s">
        <v>1613</v>
      </c>
      <c r="H282" s="327"/>
      <c r="I282" s="327"/>
      <c r="J282" s="325"/>
    </row>
    <row r="283" spans="2:10" ht="18" x14ac:dyDescent="0.25">
      <c r="B283" s="324" t="s">
        <v>1615</v>
      </c>
      <c r="C283" s="325" t="s">
        <v>1252</v>
      </c>
      <c r="D283" s="325">
        <f>A_MN</f>
        <v>14.0067</v>
      </c>
      <c r="E283" s="326"/>
      <c r="F283" s="326"/>
      <c r="G283" s="325" t="s">
        <v>1613</v>
      </c>
      <c r="H283" s="327"/>
      <c r="I283" s="327"/>
      <c r="J283" s="325"/>
    </row>
    <row r="284" spans="2:10" ht="18" x14ac:dyDescent="0.25">
      <c r="B284" s="324" t="s">
        <v>1616</v>
      </c>
      <c r="C284" s="325" t="s">
        <v>1253</v>
      </c>
      <c r="D284" s="325">
        <f>2*A_MN</f>
        <v>28.013400000000001</v>
      </c>
      <c r="E284" s="326"/>
      <c r="F284" s="326"/>
      <c r="G284" s="325" t="s">
        <v>1613</v>
      </c>
      <c r="H284" s="327"/>
      <c r="I284" s="327"/>
      <c r="J284" s="325"/>
    </row>
    <row r="285" spans="2:10" ht="18" x14ac:dyDescent="0.25">
      <c r="B285" s="324" t="s">
        <v>1617</v>
      </c>
      <c r="C285" s="325" t="s">
        <v>1254</v>
      </c>
      <c r="D285" s="325">
        <v>12.0107</v>
      </c>
      <c r="E285" s="326"/>
      <c r="F285" s="326"/>
      <c r="G285" s="325" t="s">
        <v>613</v>
      </c>
      <c r="H285" s="327"/>
      <c r="I285" s="327"/>
      <c r="J285" s="325" t="s">
        <v>1618</v>
      </c>
    </row>
    <row r="286" spans="2:10" ht="18" x14ac:dyDescent="0.25">
      <c r="B286" s="324" t="s">
        <v>1619</v>
      </c>
      <c r="C286" s="325" t="s">
        <v>1255</v>
      </c>
      <c r="D286" s="325">
        <f>2*A_MO</f>
        <v>31.998799999999999</v>
      </c>
      <c r="E286" s="326"/>
      <c r="F286" s="326"/>
      <c r="G286" s="325" t="s">
        <v>613</v>
      </c>
      <c r="H286" s="327"/>
      <c r="I286" s="327"/>
      <c r="J286" s="325"/>
    </row>
    <row r="287" spans="2:10" ht="18" x14ac:dyDescent="0.25">
      <c r="B287" s="324" t="s">
        <v>877</v>
      </c>
      <c r="C287" s="325" t="s">
        <v>1256</v>
      </c>
      <c r="D287" s="325">
        <v>63.997599999999998</v>
      </c>
      <c r="E287" s="326"/>
      <c r="F287" s="326"/>
      <c r="G287" s="325" t="s">
        <v>1620</v>
      </c>
      <c r="H287" s="327"/>
      <c r="I287" s="327"/>
      <c r="J287" s="325"/>
    </row>
    <row r="288" spans="2:10" ht="18" x14ac:dyDescent="0.25">
      <c r="B288" s="324" t="s">
        <v>878</v>
      </c>
      <c r="C288" s="325" t="s">
        <v>1257</v>
      </c>
      <c r="D288" s="325">
        <f>2*7.9997</f>
        <v>15.9994</v>
      </c>
      <c r="E288" s="326"/>
      <c r="F288" s="326"/>
      <c r="G288" s="325" t="s">
        <v>1620</v>
      </c>
      <c r="H288" s="327"/>
      <c r="I288" s="327"/>
      <c r="J288" s="325"/>
    </row>
    <row r="289" spans="2:10" ht="18" x14ac:dyDescent="0.25">
      <c r="B289" s="324" t="s">
        <v>1621</v>
      </c>
      <c r="C289" s="325" t="s">
        <v>1622</v>
      </c>
      <c r="D289" s="325">
        <f>A_MS</f>
        <v>32.064999999999998</v>
      </c>
      <c r="E289" s="326"/>
      <c r="F289" s="326"/>
      <c r="G289" s="325" t="s">
        <v>1623</v>
      </c>
      <c r="H289" s="327"/>
      <c r="I289" s="327"/>
      <c r="J289" s="325"/>
    </row>
    <row r="291" spans="2:10" ht="15.75" thickBot="1" x14ac:dyDescent="0.3">
      <c r="C291" s="328" t="s">
        <v>879</v>
      </c>
    </row>
    <row r="292" spans="2:10" ht="15.75" thickBot="1" x14ac:dyDescent="0.3">
      <c r="B292" s="329" t="s">
        <v>0</v>
      </c>
      <c r="C292" s="330" t="s">
        <v>1</v>
      </c>
      <c r="D292" s="331" t="s">
        <v>150</v>
      </c>
      <c r="E292" s="331" t="s">
        <v>550</v>
      </c>
      <c r="F292" s="331" t="s">
        <v>551</v>
      </c>
      <c r="G292" s="331" t="s">
        <v>2</v>
      </c>
      <c r="H292" s="331" t="s">
        <v>492</v>
      </c>
      <c r="I292" s="331" t="s">
        <v>114</v>
      </c>
      <c r="J292" s="332" t="s">
        <v>115</v>
      </c>
    </row>
    <row r="293" spans="2:10" ht="18" x14ac:dyDescent="0.25">
      <c r="B293" s="324" t="s">
        <v>1128</v>
      </c>
      <c r="C293" s="325" t="s">
        <v>1624</v>
      </c>
      <c r="D293" s="325">
        <f>10^-13.997</f>
        <v>1.0069316688518014E-14</v>
      </c>
      <c r="E293" s="326"/>
      <c r="F293" s="326"/>
      <c r="G293" s="325"/>
      <c r="H293" s="327"/>
      <c r="I293" s="327"/>
      <c r="J293" s="325" t="s">
        <v>1625</v>
      </c>
    </row>
    <row r="294" spans="2:10" ht="18" x14ac:dyDescent="0.25">
      <c r="B294" s="324" t="s">
        <v>1626</v>
      </c>
      <c r="C294" s="325" t="s">
        <v>1627</v>
      </c>
      <c r="D294" s="325">
        <f>10^-9.244</f>
        <v>5.7016427228074759E-10</v>
      </c>
      <c r="E294" s="326"/>
      <c r="F294" s="326"/>
      <c r="G294" s="325"/>
      <c r="H294" s="327"/>
      <c r="I294" s="327"/>
      <c r="J294" s="325" t="s">
        <v>1628</v>
      </c>
    </row>
    <row r="295" spans="2:10" ht="18" x14ac:dyDescent="0.25">
      <c r="B295" s="324" t="s">
        <v>1629</v>
      </c>
      <c r="C295" s="325" t="s">
        <v>1630</v>
      </c>
      <c r="D295" s="325">
        <f>10^-3.35</f>
        <v>4.4668359215096267E-4</v>
      </c>
      <c r="E295" s="326"/>
      <c r="F295" s="326"/>
      <c r="G295" s="325"/>
      <c r="H295" s="327"/>
      <c r="I295" s="327"/>
      <c r="J295" s="325" t="s">
        <v>1631</v>
      </c>
    </row>
    <row r="296" spans="2:10" ht="18" x14ac:dyDescent="0.25">
      <c r="B296" s="324" t="s">
        <v>1129</v>
      </c>
      <c r="C296" s="325" t="s">
        <v>1632</v>
      </c>
      <c r="D296" s="325">
        <f>10^-6.352</f>
        <v>4.4463126746910741E-7</v>
      </c>
      <c r="E296" s="326"/>
      <c r="F296" s="326"/>
      <c r="G296" s="325"/>
      <c r="H296" s="327"/>
      <c r="I296" s="327"/>
      <c r="J296" s="325" t="s">
        <v>1633</v>
      </c>
    </row>
    <row r="297" spans="2:10" ht="18" x14ac:dyDescent="0.25">
      <c r="B297" s="324" t="s">
        <v>1130</v>
      </c>
      <c r="C297" s="325" t="s">
        <v>1634</v>
      </c>
      <c r="D297" s="325">
        <f>10^-10.329</f>
        <v>4.6881338214526346E-11</v>
      </c>
      <c r="E297" s="326"/>
      <c r="F297" s="326"/>
      <c r="G297" s="325"/>
      <c r="H297" s="327"/>
      <c r="I297" s="327"/>
      <c r="J297" s="325" t="s">
        <v>1635</v>
      </c>
    </row>
    <row r="298" spans="2:10" ht="18" x14ac:dyDescent="0.25">
      <c r="B298" s="324" t="s">
        <v>1131</v>
      </c>
      <c r="C298" s="325" t="s">
        <v>1636</v>
      </c>
      <c r="D298" s="325">
        <f>10^-2.148</f>
        <v>7.1121351365332815E-3</v>
      </c>
      <c r="E298" s="326"/>
      <c r="F298" s="326"/>
      <c r="G298" s="325"/>
      <c r="H298" s="327"/>
      <c r="I298" s="327"/>
      <c r="J298" s="325" t="s">
        <v>1637</v>
      </c>
    </row>
    <row r="299" spans="2:10" ht="18" x14ac:dyDescent="0.25">
      <c r="B299" s="324" t="s">
        <v>1132</v>
      </c>
      <c r="C299" s="325" t="s">
        <v>1638</v>
      </c>
      <c r="D299" s="325">
        <f>10^-7.198</f>
        <v>6.3386971125692633E-8</v>
      </c>
      <c r="E299" s="326"/>
      <c r="F299" s="326"/>
      <c r="G299" s="325"/>
      <c r="H299" s="327"/>
      <c r="I299" s="327"/>
      <c r="J299" s="325" t="s">
        <v>1639</v>
      </c>
    </row>
    <row r="300" spans="2:10" ht="18" x14ac:dyDescent="0.25">
      <c r="B300" s="324" t="s">
        <v>1133</v>
      </c>
      <c r="C300" s="325" t="s">
        <v>1640</v>
      </c>
      <c r="D300" s="325">
        <f>10^-12.375</f>
        <v>4.216965034285812E-13</v>
      </c>
      <c r="E300" s="326"/>
      <c r="F300" s="326"/>
      <c r="G300" s="325"/>
      <c r="H300" s="327"/>
      <c r="I300" s="327"/>
      <c r="J300" s="325" t="s">
        <v>1641</v>
      </c>
    </row>
    <row r="301" spans="2:10" ht="18" x14ac:dyDescent="0.25">
      <c r="B301" s="324" t="s">
        <v>1642</v>
      </c>
      <c r="C301" s="325" t="s">
        <v>1643</v>
      </c>
      <c r="D301" s="325">
        <f>10^-4.757</f>
        <v>1.7498466886246563E-5</v>
      </c>
      <c r="E301" s="326"/>
      <c r="F301" s="326"/>
      <c r="G301" s="325"/>
      <c r="H301" s="327"/>
      <c r="I301" s="327"/>
      <c r="J301" s="325" t="s">
        <v>1644</v>
      </c>
    </row>
    <row r="302" spans="2:10" ht="18" x14ac:dyDescent="0.25">
      <c r="B302" s="324" t="s">
        <v>1645</v>
      </c>
      <c r="C302" s="325" t="s">
        <v>1646</v>
      </c>
      <c r="D302" s="325">
        <f>10^(-7.02)</f>
        <v>9.5499258602143556E-8</v>
      </c>
      <c r="E302" s="326"/>
      <c r="F302" s="326"/>
      <c r="G302" s="325"/>
      <c r="H302" s="327"/>
      <c r="I302" s="327"/>
      <c r="J302" s="325" t="s">
        <v>1647</v>
      </c>
    </row>
    <row r="303" spans="2:10" ht="18" x14ac:dyDescent="0.25">
      <c r="B303" s="324" t="s">
        <v>1648</v>
      </c>
      <c r="C303" s="325" t="s">
        <v>1649</v>
      </c>
      <c r="D303" s="325">
        <f>10^(-17.3)</f>
        <v>5.0118723362726963E-18</v>
      </c>
      <c r="E303" s="326"/>
      <c r="F303" s="326"/>
      <c r="G303" s="325"/>
      <c r="H303" s="327"/>
      <c r="I303" s="327"/>
      <c r="J303" s="325" t="s">
        <v>1647</v>
      </c>
    </row>
    <row r="304" spans="2:10" ht="18" x14ac:dyDescent="0.25">
      <c r="B304" s="324" t="s">
        <v>1650</v>
      </c>
      <c r="C304" s="325" t="s">
        <v>1651</v>
      </c>
      <c r="D304" s="325">
        <f>10^(3)</f>
        <v>1000</v>
      </c>
      <c r="E304" s="326"/>
      <c r="F304" s="326"/>
      <c r="G304" s="325"/>
      <c r="H304" s="327"/>
      <c r="I304" s="327"/>
      <c r="J304" s="325" t="s">
        <v>1652</v>
      </c>
    </row>
    <row r="305" spans="2:10" ht="18" x14ac:dyDescent="0.25">
      <c r="B305" s="324" t="s">
        <v>1653</v>
      </c>
      <c r="C305" s="325" t="s">
        <v>1654</v>
      </c>
      <c r="D305" s="325">
        <f>10^(-1.99)</f>
        <v>1.0232929922807535E-2</v>
      </c>
      <c r="E305" s="326"/>
      <c r="F305" s="326"/>
      <c r="G305" s="325"/>
      <c r="H305" s="327"/>
      <c r="I305" s="327"/>
      <c r="J305" s="325" t="s">
        <v>1655</v>
      </c>
    </row>
    <row r="306" spans="2:10" ht="18" x14ac:dyDescent="0.25">
      <c r="B306" s="324" t="s">
        <v>1656</v>
      </c>
      <c r="C306" s="325" t="s">
        <v>1646</v>
      </c>
      <c r="D306" s="325">
        <f>10^(-7.02)</f>
        <v>9.5499258602143556E-8</v>
      </c>
      <c r="E306" s="326"/>
      <c r="F306" s="326"/>
      <c r="G306" s="325"/>
      <c r="H306" s="327"/>
      <c r="I306" s="327"/>
      <c r="J306" s="325" t="s">
        <v>1655</v>
      </c>
    </row>
    <row r="308" spans="2:10" ht="15.75" thickBot="1" x14ac:dyDescent="0.3">
      <c r="C308" s="328" t="s">
        <v>1657</v>
      </c>
    </row>
    <row r="309" spans="2:10" ht="15.75" thickBot="1" x14ac:dyDescent="0.3">
      <c r="B309" s="329" t="s">
        <v>0</v>
      </c>
      <c r="C309" s="330" t="s">
        <v>1</v>
      </c>
      <c r="D309" s="331" t="s">
        <v>150</v>
      </c>
      <c r="E309" s="331" t="s">
        <v>550</v>
      </c>
      <c r="F309" s="331" t="s">
        <v>551</v>
      </c>
      <c r="G309" s="331" t="s">
        <v>2</v>
      </c>
      <c r="H309" s="331" t="s">
        <v>492</v>
      </c>
      <c r="I309" s="331" t="s">
        <v>114</v>
      </c>
      <c r="J309" s="332" t="s">
        <v>115</v>
      </c>
    </row>
    <row r="310" spans="2:10" ht="18" x14ac:dyDescent="0.25">
      <c r="B310" s="324" t="s">
        <v>1658</v>
      </c>
      <c r="C310" s="325" t="s">
        <v>1659</v>
      </c>
      <c r="D310" s="325">
        <f>10^(-6.35)</f>
        <v>4.4668359215096327E-7</v>
      </c>
      <c r="E310" s="326"/>
      <c r="F310" s="326"/>
      <c r="G310" s="325"/>
      <c r="H310" s="327"/>
      <c r="I310" s="327"/>
      <c r="J310" s="325"/>
    </row>
    <row r="311" spans="2:10" ht="18" x14ac:dyDescent="0.25">
      <c r="B311" s="324" t="s">
        <v>1660</v>
      </c>
      <c r="C311" s="325" t="s">
        <v>1661</v>
      </c>
      <c r="D311" s="325">
        <v>6.9180000000000002E-14</v>
      </c>
      <c r="E311" s="326"/>
      <c r="F311" s="326"/>
      <c r="G311" s="325"/>
      <c r="H311" s="327"/>
      <c r="I311" s="327"/>
      <c r="J311" s="325"/>
    </row>
    <row r="312" spans="2:10" ht="18" x14ac:dyDescent="0.25">
      <c r="B312" s="324" t="s">
        <v>1662</v>
      </c>
      <c r="C312" s="325" t="s">
        <v>1663</v>
      </c>
      <c r="D312" s="325">
        <v>3.162277660168363E-26</v>
      </c>
      <c r="E312" s="326"/>
      <c r="F312" s="326"/>
      <c r="G312" s="325"/>
      <c r="H312" s="327"/>
      <c r="I312" s="327"/>
      <c r="J312" s="325" t="s">
        <v>1664</v>
      </c>
    </row>
    <row r="313" spans="2:10" ht="18" x14ac:dyDescent="0.25">
      <c r="B313" s="324" t="s">
        <v>1665</v>
      </c>
      <c r="C313" s="325" t="s">
        <v>1666</v>
      </c>
      <c r="D313" s="325">
        <v>9.9999999999999994E-37</v>
      </c>
      <c r="E313" s="326"/>
      <c r="F313" s="326"/>
      <c r="G313" s="325"/>
      <c r="H313" s="327"/>
      <c r="I313" s="327"/>
      <c r="J313" s="325" t="s">
        <v>1667</v>
      </c>
    </row>
    <row r="314" spans="2:10" ht="18" x14ac:dyDescent="0.25">
      <c r="B314" s="324" t="s">
        <v>1668</v>
      </c>
      <c r="C314" s="325" t="s">
        <v>1669</v>
      </c>
      <c r="D314" s="325">
        <f>3.7*10^-19</f>
        <v>3.7000000000000001E-19</v>
      </c>
      <c r="E314" s="326"/>
      <c r="F314" s="326"/>
      <c r="G314" s="325"/>
      <c r="H314" s="327"/>
      <c r="I314" s="327"/>
      <c r="J314" s="325"/>
    </row>
    <row r="315" spans="2:10" ht="18" x14ac:dyDescent="0.25">
      <c r="B315" s="324" t="s">
        <v>1670</v>
      </c>
      <c r="C315" s="325" t="s">
        <v>1671</v>
      </c>
      <c r="D315" s="325">
        <v>2.7500000000000001E-22</v>
      </c>
      <c r="E315" s="326"/>
      <c r="F315" s="326"/>
      <c r="G315" s="325"/>
      <c r="H315" s="327"/>
      <c r="I315" s="327"/>
      <c r="J315" s="325"/>
    </row>
    <row r="316" spans="2:10" ht="18" x14ac:dyDescent="0.25">
      <c r="B316" s="324" t="s">
        <v>1672</v>
      </c>
      <c r="C316" s="325" t="s">
        <v>1673</v>
      </c>
      <c r="D316" s="325">
        <f>10^(-16)</f>
        <v>9.9999999999999998E-17</v>
      </c>
      <c r="E316" s="326"/>
      <c r="F316" s="326"/>
      <c r="G316" s="325"/>
      <c r="H316" s="327"/>
      <c r="I316" s="327"/>
      <c r="J316" s="325"/>
    </row>
    <row r="318" spans="2:10" ht="15.75" thickBot="1" x14ac:dyDescent="0.3">
      <c r="C318" s="328" t="s">
        <v>880</v>
      </c>
    </row>
    <row r="319" spans="2:10" ht="15.75" thickBot="1" x14ac:dyDescent="0.3">
      <c r="B319" s="329" t="s">
        <v>0</v>
      </c>
      <c r="C319" s="330" t="s">
        <v>1</v>
      </c>
      <c r="D319" s="331" t="s">
        <v>150</v>
      </c>
      <c r="E319" s="331" t="s">
        <v>550</v>
      </c>
      <c r="F319" s="331" t="s">
        <v>551</v>
      </c>
      <c r="G319" s="331" t="s">
        <v>2</v>
      </c>
      <c r="H319" s="331" t="s">
        <v>492</v>
      </c>
      <c r="I319" s="331" t="s">
        <v>114</v>
      </c>
      <c r="J319" s="332" t="s">
        <v>115</v>
      </c>
    </row>
    <row r="320" spans="2:10" ht="18" x14ac:dyDescent="0.25">
      <c r="B320" s="324" t="s">
        <v>881</v>
      </c>
      <c r="C320" s="325" t="s">
        <v>882</v>
      </c>
      <c r="D320" s="325">
        <f>3*A_MO/(2*A_MN)</f>
        <v>1.7134014435948508</v>
      </c>
      <c r="E320" s="326"/>
      <c r="F320" s="326"/>
      <c r="G320" s="325" t="s">
        <v>1674</v>
      </c>
      <c r="H320" s="327"/>
      <c r="I320" s="327"/>
      <c r="J320" s="325" t="s">
        <v>883</v>
      </c>
    </row>
    <row r="321" spans="2:10" ht="18" x14ac:dyDescent="0.25">
      <c r="B321" s="324" t="s">
        <v>884</v>
      </c>
      <c r="C321" s="325" t="s">
        <v>885</v>
      </c>
      <c r="D321" s="325">
        <f>2*A_MO/(A_MN)</f>
        <v>2.2845352581264677</v>
      </c>
      <c r="E321" s="326"/>
      <c r="F321" s="326"/>
      <c r="G321" s="325" t="s">
        <v>1674</v>
      </c>
      <c r="H321" s="327"/>
      <c r="I321" s="327"/>
      <c r="J321" s="325" t="s">
        <v>883</v>
      </c>
    </row>
    <row r="322" spans="2:10" ht="18" x14ac:dyDescent="0.25">
      <c r="B322" s="324" t="s">
        <v>886</v>
      </c>
      <c r="C322" s="325" t="s">
        <v>887</v>
      </c>
      <c r="D322" s="325">
        <f>2.5*A_MO/(A_MN)</f>
        <v>2.8556690726580851</v>
      </c>
      <c r="E322" s="326"/>
      <c r="F322" s="326"/>
      <c r="G322" s="325" t="s">
        <v>1674</v>
      </c>
      <c r="H322" s="327"/>
      <c r="I322" s="327"/>
      <c r="J322" s="325" t="s">
        <v>883</v>
      </c>
    </row>
    <row r="323" spans="2:10" ht="18" x14ac:dyDescent="0.25">
      <c r="B323" s="324" t="s">
        <v>888</v>
      </c>
      <c r="C323" s="325" t="s">
        <v>889</v>
      </c>
      <c r="D323" s="325">
        <f>3*A_MO/A_MN</f>
        <v>3.4268028871897016</v>
      </c>
      <c r="E323" s="326"/>
      <c r="F323" s="326"/>
      <c r="G323" s="325" t="s">
        <v>1674</v>
      </c>
      <c r="H323" s="327"/>
      <c r="I323" s="327"/>
      <c r="J323" s="325" t="s">
        <v>883</v>
      </c>
    </row>
    <row r="324" spans="2:10" ht="18" x14ac:dyDescent="0.25">
      <c r="B324" s="324" t="s">
        <v>890</v>
      </c>
      <c r="C324" s="325" t="s">
        <v>891</v>
      </c>
      <c r="D324" s="325">
        <f>4*A_MO/A_MN</f>
        <v>4.5690705162529355</v>
      </c>
      <c r="E324" s="326"/>
      <c r="F324" s="326"/>
      <c r="G324" s="325" t="s">
        <v>1674</v>
      </c>
      <c r="H324" s="327"/>
      <c r="I324" s="327"/>
      <c r="J324" s="325" t="s">
        <v>883</v>
      </c>
    </row>
    <row r="325" spans="2:10" ht="18" x14ac:dyDescent="0.25">
      <c r="B325" s="324" t="s">
        <v>1134</v>
      </c>
      <c r="C325" s="325" t="s">
        <v>892</v>
      </c>
      <c r="D325" s="325">
        <f>A_MO/A_MN</f>
        <v>1.1422676290632339</v>
      </c>
      <c r="E325" s="326"/>
      <c r="F325" s="326"/>
      <c r="G325" s="325" t="s">
        <v>1674</v>
      </c>
      <c r="H325" s="327"/>
      <c r="I325" s="327"/>
      <c r="J325" s="325"/>
    </row>
    <row r="326" spans="2:10" ht="18" x14ac:dyDescent="0.25">
      <c r="B326" s="324" t="s">
        <v>1135</v>
      </c>
      <c r="C326" s="325" t="s">
        <v>893</v>
      </c>
      <c r="D326" s="325">
        <f>3*A_MO/(2*A_MN)</f>
        <v>1.7134014435948508</v>
      </c>
      <c r="E326" s="326"/>
      <c r="F326" s="326"/>
      <c r="G326" s="325" t="s">
        <v>1674</v>
      </c>
      <c r="H326" s="327"/>
      <c r="I326" s="327"/>
      <c r="J326" s="325"/>
    </row>
    <row r="327" spans="2:10" ht="18" x14ac:dyDescent="0.25">
      <c r="B327" s="324" t="s">
        <v>1136</v>
      </c>
      <c r="C327" s="325" t="s">
        <v>894</v>
      </c>
      <c r="D327" s="325">
        <f>0.5*A_MO/A_MN</f>
        <v>0.57113381453161693</v>
      </c>
      <c r="E327" s="326"/>
      <c r="F327" s="326"/>
      <c r="G327" s="325" t="s">
        <v>1674</v>
      </c>
      <c r="H327" s="327"/>
      <c r="I327" s="327"/>
      <c r="J327" s="325"/>
    </row>
    <row r="328" spans="2:10" ht="18" x14ac:dyDescent="0.25">
      <c r="B328" s="324" t="s">
        <v>1137</v>
      </c>
      <c r="C328" s="325" t="s">
        <v>895</v>
      </c>
      <c r="D328" s="325">
        <f>0.5*A_MO/A_MN</f>
        <v>0.57113381453161693</v>
      </c>
      <c r="E328" s="326"/>
      <c r="F328" s="326"/>
      <c r="G328" s="325" t="s">
        <v>1674</v>
      </c>
      <c r="H328" s="327"/>
      <c r="I328" s="327"/>
      <c r="J328" s="325"/>
    </row>
    <row r="329" spans="2:10" ht="18" x14ac:dyDescent="0.25">
      <c r="B329" s="324" t="s">
        <v>1138</v>
      </c>
      <c r="C329" s="325" t="s">
        <v>896</v>
      </c>
      <c r="D329" s="325">
        <f>0.5*A_MO/A_MN</f>
        <v>0.57113381453161693</v>
      </c>
      <c r="E329" s="326"/>
      <c r="F329" s="326"/>
      <c r="G329" s="325" t="s">
        <v>1674</v>
      </c>
      <c r="H329" s="327"/>
      <c r="I329" s="327"/>
      <c r="J329" s="325"/>
    </row>
    <row r="330" spans="2:10" ht="18" x14ac:dyDescent="0.25">
      <c r="B330" s="324" t="s">
        <v>1258</v>
      </c>
      <c r="C330" s="325" t="s">
        <v>897</v>
      </c>
      <c r="D330" s="325">
        <f>5*A_MO/(2*A_MN)</f>
        <v>2.8556690726580851</v>
      </c>
      <c r="E330" s="326"/>
      <c r="F330" s="326"/>
      <c r="G330" s="325" t="s">
        <v>1674</v>
      </c>
      <c r="H330" s="327"/>
      <c r="I330" s="327"/>
      <c r="J330" s="325"/>
    </row>
    <row r="331" spans="2:10" ht="18" x14ac:dyDescent="0.25">
      <c r="B331" s="324" t="s">
        <v>1675</v>
      </c>
      <c r="C331" s="325" t="s">
        <v>1676</v>
      </c>
      <c r="D331" s="325">
        <f>8/A_MFe</f>
        <v>0.14325364849136002</v>
      </c>
      <c r="E331" s="326"/>
      <c r="F331" s="326"/>
      <c r="G331" s="325" t="s">
        <v>1677</v>
      </c>
      <c r="H331" s="327"/>
      <c r="I331" s="327"/>
      <c r="J331" s="325"/>
    </row>
    <row r="332" spans="2:10" ht="18" x14ac:dyDescent="0.25">
      <c r="B332" s="324" t="s">
        <v>1678</v>
      </c>
      <c r="C332" s="325" t="s">
        <v>1679</v>
      </c>
      <c r="D332" s="325">
        <f>3*A_MO/(A_MS)</f>
        <v>1.4969031654451894</v>
      </c>
      <c r="E332" s="326"/>
      <c r="F332" s="326"/>
      <c r="G332" s="325" t="s">
        <v>1680</v>
      </c>
      <c r="H332" s="327"/>
      <c r="I332" s="327"/>
      <c r="J332" s="325" t="s">
        <v>1681</v>
      </c>
    </row>
    <row r="333" spans="2:10" ht="18" x14ac:dyDescent="0.25">
      <c r="B333" s="324" t="s">
        <v>1301</v>
      </c>
      <c r="C333" s="325" t="s">
        <v>1259</v>
      </c>
      <c r="D333" s="325">
        <f>4*A_MO/(A_MS)</f>
        <v>1.9958708872602526</v>
      </c>
      <c r="E333" s="326"/>
      <c r="F333" s="326"/>
      <c r="G333" s="325" t="s">
        <v>1682</v>
      </c>
      <c r="H333" s="327"/>
      <c r="I333" s="327"/>
      <c r="J333" s="325" t="s">
        <v>1681</v>
      </c>
    </row>
    <row r="335" spans="2:10" ht="15.75" thickBot="1" x14ac:dyDescent="0.3">
      <c r="C335" s="328" t="s">
        <v>1139</v>
      </c>
    </row>
    <row r="336" spans="2:10" ht="15.75" thickBot="1" x14ac:dyDescent="0.3">
      <c r="B336" s="329" t="s">
        <v>0</v>
      </c>
      <c r="C336" s="330" t="s">
        <v>1</v>
      </c>
      <c r="D336" s="331" t="s">
        <v>150</v>
      </c>
      <c r="E336" s="331" t="s">
        <v>550</v>
      </c>
      <c r="F336" s="331" t="s">
        <v>551</v>
      </c>
      <c r="G336" s="331" t="s">
        <v>2</v>
      </c>
      <c r="H336" s="331" t="s">
        <v>492</v>
      </c>
      <c r="I336" s="331" t="s">
        <v>114</v>
      </c>
      <c r="J336" s="332" t="s">
        <v>115</v>
      </c>
    </row>
    <row r="337" spans="2:10" ht="18" x14ac:dyDescent="0.25">
      <c r="B337" s="324" t="s">
        <v>1140</v>
      </c>
      <c r="C337" s="325" t="s">
        <v>1141</v>
      </c>
      <c r="D337" s="325">
        <v>0.5</v>
      </c>
      <c r="E337" s="326"/>
      <c r="F337" s="326"/>
      <c r="G337" s="325"/>
      <c r="H337" s="327"/>
      <c r="I337" s="327"/>
      <c r="J337" s="325" t="s">
        <v>1260</v>
      </c>
    </row>
    <row r="338" spans="2:10" ht="18" x14ac:dyDescent="0.25">
      <c r="B338" s="324" t="s">
        <v>1142</v>
      </c>
      <c r="C338" s="325" t="s">
        <v>1143</v>
      </c>
      <c r="D338" s="325">
        <v>0.5</v>
      </c>
      <c r="E338" s="326"/>
      <c r="F338" s="326"/>
      <c r="G338" s="325"/>
      <c r="H338" s="327"/>
      <c r="I338" s="327"/>
      <c r="J338" s="325" t="s">
        <v>1261</v>
      </c>
    </row>
    <row r="339" spans="2:10" ht="18" x14ac:dyDescent="0.25">
      <c r="B339" s="324" t="s">
        <v>1144</v>
      </c>
      <c r="C339" s="325" t="s">
        <v>1145</v>
      </c>
      <c r="D339" s="325">
        <v>2</v>
      </c>
      <c r="E339" s="326"/>
      <c r="F339" s="326"/>
      <c r="G339" s="325"/>
      <c r="H339" s="327"/>
      <c r="I339" s="327"/>
      <c r="J339" s="325" t="s">
        <v>1262</v>
      </c>
    </row>
    <row r="340" spans="2:10" ht="18" x14ac:dyDescent="0.25">
      <c r="B340" s="324" t="s">
        <v>1146</v>
      </c>
      <c r="C340" s="325" t="s">
        <v>1147</v>
      </c>
      <c r="D340" s="325">
        <v>2</v>
      </c>
      <c r="E340" s="326"/>
      <c r="F340" s="326"/>
      <c r="G340" s="325"/>
      <c r="H340" s="327"/>
      <c r="I340" s="327"/>
      <c r="J340" s="325" t="s">
        <v>1263</v>
      </c>
    </row>
    <row r="341" spans="2:10" ht="18" x14ac:dyDescent="0.25">
      <c r="B341" s="324" t="s">
        <v>1148</v>
      </c>
      <c r="C341" s="325" t="s">
        <v>1149</v>
      </c>
      <c r="D341" s="325">
        <v>4.5</v>
      </c>
      <c r="E341" s="326"/>
      <c r="F341" s="326"/>
      <c r="G341" s="325"/>
      <c r="H341" s="327"/>
      <c r="I341" s="327"/>
      <c r="J341" s="325" t="s">
        <v>1264</v>
      </c>
    </row>
    <row r="342" spans="2:10" ht="18" x14ac:dyDescent="0.25">
      <c r="B342" s="324" t="s">
        <v>1150</v>
      </c>
      <c r="C342" s="325" t="s">
        <v>1151</v>
      </c>
      <c r="D342" s="325">
        <v>4.5</v>
      </c>
      <c r="E342" s="326"/>
      <c r="F342" s="326"/>
      <c r="G342" s="325"/>
      <c r="H342" s="327"/>
      <c r="I342" s="327"/>
      <c r="J342" s="325" t="s">
        <v>1265</v>
      </c>
    </row>
    <row r="344" spans="2:10" ht="15.75" thickBot="1" x14ac:dyDescent="0.3">
      <c r="C344" s="328" t="s">
        <v>1152</v>
      </c>
    </row>
    <row r="345" spans="2:10" ht="15.75" thickBot="1" x14ac:dyDescent="0.3">
      <c r="B345" s="329" t="s">
        <v>0</v>
      </c>
      <c r="C345" s="330" t="s">
        <v>1</v>
      </c>
      <c r="D345" s="331" t="s">
        <v>150</v>
      </c>
      <c r="E345" s="331" t="s">
        <v>550</v>
      </c>
      <c r="F345" s="331" t="s">
        <v>551</v>
      </c>
      <c r="G345" s="331" t="s">
        <v>2</v>
      </c>
      <c r="H345" s="331" t="s">
        <v>492</v>
      </c>
      <c r="I345" s="331" t="s">
        <v>114</v>
      </c>
      <c r="J345" s="332" t="s">
        <v>115</v>
      </c>
    </row>
    <row r="346" spans="2:10" ht="18" x14ac:dyDescent="0.25">
      <c r="B346" s="324" t="s">
        <v>1153</v>
      </c>
      <c r="C346" s="325" t="s">
        <v>1154</v>
      </c>
      <c r="D346" s="325">
        <v>6.4135999999999997E-5</v>
      </c>
      <c r="E346" s="326"/>
      <c r="F346" s="326"/>
      <c r="G346" s="325" t="s">
        <v>1155</v>
      </c>
      <c r="H346" s="327"/>
      <c r="I346" s="327"/>
      <c r="J346" s="325" t="s">
        <v>1683</v>
      </c>
    </row>
    <row r="348" spans="2:10" ht="15.75" thickBot="1" x14ac:dyDescent="0.3">
      <c r="C348" s="328" t="s">
        <v>1152</v>
      </c>
    </row>
    <row r="349" spans="2:10" ht="15.75" thickBot="1" x14ac:dyDescent="0.3">
      <c r="B349" s="329" t="s">
        <v>0</v>
      </c>
      <c r="C349" s="330" t="s">
        <v>1</v>
      </c>
      <c r="D349" s="331" t="s">
        <v>150</v>
      </c>
      <c r="E349" s="331" t="s">
        <v>550</v>
      </c>
      <c r="F349" s="331" t="s">
        <v>551</v>
      </c>
      <c r="G349" s="331" t="s">
        <v>2</v>
      </c>
      <c r="H349" s="331" t="s">
        <v>492</v>
      </c>
      <c r="I349" s="331" t="s">
        <v>114</v>
      </c>
      <c r="J349" s="332" t="s">
        <v>115</v>
      </c>
    </row>
    <row r="350" spans="2:10" ht="18" x14ac:dyDescent="0.25">
      <c r="B350" s="324" t="s">
        <v>1684</v>
      </c>
      <c r="C350" s="325" t="s">
        <v>1685</v>
      </c>
      <c r="D350" s="325">
        <v>0.6</v>
      </c>
      <c r="E350" s="326" t="s">
        <v>1308</v>
      </c>
      <c r="F350" s="326" t="s">
        <v>1686</v>
      </c>
      <c r="G350" s="325" t="s">
        <v>1687</v>
      </c>
      <c r="H350" s="327"/>
      <c r="I350" s="327"/>
      <c r="J350" s="325" t="s">
        <v>1688</v>
      </c>
    </row>
    <row r="352" spans="2:10" ht="15.75" thickBot="1" x14ac:dyDescent="0.3">
      <c r="C352" s="328" t="s">
        <v>1156</v>
      </c>
    </row>
    <row r="353" spans="2:10" ht="15.75" thickBot="1" x14ac:dyDescent="0.3">
      <c r="B353" s="329" t="s">
        <v>0</v>
      </c>
      <c r="C353" s="330" t="s">
        <v>1</v>
      </c>
      <c r="D353" s="331" t="s">
        <v>150</v>
      </c>
      <c r="E353" s="331" t="s">
        <v>550</v>
      </c>
      <c r="F353" s="331" t="s">
        <v>551</v>
      </c>
      <c r="G353" s="331" t="s">
        <v>2</v>
      </c>
      <c r="H353" s="331" t="s">
        <v>492</v>
      </c>
      <c r="I353" s="331" t="s">
        <v>114</v>
      </c>
      <c r="J353" s="332" t="s">
        <v>115</v>
      </c>
    </row>
    <row r="354" spans="2:10" ht="18" x14ac:dyDescent="0.25">
      <c r="B354" s="324" t="s">
        <v>1157</v>
      </c>
      <c r="C354" s="325" t="s">
        <v>1158</v>
      </c>
      <c r="D354" s="325">
        <v>1000000</v>
      </c>
      <c r="E354" s="326"/>
      <c r="F354" s="326"/>
      <c r="G354" s="325" t="s">
        <v>1689</v>
      </c>
      <c r="H354" s="327"/>
      <c r="I354" s="327"/>
      <c r="J354" s="325"/>
    </row>
    <row r="355" spans="2:10" ht="18" x14ac:dyDescent="0.25">
      <c r="B355" s="324" t="s">
        <v>1322</v>
      </c>
      <c r="C355" s="325" t="s">
        <v>1323</v>
      </c>
      <c r="D355" s="325">
        <v>100</v>
      </c>
      <c r="E355" s="326"/>
      <c r="F355" s="326"/>
      <c r="G355" s="325" t="s">
        <v>1690</v>
      </c>
      <c r="H355" s="327"/>
      <c r="I355" s="327"/>
      <c r="J355" s="325"/>
    </row>
    <row r="356" spans="2:10" ht="18" x14ac:dyDescent="0.25">
      <c r="B356" s="324" t="s">
        <v>1324</v>
      </c>
      <c r="C356" s="325" t="s">
        <v>1325</v>
      </c>
      <c r="D356" s="325">
        <v>100</v>
      </c>
      <c r="E356" s="326"/>
      <c r="F356" s="326"/>
      <c r="G356" s="325" t="s">
        <v>1326</v>
      </c>
      <c r="H356" s="327"/>
      <c r="I356" s="327"/>
      <c r="J356" s="325"/>
    </row>
    <row r="357" spans="2:10" ht="18" x14ac:dyDescent="0.25">
      <c r="B357" s="324" t="s">
        <v>1159</v>
      </c>
      <c r="C357" s="325" t="s">
        <v>1691</v>
      </c>
      <c r="D357" s="325">
        <v>86400</v>
      </c>
      <c r="E357" s="326"/>
      <c r="F357" s="326"/>
      <c r="G357" s="325" t="s">
        <v>1692</v>
      </c>
      <c r="H357" s="327"/>
      <c r="I357" s="327"/>
      <c r="J357" s="325"/>
    </row>
    <row r="358" spans="2:10" ht="18" x14ac:dyDescent="0.25">
      <c r="B358" s="324" t="s">
        <v>1693</v>
      </c>
      <c r="C358" s="325" t="s">
        <v>1694</v>
      </c>
      <c r="D358" s="325">
        <v>3600</v>
      </c>
      <c r="E358" s="326"/>
      <c r="F358" s="326"/>
      <c r="G358" s="325" t="s">
        <v>1695</v>
      </c>
      <c r="H358" s="327"/>
      <c r="I358" s="327"/>
      <c r="J358" s="325"/>
    </row>
    <row r="359" spans="2:10" ht="18" x14ac:dyDescent="0.25">
      <c r="B359" s="324" t="s">
        <v>1696</v>
      </c>
      <c r="C359" s="325" t="s">
        <v>1697</v>
      </c>
      <c r="D359" s="325">
        <v>60</v>
      </c>
      <c r="E359" s="326"/>
      <c r="F359" s="326"/>
      <c r="G359" s="325" t="s">
        <v>1698</v>
      </c>
      <c r="H359" s="327"/>
      <c r="I359" s="327"/>
      <c r="J359" s="325"/>
    </row>
    <row r="360" spans="2:10" ht="18" x14ac:dyDescent="0.25">
      <c r="B360" s="324" t="s">
        <v>1699</v>
      </c>
      <c r="C360" s="325" t="s">
        <v>1700</v>
      </c>
      <c r="D360" s="325">
        <v>24</v>
      </c>
      <c r="E360" s="326"/>
      <c r="F360" s="326"/>
      <c r="G360" s="325" t="s">
        <v>1701</v>
      </c>
      <c r="H360" s="327"/>
      <c r="I360" s="327"/>
      <c r="J360" s="325"/>
    </row>
    <row r="361" spans="2:10" ht="18" x14ac:dyDescent="0.25">
      <c r="B361" s="324" t="s">
        <v>1702</v>
      </c>
      <c r="C361" s="325" t="s">
        <v>1703</v>
      </c>
      <c r="D361" s="325">
        <v>86400000</v>
      </c>
      <c r="E361" s="326"/>
      <c r="F361" s="326"/>
      <c r="G361" s="325" t="s">
        <v>1704</v>
      </c>
      <c r="H361" s="327"/>
      <c r="I361" s="327"/>
      <c r="J361" s="325"/>
    </row>
    <row r="362" spans="2:10" ht="18" x14ac:dyDescent="0.25">
      <c r="B362" s="324" t="s">
        <v>1266</v>
      </c>
      <c r="C362" s="325" t="s">
        <v>1267</v>
      </c>
      <c r="D362" s="325">
        <v>3600000</v>
      </c>
      <c r="E362" s="326"/>
      <c r="F362" s="326"/>
      <c r="G362" s="325" t="s">
        <v>1268</v>
      </c>
      <c r="H362" s="327"/>
      <c r="I362" s="327"/>
      <c r="J362" s="325"/>
    </row>
    <row r="363" spans="2:10" ht="18" x14ac:dyDescent="0.25">
      <c r="B363" s="324" t="s">
        <v>1705</v>
      </c>
      <c r="C363" s="325" t="s">
        <v>1706</v>
      </c>
      <c r="D363" s="325">
        <v>60000</v>
      </c>
      <c r="E363" s="326"/>
      <c r="F363" s="326"/>
      <c r="G363" s="325" t="s">
        <v>1707</v>
      </c>
      <c r="H363" s="327"/>
      <c r="I363" s="327"/>
      <c r="J363" s="325"/>
    </row>
    <row r="364" spans="2:10" ht="18" x14ac:dyDescent="0.25">
      <c r="B364" s="324" t="s">
        <v>1708</v>
      </c>
      <c r="C364" s="325" t="s">
        <v>1709</v>
      </c>
      <c r="D364" s="325">
        <v>1000</v>
      </c>
      <c r="E364" s="326"/>
      <c r="F364" s="326"/>
      <c r="G364" s="325" t="s">
        <v>1710</v>
      </c>
      <c r="H364" s="327"/>
      <c r="I364" s="327"/>
      <c r="J364" s="325"/>
    </row>
    <row r="365" spans="2:10" ht="18" x14ac:dyDescent="0.25">
      <c r="B365" s="324" t="s">
        <v>1160</v>
      </c>
      <c r="C365" s="325" t="s">
        <v>1161</v>
      </c>
      <c r="D365" s="325">
        <v>1000</v>
      </c>
      <c r="E365" s="326"/>
      <c r="F365" s="326"/>
      <c r="G365" s="325" t="s">
        <v>1711</v>
      </c>
      <c r="H365" s="327"/>
      <c r="I365" s="327"/>
      <c r="J365" s="325"/>
    </row>
    <row r="366" spans="2:10" ht="18" x14ac:dyDescent="0.25">
      <c r="B366" s="324" t="s">
        <v>1162</v>
      </c>
      <c r="C366" s="325" t="s">
        <v>1163</v>
      </c>
      <c r="D366" s="325">
        <v>1000</v>
      </c>
      <c r="E366" s="326"/>
      <c r="F366" s="326"/>
      <c r="G366" s="325" t="s">
        <v>1712</v>
      </c>
      <c r="H366" s="327"/>
      <c r="I366" s="327"/>
      <c r="J366" s="325"/>
    </row>
    <row r="367" spans="2:10" ht="18" x14ac:dyDescent="0.25">
      <c r="B367" s="324" t="s">
        <v>1164</v>
      </c>
      <c r="C367" s="325" t="s">
        <v>1713</v>
      </c>
      <c r="D367" s="325">
        <v>1000</v>
      </c>
      <c r="E367" s="326"/>
      <c r="F367" s="326"/>
      <c r="G367" s="325" t="s">
        <v>1714</v>
      </c>
      <c r="H367" s="327"/>
      <c r="I367" s="327"/>
      <c r="J367" s="325"/>
    </row>
    <row r="368" spans="2:10" ht="18" x14ac:dyDescent="0.25">
      <c r="B368" s="333" t="s">
        <v>1715</v>
      </c>
      <c r="C368" s="333" t="s">
        <v>1716</v>
      </c>
      <c r="D368" s="333">
        <v>1000</v>
      </c>
      <c r="E368" s="333"/>
      <c r="F368" s="333"/>
      <c r="G368" s="333" t="s">
        <v>1717</v>
      </c>
      <c r="H368" s="333"/>
      <c r="I368" s="333"/>
      <c r="J368" s="333"/>
    </row>
    <row r="369" spans="2:10" ht="18" x14ac:dyDescent="0.25">
      <c r="B369" s="324" t="s">
        <v>1165</v>
      </c>
      <c r="C369" s="325" t="s">
        <v>1718</v>
      </c>
      <c r="D369" s="325">
        <v>133.32236800000001</v>
      </c>
      <c r="E369" s="326"/>
      <c r="F369" s="326"/>
      <c r="G369" s="325" t="s">
        <v>1719</v>
      </c>
      <c r="H369" s="327"/>
      <c r="I369" s="327"/>
      <c r="J369" s="325"/>
    </row>
    <row r="370" spans="2:10" ht="18" x14ac:dyDescent="0.25">
      <c r="B370" s="324" t="s">
        <v>1166</v>
      </c>
      <c r="C370" s="325" t="s">
        <v>1720</v>
      </c>
      <c r="D370" s="325">
        <v>100000</v>
      </c>
      <c r="E370" s="326"/>
      <c r="F370" s="326"/>
      <c r="G370" s="325" t="s">
        <v>1721</v>
      </c>
      <c r="H370" s="327"/>
      <c r="I370" s="327"/>
      <c r="J370" s="325"/>
    </row>
    <row r="371" spans="2:10" ht="18" x14ac:dyDescent="0.25">
      <c r="B371" s="324" t="s">
        <v>1722</v>
      </c>
      <c r="C371" s="325" t="s">
        <v>1723</v>
      </c>
      <c r="D371" s="325">
        <v>100</v>
      </c>
      <c r="E371" s="326"/>
      <c r="F371" s="326"/>
      <c r="G371" s="325" t="s">
        <v>1724</v>
      </c>
      <c r="H371" s="327"/>
      <c r="I371" s="327"/>
      <c r="J371" s="325"/>
    </row>
    <row r="372" spans="2:10" ht="18" x14ac:dyDescent="0.25">
      <c r="B372" s="324" t="s">
        <v>1167</v>
      </c>
      <c r="C372" s="325" t="s">
        <v>1725</v>
      </c>
      <c r="D372" s="325">
        <v>10000</v>
      </c>
      <c r="E372" s="326"/>
      <c r="F372" s="326"/>
      <c r="G372" s="325" t="s">
        <v>1724</v>
      </c>
      <c r="H372" s="327"/>
      <c r="I372" s="327"/>
      <c r="J372" s="325"/>
    </row>
    <row r="373" spans="2:10" ht="18" x14ac:dyDescent="0.25">
      <c r="B373" s="324" t="s">
        <v>1726</v>
      </c>
      <c r="C373" s="325" t="s">
        <v>1727</v>
      </c>
      <c r="D373" s="325">
        <v>1000000</v>
      </c>
      <c r="E373" s="326"/>
      <c r="F373" s="326"/>
      <c r="G373" s="325" t="s">
        <v>1728</v>
      </c>
      <c r="H373" s="327"/>
      <c r="I373" s="327"/>
      <c r="J373" s="325"/>
    </row>
    <row r="375" spans="2:10" ht="15.75" thickBot="1" x14ac:dyDescent="0.3">
      <c r="C375" s="328" t="s">
        <v>1168</v>
      </c>
    </row>
    <row r="376" spans="2:10" ht="15.75" thickBot="1" x14ac:dyDescent="0.3">
      <c r="B376" s="329" t="s">
        <v>0</v>
      </c>
      <c r="C376" s="330" t="s">
        <v>1</v>
      </c>
      <c r="D376" s="331" t="s">
        <v>150</v>
      </c>
      <c r="E376" s="331" t="s">
        <v>550</v>
      </c>
      <c r="F376" s="331" t="s">
        <v>551</v>
      </c>
      <c r="G376" s="331" t="s">
        <v>2</v>
      </c>
      <c r="H376" s="331" t="s">
        <v>492</v>
      </c>
      <c r="I376" s="331" t="s">
        <v>114</v>
      </c>
      <c r="J376" s="332" t="s">
        <v>115</v>
      </c>
    </row>
    <row r="377" spans="2:10" ht="18" x14ac:dyDescent="0.25">
      <c r="B377" s="324" t="s">
        <v>1269</v>
      </c>
      <c r="C377" s="325" t="s">
        <v>1169</v>
      </c>
      <c r="D377" s="325">
        <v>0</v>
      </c>
      <c r="E377" s="326"/>
      <c r="F377" s="326"/>
      <c r="G377" s="325" t="s">
        <v>1729</v>
      </c>
      <c r="H377" s="327"/>
      <c r="I377" s="327"/>
      <c r="J377" s="325" t="s">
        <v>1170</v>
      </c>
    </row>
    <row r="378" spans="2:10" ht="18" x14ac:dyDescent="0.25">
      <c r="B378" s="324" t="s">
        <v>1270</v>
      </c>
      <c r="C378" s="325" t="s">
        <v>1171</v>
      </c>
      <c r="D378" s="325">
        <v>-285840</v>
      </c>
      <c r="E378" s="326"/>
      <c r="F378" s="326"/>
      <c r="G378" s="325" t="s">
        <v>1729</v>
      </c>
      <c r="H378" s="327"/>
      <c r="I378" s="327"/>
      <c r="J378" s="325" t="s">
        <v>1172</v>
      </c>
    </row>
    <row r="379" spans="2:10" ht="18" x14ac:dyDescent="0.25">
      <c r="B379" s="324" t="s">
        <v>1271</v>
      </c>
      <c r="C379" s="325" t="s">
        <v>1173</v>
      </c>
      <c r="D379" s="325">
        <v>-229994</v>
      </c>
      <c r="E379" s="326"/>
      <c r="F379" s="326"/>
      <c r="G379" s="325" t="s">
        <v>1729</v>
      </c>
      <c r="H379" s="327"/>
      <c r="I379" s="327"/>
      <c r="J379" s="325" t="s">
        <v>1170</v>
      </c>
    </row>
    <row r="380" spans="2:10" ht="18" x14ac:dyDescent="0.25">
      <c r="B380" s="324" t="s">
        <v>1272</v>
      </c>
      <c r="C380" s="325" t="s">
        <v>1174</v>
      </c>
      <c r="D380" s="325">
        <v>-80920</v>
      </c>
      <c r="E380" s="326"/>
      <c r="F380" s="326"/>
      <c r="G380" s="325" t="s">
        <v>1729</v>
      </c>
      <c r="H380" s="327"/>
      <c r="I380" s="327"/>
      <c r="J380" s="325" t="s">
        <v>1170</v>
      </c>
    </row>
    <row r="381" spans="2:10" ht="18" x14ac:dyDescent="0.25">
      <c r="B381" s="324" t="s">
        <v>1273</v>
      </c>
      <c r="C381" s="325" t="s">
        <v>1175</v>
      </c>
      <c r="D381" s="325">
        <v>-132510</v>
      </c>
      <c r="E381" s="326"/>
      <c r="F381" s="326"/>
      <c r="G381" s="325" t="s">
        <v>1729</v>
      </c>
      <c r="H381" s="327"/>
      <c r="I381" s="327"/>
      <c r="J381" s="325" t="s">
        <v>1170</v>
      </c>
    </row>
    <row r="382" spans="2:10" ht="18" x14ac:dyDescent="0.25">
      <c r="B382" s="324" t="s">
        <v>1274</v>
      </c>
      <c r="C382" s="325" t="s">
        <v>1176</v>
      </c>
      <c r="D382" s="325">
        <v>-119200</v>
      </c>
      <c r="E382" s="326"/>
      <c r="F382" s="326"/>
      <c r="G382" s="325" t="s">
        <v>1729</v>
      </c>
      <c r="H382" s="327"/>
      <c r="I382" s="327"/>
      <c r="J382" s="325" t="s">
        <v>1170</v>
      </c>
    </row>
    <row r="383" spans="2:10" ht="18" x14ac:dyDescent="0.25">
      <c r="B383" s="324" t="s">
        <v>1275</v>
      </c>
      <c r="C383" s="325" t="s">
        <v>1177</v>
      </c>
      <c r="D383" s="325">
        <v>-106000</v>
      </c>
      <c r="E383" s="326"/>
      <c r="F383" s="326"/>
      <c r="G383" s="325" t="s">
        <v>1729</v>
      </c>
      <c r="H383" s="327"/>
      <c r="I383" s="327"/>
      <c r="J383" s="325" t="s">
        <v>1172</v>
      </c>
    </row>
    <row r="384" spans="2:10" ht="18" x14ac:dyDescent="0.25">
      <c r="B384" s="324" t="s">
        <v>1276</v>
      </c>
      <c r="C384" s="325" t="s">
        <v>1178</v>
      </c>
      <c r="D384" s="325">
        <v>-205000</v>
      </c>
      <c r="E384" s="326"/>
      <c r="F384" s="326"/>
      <c r="G384" s="325" t="s">
        <v>1729</v>
      </c>
      <c r="H384" s="327"/>
      <c r="I384" s="327"/>
      <c r="J384" s="325" t="s">
        <v>1170</v>
      </c>
    </row>
    <row r="385" spans="2:10" ht="18" x14ac:dyDescent="0.25">
      <c r="B385" s="324" t="s">
        <v>1277</v>
      </c>
      <c r="C385" s="325" t="s">
        <v>1179</v>
      </c>
      <c r="D385" s="325">
        <v>-699650</v>
      </c>
      <c r="E385" s="326"/>
      <c r="F385" s="326"/>
      <c r="G385" s="325" t="s">
        <v>1729</v>
      </c>
      <c r="H385" s="327"/>
      <c r="I385" s="327"/>
      <c r="J385" s="325" t="s">
        <v>1170</v>
      </c>
    </row>
    <row r="386" spans="2:10" ht="18" x14ac:dyDescent="0.25">
      <c r="B386" s="324" t="s">
        <v>1278</v>
      </c>
      <c r="C386" s="325" t="s">
        <v>1180</v>
      </c>
      <c r="D386" s="325">
        <v>-691990</v>
      </c>
      <c r="E386" s="326"/>
      <c r="F386" s="326"/>
      <c r="G386" s="325" t="s">
        <v>1729</v>
      </c>
      <c r="H386" s="327"/>
      <c r="I386" s="327"/>
      <c r="J386" s="325" t="s">
        <v>1170</v>
      </c>
    </row>
    <row r="387" spans="2:10" ht="18" x14ac:dyDescent="0.25">
      <c r="B387" s="324" t="s">
        <v>1279</v>
      </c>
      <c r="C387" s="325" t="s">
        <v>1181</v>
      </c>
      <c r="D387" s="325">
        <v>-677140</v>
      </c>
      <c r="E387" s="326"/>
      <c r="F387" s="326"/>
      <c r="G387" s="325" t="s">
        <v>1729</v>
      </c>
      <c r="H387" s="327"/>
      <c r="I387" s="327"/>
      <c r="J387" s="325" t="s">
        <v>1170</v>
      </c>
    </row>
    <row r="388" spans="2:10" ht="18" x14ac:dyDescent="0.25">
      <c r="B388" s="324" t="s">
        <v>1280</v>
      </c>
      <c r="C388" s="325" t="s">
        <v>1182</v>
      </c>
      <c r="D388" s="325">
        <v>-1299144</v>
      </c>
      <c r="E388" s="326"/>
      <c r="F388" s="326"/>
      <c r="G388" s="325" t="s">
        <v>1729</v>
      </c>
      <c r="H388" s="327"/>
      <c r="I388" s="327"/>
      <c r="J388" s="325" t="s">
        <v>1183</v>
      </c>
    </row>
    <row r="389" spans="2:10" ht="18" x14ac:dyDescent="0.25">
      <c r="B389" s="324" t="s">
        <v>1281</v>
      </c>
      <c r="C389" s="325" t="s">
        <v>1184</v>
      </c>
      <c r="D389" s="325">
        <v>1296000</v>
      </c>
      <c r="E389" s="326"/>
      <c r="F389" s="326"/>
      <c r="G389" s="325" t="s">
        <v>1729</v>
      </c>
      <c r="H389" s="327"/>
      <c r="I389" s="327"/>
      <c r="J389" s="325" t="s">
        <v>1185</v>
      </c>
    </row>
    <row r="390" spans="2:10" ht="18" x14ac:dyDescent="0.25">
      <c r="B390" s="324" t="s">
        <v>1282</v>
      </c>
      <c r="C390" s="325" t="s">
        <v>1186</v>
      </c>
      <c r="D390" s="325">
        <v>-1292000</v>
      </c>
      <c r="E390" s="326"/>
      <c r="F390" s="326"/>
      <c r="G390" s="325" t="s">
        <v>1729</v>
      </c>
      <c r="H390" s="327"/>
      <c r="I390" s="327"/>
      <c r="J390" s="325" t="s">
        <v>1185</v>
      </c>
    </row>
    <row r="391" spans="2:10" ht="18" x14ac:dyDescent="0.25">
      <c r="B391" s="324" t="s">
        <v>1283</v>
      </c>
      <c r="C391" s="325" t="s">
        <v>1187</v>
      </c>
      <c r="D391" s="325">
        <v>-1277400</v>
      </c>
      <c r="E391" s="326"/>
      <c r="F391" s="326"/>
      <c r="G391" s="325" t="s">
        <v>1729</v>
      </c>
      <c r="H391" s="327"/>
      <c r="I391" s="327"/>
      <c r="J391" s="325" t="s">
        <v>1170</v>
      </c>
    </row>
    <row r="392" spans="2:10" ht="18" x14ac:dyDescent="0.25">
      <c r="B392" s="324" t="s">
        <v>1284</v>
      </c>
      <c r="C392" s="325" t="s">
        <v>1188</v>
      </c>
      <c r="D392" s="325">
        <v>-488453</v>
      </c>
      <c r="E392" s="326"/>
      <c r="F392" s="326"/>
      <c r="G392" s="325" t="s">
        <v>1729</v>
      </c>
      <c r="H392" s="327"/>
      <c r="I392" s="327"/>
      <c r="J392" s="325" t="s">
        <v>1172</v>
      </c>
    </row>
    <row r="393" spans="2:10" ht="18" x14ac:dyDescent="0.25">
      <c r="B393" s="324" t="s">
        <v>1285</v>
      </c>
      <c r="C393" s="325" t="s">
        <v>1189</v>
      </c>
      <c r="D393" s="325">
        <v>-488871</v>
      </c>
      <c r="E393" s="326"/>
      <c r="F393" s="326"/>
      <c r="G393" s="325" t="s">
        <v>1729</v>
      </c>
      <c r="H393" s="327"/>
      <c r="I393" s="327"/>
      <c r="J393" s="325" t="s">
        <v>1172</v>
      </c>
    </row>
    <row r="394" spans="2:10" ht="18" x14ac:dyDescent="0.25">
      <c r="B394" s="324" t="s">
        <v>1730</v>
      </c>
      <c r="C394" s="325" t="s">
        <v>1731</v>
      </c>
      <c r="D394" s="325">
        <v>-39000</v>
      </c>
      <c r="E394" s="326"/>
      <c r="F394" s="326"/>
      <c r="G394" s="325" t="s">
        <v>1729</v>
      </c>
      <c r="H394" s="327"/>
      <c r="I394" s="327"/>
      <c r="J394" s="325" t="s">
        <v>1172</v>
      </c>
    </row>
    <row r="395" spans="2:10" ht="18" x14ac:dyDescent="0.25">
      <c r="B395" s="324" t="s">
        <v>1732</v>
      </c>
      <c r="C395" s="325" t="s">
        <v>1733</v>
      </c>
      <c r="D395" s="325">
        <v>-17000</v>
      </c>
      <c r="E395" s="326"/>
      <c r="F395" s="326"/>
      <c r="G395" s="325" t="s">
        <v>1729</v>
      </c>
      <c r="H395" s="327"/>
      <c r="I395" s="327"/>
      <c r="J395" s="325" t="s">
        <v>1734</v>
      </c>
    </row>
    <row r="396" spans="2:10" ht="18" x14ac:dyDescent="0.25">
      <c r="B396" s="324" t="s">
        <v>1735</v>
      </c>
      <c r="C396" s="325" t="s">
        <v>1736</v>
      </c>
      <c r="D396" s="325">
        <v>33000</v>
      </c>
      <c r="E396" s="326"/>
      <c r="F396" s="326"/>
      <c r="G396" s="325" t="s">
        <v>1729</v>
      </c>
      <c r="H396" s="327"/>
      <c r="I396" s="327"/>
      <c r="J396" s="325" t="s">
        <v>1172</v>
      </c>
    </row>
    <row r="397" spans="2:10" ht="18" x14ac:dyDescent="0.25">
      <c r="B397" s="324" t="s">
        <v>1737</v>
      </c>
      <c r="C397" s="325" t="s">
        <v>1738</v>
      </c>
      <c r="D397" s="325">
        <v>-909000</v>
      </c>
      <c r="E397" s="326"/>
      <c r="F397" s="326"/>
      <c r="G397" s="325" t="s">
        <v>1729</v>
      </c>
      <c r="H397" s="327"/>
      <c r="I397" s="327"/>
      <c r="J397" s="325" t="s">
        <v>1185</v>
      </c>
    </row>
    <row r="398" spans="2:10" ht="18" x14ac:dyDescent="0.25">
      <c r="B398" s="324" t="s">
        <v>1739</v>
      </c>
      <c r="C398" s="325" t="s">
        <v>1740</v>
      </c>
      <c r="D398" s="325">
        <v>-887000</v>
      </c>
      <c r="E398" s="326"/>
      <c r="F398" s="326"/>
      <c r="G398" s="325" t="s">
        <v>1729</v>
      </c>
      <c r="H398" s="327"/>
      <c r="I398" s="327"/>
      <c r="J398" s="325" t="s">
        <v>1741</v>
      </c>
    </row>
    <row r="399" spans="2:10" ht="18" x14ac:dyDescent="0.25">
      <c r="B399" s="324" t="s">
        <v>1742</v>
      </c>
      <c r="C399" s="325" t="s">
        <v>1743</v>
      </c>
      <c r="D399" s="325">
        <v>-909000</v>
      </c>
      <c r="E399" s="326"/>
      <c r="F399" s="326"/>
      <c r="G399" s="325" t="s">
        <v>1729</v>
      </c>
      <c r="H399" s="327"/>
      <c r="I399" s="327"/>
      <c r="J399" s="325" t="s">
        <v>1185</v>
      </c>
    </row>
    <row r="400" spans="2:10" ht="18" x14ac:dyDescent="0.25">
      <c r="B400" s="324" t="s">
        <v>1744</v>
      </c>
      <c r="C400" s="325" t="s">
        <v>1745</v>
      </c>
      <c r="D400" s="325">
        <v>-542960</v>
      </c>
      <c r="E400" s="326"/>
      <c r="F400" s="326"/>
      <c r="G400" s="325" t="s">
        <v>1729</v>
      </c>
      <c r="H400" s="327"/>
      <c r="I400" s="327"/>
      <c r="J400" s="325" t="s">
        <v>1172</v>
      </c>
    </row>
    <row r="401" spans="2:12" ht="18" x14ac:dyDescent="0.25">
      <c r="B401" s="324" t="s">
        <v>1746</v>
      </c>
      <c r="C401" s="325" t="s">
        <v>1747</v>
      </c>
      <c r="D401" s="325">
        <v>-461960</v>
      </c>
      <c r="E401" s="326"/>
      <c r="F401" s="326"/>
      <c r="G401" s="325" t="s">
        <v>1729</v>
      </c>
      <c r="H401" s="327"/>
      <c r="I401" s="327"/>
      <c r="J401" s="325" t="s">
        <v>1172</v>
      </c>
    </row>
    <row r="402" spans="2:12" ht="18" x14ac:dyDescent="0.25">
      <c r="B402" s="324" t="s">
        <v>1748</v>
      </c>
      <c r="C402" s="325" t="s">
        <v>1749</v>
      </c>
      <c r="D402" s="325">
        <v>-239660</v>
      </c>
      <c r="E402" s="326"/>
      <c r="F402" s="326"/>
      <c r="G402" s="325" t="s">
        <v>1729</v>
      </c>
      <c r="H402" s="327"/>
      <c r="I402" s="327"/>
      <c r="J402" s="325" t="s">
        <v>1172</v>
      </c>
    </row>
    <row r="404" spans="2:12" ht="15.75" thickBot="1" x14ac:dyDescent="0.3">
      <c r="C404" s="328" t="s">
        <v>1190</v>
      </c>
    </row>
    <row r="405" spans="2:12" ht="15.75" thickBot="1" x14ac:dyDescent="0.3">
      <c r="B405" s="329" t="s">
        <v>0</v>
      </c>
      <c r="C405" s="330" t="s">
        <v>1</v>
      </c>
      <c r="D405" s="331" t="s">
        <v>150</v>
      </c>
      <c r="E405" s="331" t="s">
        <v>550</v>
      </c>
      <c r="F405" s="331" t="s">
        <v>551</v>
      </c>
      <c r="G405" s="331" t="s">
        <v>2</v>
      </c>
      <c r="H405" s="331" t="s">
        <v>492</v>
      </c>
      <c r="I405" s="331" t="s">
        <v>114</v>
      </c>
      <c r="J405" s="332" t="s">
        <v>115</v>
      </c>
    </row>
    <row r="406" spans="2:12" ht="18" x14ac:dyDescent="0.25">
      <c r="B406" s="324" t="s">
        <v>1191</v>
      </c>
      <c r="C406" s="325" t="s">
        <v>1192</v>
      </c>
      <c r="D406" s="325">
        <v>-286933.08</v>
      </c>
      <c r="E406" s="326"/>
      <c r="F406" s="326"/>
      <c r="G406" s="325" t="s">
        <v>1729</v>
      </c>
      <c r="H406" s="327"/>
      <c r="I406" s="327"/>
      <c r="J406" s="325" t="s">
        <v>1193</v>
      </c>
    </row>
    <row r="408" spans="2:12" ht="15.75" thickBot="1" x14ac:dyDescent="0.3">
      <c r="C408" s="328" t="s">
        <v>1750</v>
      </c>
    </row>
    <row r="409" spans="2:12" ht="15.75" thickBot="1" x14ac:dyDescent="0.3">
      <c r="B409" s="329" t="s">
        <v>0</v>
      </c>
      <c r="C409" s="330" t="s">
        <v>1</v>
      </c>
      <c r="D409" s="331" t="s">
        <v>150</v>
      </c>
      <c r="E409" s="331" t="s">
        <v>550</v>
      </c>
      <c r="F409" s="331" t="s">
        <v>551</v>
      </c>
      <c r="G409" s="331" t="s">
        <v>2</v>
      </c>
      <c r="H409" s="331" t="s">
        <v>492</v>
      </c>
      <c r="I409" s="331" t="s">
        <v>114</v>
      </c>
      <c r="J409" s="332" t="s">
        <v>115</v>
      </c>
      <c r="L409" s="318" t="s">
        <v>1751</v>
      </c>
    </row>
    <row r="410" spans="2:12" ht="18" x14ac:dyDescent="0.25">
      <c r="B410" s="324" t="s">
        <v>1752</v>
      </c>
      <c r="C410" s="325" t="s">
        <v>1753</v>
      </c>
      <c r="D410" s="325">
        <v>58032.160000000098</v>
      </c>
      <c r="E410" s="326"/>
      <c r="F410" s="326"/>
      <c r="G410" s="325" t="s">
        <v>1729</v>
      </c>
      <c r="H410" s="327">
        <v>1</v>
      </c>
      <c r="I410" s="327"/>
      <c r="J410" s="325" t="s">
        <v>1754</v>
      </c>
      <c r="L410" s="318">
        <f>(H_OHm+H_H3Op) - 2*H_H2O</f>
        <v>58032.160000000033</v>
      </c>
    </row>
    <row r="411" spans="2:12" ht="18" x14ac:dyDescent="0.25">
      <c r="B411" s="324" t="s">
        <v>1755</v>
      </c>
      <c r="C411" s="325" t="s">
        <v>1756</v>
      </c>
      <c r="D411" s="325">
        <v>5349.0800000000099</v>
      </c>
      <c r="E411" s="326"/>
      <c r="F411" s="326"/>
      <c r="G411" s="325" t="s">
        <v>1729</v>
      </c>
      <c r="H411" s="327">
        <v>1</v>
      </c>
      <c r="I411" s="327"/>
      <c r="J411" s="325" t="s">
        <v>1757</v>
      </c>
      <c r="L411" s="318">
        <f>(H_NH4p + H_OHm) - (H_NH3 + H_H2O)</f>
        <v>5349.0800000000163</v>
      </c>
    </row>
    <row r="412" spans="2:12" ht="18" x14ac:dyDescent="0.25">
      <c r="B412" s="324" t="s">
        <v>1758</v>
      </c>
      <c r="C412" s="325" t="s">
        <v>1759</v>
      </c>
      <c r="D412" s="325">
        <v>14293.080000000031</v>
      </c>
      <c r="E412" s="326"/>
      <c r="F412" s="326"/>
      <c r="G412" s="325" t="s">
        <v>1729</v>
      </c>
      <c r="H412" s="327">
        <v>1</v>
      </c>
      <c r="I412" s="327"/>
      <c r="J412" s="325" t="s">
        <v>1760</v>
      </c>
      <c r="L412" s="318">
        <f>(H_H3Op+H_NO2m)-(H_HNO2+H_H2O)</f>
        <v>14293.080000000016</v>
      </c>
    </row>
    <row r="413" spans="2:12" ht="18" x14ac:dyDescent="0.25">
      <c r="B413" s="324" t="s">
        <v>1761</v>
      </c>
      <c r="C413" s="325" t="s">
        <v>1762</v>
      </c>
      <c r="D413" s="325">
        <v>8753.0800000000672</v>
      </c>
      <c r="E413" s="326"/>
      <c r="F413" s="326"/>
      <c r="G413" s="325" t="s">
        <v>1729</v>
      </c>
      <c r="H413" s="327">
        <v>1</v>
      </c>
      <c r="I413" s="327"/>
      <c r="J413" s="325" t="s">
        <v>1763</v>
      </c>
      <c r="L413" s="318">
        <f>(H_HCO3m + H_H3Op) - (H_H2CO3 + H_H2O)</f>
        <v>8753.0800000000745</v>
      </c>
    </row>
    <row r="414" spans="2:12" ht="18" x14ac:dyDescent="0.25">
      <c r="B414" s="324" t="s">
        <v>1764</v>
      </c>
      <c r="C414" s="325" t="s">
        <v>1765</v>
      </c>
      <c r="D414" s="325">
        <v>15943.080000000009</v>
      </c>
      <c r="E414" s="326"/>
      <c r="F414" s="326"/>
      <c r="G414" s="325" t="s">
        <v>1729</v>
      </c>
      <c r="H414" s="327">
        <v>1</v>
      </c>
      <c r="I414" s="327"/>
      <c r="J414" s="325" t="s">
        <v>1766</v>
      </c>
      <c r="L414" s="318">
        <f>(H_H3Op + H_CO32m) - (H_HCO3m + H_H2O)</f>
        <v>15943.080000000075</v>
      </c>
    </row>
    <row r="415" spans="2:12" ht="18" x14ac:dyDescent="0.25">
      <c r="B415" s="324" t="s">
        <v>1767</v>
      </c>
      <c r="C415" s="325" t="s">
        <v>1768</v>
      </c>
      <c r="D415" s="325">
        <v>2596237.08</v>
      </c>
      <c r="E415" s="326"/>
      <c r="F415" s="326"/>
      <c r="G415" s="325" t="s">
        <v>1729</v>
      </c>
      <c r="H415" s="327">
        <v>1</v>
      </c>
      <c r="I415" s="327"/>
      <c r="J415" s="325" t="s">
        <v>1769</v>
      </c>
      <c r="L415" s="318">
        <f>(H_H3Op + H_H2PO4m) - (H_H3PO4 + H_H2O)</f>
        <v>2596237.08</v>
      </c>
    </row>
    <row r="416" spans="2:12" ht="18" x14ac:dyDescent="0.25">
      <c r="B416" s="324" t="s">
        <v>1770</v>
      </c>
      <c r="C416" s="325" t="s">
        <v>1771</v>
      </c>
      <c r="D416" s="325">
        <v>-2586906.92</v>
      </c>
      <c r="E416" s="326"/>
      <c r="F416" s="326"/>
      <c r="G416" s="325" t="s">
        <v>1729</v>
      </c>
      <c r="H416" s="327">
        <v>1</v>
      </c>
      <c r="I416" s="327"/>
      <c r="J416" s="325" t="s">
        <v>1772</v>
      </c>
      <c r="L416" s="318">
        <f>(H_H3Op + H_HPO42m) - (H_H2PO4m + H_H2O)</f>
        <v>-2586906.92</v>
      </c>
    </row>
    <row r="417" spans="2:12" ht="18" x14ac:dyDescent="0.25">
      <c r="B417" s="324" t="s">
        <v>1773</v>
      </c>
      <c r="C417" s="325" t="s">
        <v>1774</v>
      </c>
      <c r="D417" s="325">
        <v>15693.080000000009</v>
      </c>
      <c r="E417" s="326"/>
      <c r="F417" s="326"/>
      <c r="G417" s="325" t="s">
        <v>1729</v>
      </c>
      <c r="H417" s="327">
        <v>1</v>
      </c>
      <c r="I417" s="327"/>
      <c r="J417" s="325" t="s">
        <v>1775</v>
      </c>
      <c r="L417" s="318">
        <f>(H_H3Op + H_PO43m) - (H_HPO42m + H_H2O)</f>
        <v>15693.080000000075</v>
      </c>
    </row>
    <row r="418" spans="2:12" ht="18" x14ac:dyDescent="0.25">
      <c r="B418" s="324" t="s">
        <v>1776</v>
      </c>
      <c r="C418" s="325" t="s">
        <v>1777</v>
      </c>
      <c r="D418" s="325">
        <v>675.07999999997992</v>
      </c>
      <c r="E418" s="326"/>
      <c r="F418" s="326"/>
      <c r="G418" s="325" t="s">
        <v>1729</v>
      </c>
      <c r="H418" s="327">
        <v>1</v>
      </c>
      <c r="I418" s="327"/>
      <c r="J418" s="325" t="s">
        <v>1778</v>
      </c>
      <c r="L418" s="318">
        <f>(H_H3Op + H_Acm) - (H_HAc + H_H2O)</f>
        <v>675.08000000007451</v>
      </c>
    </row>
    <row r="419" spans="2:12" ht="18" x14ac:dyDescent="0.25">
      <c r="B419" s="324" t="s">
        <v>1779</v>
      </c>
      <c r="C419" s="325" t="s">
        <v>1780</v>
      </c>
      <c r="D419" s="325">
        <v>23093.080000000042</v>
      </c>
      <c r="E419" s="326"/>
      <c r="F419" s="326"/>
      <c r="G419" s="325" t="s">
        <v>1729</v>
      </c>
      <c r="H419" s="327">
        <v>1</v>
      </c>
      <c r="I419" s="327"/>
      <c r="J419" s="325" t="s">
        <v>1781</v>
      </c>
      <c r="L419" s="318">
        <f>(H_HSm+H_H3Op)-(H_H2S+H_H2O)</f>
        <v>23093.080000000016</v>
      </c>
    </row>
    <row r="420" spans="2:12" ht="18" x14ac:dyDescent="0.25">
      <c r="B420" s="324" t="s">
        <v>1782</v>
      </c>
      <c r="C420" s="325" t="s">
        <v>1783</v>
      </c>
      <c r="D420" s="325">
        <v>51093.080000000045</v>
      </c>
      <c r="E420" s="326"/>
      <c r="F420" s="326"/>
      <c r="G420" s="325" t="s">
        <v>1729</v>
      </c>
      <c r="H420" s="327">
        <v>1</v>
      </c>
      <c r="I420" s="327"/>
      <c r="J420" s="325" t="s">
        <v>1784</v>
      </c>
      <c r="L420" s="318">
        <f>(H_H3Op+H_S2m)-(H_HSm+H_H2O)</f>
        <v>51093.080000000016</v>
      </c>
    </row>
    <row r="421" spans="2:12" ht="18" x14ac:dyDescent="0.25">
      <c r="B421" s="324" t="s">
        <v>1785</v>
      </c>
      <c r="C421" s="325" t="s">
        <v>1786</v>
      </c>
      <c r="D421" s="325">
        <v>23093.0800000001</v>
      </c>
      <c r="E421" s="326"/>
      <c r="F421" s="326"/>
      <c r="G421" s="325" t="s">
        <v>1729</v>
      </c>
      <c r="H421" s="327">
        <v>1</v>
      </c>
      <c r="I421" s="327"/>
      <c r="J421" s="325" t="s">
        <v>1787</v>
      </c>
      <c r="L421" s="318">
        <f>(H_HSO4m+H_H3Op)-(H_H2SO4+H_H2O)</f>
        <v>23093.080000000075</v>
      </c>
    </row>
    <row r="422" spans="2:12" ht="18" x14ac:dyDescent="0.25">
      <c r="B422" s="324" t="s">
        <v>1788</v>
      </c>
      <c r="C422" s="325" t="s">
        <v>1789</v>
      </c>
      <c r="D422" s="325">
        <v>-20906.9199999999</v>
      </c>
      <c r="E422" s="326"/>
      <c r="F422" s="326"/>
      <c r="G422" s="325" t="s">
        <v>1729</v>
      </c>
      <c r="H422" s="327">
        <v>1</v>
      </c>
      <c r="I422" s="327"/>
      <c r="J422" s="325" t="s">
        <v>1790</v>
      </c>
      <c r="L422" s="318">
        <f>(H_H3Op+H_SO42m)-(H_HSO4m+H_H2O)</f>
        <v>-20906.919999999925</v>
      </c>
    </row>
    <row r="423" spans="2:12" ht="18" x14ac:dyDescent="0.25">
      <c r="B423" s="324" t="s">
        <v>1791</v>
      </c>
      <c r="C423" s="325" t="s">
        <v>1792</v>
      </c>
      <c r="D423" s="325">
        <v>64110</v>
      </c>
      <c r="E423" s="326"/>
      <c r="F423" s="326"/>
      <c r="G423" s="325" t="s">
        <v>1729</v>
      </c>
      <c r="H423" s="327">
        <v>1</v>
      </c>
      <c r="I423" s="327"/>
      <c r="J423" s="325"/>
    </row>
    <row r="424" spans="2:12" ht="18" x14ac:dyDescent="0.25">
      <c r="B424" s="324" t="s">
        <v>1793</v>
      </c>
      <c r="C424" s="325" t="s">
        <v>1794</v>
      </c>
      <c r="D424" s="325">
        <v>16000</v>
      </c>
      <c r="E424" s="326"/>
      <c r="F424" s="326"/>
      <c r="G424" s="325" t="s">
        <v>1729</v>
      </c>
      <c r="H424" s="327">
        <v>1</v>
      </c>
      <c r="I424" s="327"/>
      <c r="J424" s="325"/>
    </row>
    <row r="425" spans="2:12" ht="18" x14ac:dyDescent="0.25">
      <c r="B425" s="324" t="s">
        <v>1795</v>
      </c>
      <c r="C425" s="325" t="s">
        <v>1796</v>
      </c>
      <c r="D425" s="325">
        <v>5400</v>
      </c>
      <c r="E425" s="326"/>
      <c r="F425" s="326"/>
      <c r="G425" s="325" t="s">
        <v>1729</v>
      </c>
      <c r="H425" s="327">
        <v>1</v>
      </c>
      <c r="I425" s="327"/>
      <c r="J425" s="325"/>
    </row>
    <row r="426" spans="2:12" ht="18" x14ac:dyDescent="0.25">
      <c r="B426" s="324" t="s">
        <v>1797</v>
      </c>
      <c r="C426" s="325" t="s">
        <v>1798</v>
      </c>
      <c r="D426" s="325">
        <v>12970.4</v>
      </c>
      <c r="E426" s="326"/>
      <c r="F426" s="326"/>
      <c r="G426" s="325" t="s">
        <v>1729</v>
      </c>
      <c r="H426" s="327">
        <v>1</v>
      </c>
      <c r="I426" s="327"/>
      <c r="J426" s="325"/>
    </row>
    <row r="427" spans="2:12" ht="18" x14ac:dyDescent="0.25">
      <c r="B427" s="324" t="s">
        <v>1799</v>
      </c>
      <c r="C427" s="325" t="s">
        <v>1800</v>
      </c>
      <c r="D427" s="325">
        <v>-3000</v>
      </c>
      <c r="E427" s="326"/>
      <c r="F427" s="326"/>
      <c r="G427" s="325" t="s">
        <v>1729</v>
      </c>
      <c r="H427" s="327">
        <v>1</v>
      </c>
      <c r="I427" s="327"/>
      <c r="J427" s="325"/>
    </row>
    <row r="428" spans="2:12" ht="18" x14ac:dyDescent="0.25">
      <c r="B428" s="324" t="s">
        <v>1801</v>
      </c>
      <c r="C428" s="325" t="s">
        <v>1802</v>
      </c>
      <c r="D428" s="325">
        <v>-6000</v>
      </c>
      <c r="E428" s="326"/>
      <c r="F428" s="326"/>
      <c r="G428" s="325" t="s">
        <v>1729</v>
      </c>
      <c r="H428" s="327">
        <v>1</v>
      </c>
      <c r="I428" s="327"/>
      <c r="J428" s="325"/>
    </row>
    <row r="429" spans="2:12" ht="18" x14ac:dyDescent="0.25">
      <c r="B429" s="324" t="s">
        <v>1803</v>
      </c>
      <c r="C429" s="325" t="s">
        <v>1804</v>
      </c>
      <c r="D429" s="325">
        <v>67810</v>
      </c>
      <c r="E429" s="326"/>
      <c r="F429" s="326"/>
      <c r="G429" s="325" t="s">
        <v>1729</v>
      </c>
      <c r="H429" s="327">
        <v>1</v>
      </c>
      <c r="I429" s="327"/>
      <c r="J429" s="325"/>
    </row>
    <row r="430" spans="2:12" ht="18" x14ac:dyDescent="0.25">
      <c r="B430" s="324" t="s">
        <v>1805</v>
      </c>
      <c r="C430" s="325" t="s">
        <v>1806</v>
      </c>
      <c r="D430" s="325">
        <v>12000</v>
      </c>
      <c r="E430" s="326"/>
      <c r="F430" s="326"/>
      <c r="G430" s="325" t="s">
        <v>1729</v>
      </c>
      <c r="H430" s="327">
        <v>1</v>
      </c>
      <c r="I430" s="327"/>
      <c r="J430" s="325"/>
    </row>
    <row r="431" spans="2:12" ht="18" x14ac:dyDescent="0.25">
      <c r="B431" s="324" t="s">
        <v>1807</v>
      </c>
      <c r="C431" s="325" t="s">
        <v>1808</v>
      </c>
      <c r="D431" s="325">
        <v>-10600</v>
      </c>
      <c r="E431" s="326"/>
      <c r="F431" s="326"/>
      <c r="G431" s="325" t="s">
        <v>1729</v>
      </c>
      <c r="H431" s="327">
        <v>1</v>
      </c>
      <c r="I431" s="327"/>
      <c r="J431" s="325"/>
    </row>
    <row r="432" spans="2:12" ht="18" x14ac:dyDescent="0.25">
      <c r="B432" s="324" t="s">
        <v>1809</v>
      </c>
      <c r="C432" s="325" t="s">
        <v>1810</v>
      </c>
      <c r="D432" s="325">
        <v>-3000</v>
      </c>
      <c r="E432" s="326"/>
      <c r="F432" s="326"/>
      <c r="G432" s="325" t="s">
        <v>1729</v>
      </c>
      <c r="H432" s="327">
        <v>1</v>
      </c>
      <c r="I432" s="327"/>
      <c r="J432" s="325"/>
    </row>
    <row r="433" spans="2:12" ht="18" x14ac:dyDescent="0.25">
      <c r="B433" s="324" t="s">
        <v>1811</v>
      </c>
      <c r="C433" s="325" t="s">
        <v>1812</v>
      </c>
      <c r="D433" s="325">
        <v>12970.4</v>
      </c>
      <c r="E433" s="326"/>
      <c r="F433" s="326"/>
      <c r="G433" s="325" t="s">
        <v>1729</v>
      </c>
      <c r="H433" s="327">
        <v>1</v>
      </c>
      <c r="I433" s="327"/>
      <c r="J433" s="325"/>
    </row>
    <row r="434" spans="2:12" ht="18" x14ac:dyDescent="0.25">
      <c r="B434" s="324" t="s">
        <v>1813</v>
      </c>
      <c r="C434" s="325" t="s">
        <v>1814</v>
      </c>
      <c r="D434" s="325">
        <v>21256.1</v>
      </c>
      <c r="E434" s="326"/>
      <c r="F434" s="326"/>
      <c r="G434" s="325" t="s">
        <v>1729</v>
      </c>
      <c r="H434" s="327">
        <v>1</v>
      </c>
      <c r="I434" s="327"/>
      <c r="J434" s="325"/>
    </row>
    <row r="435" spans="2:12" ht="18" x14ac:dyDescent="0.25">
      <c r="B435" s="324" t="s">
        <v>1815</v>
      </c>
      <c r="C435" s="325" t="s">
        <v>1816</v>
      </c>
      <c r="D435" s="325">
        <v>0</v>
      </c>
      <c r="E435" s="326"/>
      <c r="F435" s="326"/>
      <c r="G435" s="325" t="s">
        <v>1729</v>
      </c>
      <c r="H435" s="327">
        <v>1</v>
      </c>
      <c r="I435" s="327"/>
      <c r="J435" s="325"/>
    </row>
    <row r="437" spans="2:12" ht="15.75" thickBot="1" x14ac:dyDescent="0.3">
      <c r="C437" s="328" t="s">
        <v>1817</v>
      </c>
    </row>
    <row r="438" spans="2:12" ht="15.75" thickBot="1" x14ac:dyDescent="0.3">
      <c r="B438" s="329" t="s">
        <v>0</v>
      </c>
      <c r="C438" s="330" t="s">
        <v>1</v>
      </c>
      <c r="D438" s="331" t="s">
        <v>150</v>
      </c>
      <c r="E438" s="331" t="s">
        <v>550</v>
      </c>
      <c r="F438" s="331" t="s">
        <v>551</v>
      </c>
      <c r="G438" s="331" t="s">
        <v>2</v>
      </c>
      <c r="H438" s="331" t="s">
        <v>492</v>
      </c>
      <c r="I438" s="331" t="s">
        <v>114</v>
      </c>
      <c r="J438" s="332" t="s">
        <v>115</v>
      </c>
      <c r="L438" s="318" t="s">
        <v>1751</v>
      </c>
    </row>
    <row r="439" spans="2:12" ht="18" x14ac:dyDescent="0.25">
      <c r="B439" s="324" t="s">
        <v>1818</v>
      </c>
      <c r="C439" s="325" t="s">
        <v>1819</v>
      </c>
      <c r="D439" s="325">
        <v>2.5000000000000001E-5</v>
      </c>
      <c r="E439" s="326" t="s">
        <v>1308</v>
      </c>
      <c r="F439" s="326" t="s">
        <v>1309</v>
      </c>
      <c r="G439" s="325" t="s">
        <v>1820</v>
      </c>
      <c r="H439" s="327">
        <v>2</v>
      </c>
      <c r="I439" s="327"/>
      <c r="J439" s="325" t="s">
        <v>1821</v>
      </c>
    </row>
    <row r="440" spans="2:12" ht="18" x14ac:dyDescent="0.25">
      <c r="B440" s="324" t="s">
        <v>1822</v>
      </c>
      <c r="C440" s="325" t="s">
        <v>1819</v>
      </c>
      <c r="D440" s="325">
        <v>2.5000000000000001E-5</v>
      </c>
      <c r="E440" s="326" t="s">
        <v>1308</v>
      </c>
      <c r="F440" s="326" t="s">
        <v>1309</v>
      </c>
      <c r="G440" s="325" t="s">
        <v>1820</v>
      </c>
      <c r="H440" s="327">
        <v>2</v>
      </c>
      <c r="I440" s="327"/>
      <c r="J440" s="325" t="s">
        <v>1821</v>
      </c>
    </row>
    <row r="441" spans="2:12" ht="18" x14ac:dyDescent="0.25">
      <c r="B441" s="324" t="s">
        <v>1823</v>
      </c>
      <c r="C441" s="325" t="s">
        <v>1819</v>
      </c>
      <c r="D441" s="325">
        <v>2.5000000000000001E-5</v>
      </c>
      <c r="E441" s="326" t="s">
        <v>1308</v>
      </c>
      <c r="F441" s="326" t="s">
        <v>1309</v>
      </c>
      <c r="G441" s="325" t="s">
        <v>1820</v>
      </c>
      <c r="H441" s="327">
        <v>2</v>
      </c>
      <c r="I441" s="327"/>
      <c r="J441" s="325" t="s">
        <v>1821</v>
      </c>
    </row>
    <row r="442" spans="2:12" ht="18" x14ac:dyDescent="0.25">
      <c r="B442" s="324" t="s">
        <v>1824</v>
      </c>
      <c r="C442" s="325" t="s">
        <v>1825</v>
      </c>
      <c r="D442" s="325">
        <v>1.24E-5</v>
      </c>
      <c r="E442" s="326" t="s">
        <v>1308</v>
      </c>
      <c r="F442" s="326" t="s">
        <v>1309</v>
      </c>
      <c r="G442" s="325" t="s">
        <v>1820</v>
      </c>
      <c r="H442" s="327">
        <v>2</v>
      </c>
      <c r="I442" s="327"/>
      <c r="J442" s="325" t="s">
        <v>1821</v>
      </c>
    </row>
    <row r="443" spans="2:12" ht="18" x14ac:dyDescent="0.25">
      <c r="B443" s="324" t="s">
        <v>1826</v>
      </c>
      <c r="C443" s="325" t="s">
        <v>1827</v>
      </c>
      <c r="D443" s="325">
        <v>1.24E-5</v>
      </c>
      <c r="E443" s="326" t="s">
        <v>1308</v>
      </c>
      <c r="F443" s="326" t="s">
        <v>1309</v>
      </c>
      <c r="G443" s="325" t="s">
        <v>1820</v>
      </c>
      <c r="H443" s="327">
        <v>2</v>
      </c>
      <c r="I443" s="327"/>
      <c r="J443" s="325" t="s">
        <v>1821</v>
      </c>
    </row>
    <row r="444" spans="2:12" ht="18" x14ac:dyDescent="0.25">
      <c r="B444" s="324" t="s">
        <v>1828</v>
      </c>
      <c r="C444" s="325" t="s">
        <v>1829</v>
      </c>
      <c r="D444" s="325">
        <v>1.24E-5</v>
      </c>
      <c r="E444" s="326" t="s">
        <v>1308</v>
      </c>
      <c r="F444" s="326" t="s">
        <v>1309</v>
      </c>
      <c r="G444" s="325" t="s">
        <v>1820</v>
      </c>
      <c r="H444" s="327">
        <v>2</v>
      </c>
      <c r="I444" s="327"/>
      <c r="J444" s="325" t="s">
        <v>1821</v>
      </c>
    </row>
    <row r="445" spans="2:12" ht="18" x14ac:dyDescent="0.25">
      <c r="B445" s="324" t="s">
        <v>1830</v>
      </c>
      <c r="C445" s="325" t="s">
        <v>1825</v>
      </c>
      <c r="D445" s="325">
        <v>1.24E-5</v>
      </c>
      <c r="E445" s="326" t="s">
        <v>1308</v>
      </c>
      <c r="F445" s="326" t="s">
        <v>1309</v>
      </c>
      <c r="G445" s="325" t="s">
        <v>1820</v>
      </c>
      <c r="H445" s="327">
        <v>2</v>
      </c>
      <c r="I445" s="327"/>
      <c r="J445" s="325" t="s">
        <v>1821</v>
      </c>
    </row>
    <row r="446" spans="2:12" ht="18" x14ac:dyDescent="0.25">
      <c r="B446" s="324" t="s">
        <v>1831</v>
      </c>
      <c r="C446" s="325" t="s">
        <v>1832</v>
      </c>
      <c r="D446" s="325">
        <v>1.24E-5</v>
      </c>
      <c r="E446" s="326" t="s">
        <v>1308</v>
      </c>
      <c r="F446" s="326" t="s">
        <v>1309</v>
      </c>
      <c r="G446" s="325" t="s">
        <v>1820</v>
      </c>
      <c r="H446" s="327">
        <v>2</v>
      </c>
      <c r="I446" s="327"/>
      <c r="J446" s="325" t="s">
        <v>1821</v>
      </c>
    </row>
    <row r="447" spans="2:12" ht="18" x14ac:dyDescent="0.25">
      <c r="B447" s="324" t="s">
        <v>1833</v>
      </c>
      <c r="C447" s="325" t="s">
        <v>1832</v>
      </c>
      <c r="D447" s="325">
        <v>1.24E-5</v>
      </c>
      <c r="E447" s="326" t="s">
        <v>1308</v>
      </c>
      <c r="F447" s="326" t="s">
        <v>1309</v>
      </c>
      <c r="G447" s="325" t="s">
        <v>1820</v>
      </c>
      <c r="H447" s="327">
        <v>2</v>
      </c>
      <c r="I447" s="327"/>
      <c r="J447" s="325" t="s">
        <v>1821</v>
      </c>
    </row>
    <row r="448" spans="2:12" ht="18" x14ac:dyDescent="0.25">
      <c r="B448" s="324" t="s">
        <v>1834</v>
      </c>
      <c r="C448" s="325" t="s">
        <v>1835</v>
      </c>
      <c r="D448" s="325">
        <v>1.24E-5</v>
      </c>
      <c r="E448" s="326" t="s">
        <v>1308</v>
      </c>
      <c r="F448" s="326" t="s">
        <v>1309</v>
      </c>
      <c r="G448" s="325" t="s">
        <v>1820</v>
      </c>
      <c r="H448" s="327">
        <v>2</v>
      </c>
      <c r="I448" s="327"/>
      <c r="J448" s="325" t="s">
        <v>1821</v>
      </c>
    </row>
    <row r="449" spans="2:10" ht="18" x14ac:dyDescent="0.25">
      <c r="B449" s="324" t="s">
        <v>1836</v>
      </c>
      <c r="C449" s="325" t="s">
        <v>1837</v>
      </c>
      <c r="D449" s="325">
        <v>1.0000000000000001E-5</v>
      </c>
      <c r="E449" s="326" t="s">
        <v>1308</v>
      </c>
      <c r="F449" s="326" t="s">
        <v>1309</v>
      </c>
      <c r="G449" s="325" t="s">
        <v>1820</v>
      </c>
      <c r="H449" s="327">
        <v>2</v>
      </c>
      <c r="I449" s="327"/>
      <c r="J449" s="325"/>
    </row>
    <row r="450" spans="2:10" ht="18" x14ac:dyDescent="0.25">
      <c r="B450" s="324" t="s">
        <v>1838</v>
      </c>
      <c r="C450" s="325" t="s">
        <v>1837</v>
      </c>
      <c r="D450" s="325">
        <v>1.0000000000000001E-5</v>
      </c>
      <c r="E450" s="326" t="s">
        <v>1308</v>
      </c>
      <c r="F450" s="326" t="s">
        <v>1309</v>
      </c>
      <c r="G450" s="325" t="s">
        <v>1820</v>
      </c>
      <c r="H450" s="327">
        <v>2</v>
      </c>
      <c r="I450" s="327"/>
      <c r="J450" s="325"/>
    </row>
    <row r="451" spans="2:10" ht="18" x14ac:dyDescent="0.25">
      <c r="B451" s="324" t="s">
        <v>1839</v>
      </c>
      <c r="C451" s="325" t="s">
        <v>1840</v>
      </c>
      <c r="D451" s="325">
        <v>2.5000000000000002E-6</v>
      </c>
      <c r="E451" s="326" t="s">
        <v>1308</v>
      </c>
      <c r="F451" s="326" t="s">
        <v>1309</v>
      </c>
      <c r="G451" s="325" t="s">
        <v>1820</v>
      </c>
      <c r="H451" s="327">
        <v>2</v>
      </c>
      <c r="I451" s="327"/>
      <c r="J451" s="325" t="s">
        <v>1821</v>
      </c>
    </row>
    <row r="452" spans="2:10" ht="18" x14ac:dyDescent="0.25">
      <c r="B452" s="324" t="s">
        <v>1841</v>
      </c>
      <c r="C452" s="325" t="s">
        <v>1842</v>
      </c>
      <c r="D452" s="325">
        <v>2.5000000000000002E-6</v>
      </c>
      <c r="E452" s="326" t="s">
        <v>1308</v>
      </c>
      <c r="F452" s="326" t="s">
        <v>1309</v>
      </c>
      <c r="G452" s="325" t="s">
        <v>1820</v>
      </c>
      <c r="H452" s="327">
        <v>2</v>
      </c>
      <c r="I452" s="327"/>
      <c r="J452" s="325" t="s">
        <v>1821</v>
      </c>
    </row>
    <row r="453" spans="2:10" ht="18" x14ac:dyDescent="0.25">
      <c r="B453" s="324" t="s">
        <v>1843</v>
      </c>
      <c r="C453" s="325" t="s">
        <v>1844</v>
      </c>
      <c r="D453" s="325">
        <v>2.0000000000000002E-5</v>
      </c>
      <c r="E453" s="326" t="s">
        <v>1308</v>
      </c>
      <c r="F453" s="326" t="s">
        <v>1309</v>
      </c>
      <c r="G453" s="325" t="s">
        <v>1820</v>
      </c>
      <c r="H453" s="327">
        <v>2</v>
      </c>
      <c r="I453" s="327"/>
      <c r="J453" s="325" t="s">
        <v>1845</v>
      </c>
    </row>
    <row r="454" spans="2:10" ht="18" x14ac:dyDescent="0.25">
      <c r="B454" s="324" t="s">
        <v>1846</v>
      </c>
      <c r="C454" s="325" t="s">
        <v>1844</v>
      </c>
      <c r="D454" s="325">
        <v>2.0000000000000002E-5</v>
      </c>
      <c r="E454" s="326" t="s">
        <v>1308</v>
      </c>
      <c r="F454" s="326" t="s">
        <v>1309</v>
      </c>
      <c r="G454" s="325" t="s">
        <v>1820</v>
      </c>
      <c r="H454" s="327">
        <v>2</v>
      </c>
      <c r="I454" s="327"/>
      <c r="J454" s="325" t="s">
        <v>1845</v>
      </c>
    </row>
    <row r="455" spans="2:10" ht="18" x14ac:dyDescent="0.25">
      <c r="B455" s="324" t="s">
        <v>1847</v>
      </c>
      <c r="C455" s="325" t="s">
        <v>1844</v>
      </c>
      <c r="D455" s="325">
        <v>2.0000000000000002E-5</v>
      </c>
      <c r="E455" s="326" t="s">
        <v>1308</v>
      </c>
      <c r="F455" s="326" t="s">
        <v>1309</v>
      </c>
      <c r="G455" s="325" t="s">
        <v>1820</v>
      </c>
      <c r="H455" s="327">
        <v>2</v>
      </c>
      <c r="I455" s="327"/>
      <c r="J455" s="325" t="s">
        <v>1845</v>
      </c>
    </row>
    <row r="456" spans="2:10" ht="18" x14ac:dyDescent="0.25">
      <c r="B456" s="324" t="s">
        <v>1848</v>
      </c>
      <c r="C456" s="325" t="s">
        <v>1849</v>
      </c>
      <c r="D456" s="325">
        <v>2.0000000000000002E-5</v>
      </c>
      <c r="E456" s="326" t="s">
        <v>1308</v>
      </c>
      <c r="F456" s="326" t="s">
        <v>1686</v>
      </c>
      <c r="G456" s="325" t="s">
        <v>1820</v>
      </c>
      <c r="H456" s="327">
        <v>2</v>
      </c>
      <c r="I456" s="327"/>
      <c r="J456" s="325" t="s">
        <v>1850</v>
      </c>
    </row>
    <row r="457" spans="2:10" ht="18" x14ac:dyDescent="0.25">
      <c r="B457" s="324" t="s">
        <v>1851</v>
      </c>
      <c r="C457" s="325" t="s">
        <v>1852</v>
      </c>
      <c r="D457" s="325">
        <v>1.0000000000000001E-5</v>
      </c>
      <c r="E457" s="326" t="s">
        <v>1308</v>
      </c>
      <c r="F457" s="326" t="s">
        <v>1686</v>
      </c>
      <c r="G457" s="325" t="s">
        <v>1820</v>
      </c>
      <c r="H457" s="327">
        <v>2</v>
      </c>
      <c r="I457" s="327"/>
      <c r="J457" s="325" t="s">
        <v>1821</v>
      </c>
    </row>
    <row r="458" spans="2:10" ht="18" x14ac:dyDescent="0.25">
      <c r="B458" s="324" t="s">
        <v>1853</v>
      </c>
      <c r="C458" s="325" t="s">
        <v>1854</v>
      </c>
      <c r="D458" s="325">
        <v>1.24E-5</v>
      </c>
      <c r="E458" s="326" t="s">
        <v>1308</v>
      </c>
      <c r="F458" s="326" t="s">
        <v>1686</v>
      </c>
      <c r="G458" s="325" t="s">
        <v>1820</v>
      </c>
      <c r="H458" s="327">
        <v>2</v>
      </c>
      <c r="I458" s="327"/>
      <c r="J458" s="325" t="s">
        <v>1821</v>
      </c>
    </row>
    <row r="459" spans="2:10" ht="18" x14ac:dyDescent="0.25">
      <c r="B459" s="324" t="s">
        <v>1855</v>
      </c>
      <c r="C459" s="325" t="s">
        <v>1856</v>
      </c>
      <c r="D459" s="325">
        <v>1.9000000000000001E-5</v>
      </c>
      <c r="E459" s="326" t="s">
        <v>1308</v>
      </c>
      <c r="F459" s="326" t="s">
        <v>1686</v>
      </c>
      <c r="G459" s="325" t="s">
        <v>1820</v>
      </c>
      <c r="H459" s="327">
        <v>2</v>
      </c>
      <c r="I459" s="327"/>
      <c r="J459" s="325" t="s">
        <v>1857</v>
      </c>
    </row>
    <row r="460" spans="2:10" ht="18" x14ac:dyDescent="0.25">
      <c r="B460" s="324" t="s">
        <v>1858</v>
      </c>
      <c r="C460" s="325" t="s">
        <v>1859</v>
      </c>
      <c r="D460" s="325">
        <v>1.24E-5</v>
      </c>
      <c r="E460" s="326" t="s">
        <v>1308</v>
      </c>
      <c r="F460" s="326" t="s">
        <v>1686</v>
      </c>
      <c r="G460" s="325" t="s">
        <v>1820</v>
      </c>
      <c r="H460" s="327">
        <v>2</v>
      </c>
      <c r="I460" s="327"/>
      <c r="J460" s="325" t="s">
        <v>1860</v>
      </c>
    </row>
    <row r="461" spans="2:10" ht="18" x14ac:dyDescent="0.25">
      <c r="B461" s="324" t="s">
        <v>1861</v>
      </c>
      <c r="C461" s="325" t="s">
        <v>1862</v>
      </c>
      <c r="D461" s="325">
        <v>1.24E-5</v>
      </c>
      <c r="E461" s="326" t="s">
        <v>1308</v>
      </c>
      <c r="F461" s="326" t="s">
        <v>1686</v>
      </c>
      <c r="G461" s="325" t="s">
        <v>1820</v>
      </c>
      <c r="H461" s="327">
        <v>2</v>
      </c>
      <c r="I461" s="327"/>
      <c r="J461" s="325" t="s">
        <v>1860</v>
      </c>
    </row>
    <row r="462" spans="2:10" ht="18" x14ac:dyDescent="0.25">
      <c r="B462" s="324" t="s">
        <v>1863</v>
      </c>
      <c r="C462" s="325" t="s">
        <v>1837</v>
      </c>
      <c r="D462" s="325">
        <v>1.0000000000000001E-5</v>
      </c>
      <c r="E462" s="326" t="s">
        <v>1308</v>
      </c>
      <c r="F462" s="326" t="s">
        <v>1686</v>
      </c>
      <c r="G462" s="325" t="s">
        <v>1820</v>
      </c>
      <c r="H462" s="327">
        <v>2</v>
      </c>
      <c r="I462" s="327"/>
      <c r="J462" s="325" t="s">
        <v>1821</v>
      </c>
    </row>
    <row r="463" spans="2:10" ht="18" x14ac:dyDescent="0.25">
      <c r="B463" s="324" t="s">
        <v>1864</v>
      </c>
      <c r="C463" s="325" t="s">
        <v>1852</v>
      </c>
      <c r="D463" s="325">
        <v>1.0000000000000001E-5</v>
      </c>
      <c r="E463" s="326" t="s">
        <v>1308</v>
      </c>
      <c r="F463" s="326" t="s">
        <v>1309</v>
      </c>
      <c r="G463" s="325" t="s">
        <v>1820</v>
      </c>
      <c r="H463" s="327">
        <v>2</v>
      </c>
      <c r="I463" s="327"/>
      <c r="J463" s="325"/>
    </row>
    <row r="464" spans="2:10" ht="18" x14ac:dyDescent="0.25">
      <c r="B464" s="324" t="s">
        <v>1865</v>
      </c>
      <c r="C464" s="325" t="s">
        <v>1852</v>
      </c>
      <c r="D464" s="325">
        <v>1.0000000000000001E-5</v>
      </c>
      <c r="E464" s="326" t="s">
        <v>1308</v>
      </c>
      <c r="F464" s="326" t="s">
        <v>1309</v>
      </c>
      <c r="G464" s="325" t="s">
        <v>1820</v>
      </c>
      <c r="H464" s="327">
        <v>2</v>
      </c>
      <c r="I464" s="327"/>
      <c r="J464" s="325"/>
    </row>
    <row r="465" spans="2:10" ht="18" x14ac:dyDescent="0.25">
      <c r="B465" s="324" t="s">
        <v>1866</v>
      </c>
      <c r="C465" s="325" t="s">
        <v>1867</v>
      </c>
      <c r="D465" s="325">
        <v>1.0000000000000001E-5</v>
      </c>
      <c r="E465" s="326" t="s">
        <v>1308</v>
      </c>
      <c r="F465" s="326" t="s">
        <v>1686</v>
      </c>
      <c r="G465" s="325" t="s">
        <v>1820</v>
      </c>
      <c r="H465" s="327">
        <v>2</v>
      </c>
      <c r="I465" s="327"/>
      <c r="J465" s="325"/>
    </row>
    <row r="466" spans="2:10" ht="18" x14ac:dyDescent="0.25">
      <c r="B466" s="324" t="s">
        <v>1868</v>
      </c>
      <c r="C466" s="325" t="s">
        <v>1869</v>
      </c>
      <c r="D466" s="325">
        <v>1.0000000000000001E-5</v>
      </c>
      <c r="E466" s="326" t="s">
        <v>1308</v>
      </c>
      <c r="F466" s="326" t="s">
        <v>1686</v>
      </c>
      <c r="G466" s="325" t="s">
        <v>1820</v>
      </c>
      <c r="H466" s="327">
        <v>2</v>
      </c>
      <c r="I466" s="327"/>
      <c r="J466" s="325"/>
    </row>
    <row r="467" spans="2:10" ht="18" x14ac:dyDescent="0.25">
      <c r="B467" s="324" t="s">
        <v>1870</v>
      </c>
      <c r="C467" s="325" t="s">
        <v>1871</v>
      </c>
      <c r="D467" s="325">
        <v>1.24E-5</v>
      </c>
      <c r="E467" s="326" t="s">
        <v>1308</v>
      </c>
      <c r="F467" s="326" t="s">
        <v>1309</v>
      </c>
      <c r="G467" s="325" t="s">
        <v>1820</v>
      </c>
      <c r="H467" s="327">
        <v>2</v>
      </c>
      <c r="I467" s="327"/>
      <c r="J467" s="325" t="s">
        <v>1860</v>
      </c>
    </row>
    <row r="468" spans="2:10" ht="18" x14ac:dyDescent="0.25">
      <c r="B468" s="324" t="s">
        <v>1872</v>
      </c>
      <c r="C468" s="325" t="s">
        <v>1871</v>
      </c>
      <c r="D468" s="325">
        <v>1.24E-5</v>
      </c>
      <c r="E468" s="326" t="s">
        <v>1308</v>
      </c>
      <c r="F468" s="326" t="s">
        <v>1309</v>
      </c>
      <c r="G468" s="325" t="s">
        <v>1820</v>
      </c>
      <c r="H468" s="327">
        <v>2</v>
      </c>
      <c r="I468" s="327"/>
      <c r="J468" s="325" t="s">
        <v>1860</v>
      </c>
    </row>
    <row r="469" spans="2:10" ht="18" x14ac:dyDescent="0.25">
      <c r="B469" s="324" t="s">
        <v>1873</v>
      </c>
      <c r="C469" s="325" t="s">
        <v>1854</v>
      </c>
      <c r="D469" s="325">
        <v>1.24E-5</v>
      </c>
      <c r="E469" s="326" t="s">
        <v>1308</v>
      </c>
      <c r="F469" s="326" t="s">
        <v>1309</v>
      </c>
      <c r="G469" s="325" t="s">
        <v>1820</v>
      </c>
      <c r="H469" s="327">
        <v>2</v>
      </c>
      <c r="I469" s="327"/>
      <c r="J469" s="325" t="s">
        <v>1821</v>
      </c>
    </row>
    <row r="470" spans="2:10" ht="18" x14ac:dyDescent="0.25">
      <c r="B470" s="324" t="s">
        <v>1874</v>
      </c>
      <c r="C470" s="325" t="s">
        <v>1854</v>
      </c>
      <c r="D470" s="325">
        <v>1.24E-5</v>
      </c>
      <c r="E470" s="326" t="s">
        <v>1308</v>
      </c>
      <c r="F470" s="326" t="s">
        <v>1309</v>
      </c>
      <c r="G470" s="325" t="s">
        <v>1820</v>
      </c>
      <c r="H470" s="327">
        <v>2</v>
      </c>
      <c r="I470" s="327"/>
      <c r="J470" s="325" t="s">
        <v>1821</v>
      </c>
    </row>
    <row r="471" spans="2:10" ht="18" x14ac:dyDescent="0.25">
      <c r="B471" s="324" t="s">
        <v>1875</v>
      </c>
      <c r="C471" s="325" t="s">
        <v>1876</v>
      </c>
      <c r="D471" s="325">
        <v>1.24E-5</v>
      </c>
      <c r="E471" s="326" t="s">
        <v>1308</v>
      </c>
      <c r="F471" s="326" t="s">
        <v>1309</v>
      </c>
      <c r="G471" s="325" t="s">
        <v>1820</v>
      </c>
      <c r="H471" s="327">
        <v>2</v>
      </c>
      <c r="I471" s="327"/>
      <c r="J471" s="325" t="s">
        <v>1860</v>
      </c>
    </row>
    <row r="472" spans="2:10" ht="18" x14ac:dyDescent="0.25">
      <c r="B472" s="324" t="s">
        <v>1877</v>
      </c>
      <c r="C472" s="325" t="s">
        <v>1878</v>
      </c>
      <c r="D472" s="325">
        <v>2.5000000000000001E-5</v>
      </c>
      <c r="E472" s="326" t="s">
        <v>1308</v>
      </c>
      <c r="F472" s="326" t="s">
        <v>1309</v>
      </c>
      <c r="G472" s="325" t="s">
        <v>1820</v>
      </c>
      <c r="H472" s="327">
        <v>2</v>
      </c>
      <c r="I472" s="327"/>
      <c r="J472" s="325" t="s">
        <v>1879</v>
      </c>
    </row>
    <row r="473" spans="2:10" ht="18" x14ac:dyDescent="0.25">
      <c r="B473" s="324" t="s">
        <v>1880</v>
      </c>
      <c r="C473" s="325" t="s">
        <v>1881</v>
      </c>
      <c r="D473" s="325">
        <v>2.5000000000000001E-5</v>
      </c>
      <c r="E473" s="326" t="s">
        <v>1308</v>
      </c>
      <c r="F473" s="326" t="s">
        <v>1309</v>
      </c>
      <c r="G473" s="325" t="s">
        <v>1820</v>
      </c>
      <c r="H473" s="327">
        <v>2</v>
      </c>
      <c r="I473" s="327"/>
      <c r="J473" s="325" t="s">
        <v>1821</v>
      </c>
    </row>
    <row r="474" spans="2:10" ht="18" x14ac:dyDescent="0.25">
      <c r="B474" s="324" t="s">
        <v>1882</v>
      </c>
      <c r="C474" s="325" t="s">
        <v>1883</v>
      </c>
      <c r="D474" s="325">
        <v>2.5000000000000001E-5</v>
      </c>
      <c r="E474" s="326" t="s">
        <v>1308</v>
      </c>
      <c r="F474" s="326" t="s">
        <v>1309</v>
      </c>
      <c r="G474" s="325" t="s">
        <v>1820</v>
      </c>
      <c r="H474" s="327">
        <v>2</v>
      </c>
      <c r="I474" s="327"/>
      <c r="J474" s="325" t="s">
        <v>1821</v>
      </c>
    </row>
    <row r="475" spans="2:10" ht="18" x14ac:dyDescent="0.25">
      <c r="B475" s="324" t="s">
        <v>1884</v>
      </c>
      <c r="C475" s="325" t="s">
        <v>1885</v>
      </c>
      <c r="D475" s="325">
        <v>1.0000000000000001E-5</v>
      </c>
      <c r="E475" s="326" t="s">
        <v>1308</v>
      </c>
      <c r="F475" s="326" t="s">
        <v>1309</v>
      </c>
      <c r="G475" s="325" t="s">
        <v>1820</v>
      </c>
      <c r="H475" s="327">
        <v>2</v>
      </c>
      <c r="I475" s="327"/>
      <c r="J475" s="325" t="s">
        <v>1821</v>
      </c>
    </row>
    <row r="476" spans="2:10" ht="18" x14ac:dyDescent="0.25">
      <c r="B476" s="324" t="s">
        <v>1886</v>
      </c>
      <c r="C476" s="325" t="s">
        <v>1887</v>
      </c>
      <c r="D476" s="325">
        <v>1.9000000000000001E-5</v>
      </c>
      <c r="E476" s="326" t="s">
        <v>1308</v>
      </c>
      <c r="F476" s="326" t="s">
        <v>1309</v>
      </c>
      <c r="G476" s="325" t="s">
        <v>1820</v>
      </c>
      <c r="H476" s="327">
        <v>2</v>
      </c>
      <c r="I476" s="327"/>
      <c r="J476" s="325" t="s">
        <v>1821</v>
      </c>
    </row>
    <row r="477" spans="2:10" ht="18" x14ac:dyDescent="0.25">
      <c r="B477" s="324" t="s">
        <v>1888</v>
      </c>
      <c r="C477" s="325" t="s">
        <v>1889</v>
      </c>
      <c r="D477" s="325">
        <v>1.9000000000000001E-5</v>
      </c>
      <c r="E477" s="326" t="s">
        <v>1308</v>
      </c>
      <c r="F477" s="326" t="s">
        <v>1309</v>
      </c>
      <c r="G477" s="325" t="s">
        <v>1820</v>
      </c>
      <c r="H477" s="327">
        <v>2</v>
      </c>
      <c r="I477" s="327"/>
      <c r="J477" s="325" t="s">
        <v>1821</v>
      </c>
    </row>
    <row r="478" spans="2:10" ht="18" x14ac:dyDescent="0.25">
      <c r="B478" s="324" t="s">
        <v>1890</v>
      </c>
      <c r="C478" s="325" t="s">
        <v>1891</v>
      </c>
      <c r="D478" s="325">
        <v>1.9000000000000001E-5</v>
      </c>
      <c r="E478" s="326" t="s">
        <v>1308</v>
      </c>
      <c r="F478" s="326" t="s">
        <v>1309</v>
      </c>
      <c r="G478" s="325" t="s">
        <v>1820</v>
      </c>
      <c r="H478" s="327">
        <v>2</v>
      </c>
      <c r="I478" s="327"/>
      <c r="J478" s="325" t="s">
        <v>1821</v>
      </c>
    </row>
    <row r="479" spans="2:10" ht="18" x14ac:dyDescent="0.25">
      <c r="B479" s="324" t="s">
        <v>1892</v>
      </c>
      <c r="C479" s="325" t="s">
        <v>1893</v>
      </c>
      <c r="D479" s="325">
        <v>1.9000000000000001E-5</v>
      </c>
      <c r="E479" s="326" t="s">
        <v>1308</v>
      </c>
      <c r="F479" s="326" t="s">
        <v>1309</v>
      </c>
      <c r="G479" s="325" t="s">
        <v>1820</v>
      </c>
      <c r="H479" s="327">
        <v>2</v>
      </c>
      <c r="I479" s="327"/>
      <c r="J479" s="325" t="s">
        <v>1821</v>
      </c>
    </row>
    <row r="480" spans="2:10" ht="18" x14ac:dyDescent="0.25">
      <c r="B480" s="324" t="s">
        <v>1894</v>
      </c>
      <c r="C480" s="325" t="s">
        <v>1895</v>
      </c>
      <c r="D480" s="325">
        <v>1.9000000000000001E-5</v>
      </c>
      <c r="E480" s="326" t="s">
        <v>1308</v>
      </c>
      <c r="F480" s="326" t="s">
        <v>1309</v>
      </c>
      <c r="G480" s="325" t="s">
        <v>1820</v>
      </c>
      <c r="H480" s="327">
        <v>2</v>
      </c>
      <c r="I480" s="327"/>
      <c r="J480" s="325" t="s">
        <v>1821</v>
      </c>
    </row>
    <row r="481" spans="2:10" ht="18" x14ac:dyDescent="0.25">
      <c r="B481" s="324" t="s">
        <v>1896</v>
      </c>
      <c r="C481" s="325" t="s">
        <v>1897</v>
      </c>
      <c r="D481" s="325">
        <v>1.9000000000000001E-5</v>
      </c>
      <c r="E481" s="326" t="s">
        <v>1308</v>
      </c>
      <c r="F481" s="326" t="s">
        <v>1309</v>
      </c>
      <c r="G481" s="325" t="s">
        <v>1820</v>
      </c>
      <c r="H481" s="327">
        <v>2</v>
      </c>
      <c r="I481" s="327"/>
      <c r="J481" s="325" t="s">
        <v>1821</v>
      </c>
    </row>
    <row r="482" spans="2:10" ht="18" x14ac:dyDescent="0.25">
      <c r="B482" s="324" t="s">
        <v>1898</v>
      </c>
      <c r="C482" s="325" t="s">
        <v>1899</v>
      </c>
      <c r="D482" s="325">
        <v>1.9000000000000001E-5</v>
      </c>
      <c r="E482" s="326" t="s">
        <v>1308</v>
      </c>
      <c r="F482" s="326" t="s">
        <v>1309</v>
      </c>
      <c r="G482" s="325" t="s">
        <v>1820</v>
      </c>
      <c r="H482" s="327">
        <v>2</v>
      </c>
      <c r="I482" s="327"/>
      <c r="J482" s="325" t="s">
        <v>1821</v>
      </c>
    </row>
    <row r="483" spans="2:10" ht="18" x14ac:dyDescent="0.25">
      <c r="B483" s="324" t="s">
        <v>1900</v>
      </c>
      <c r="C483" s="325" t="s">
        <v>1901</v>
      </c>
      <c r="D483" s="325">
        <v>1.9000000000000001E-5</v>
      </c>
      <c r="E483" s="326" t="s">
        <v>1308</v>
      </c>
      <c r="F483" s="326" t="s">
        <v>1309</v>
      </c>
      <c r="G483" s="325" t="s">
        <v>1820</v>
      </c>
      <c r="H483" s="327">
        <v>2</v>
      </c>
      <c r="I483" s="327"/>
      <c r="J483" s="325" t="s">
        <v>1821</v>
      </c>
    </row>
    <row r="484" spans="2:10" ht="18" x14ac:dyDescent="0.25">
      <c r="B484" s="324" t="s">
        <v>1902</v>
      </c>
      <c r="C484" s="325" t="s">
        <v>1903</v>
      </c>
      <c r="D484" s="325">
        <v>1.0000000000000001E-5</v>
      </c>
      <c r="E484" s="326" t="s">
        <v>1308</v>
      </c>
      <c r="F484" s="326" t="s">
        <v>1686</v>
      </c>
      <c r="G484" s="325" t="s">
        <v>1820</v>
      </c>
      <c r="H484" s="327"/>
      <c r="I484" s="327"/>
      <c r="J484" s="325"/>
    </row>
    <row r="485" spans="2:10" ht="18" x14ac:dyDescent="0.25">
      <c r="B485" s="324" t="s">
        <v>1904</v>
      </c>
      <c r="C485" s="325" t="s">
        <v>1905</v>
      </c>
      <c r="D485" s="325">
        <v>1.9000000000000001E-5</v>
      </c>
      <c r="E485" s="326" t="s">
        <v>1308</v>
      </c>
      <c r="F485" s="326" t="s">
        <v>1686</v>
      </c>
      <c r="G485" s="325" t="s">
        <v>1820</v>
      </c>
      <c r="H485" s="327">
        <v>2</v>
      </c>
      <c r="I485" s="327"/>
      <c r="J485" s="325" t="s">
        <v>1821</v>
      </c>
    </row>
  </sheetData>
  <conditionalFormatting sqref="E52:F52 E439:F485">
    <cfRule type="cellIs" dxfId="23" priority="18" stopIfTrue="1" operator="notEqual">
      <formula>INDIRECT("Dummy_for_Comparison3!"&amp;ADDRESS(ROW(),COLUMN()))</formula>
    </cfRule>
  </conditionalFormatting>
  <conditionalFormatting sqref="E4:F6 E11:F27 E32:F39 E44:F48 E53:F58 E63:F69 E74:F83 E92:F208 E213:F221 E226:F277 E282:F289 E294:F306 E311:F316 E321:F333 E338:F342 E355:F367 E378:F402 E411:F435 E369:F373">
    <cfRule type="cellIs" dxfId="22" priority="22" stopIfTrue="1" operator="notEqual">
      <formula>INDIRECT("Dummy_for_Comparison3!"&amp;ADDRESS(ROW(),COLUMN()))</formula>
    </cfRule>
  </conditionalFormatting>
  <conditionalFormatting sqref="E10:F10">
    <cfRule type="cellIs" dxfId="21" priority="21" stopIfTrue="1" operator="notEqual">
      <formula>INDIRECT("Dummy_for_Comparison3!"&amp;ADDRESS(ROW(),COLUMN()))</formula>
    </cfRule>
  </conditionalFormatting>
  <conditionalFormatting sqref="E31:F31">
    <cfRule type="cellIs" dxfId="20" priority="20" stopIfTrue="1" operator="notEqual">
      <formula>INDIRECT("Dummy_for_Comparison3!"&amp;ADDRESS(ROW(),COLUMN()))</formula>
    </cfRule>
  </conditionalFormatting>
  <conditionalFormatting sqref="E43:F43">
    <cfRule type="cellIs" dxfId="19" priority="19" stopIfTrue="1" operator="notEqual">
      <formula>INDIRECT("Dummy_for_Comparison3!"&amp;ADDRESS(ROW(),COLUMN()))</formula>
    </cfRule>
  </conditionalFormatting>
  <conditionalFormatting sqref="E62:F62">
    <cfRule type="cellIs" dxfId="18" priority="17" stopIfTrue="1" operator="notEqual">
      <formula>INDIRECT("Dummy_for_Comparison3!"&amp;ADDRESS(ROW(),COLUMN()))</formula>
    </cfRule>
  </conditionalFormatting>
  <conditionalFormatting sqref="E73:F73">
    <cfRule type="cellIs" dxfId="17" priority="16" stopIfTrue="1" operator="notEqual">
      <formula>INDIRECT("Dummy_for_Comparison3!"&amp;ADDRESS(ROW(),COLUMN()))</formula>
    </cfRule>
  </conditionalFormatting>
  <conditionalFormatting sqref="E87:F87">
    <cfRule type="cellIs" dxfId="16" priority="15" stopIfTrue="1" operator="notEqual">
      <formula>INDIRECT("Dummy_for_Comparison3!"&amp;ADDRESS(ROW(),COLUMN()))</formula>
    </cfRule>
  </conditionalFormatting>
  <conditionalFormatting sqref="E91:F91">
    <cfRule type="cellIs" dxfId="15" priority="14" stopIfTrue="1" operator="notEqual">
      <formula>INDIRECT("Dummy_for_Comparison3!"&amp;ADDRESS(ROW(),COLUMN()))</formula>
    </cfRule>
  </conditionalFormatting>
  <conditionalFormatting sqref="E212:F212">
    <cfRule type="cellIs" dxfId="14" priority="13" stopIfTrue="1" operator="notEqual">
      <formula>INDIRECT("Dummy_for_Comparison3!"&amp;ADDRESS(ROW(),COLUMN()))</formula>
    </cfRule>
  </conditionalFormatting>
  <conditionalFormatting sqref="E225:F225">
    <cfRule type="cellIs" dxfId="13" priority="12" stopIfTrue="1" operator="notEqual">
      <formula>INDIRECT("Dummy_for_Comparison3!"&amp;ADDRESS(ROW(),COLUMN()))</formula>
    </cfRule>
  </conditionalFormatting>
  <conditionalFormatting sqref="E281:F281">
    <cfRule type="cellIs" dxfId="12" priority="11" stopIfTrue="1" operator="notEqual">
      <formula>INDIRECT("Dummy_for_Comparison3!"&amp;ADDRESS(ROW(),COLUMN()))</formula>
    </cfRule>
  </conditionalFormatting>
  <conditionalFormatting sqref="E293:F293">
    <cfRule type="cellIs" dxfId="11" priority="10" stopIfTrue="1" operator="notEqual">
      <formula>INDIRECT("Dummy_for_Comparison3!"&amp;ADDRESS(ROW(),COLUMN()))</formula>
    </cfRule>
  </conditionalFormatting>
  <conditionalFormatting sqref="E310:F310">
    <cfRule type="cellIs" dxfId="10" priority="9" stopIfTrue="1" operator="notEqual">
      <formula>INDIRECT("Dummy_for_Comparison3!"&amp;ADDRESS(ROW(),COLUMN()))</formula>
    </cfRule>
  </conditionalFormatting>
  <conditionalFormatting sqref="E320:F320">
    <cfRule type="cellIs" dxfId="9" priority="8" stopIfTrue="1" operator="notEqual">
      <formula>INDIRECT("Dummy_for_Comparison3!"&amp;ADDRESS(ROW(),COLUMN()))</formula>
    </cfRule>
  </conditionalFormatting>
  <conditionalFormatting sqref="E337:F337">
    <cfRule type="cellIs" dxfId="8" priority="7" stopIfTrue="1" operator="notEqual">
      <formula>INDIRECT("Dummy_for_Comparison3!"&amp;ADDRESS(ROW(),COLUMN()))</formula>
    </cfRule>
  </conditionalFormatting>
  <conditionalFormatting sqref="E346:F346">
    <cfRule type="cellIs" dxfId="7" priority="6" stopIfTrue="1" operator="notEqual">
      <formula>INDIRECT("Dummy_for_Comparison3!"&amp;ADDRESS(ROW(),COLUMN()))</formula>
    </cfRule>
  </conditionalFormatting>
  <conditionalFormatting sqref="E350:F350">
    <cfRule type="cellIs" dxfId="6" priority="5" stopIfTrue="1" operator="notEqual">
      <formula>INDIRECT("Dummy_for_Comparison3!"&amp;ADDRESS(ROW(),COLUMN()))</formula>
    </cfRule>
  </conditionalFormatting>
  <conditionalFormatting sqref="E354:F354">
    <cfRule type="cellIs" dxfId="5" priority="4" stopIfTrue="1" operator="notEqual">
      <formula>INDIRECT("Dummy_for_Comparison3!"&amp;ADDRESS(ROW(),COLUMN()))</formula>
    </cfRule>
  </conditionalFormatting>
  <conditionalFormatting sqref="E377:F377">
    <cfRule type="cellIs" dxfId="4" priority="3" stopIfTrue="1" operator="notEqual">
      <formula>INDIRECT("Dummy_for_Comparison3!"&amp;ADDRESS(ROW(),COLUMN()))</formula>
    </cfRule>
  </conditionalFormatting>
  <conditionalFormatting sqref="E406:F406">
    <cfRule type="cellIs" dxfId="3" priority="2" stopIfTrue="1" operator="notEqual">
      <formula>INDIRECT("Dummy_for_Comparison3!"&amp;ADDRESS(ROW(),COLUMN()))</formula>
    </cfRule>
  </conditionalFormatting>
  <conditionalFormatting sqref="E410:F410">
    <cfRule type="cellIs" dxfId="2" priority="1" stopIfTrue="1" operator="notEqual">
      <formula>INDIRECT("Dummy_for_Comparison3!"&amp;ADDRESS(ROW(),COLUMN()))</formula>
    </cfRule>
  </conditionalFormatting>
  <hyperlinks>
    <hyperlink ref="J10" r:id="rId1"/>
    <hyperlink ref="J24" r:id="rId2"/>
    <hyperlink ref="J25" r:id="rId3"/>
    <hyperlink ref="J26" r:id="rId4"/>
    <hyperlink ref="J27" r:id="rId5"/>
    <hyperlink ref="J20" r:id="rId6"/>
    <hyperlink ref="J21" r:id="rId7"/>
    <hyperlink ref="J22" r:id="rId8"/>
    <hyperlink ref="J23" r:id="rId9"/>
    <hyperlink ref="J400" r:id="rId10"/>
    <hyperlink ref="J13" r:id="rId11"/>
  </hyperlinks>
  <pageMargins left="0.7" right="0.7" top="0.75" bottom="0.75" header="0.3" footer="0.3"/>
  <pageSetup orientation="portrait" r:id="rId1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54"/>
  <sheetViews>
    <sheetView showGridLines="0" tabSelected="1" workbookViewId="0"/>
  </sheetViews>
  <sheetFormatPr defaultColWidth="9.140625" defaultRowHeight="15" x14ac:dyDescent="0.25"/>
  <cols>
    <col min="1" max="1" width="3.85546875" customWidth="1"/>
    <col min="2" max="2" width="13.140625" customWidth="1"/>
    <col min="3" max="3" width="12.28515625" customWidth="1"/>
    <col min="5" max="5" width="25.42578125" customWidth="1"/>
    <col min="6" max="6" width="26" customWidth="1"/>
    <col min="7" max="7" width="13.28515625" customWidth="1"/>
    <col min="14" max="14" width="5.140625" customWidth="1"/>
  </cols>
  <sheetData>
    <row r="1" spans="1:10" s="46" customFormat="1" ht="47.25" customHeight="1" x14ac:dyDescent="0.25"/>
    <row r="3" spans="1:10" x14ac:dyDescent="0.25">
      <c r="B3" s="49" t="s">
        <v>151</v>
      </c>
      <c r="C3" t="s">
        <v>212</v>
      </c>
      <c r="D3" s="406" t="s">
        <v>1924</v>
      </c>
      <c r="E3" s="406"/>
      <c r="F3" s="406"/>
    </row>
    <row r="4" spans="1:10" x14ac:dyDescent="0.25">
      <c r="D4" s="406"/>
      <c r="E4" s="406"/>
      <c r="F4" s="406"/>
    </row>
    <row r="5" spans="1:10" x14ac:dyDescent="0.25">
      <c r="I5" s="254"/>
    </row>
    <row r="11" spans="1:10" x14ac:dyDescent="0.25">
      <c r="H11" s="358" t="s">
        <v>1923</v>
      </c>
    </row>
    <row r="13" spans="1:10" x14ac:dyDescent="0.25">
      <c r="B13" s="49" t="s">
        <v>25</v>
      </c>
      <c r="C13" s="50"/>
      <c r="H13" s="49" t="s">
        <v>210</v>
      </c>
      <c r="I13" s="50"/>
      <c r="J13" s="50"/>
    </row>
    <row r="14" spans="1:10" x14ac:dyDescent="0.25">
      <c r="A14" s="203" t="s">
        <v>1213</v>
      </c>
      <c r="H14">
        <v>1</v>
      </c>
      <c r="I14" t="s">
        <v>211</v>
      </c>
    </row>
    <row r="15" spans="1:10" x14ac:dyDescent="0.25">
      <c r="A15">
        <v>1</v>
      </c>
      <c r="B15" t="s">
        <v>1214</v>
      </c>
      <c r="H15">
        <v>2</v>
      </c>
      <c r="I15" t="s">
        <v>1925</v>
      </c>
    </row>
    <row r="16" spans="1:10" x14ac:dyDescent="0.25">
      <c r="A16">
        <v>2</v>
      </c>
      <c r="B16" t="s">
        <v>1215</v>
      </c>
    </row>
    <row r="17" spans="1:5" x14ac:dyDescent="0.25">
      <c r="B17">
        <v>1</v>
      </c>
      <c r="C17" t="s">
        <v>1216</v>
      </c>
    </row>
    <row r="18" spans="1:5" x14ac:dyDescent="0.25">
      <c r="B18">
        <v>2</v>
      </c>
      <c r="C18" t="s">
        <v>1217</v>
      </c>
    </row>
    <row r="19" spans="1:5" x14ac:dyDescent="0.25">
      <c r="B19">
        <v>3</v>
      </c>
      <c r="C19" t="s">
        <v>1218</v>
      </c>
    </row>
    <row r="20" spans="1:5" x14ac:dyDescent="0.25">
      <c r="B20">
        <v>4</v>
      </c>
      <c r="C20" t="s">
        <v>1219</v>
      </c>
    </row>
    <row r="21" spans="1:5" x14ac:dyDescent="0.25">
      <c r="B21">
        <v>5</v>
      </c>
      <c r="C21" t="s">
        <v>1220</v>
      </c>
    </row>
    <row r="22" spans="1:5" x14ac:dyDescent="0.25">
      <c r="A22">
        <v>3</v>
      </c>
      <c r="B22" t="s">
        <v>1221</v>
      </c>
    </row>
    <row r="23" spans="1:5" x14ac:dyDescent="0.25">
      <c r="C23" t="s">
        <v>1222</v>
      </c>
    </row>
    <row r="25" spans="1:5" x14ac:dyDescent="0.25">
      <c r="A25" s="1" t="s">
        <v>26</v>
      </c>
      <c r="B25" s="1" t="s">
        <v>27</v>
      </c>
    </row>
    <row r="26" spans="1:5" x14ac:dyDescent="0.25">
      <c r="B26">
        <v>1</v>
      </c>
      <c r="C26" t="s">
        <v>982</v>
      </c>
    </row>
    <row r="27" spans="1:5" x14ac:dyDescent="0.25">
      <c r="D27" t="s">
        <v>28</v>
      </c>
    </row>
    <row r="28" spans="1:5" x14ac:dyDescent="0.25">
      <c r="D28">
        <v>1</v>
      </c>
      <c r="E28" t="s">
        <v>29</v>
      </c>
    </row>
    <row r="29" spans="1:5" x14ac:dyDescent="0.25">
      <c r="D29">
        <v>2</v>
      </c>
      <c r="E29" t="s">
        <v>99</v>
      </c>
    </row>
    <row r="30" spans="1:5" x14ac:dyDescent="0.25">
      <c r="D30">
        <v>3</v>
      </c>
      <c r="E30" t="s">
        <v>152</v>
      </c>
    </row>
    <row r="31" spans="1:5" x14ac:dyDescent="0.25">
      <c r="D31">
        <v>4</v>
      </c>
      <c r="E31" t="s">
        <v>31</v>
      </c>
    </row>
    <row r="32" spans="1:5" x14ac:dyDescent="0.25">
      <c r="B32">
        <v>2</v>
      </c>
      <c r="C32" t="s">
        <v>983</v>
      </c>
    </row>
    <row r="33" spans="2:5" x14ac:dyDescent="0.25">
      <c r="D33">
        <v>1</v>
      </c>
      <c r="E33" t="s">
        <v>32</v>
      </c>
    </row>
    <row r="34" spans="2:5" x14ac:dyDescent="0.25">
      <c r="D34">
        <v>2</v>
      </c>
      <c r="E34" t="s">
        <v>153</v>
      </c>
    </row>
    <row r="35" spans="2:5" x14ac:dyDescent="0.25">
      <c r="D35">
        <v>3</v>
      </c>
      <c r="E35" t="s">
        <v>154</v>
      </c>
    </row>
    <row r="36" spans="2:5" x14ac:dyDescent="0.25">
      <c r="D36">
        <v>3</v>
      </c>
      <c r="E36" t="s">
        <v>155</v>
      </c>
    </row>
    <row r="37" spans="2:5" x14ac:dyDescent="0.25">
      <c r="D37">
        <v>4</v>
      </c>
      <c r="E37" t="s">
        <v>156</v>
      </c>
    </row>
    <row r="38" spans="2:5" x14ac:dyDescent="0.25">
      <c r="D38" s="204" t="s">
        <v>157</v>
      </c>
      <c r="E38" t="s">
        <v>34</v>
      </c>
    </row>
    <row r="39" spans="2:5" x14ac:dyDescent="0.25">
      <c r="D39">
        <v>6</v>
      </c>
      <c r="E39" t="s">
        <v>35</v>
      </c>
    </row>
    <row r="40" spans="2:5" x14ac:dyDescent="0.25">
      <c r="B40">
        <v>3</v>
      </c>
      <c r="C40" t="s">
        <v>36</v>
      </c>
    </row>
    <row r="41" spans="2:5" x14ac:dyDescent="0.25">
      <c r="D41">
        <v>1</v>
      </c>
      <c r="E41" t="s">
        <v>37</v>
      </c>
    </row>
    <row r="42" spans="2:5" x14ac:dyDescent="0.25">
      <c r="D42">
        <v>2</v>
      </c>
      <c r="E42" t="s">
        <v>38</v>
      </c>
    </row>
    <row r="43" spans="2:5" x14ac:dyDescent="0.25">
      <c r="D43">
        <v>3</v>
      </c>
      <c r="E43" t="s">
        <v>39</v>
      </c>
    </row>
    <row r="44" spans="2:5" x14ac:dyDescent="0.25">
      <c r="B44">
        <v>4</v>
      </c>
      <c r="C44" t="s">
        <v>158</v>
      </c>
    </row>
    <row r="45" spans="2:5" x14ac:dyDescent="0.25">
      <c r="D45">
        <v>1</v>
      </c>
      <c r="E45" t="s">
        <v>159</v>
      </c>
    </row>
    <row r="46" spans="2:5" x14ac:dyDescent="0.25">
      <c r="B46">
        <v>5</v>
      </c>
      <c r="C46" t="s">
        <v>983</v>
      </c>
    </row>
    <row r="47" spans="2:5" x14ac:dyDescent="0.25">
      <c r="D47">
        <v>1</v>
      </c>
      <c r="E47" t="s">
        <v>40</v>
      </c>
    </row>
    <row r="48" spans="2:5" x14ac:dyDescent="0.25">
      <c r="D48">
        <v>2</v>
      </c>
      <c r="E48" t="s">
        <v>97</v>
      </c>
    </row>
    <row r="49" spans="2:10" x14ac:dyDescent="0.25">
      <c r="D49">
        <v>3</v>
      </c>
      <c r="E49" t="s">
        <v>41</v>
      </c>
    </row>
    <row r="50" spans="2:10" x14ac:dyDescent="0.25">
      <c r="B50">
        <v>6</v>
      </c>
      <c r="C50" t="s">
        <v>1926</v>
      </c>
      <c r="J50" s="205"/>
    </row>
    <row r="51" spans="2:10" x14ac:dyDescent="0.25">
      <c r="D51">
        <v>1</v>
      </c>
      <c r="E51" t="s">
        <v>1927</v>
      </c>
    </row>
    <row r="52" spans="2:10" x14ac:dyDescent="0.25">
      <c r="D52">
        <v>2</v>
      </c>
      <c r="E52" t="s">
        <v>1928</v>
      </c>
    </row>
    <row r="53" spans="2:10" x14ac:dyDescent="0.25">
      <c r="D53">
        <v>3</v>
      </c>
      <c r="E53" t="s">
        <v>1929</v>
      </c>
    </row>
    <row r="54" spans="2:10" x14ac:dyDescent="0.25">
      <c r="D54">
        <v>4</v>
      </c>
      <c r="E54" t="s">
        <v>1930</v>
      </c>
    </row>
    <row r="56" spans="2:10" x14ac:dyDescent="0.25">
      <c r="B56" s="1" t="s">
        <v>984</v>
      </c>
    </row>
    <row r="57" spans="2:10" x14ac:dyDescent="0.25">
      <c r="B57">
        <v>1</v>
      </c>
      <c r="C57" t="s">
        <v>985</v>
      </c>
    </row>
    <row r="58" spans="2:10" x14ac:dyDescent="0.25">
      <c r="D58" t="s">
        <v>42</v>
      </c>
    </row>
    <row r="59" spans="2:10" x14ac:dyDescent="0.25">
      <c r="D59">
        <v>1</v>
      </c>
      <c r="E59" t="s">
        <v>43</v>
      </c>
    </row>
    <row r="60" spans="2:10" x14ac:dyDescent="0.25">
      <c r="D60">
        <v>2</v>
      </c>
      <c r="E60" t="s">
        <v>44</v>
      </c>
    </row>
    <row r="61" spans="2:10" x14ac:dyDescent="0.25">
      <c r="D61">
        <v>3</v>
      </c>
      <c r="E61" t="s">
        <v>117</v>
      </c>
    </row>
    <row r="62" spans="2:10" x14ac:dyDescent="0.25">
      <c r="D62">
        <v>4</v>
      </c>
      <c r="E62" t="s">
        <v>1931</v>
      </c>
    </row>
    <row r="63" spans="2:10" x14ac:dyDescent="0.25">
      <c r="B63">
        <v>2</v>
      </c>
      <c r="C63" t="s">
        <v>986</v>
      </c>
    </row>
    <row r="64" spans="2:10" x14ac:dyDescent="0.25">
      <c r="D64">
        <v>1</v>
      </c>
      <c r="E64" t="s">
        <v>160</v>
      </c>
    </row>
    <row r="65" spans="1:5" x14ac:dyDescent="0.25">
      <c r="D65">
        <v>2</v>
      </c>
      <c r="E65" t="s">
        <v>161</v>
      </c>
    </row>
    <row r="66" spans="1:5" x14ac:dyDescent="0.25">
      <c r="B66">
        <v>3</v>
      </c>
      <c r="C66" t="s">
        <v>1932</v>
      </c>
    </row>
    <row r="67" spans="1:5" x14ac:dyDescent="0.25">
      <c r="D67">
        <v>1</v>
      </c>
      <c r="E67" t="s">
        <v>1933</v>
      </c>
    </row>
    <row r="68" spans="1:5" x14ac:dyDescent="0.25">
      <c r="B68">
        <v>4</v>
      </c>
      <c r="C68" t="s">
        <v>1934</v>
      </c>
    </row>
    <row r="69" spans="1:5" x14ac:dyDescent="0.25">
      <c r="D69">
        <v>1</v>
      </c>
      <c r="E69" t="s">
        <v>1935</v>
      </c>
    </row>
    <row r="70" spans="1:5" x14ac:dyDescent="0.25">
      <c r="D70">
        <v>2</v>
      </c>
      <c r="E70" t="s">
        <v>1936</v>
      </c>
    </row>
    <row r="71" spans="1:5" x14ac:dyDescent="0.25">
      <c r="D71">
        <v>3</v>
      </c>
      <c r="E71" t="s">
        <v>1937</v>
      </c>
    </row>
    <row r="73" spans="1:5" x14ac:dyDescent="0.25">
      <c r="B73">
        <v>5</v>
      </c>
      <c r="C73" t="s">
        <v>986</v>
      </c>
    </row>
    <row r="74" spans="1:5" x14ac:dyDescent="0.25">
      <c r="D74">
        <v>1</v>
      </c>
      <c r="E74" t="s">
        <v>45</v>
      </c>
    </row>
    <row r="75" spans="1:5" x14ac:dyDescent="0.25">
      <c r="D75">
        <v>2</v>
      </c>
      <c r="E75" t="s">
        <v>162</v>
      </c>
    </row>
    <row r="77" spans="1:5" x14ac:dyDescent="0.25">
      <c r="A77" s="1" t="s">
        <v>46</v>
      </c>
      <c r="B77" s="1" t="s">
        <v>47</v>
      </c>
    </row>
    <row r="78" spans="1:5" x14ac:dyDescent="0.25">
      <c r="B78">
        <v>1</v>
      </c>
      <c r="C78" t="s">
        <v>982</v>
      </c>
    </row>
    <row r="79" spans="1:5" x14ac:dyDescent="0.25">
      <c r="D79" t="s">
        <v>28</v>
      </c>
    </row>
    <row r="80" spans="1:5" x14ac:dyDescent="0.25">
      <c r="D80">
        <v>1</v>
      </c>
      <c r="E80" t="s">
        <v>48</v>
      </c>
    </row>
    <row r="81" spans="2:6" x14ac:dyDescent="0.25">
      <c r="D81">
        <v>2</v>
      </c>
      <c r="E81" t="s">
        <v>100</v>
      </c>
    </row>
    <row r="82" spans="2:6" x14ac:dyDescent="0.25">
      <c r="D82">
        <v>3</v>
      </c>
      <c r="E82" t="s">
        <v>30</v>
      </c>
    </row>
    <row r="83" spans="2:6" x14ac:dyDescent="0.25">
      <c r="E83" s="344" t="s">
        <v>49</v>
      </c>
      <c r="F83" t="s">
        <v>50</v>
      </c>
    </row>
    <row r="84" spans="2:6" x14ac:dyDescent="0.25">
      <c r="E84" s="344" t="s">
        <v>51</v>
      </c>
      <c r="F84" t="s">
        <v>1938</v>
      </c>
    </row>
    <row r="85" spans="2:6" x14ac:dyDescent="0.25">
      <c r="F85" t="s">
        <v>52</v>
      </c>
    </row>
    <row r="86" spans="2:6" x14ac:dyDescent="0.25">
      <c r="B86">
        <v>2</v>
      </c>
      <c r="C86" t="s">
        <v>983</v>
      </c>
    </row>
    <row r="87" spans="2:6" x14ac:dyDescent="0.25">
      <c r="D87">
        <v>1</v>
      </c>
      <c r="E87" t="s">
        <v>53</v>
      </c>
    </row>
    <row r="88" spans="2:6" x14ac:dyDescent="0.25">
      <c r="D88">
        <v>2</v>
      </c>
      <c r="E88" t="s">
        <v>153</v>
      </c>
    </row>
    <row r="89" spans="2:6" x14ac:dyDescent="0.25">
      <c r="D89" s="204" t="s">
        <v>33</v>
      </c>
      <c r="E89" t="s">
        <v>34</v>
      </c>
    </row>
    <row r="90" spans="2:6" x14ac:dyDescent="0.25">
      <c r="D90">
        <v>4</v>
      </c>
      <c r="E90" t="s">
        <v>54</v>
      </c>
    </row>
    <row r="91" spans="2:6" x14ac:dyDescent="0.25">
      <c r="B91">
        <v>3</v>
      </c>
      <c r="C91" t="s">
        <v>36</v>
      </c>
    </row>
    <row r="92" spans="2:6" x14ac:dyDescent="0.25">
      <c r="D92">
        <v>1</v>
      </c>
      <c r="E92" t="s">
        <v>55</v>
      </c>
    </row>
    <row r="93" spans="2:6" x14ac:dyDescent="0.25">
      <c r="D93">
        <v>2</v>
      </c>
      <c r="E93" t="s">
        <v>38</v>
      </c>
    </row>
    <row r="94" spans="2:6" x14ac:dyDescent="0.25">
      <c r="D94">
        <v>3</v>
      </c>
      <c r="E94" t="s">
        <v>39</v>
      </c>
    </row>
    <row r="95" spans="2:6" x14ac:dyDescent="0.25">
      <c r="B95">
        <v>4</v>
      </c>
      <c r="C95" t="s">
        <v>158</v>
      </c>
    </row>
    <row r="96" spans="2:6" x14ac:dyDescent="0.25">
      <c r="D96">
        <v>1</v>
      </c>
      <c r="E96" t="s">
        <v>159</v>
      </c>
    </row>
    <row r="97" spans="2:10" x14ac:dyDescent="0.25">
      <c r="B97">
        <v>5</v>
      </c>
      <c r="C97" t="s">
        <v>983</v>
      </c>
    </row>
    <row r="98" spans="2:10" x14ac:dyDescent="0.25">
      <c r="D98">
        <v>1</v>
      </c>
      <c r="E98" t="s">
        <v>40</v>
      </c>
    </row>
    <row r="99" spans="2:10" x14ac:dyDescent="0.25">
      <c r="D99">
        <v>2</v>
      </c>
      <c r="E99" t="s">
        <v>97</v>
      </c>
    </row>
    <row r="100" spans="2:10" x14ac:dyDescent="0.25">
      <c r="D100">
        <v>3</v>
      </c>
      <c r="E100" t="s">
        <v>41</v>
      </c>
      <c r="J100" s="205"/>
    </row>
    <row r="101" spans="2:10" x14ac:dyDescent="0.25">
      <c r="B101">
        <v>6</v>
      </c>
      <c r="C101" t="s">
        <v>1926</v>
      </c>
    </row>
    <row r="102" spans="2:10" x14ac:dyDescent="0.25">
      <c r="D102">
        <v>1</v>
      </c>
      <c r="E102" t="s">
        <v>1927</v>
      </c>
    </row>
    <row r="103" spans="2:10" x14ac:dyDescent="0.25">
      <c r="D103">
        <v>2</v>
      </c>
      <c r="E103" t="s">
        <v>1928</v>
      </c>
    </row>
    <row r="104" spans="2:10" x14ac:dyDescent="0.25">
      <c r="D104">
        <v>3</v>
      </c>
      <c r="E104" t="s">
        <v>1929</v>
      </c>
    </row>
    <row r="105" spans="2:10" x14ac:dyDescent="0.25">
      <c r="D105">
        <v>4</v>
      </c>
      <c r="E105" t="s">
        <v>1930</v>
      </c>
    </row>
    <row r="106" spans="2:10" x14ac:dyDescent="0.25">
      <c r="B106" s="1" t="s">
        <v>56</v>
      </c>
    </row>
    <row r="107" spans="2:10" x14ac:dyDescent="0.25">
      <c r="B107">
        <v>1</v>
      </c>
      <c r="C107" t="s">
        <v>985</v>
      </c>
    </row>
    <row r="108" spans="2:10" x14ac:dyDescent="0.25">
      <c r="D108" t="s">
        <v>42</v>
      </c>
    </row>
    <row r="109" spans="2:10" x14ac:dyDescent="0.25">
      <c r="D109">
        <v>1</v>
      </c>
      <c r="E109" t="s">
        <v>57</v>
      </c>
    </row>
    <row r="110" spans="2:10" x14ac:dyDescent="0.25">
      <c r="D110">
        <v>2</v>
      </c>
      <c r="E110" t="s">
        <v>44</v>
      </c>
    </row>
    <row r="111" spans="2:10" x14ac:dyDescent="0.25">
      <c r="E111" s="344" t="s">
        <v>49</v>
      </c>
      <c r="F111" t="s">
        <v>58</v>
      </c>
    </row>
    <row r="112" spans="2:10" x14ac:dyDescent="0.25">
      <c r="E112" s="344" t="s">
        <v>51</v>
      </c>
      <c r="F112" t="s">
        <v>59</v>
      </c>
    </row>
    <row r="113" spans="2:6" x14ac:dyDescent="0.25">
      <c r="F113" t="s">
        <v>60</v>
      </c>
    </row>
    <row r="114" spans="2:6" x14ac:dyDescent="0.25">
      <c r="D114">
        <v>3</v>
      </c>
      <c r="E114" t="s">
        <v>1931</v>
      </c>
    </row>
    <row r="115" spans="2:6" x14ac:dyDescent="0.25">
      <c r="B115">
        <v>2</v>
      </c>
      <c r="C115" t="s">
        <v>986</v>
      </c>
    </row>
    <row r="116" spans="2:6" x14ac:dyDescent="0.25">
      <c r="D116">
        <v>1</v>
      </c>
      <c r="E116" t="s">
        <v>61</v>
      </c>
    </row>
    <row r="117" spans="2:6" x14ac:dyDescent="0.25">
      <c r="D117">
        <v>2</v>
      </c>
      <c r="E117" t="s">
        <v>161</v>
      </c>
    </row>
    <row r="118" spans="2:6" x14ac:dyDescent="0.25">
      <c r="E118" t="s">
        <v>1939</v>
      </c>
    </row>
    <row r="119" spans="2:6" x14ac:dyDescent="0.25">
      <c r="B119">
        <v>3</v>
      </c>
      <c r="C119" t="s">
        <v>1932</v>
      </c>
    </row>
    <row r="120" spans="2:6" x14ac:dyDescent="0.25">
      <c r="D120">
        <v>1</v>
      </c>
      <c r="E120" t="s">
        <v>1933</v>
      </c>
    </row>
    <row r="121" spans="2:6" x14ac:dyDescent="0.25">
      <c r="B121">
        <v>4</v>
      </c>
      <c r="C121" t="s">
        <v>1934</v>
      </c>
    </row>
    <row r="122" spans="2:6" x14ac:dyDescent="0.25">
      <c r="D122">
        <v>1</v>
      </c>
      <c r="E122" t="s">
        <v>1935</v>
      </c>
    </row>
    <row r="123" spans="2:6" x14ac:dyDescent="0.25">
      <c r="D123">
        <v>2</v>
      </c>
      <c r="E123" t="s">
        <v>1936</v>
      </c>
    </row>
    <row r="124" spans="2:6" x14ac:dyDescent="0.25">
      <c r="D124">
        <v>3</v>
      </c>
      <c r="E124" t="s">
        <v>1940</v>
      </c>
    </row>
    <row r="125" spans="2:6" x14ac:dyDescent="0.25">
      <c r="D125">
        <v>4</v>
      </c>
      <c r="E125" t="s">
        <v>1937</v>
      </c>
    </row>
    <row r="126" spans="2:6" x14ac:dyDescent="0.25">
      <c r="B126">
        <v>5</v>
      </c>
      <c r="C126" t="s">
        <v>986</v>
      </c>
    </row>
    <row r="127" spans="2:6" x14ac:dyDescent="0.25">
      <c r="D127">
        <v>1</v>
      </c>
      <c r="E127" t="s">
        <v>45</v>
      </c>
    </row>
    <row r="132" spans="2:7" x14ac:dyDescent="0.25">
      <c r="B132" s="49" t="s">
        <v>62</v>
      </c>
      <c r="C132" s="49"/>
      <c r="D132" s="49"/>
    </row>
    <row r="134" spans="2:7" x14ac:dyDescent="0.25">
      <c r="B134" s="1" t="s">
        <v>63</v>
      </c>
      <c r="C134" t="s">
        <v>64</v>
      </c>
    </row>
    <row r="135" spans="2:7" x14ac:dyDescent="0.25">
      <c r="C135" t="s">
        <v>65</v>
      </c>
    </row>
    <row r="136" spans="2:7" x14ac:dyDescent="0.25">
      <c r="C136" t="s">
        <v>123</v>
      </c>
    </row>
    <row r="137" spans="2:7" ht="15.75" thickBot="1" x14ac:dyDescent="0.3">
      <c r="C137" s="4"/>
      <c r="D137" s="206"/>
      <c r="E137" s="206"/>
      <c r="F137" s="206"/>
      <c r="G137" s="4"/>
    </row>
    <row r="138" spans="2:7" x14ac:dyDescent="0.25">
      <c r="C138" s="207"/>
      <c r="D138" s="345" t="s">
        <v>24</v>
      </c>
      <c r="E138" s="346"/>
      <c r="F138" s="347">
        <v>3.52</v>
      </c>
      <c r="G138" s="208"/>
    </row>
    <row r="139" spans="2:7" x14ac:dyDescent="0.25">
      <c r="C139" s="207"/>
      <c r="D139" s="209" t="s">
        <v>66</v>
      </c>
      <c r="E139" s="210"/>
      <c r="F139" s="211">
        <v>1.23</v>
      </c>
      <c r="G139" s="208"/>
    </row>
    <row r="140" spans="2:7" x14ac:dyDescent="0.25">
      <c r="C140" s="207"/>
      <c r="D140" s="209" t="s">
        <v>67</v>
      </c>
      <c r="E140" s="210"/>
      <c r="F140" s="211">
        <v>0.02</v>
      </c>
      <c r="G140" s="208"/>
    </row>
    <row r="141" spans="2:7" ht="15.75" thickBot="1" x14ac:dyDescent="0.3">
      <c r="C141" s="207"/>
      <c r="D141" s="212" t="s">
        <v>68</v>
      </c>
      <c r="E141" s="213"/>
      <c r="F141" s="214">
        <v>4.21</v>
      </c>
      <c r="G141" s="208"/>
    </row>
    <row r="142" spans="2:7" x14ac:dyDescent="0.25">
      <c r="C142" s="4"/>
      <c r="D142" s="215"/>
      <c r="E142" s="215"/>
      <c r="F142" s="215"/>
      <c r="G142" s="4"/>
    </row>
    <row r="150" spans="2:4" x14ac:dyDescent="0.25">
      <c r="B150" s="1" t="s">
        <v>982</v>
      </c>
    </row>
    <row r="151" spans="2:4" x14ac:dyDescent="0.25">
      <c r="C151" s="5" t="s">
        <v>69</v>
      </c>
    </row>
    <row r="152" spans="2:4" x14ac:dyDescent="0.25">
      <c r="C152" t="s">
        <v>70</v>
      </c>
    </row>
    <row r="153" spans="2:4" x14ac:dyDescent="0.25">
      <c r="C153" t="s">
        <v>71</v>
      </c>
    </row>
    <row r="154" spans="2:4" x14ac:dyDescent="0.25">
      <c r="C154" t="s">
        <v>72</v>
      </c>
    </row>
    <row r="156" spans="2:4" x14ac:dyDescent="0.25">
      <c r="C156" s="5" t="s">
        <v>73</v>
      </c>
    </row>
    <row r="157" spans="2:4" x14ac:dyDescent="0.25">
      <c r="C157" t="s">
        <v>74</v>
      </c>
    </row>
    <row r="158" spans="2:4" x14ac:dyDescent="0.25">
      <c r="D158" t="s">
        <v>14</v>
      </c>
    </row>
    <row r="159" spans="2:4" x14ac:dyDescent="0.25">
      <c r="C159" t="s">
        <v>101</v>
      </c>
    </row>
    <row r="161" spans="2:5" x14ac:dyDescent="0.25">
      <c r="B161" s="1" t="s">
        <v>985</v>
      </c>
    </row>
    <row r="162" spans="2:5" x14ac:dyDescent="0.25">
      <c r="C162" s="5" t="s">
        <v>75</v>
      </c>
    </row>
    <row r="163" spans="2:5" x14ac:dyDescent="0.25">
      <c r="C163" t="s">
        <v>76</v>
      </c>
    </row>
    <row r="164" spans="2:5" x14ac:dyDescent="0.25">
      <c r="C164" t="s">
        <v>71</v>
      </c>
    </row>
    <row r="166" spans="2:5" x14ac:dyDescent="0.25">
      <c r="C166" s="5" t="s">
        <v>77</v>
      </c>
    </row>
    <row r="167" spans="2:5" x14ac:dyDescent="0.25">
      <c r="C167" s="217" t="s">
        <v>15</v>
      </c>
    </row>
    <row r="168" spans="2:5" x14ac:dyDescent="0.25">
      <c r="C168" s="217"/>
      <c r="D168" t="s">
        <v>14</v>
      </c>
    </row>
    <row r="169" spans="2:5" x14ac:dyDescent="0.25">
      <c r="C169" s="217"/>
    </row>
    <row r="170" spans="2:5" x14ac:dyDescent="0.25">
      <c r="B170" s="1" t="s">
        <v>983</v>
      </c>
      <c r="C170" s="217"/>
    </row>
    <row r="171" spans="2:5" x14ac:dyDescent="0.25">
      <c r="C171" s="5" t="s">
        <v>102</v>
      </c>
    </row>
    <row r="172" spans="2:5" x14ac:dyDescent="0.25">
      <c r="C172" t="s">
        <v>103</v>
      </c>
    </row>
    <row r="173" spans="2:5" x14ac:dyDescent="0.25">
      <c r="D173" t="s">
        <v>78</v>
      </c>
    </row>
    <row r="174" spans="2:5" x14ac:dyDescent="0.25">
      <c r="E174" t="s">
        <v>79</v>
      </c>
    </row>
    <row r="175" spans="2:5" x14ac:dyDescent="0.25">
      <c r="E175" t="s">
        <v>80</v>
      </c>
    </row>
    <row r="176" spans="2:5" x14ac:dyDescent="0.25">
      <c r="D176" t="s">
        <v>16</v>
      </c>
    </row>
    <row r="177" spans="3:12" x14ac:dyDescent="0.25">
      <c r="E177" t="s">
        <v>17</v>
      </c>
    </row>
    <row r="178" spans="3:12" x14ac:dyDescent="0.25">
      <c r="E178" t="s">
        <v>10</v>
      </c>
    </row>
    <row r="179" spans="3:12" x14ac:dyDescent="0.25">
      <c r="E179" t="s">
        <v>81</v>
      </c>
    </row>
    <row r="180" spans="3:12" x14ac:dyDescent="0.25">
      <c r="D180" t="s">
        <v>82</v>
      </c>
    </row>
    <row r="181" spans="3:12" x14ac:dyDescent="0.25">
      <c r="D181" t="s">
        <v>98</v>
      </c>
    </row>
    <row r="182" spans="3:12" x14ac:dyDescent="0.25">
      <c r="D182" t="s">
        <v>18</v>
      </c>
    </row>
    <row r="183" spans="3:12" x14ac:dyDescent="0.25">
      <c r="C183" t="s">
        <v>104</v>
      </c>
    </row>
    <row r="185" spans="3:12" x14ac:dyDescent="0.25">
      <c r="D185" t="s">
        <v>987</v>
      </c>
    </row>
    <row r="186" spans="3:12" ht="15.75" thickBot="1" x14ac:dyDescent="0.3"/>
    <row r="187" spans="3:12" ht="15.75" thickBot="1" x14ac:dyDescent="0.3">
      <c r="E187" s="348" t="s">
        <v>0</v>
      </c>
      <c r="F187" s="298" t="s">
        <v>1</v>
      </c>
      <c r="G187" s="407" t="s">
        <v>4</v>
      </c>
      <c r="H187" s="408"/>
      <c r="I187" s="408"/>
      <c r="J187" s="408"/>
      <c r="K187" s="408"/>
      <c r="L187" s="409"/>
    </row>
    <row r="188" spans="3:12" x14ac:dyDescent="0.25">
      <c r="E188" s="349" t="s">
        <v>163</v>
      </c>
      <c r="F188" s="105" t="s">
        <v>164</v>
      </c>
      <c r="G188" s="410" t="s">
        <v>165</v>
      </c>
      <c r="H188" s="411"/>
      <c r="I188" s="411"/>
      <c r="J188" s="411"/>
      <c r="K188" s="411"/>
      <c r="L188" s="412"/>
    </row>
    <row r="189" spans="3:12" x14ac:dyDescent="0.25">
      <c r="E189" s="151" t="s">
        <v>166</v>
      </c>
      <c r="F189" s="128" t="s">
        <v>167</v>
      </c>
      <c r="G189" s="413" t="s">
        <v>168</v>
      </c>
      <c r="H189" s="414"/>
      <c r="I189" s="414"/>
      <c r="J189" s="414"/>
      <c r="K189" s="414"/>
      <c r="L189" s="415"/>
    </row>
    <row r="190" spans="3:12" x14ac:dyDescent="0.25">
      <c r="E190" s="151" t="s">
        <v>169</v>
      </c>
      <c r="F190" s="128" t="s">
        <v>170</v>
      </c>
      <c r="G190" s="413" t="s">
        <v>171</v>
      </c>
      <c r="H190" s="414"/>
      <c r="I190" s="414"/>
      <c r="J190" s="414"/>
      <c r="K190" s="414"/>
      <c r="L190" s="415"/>
    </row>
    <row r="191" spans="3:12" x14ac:dyDescent="0.25">
      <c r="E191" s="151" t="s">
        <v>172</v>
      </c>
      <c r="F191" s="128" t="s">
        <v>173</v>
      </c>
      <c r="G191" s="413" t="s">
        <v>174</v>
      </c>
      <c r="H191" s="414"/>
      <c r="I191" s="414"/>
      <c r="J191" s="414"/>
      <c r="K191" s="414"/>
      <c r="L191" s="415"/>
    </row>
    <row r="192" spans="3:12" x14ac:dyDescent="0.25">
      <c r="E192" s="151" t="s">
        <v>175</v>
      </c>
      <c r="F192" s="128" t="s">
        <v>176</v>
      </c>
      <c r="G192" s="413" t="s">
        <v>177</v>
      </c>
      <c r="H192" s="414"/>
      <c r="I192" s="414"/>
      <c r="J192" s="414"/>
      <c r="K192" s="414"/>
      <c r="L192" s="415"/>
    </row>
    <row r="193" spans="4:12" x14ac:dyDescent="0.25">
      <c r="E193" s="151" t="s">
        <v>178</v>
      </c>
      <c r="F193" s="128" t="s">
        <v>179</v>
      </c>
      <c r="G193" s="413" t="s">
        <v>180</v>
      </c>
      <c r="H193" s="414"/>
      <c r="I193" s="414"/>
      <c r="J193" s="414"/>
      <c r="K193" s="414"/>
      <c r="L193" s="415"/>
    </row>
    <row r="194" spans="4:12" x14ac:dyDescent="0.25">
      <c r="E194" s="151" t="s">
        <v>181</v>
      </c>
      <c r="F194" s="128" t="s">
        <v>182</v>
      </c>
      <c r="G194" s="413" t="s">
        <v>183</v>
      </c>
      <c r="H194" s="414"/>
      <c r="I194" s="414"/>
      <c r="J194" s="414"/>
      <c r="K194" s="414"/>
      <c r="L194" s="415"/>
    </row>
    <row r="195" spans="4:12" x14ac:dyDescent="0.25">
      <c r="E195" s="151" t="s">
        <v>149</v>
      </c>
      <c r="F195" s="128" t="s">
        <v>147</v>
      </c>
      <c r="G195" s="413" t="s">
        <v>148</v>
      </c>
      <c r="H195" s="414"/>
      <c r="I195" s="414"/>
      <c r="J195" s="414"/>
      <c r="K195" s="414"/>
      <c r="L195" s="415"/>
    </row>
    <row r="196" spans="4:12" ht="15.75" thickBot="1" x14ac:dyDescent="0.3">
      <c r="E196" s="273" t="s">
        <v>184</v>
      </c>
      <c r="F196" s="131" t="s">
        <v>185</v>
      </c>
      <c r="G196" s="416" t="s">
        <v>186</v>
      </c>
      <c r="H196" s="417"/>
      <c r="I196" s="417"/>
      <c r="J196" s="417"/>
      <c r="K196" s="417"/>
      <c r="L196" s="418"/>
    </row>
    <row r="197" spans="4:12" x14ac:dyDescent="0.25">
      <c r="E197" s="44"/>
      <c r="F197" s="45"/>
      <c r="G197" s="45"/>
    </row>
    <row r="198" spans="4:12" ht="15.75" thickBot="1" x14ac:dyDescent="0.3">
      <c r="D198" t="s">
        <v>187</v>
      </c>
    </row>
    <row r="199" spans="4:12" ht="15.75" thickBot="1" x14ac:dyDescent="0.3">
      <c r="E199" s="350" t="s">
        <v>0</v>
      </c>
      <c r="F199" s="351" t="s">
        <v>1</v>
      </c>
      <c r="G199" s="352" t="s">
        <v>4</v>
      </c>
    </row>
    <row r="200" spans="4:12" x14ac:dyDescent="0.25">
      <c r="E200" s="353" t="s">
        <v>188</v>
      </c>
      <c r="F200" s="354" t="s">
        <v>189</v>
      </c>
      <c r="G200" s="355" t="s">
        <v>190</v>
      </c>
    </row>
    <row r="201" spans="4:12" x14ac:dyDescent="0.25">
      <c r="E201" s="193" t="s">
        <v>191</v>
      </c>
      <c r="F201" s="129" t="s">
        <v>192</v>
      </c>
      <c r="G201" s="183" t="s">
        <v>193</v>
      </c>
    </row>
    <row r="202" spans="4:12" x14ac:dyDescent="0.25">
      <c r="E202" s="193" t="s">
        <v>194</v>
      </c>
      <c r="F202" s="109" t="s">
        <v>195</v>
      </c>
      <c r="G202" s="356" t="s">
        <v>196</v>
      </c>
    </row>
    <row r="203" spans="4:12" x14ac:dyDescent="0.25">
      <c r="E203" s="193" t="s">
        <v>197</v>
      </c>
      <c r="F203" s="109" t="s">
        <v>198</v>
      </c>
      <c r="G203" s="356" t="s">
        <v>199</v>
      </c>
    </row>
    <row r="204" spans="4:12" x14ac:dyDescent="0.25">
      <c r="E204" s="193" t="s">
        <v>200</v>
      </c>
      <c r="F204" s="109" t="s">
        <v>201</v>
      </c>
      <c r="G204" s="356" t="s">
        <v>202</v>
      </c>
    </row>
    <row r="205" spans="4:12" ht="15.75" thickBot="1" x14ac:dyDescent="0.3">
      <c r="E205" s="221" t="s">
        <v>203</v>
      </c>
      <c r="F205" s="113" t="s">
        <v>204</v>
      </c>
      <c r="G205" s="357" t="s">
        <v>205</v>
      </c>
    </row>
    <row r="207" spans="4:12" x14ac:dyDescent="0.25">
      <c r="D207" t="s">
        <v>206</v>
      </c>
    </row>
    <row r="209" spans="2:7" x14ac:dyDescent="0.25">
      <c r="C209" t="s">
        <v>1941</v>
      </c>
    </row>
    <row r="210" spans="2:7" x14ac:dyDescent="0.25">
      <c r="C210" t="s">
        <v>109</v>
      </c>
    </row>
    <row r="211" spans="2:7" x14ac:dyDescent="0.25">
      <c r="D211" t="s">
        <v>112</v>
      </c>
    </row>
    <row r="212" spans="2:7" x14ac:dyDescent="0.25">
      <c r="C212" t="s">
        <v>110</v>
      </c>
    </row>
    <row r="213" spans="2:7" x14ac:dyDescent="0.25">
      <c r="C213" t="s">
        <v>207</v>
      </c>
    </row>
    <row r="216" spans="2:7" x14ac:dyDescent="0.25">
      <c r="B216" s="1" t="s">
        <v>986</v>
      </c>
    </row>
    <row r="217" spans="2:7" x14ac:dyDescent="0.25">
      <c r="C217" s="5" t="s">
        <v>83</v>
      </c>
    </row>
    <row r="218" spans="2:7" x14ac:dyDescent="0.25">
      <c r="C218" t="s">
        <v>84</v>
      </c>
    </row>
    <row r="219" spans="2:7" x14ac:dyDescent="0.25">
      <c r="D219" t="s">
        <v>85</v>
      </c>
      <c r="F219" s="216"/>
      <c r="G219" s="216"/>
    </row>
    <row r="220" spans="2:7" x14ac:dyDescent="0.25">
      <c r="E220" t="s">
        <v>19</v>
      </c>
    </row>
    <row r="221" spans="2:7" x14ac:dyDescent="0.25">
      <c r="E221" t="s">
        <v>20</v>
      </c>
    </row>
    <row r="222" spans="2:7" x14ac:dyDescent="0.25">
      <c r="D222" t="s">
        <v>86</v>
      </c>
    </row>
    <row r="223" spans="2:7" ht="18" x14ac:dyDescent="0.35">
      <c r="E223" t="s">
        <v>21</v>
      </c>
    </row>
    <row r="224" spans="2:7" ht="18" x14ac:dyDescent="0.35">
      <c r="E224" t="s">
        <v>87</v>
      </c>
    </row>
    <row r="225" spans="2:4" x14ac:dyDescent="0.25">
      <c r="D225" t="s">
        <v>23</v>
      </c>
    </row>
    <row r="226" spans="2:4" x14ac:dyDescent="0.25">
      <c r="D226" t="s">
        <v>22</v>
      </c>
    </row>
    <row r="227" spans="2:4" x14ac:dyDescent="0.25">
      <c r="D227" t="s">
        <v>88</v>
      </c>
    </row>
    <row r="229" spans="2:4" x14ac:dyDescent="0.25">
      <c r="C229" s="5"/>
    </row>
    <row r="233" spans="2:4" x14ac:dyDescent="0.25">
      <c r="D233" t="s">
        <v>89</v>
      </c>
    </row>
    <row r="237" spans="2:4" x14ac:dyDescent="0.25">
      <c r="D237" t="s">
        <v>90</v>
      </c>
    </row>
    <row r="240" spans="2:4" x14ac:dyDescent="0.25">
      <c r="B240" s="5" t="s">
        <v>119</v>
      </c>
    </row>
    <row r="241" spans="2:4" x14ac:dyDescent="0.25">
      <c r="B241" s="5"/>
      <c r="C241" s="5" t="s">
        <v>120</v>
      </c>
    </row>
    <row r="242" spans="2:4" x14ac:dyDescent="0.25">
      <c r="B242" s="5"/>
      <c r="C242" t="s">
        <v>121</v>
      </c>
    </row>
    <row r="243" spans="2:4" x14ac:dyDescent="0.25">
      <c r="B243" s="5"/>
      <c r="D243" t="s">
        <v>122</v>
      </c>
    </row>
    <row r="244" spans="2:4" x14ac:dyDescent="0.25">
      <c r="B244" s="5"/>
    </row>
    <row r="245" spans="2:4" x14ac:dyDescent="0.25">
      <c r="B245" s="5" t="s">
        <v>158</v>
      </c>
    </row>
    <row r="246" spans="2:4" x14ac:dyDescent="0.25">
      <c r="B246" s="5"/>
      <c r="C246" s="5" t="s">
        <v>208</v>
      </c>
    </row>
    <row r="247" spans="2:4" x14ac:dyDescent="0.25">
      <c r="B247" s="5"/>
      <c r="C247" t="s">
        <v>209</v>
      </c>
    </row>
    <row r="248" spans="2:4" x14ac:dyDescent="0.25">
      <c r="B248" s="5"/>
    </row>
    <row r="249" spans="2:4" x14ac:dyDescent="0.25">
      <c r="B249" s="5" t="s">
        <v>92</v>
      </c>
    </row>
    <row r="250" spans="2:4" x14ac:dyDescent="0.25">
      <c r="C250" t="s">
        <v>988</v>
      </c>
    </row>
    <row r="251" spans="2:4" x14ac:dyDescent="0.25">
      <c r="C251" s="5" t="s">
        <v>96</v>
      </c>
    </row>
    <row r="252" spans="2:4" x14ac:dyDescent="0.25">
      <c r="D252" t="s">
        <v>93</v>
      </c>
    </row>
    <row r="253" spans="2:4" x14ac:dyDescent="0.25">
      <c r="D253" t="s">
        <v>94</v>
      </c>
    </row>
    <row r="254" spans="2:4" x14ac:dyDescent="0.25">
      <c r="D254" t="s">
        <v>95</v>
      </c>
    </row>
  </sheetData>
  <mergeCells count="11">
    <mergeCell ref="G196:L196"/>
    <mergeCell ref="G191:L191"/>
    <mergeCell ref="G192:L192"/>
    <mergeCell ref="G193:L193"/>
    <mergeCell ref="G194:L194"/>
    <mergeCell ref="G195:L195"/>
    <mergeCell ref="D3:F4"/>
    <mergeCell ref="G187:L187"/>
    <mergeCell ref="G188:L188"/>
    <mergeCell ref="G189:L189"/>
    <mergeCell ref="G190:L190"/>
  </mergeCells>
  <hyperlinks>
    <hyperlink ref="H11" r:id="rId1"/>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2"/>
  <dimension ref="A1:J127"/>
  <sheetViews>
    <sheetView showGridLines="0" zoomScaleNormal="100" workbookViewId="0">
      <selection activeCell="B127" sqref="B127:D127"/>
    </sheetView>
  </sheetViews>
  <sheetFormatPr defaultColWidth="9.140625" defaultRowHeight="15" x14ac:dyDescent="0.25"/>
  <cols>
    <col min="1" max="1" width="8.5703125" style="103" customWidth="1"/>
    <col min="2" max="2" width="17.42578125" style="133" customWidth="1"/>
    <col min="3" max="3" width="80.7109375" style="133" bestFit="1" customWidth="1"/>
    <col min="4" max="4" width="19" style="103" customWidth="1"/>
    <col min="5" max="6" width="14.42578125" style="124" customWidth="1"/>
    <col min="7" max="7" width="27.28515625" style="249" customWidth="1"/>
    <col min="8" max="8" width="14.42578125" style="249" customWidth="1"/>
    <col min="9" max="9" width="19.5703125" style="103" customWidth="1"/>
    <col min="10" max="10" width="18.42578125" style="103" bestFit="1" customWidth="1"/>
    <col min="11" max="11" width="9.85546875" style="103" customWidth="1"/>
    <col min="12" max="12" width="16" style="103" customWidth="1"/>
    <col min="13" max="13" width="14.85546875" style="103" customWidth="1"/>
    <col min="14" max="14" width="47" style="103" customWidth="1"/>
    <col min="15" max="15" width="9.140625" style="103" customWidth="1"/>
    <col min="16" max="16" width="12" style="103" bestFit="1" customWidth="1"/>
    <col min="17" max="16384" width="9.140625" style="103"/>
  </cols>
  <sheetData>
    <row r="1" spans="1:10" s="99" customFormat="1" ht="54" customHeight="1" x14ac:dyDescent="0.25">
      <c r="A1" s="97"/>
      <c r="B1" s="98"/>
      <c r="C1" s="98"/>
      <c r="E1" s="245"/>
      <c r="F1" s="245"/>
      <c r="G1" s="248"/>
      <c r="H1" s="248"/>
    </row>
    <row r="5" spans="1:10" s="258" customFormat="1" ht="15.75" thickBot="1" x14ac:dyDescent="0.3">
      <c r="B5" s="249"/>
      <c r="C5" s="125"/>
      <c r="D5" s="262"/>
      <c r="E5" s="126"/>
      <c r="F5" s="126"/>
      <c r="G5" s="126"/>
      <c r="H5" s="126"/>
      <c r="I5" s="126"/>
      <c r="J5" s="126"/>
    </row>
    <row r="6" spans="1:10" s="263" customFormat="1" ht="15.75" thickBot="1" x14ac:dyDescent="0.3">
      <c r="A6" s="263" t="s">
        <v>1208</v>
      </c>
      <c r="B6" s="264" t="s">
        <v>1321</v>
      </c>
      <c r="C6" s="265"/>
      <c r="D6" s="266"/>
      <c r="E6" s="267"/>
      <c r="F6" s="267"/>
      <c r="G6" s="267"/>
      <c r="H6" s="267"/>
      <c r="I6" s="267"/>
      <c r="J6" s="267"/>
    </row>
    <row r="7" spans="1:10" s="246" customFormat="1" ht="15.75" thickBot="1" x14ac:dyDescent="0.3">
      <c r="B7" s="252"/>
      <c r="C7" s="268"/>
      <c r="D7" s="269"/>
      <c r="E7" s="270"/>
      <c r="F7" s="270"/>
      <c r="G7" s="270"/>
      <c r="H7" s="270"/>
      <c r="I7" s="270"/>
      <c r="J7" s="270"/>
    </row>
    <row r="8" spans="1:10" ht="15.75" thickBot="1" x14ac:dyDescent="0.3">
      <c r="A8" s="100"/>
      <c r="B8" s="101"/>
      <c r="C8" s="102" t="s">
        <v>409</v>
      </c>
      <c r="D8" s="101" t="s">
        <v>408</v>
      </c>
      <c r="G8" s="124"/>
      <c r="H8" s="124"/>
      <c r="I8" s="101"/>
    </row>
    <row r="9" spans="1:10" s="100" customFormat="1" ht="15.75" thickBot="1" x14ac:dyDescent="0.3">
      <c r="B9" s="134" t="s">
        <v>0</v>
      </c>
      <c r="C9" s="135" t="s">
        <v>1</v>
      </c>
      <c r="D9" s="136" t="s">
        <v>989</v>
      </c>
      <c r="E9" s="136" t="s">
        <v>550</v>
      </c>
      <c r="F9" s="136" t="s">
        <v>551</v>
      </c>
      <c r="G9" s="136" t="s">
        <v>2</v>
      </c>
      <c r="H9" s="136" t="s">
        <v>492</v>
      </c>
      <c r="I9" s="136" t="s">
        <v>114</v>
      </c>
      <c r="J9" s="161" t="s">
        <v>115</v>
      </c>
    </row>
    <row r="10" spans="1:10" s="100" customFormat="1" ht="18" x14ac:dyDescent="0.25">
      <c r="B10" s="104" t="s">
        <v>411</v>
      </c>
      <c r="C10" s="105" t="s">
        <v>213</v>
      </c>
      <c r="D10" s="106">
        <v>3</v>
      </c>
      <c r="E10" s="143">
        <v>0</v>
      </c>
      <c r="F10" s="143" t="s">
        <v>1309</v>
      </c>
      <c r="G10" s="143" t="s">
        <v>417</v>
      </c>
      <c r="H10" s="250">
        <v>1</v>
      </c>
      <c r="I10" s="107"/>
      <c r="J10" s="158"/>
    </row>
    <row r="11" spans="1:10" s="100" customFormat="1" ht="18" x14ac:dyDescent="0.25">
      <c r="B11" s="108" t="s">
        <v>412</v>
      </c>
      <c r="C11" s="109" t="s">
        <v>902</v>
      </c>
      <c r="D11" s="110">
        <v>0.1</v>
      </c>
      <c r="E11" s="141">
        <v>0</v>
      </c>
      <c r="F11" s="141" t="s">
        <v>1309</v>
      </c>
      <c r="G11" s="141" t="s">
        <v>901</v>
      </c>
      <c r="H11" s="251">
        <v>1</v>
      </c>
      <c r="I11" s="111"/>
      <c r="J11" s="159"/>
    </row>
    <row r="12" spans="1:10" s="100" customFormat="1" ht="18" x14ac:dyDescent="0.25">
      <c r="B12" s="108" t="s">
        <v>1354</v>
      </c>
      <c r="C12" s="109" t="s">
        <v>214</v>
      </c>
      <c r="D12" s="110">
        <v>0.8</v>
      </c>
      <c r="E12" s="141">
        <v>0</v>
      </c>
      <c r="F12" s="141" t="s">
        <v>1309</v>
      </c>
      <c r="G12" s="141" t="s">
        <v>1328</v>
      </c>
      <c r="H12" s="251">
        <v>1</v>
      </c>
      <c r="I12" s="111"/>
      <c r="J12" s="159"/>
    </row>
    <row r="13" spans="1:10" s="100" customFormat="1" ht="18" x14ac:dyDescent="0.25">
      <c r="B13" s="108" t="s">
        <v>413</v>
      </c>
      <c r="C13" s="109" t="s">
        <v>216</v>
      </c>
      <c r="D13" s="110">
        <v>0.2</v>
      </c>
      <c r="E13" s="141">
        <v>0</v>
      </c>
      <c r="F13" s="141" t="s">
        <v>1309</v>
      </c>
      <c r="G13" s="141" t="s">
        <v>1328</v>
      </c>
      <c r="H13" s="251">
        <v>1</v>
      </c>
      <c r="I13" s="111"/>
      <c r="J13" s="159"/>
    </row>
    <row r="14" spans="1:10" s="100" customFormat="1" ht="18" x14ac:dyDescent="0.25">
      <c r="B14" s="108" t="s">
        <v>414</v>
      </c>
      <c r="C14" s="109" t="s">
        <v>931</v>
      </c>
      <c r="D14" s="110">
        <v>0.2</v>
      </c>
      <c r="E14" s="141">
        <v>0</v>
      </c>
      <c r="F14" s="141" t="s">
        <v>1309</v>
      </c>
      <c r="G14" s="141" t="s">
        <v>903</v>
      </c>
      <c r="H14" s="251">
        <v>1</v>
      </c>
      <c r="I14" s="111"/>
      <c r="J14" s="159"/>
    </row>
    <row r="15" spans="1:10" s="100" customFormat="1" ht="18.75" thickBot="1" x14ac:dyDescent="0.3">
      <c r="B15" s="112" t="s">
        <v>1365</v>
      </c>
      <c r="C15" s="113" t="s">
        <v>932</v>
      </c>
      <c r="D15" s="114">
        <v>0.5</v>
      </c>
      <c r="E15" s="132">
        <v>0</v>
      </c>
      <c r="F15" s="132" t="s">
        <v>1309</v>
      </c>
      <c r="G15" s="132" t="s">
        <v>415</v>
      </c>
      <c r="H15" s="242">
        <v>1</v>
      </c>
      <c r="I15" s="115"/>
      <c r="J15" s="160"/>
    </row>
    <row r="16" spans="1:10" s="100" customFormat="1" ht="15.75" thickBot="1" x14ac:dyDescent="0.3">
      <c r="B16" s="116"/>
      <c r="C16" s="44"/>
      <c r="D16" s="117"/>
      <c r="E16" s="243"/>
      <c r="F16" s="246"/>
      <c r="G16" s="119"/>
      <c r="H16" s="252"/>
      <c r="I16" s="118"/>
    </row>
    <row r="17" spans="1:10" ht="15.75" thickBot="1" x14ac:dyDescent="0.3">
      <c r="A17" s="100"/>
      <c r="B17" s="101"/>
      <c r="C17" s="102" t="s">
        <v>904</v>
      </c>
      <c r="D17" s="101" t="s">
        <v>408</v>
      </c>
      <c r="G17" s="124"/>
      <c r="H17" s="124"/>
      <c r="I17" s="101"/>
    </row>
    <row r="18" spans="1:10" s="100" customFormat="1" ht="15.75" thickBot="1" x14ac:dyDescent="0.3">
      <c r="B18" s="134" t="s">
        <v>0</v>
      </c>
      <c r="C18" s="135" t="s">
        <v>1</v>
      </c>
      <c r="D18" s="136" t="s">
        <v>989</v>
      </c>
      <c r="E18" s="136" t="s">
        <v>550</v>
      </c>
      <c r="F18" s="136" t="s">
        <v>551</v>
      </c>
      <c r="G18" s="136" t="s">
        <v>2</v>
      </c>
      <c r="H18" s="136" t="s">
        <v>492</v>
      </c>
      <c r="I18" s="136" t="s">
        <v>114</v>
      </c>
      <c r="J18" s="161" t="s">
        <v>115</v>
      </c>
    </row>
    <row r="19" spans="1:10" s="100" customFormat="1" ht="18" x14ac:dyDescent="0.25">
      <c r="B19" s="104" t="s">
        <v>416</v>
      </c>
      <c r="C19" s="148" t="s">
        <v>911</v>
      </c>
      <c r="D19" s="149">
        <v>6</v>
      </c>
      <c r="E19" s="244">
        <v>0</v>
      </c>
      <c r="F19" s="143" t="s">
        <v>1309</v>
      </c>
      <c r="G19" s="143" t="s">
        <v>417</v>
      </c>
      <c r="H19" s="250">
        <v>1</v>
      </c>
      <c r="I19" s="107"/>
      <c r="J19" s="158"/>
    </row>
    <row r="20" spans="1:10" s="100" customFormat="1" ht="18" x14ac:dyDescent="0.25">
      <c r="B20" s="108" t="s">
        <v>1355</v>
      </c>
      <c r="C20" s="109" t="s">
        <v>912</v>
      </c>
      <c r="D20" s="120">
        <v>0.8</v>
      </c>
      <c r="E20" s="244">
        <v>0</v>
      </c>
      <c r="F20" s="143" t="s">
        <v>1309</v>
      </c>
      <c r="G20" s="141" t="s">
        <v>1328</v>
      </c>
      <c r="H20" s="251">
        <v>2</v>
      </c>
      <c r="I20" s="111"/>
      <c r="J20" s="159"/>
    </row>
    <row r="21" spans="1:10" s="100" customFormat="1" ht="18" x14ac:dyDescent="0.25">
      <c r="B21" s="108" t="s">
        <v>418</v>
      </c>
      <c r="C21" s="109" t="s">
        <v>217</v>
      </c>
      <c r="D21" s="120">
        <v>3</v>
      </c>
      <c r="E21" s="244">
        <v>0</v>
      </c>
      <c r="F21" s="143" t="s">
        <v>1309</v>
      </c>
      <c r="G21" s="141" t="s">
        <v>905</v>
      </c>
      <c r="H21" s="251">
        <v>1</v>
      </c>
      <c r="I21" s="111"/>
      <c r="J21" s="159"/>
    </row>
    <row r="22" spans="1:10" s="100" customFormat="1" ht="18" x14ac:dyDescent="0.25">
      <c r="B22" s="108" t="s">
        <v>419</v>
      </c>
      <c r="C22" s="109" t="s">
        <v>420</v>
      </c>
      <c r="D22" s="120">
        <v>4</v>
      </c>
      <c r="E22" s="244">
        <v>0</v>
      </c>
      <c r="F22" s="143" t="s">
        <v>1309</v>
      </c>
      <c r="G22" s="141" t="s">
        <v>906</v>
      </c>
      <c r="H22" s="251">
        <v>1</v>
      </c>
      <c r="I22" s="111"/>
      <c r="J22" s="159"/>
    </row>
    <row r="23" spans="1:10" s="100" customFormat="1" ht="18" x14ac:dyDescent="0.25">
      <c r="B23" s="108" t="s">
        <v>421</v>
      </c>
      <c r="C23" s="109" t="s">
        <v>910</v>
      </c>
      <c r="D23" s="120">
        <v>0.4</v>
      </c>
      <c r="E23" s="244">
        <v>0</v>
      </c>
      <c r="F23" s="143" t="s">
        <v>1309</v>
      </c>
      <c r="G23" s="141" t="s">
        <v>417</v>
      </c>
      <c r="H23" s="251">
        <v>2</v>
      </c>
      <c r="I23" s="111"/>
      <c r="J23" s="159"/>
    </row>
    <row r="24" spans="1:10" s="100" customFormat="1" ht="18" x14ac:dyDescent="0.25">
      <c r="B24" s="108" t="s">
        <v>422</v>
      </c>
      <c r="C24" s="109" t="s">
        <v>423</v>
      </c>
      <c r="D24" s="120">
        <v>20</v>
      </c>
      <c r="E24" s="244">
        <v>0</v>
      </c>
      <c r="F24" s="143" t="s">
        <v>1309</v>
      </c>
      <c r="G24" s="141" t="s">
        <v>906</v>
      </c>
      <c r="H24" s="251">
        <v>1</v>
      </c>
      <c r="I24" s="111"/>
      <c r="J24" s="159"/>
    </row>
    <row r="25" spans="1:10" s="100" customFormat="1" ht="18" x14ac:dyDescent="0.25">
      <c r="B25" s="108" t="s">
        <v>424</v>
      </c>
      <c r="C25" s="109" t="s">
        <v>923</v>
      </c>
      <c r="D25" s="120">
        <v>0.2</v>
      </c>
      <c r="E25" s="244">
        <v>0</v>
      </c>
      <c r="F25" s="143" t="s">
        <v>1309</v>
      </c>
      <c r="G25" s="141" t="s">
        <v>903</v>
      </c>
      <c r="H25" s="251">
        <v>2</v>
      </c>
      <c r="I25" s="111"/>
      <c r="J25" s="159"/>
    </row>
    <row r="26" spans="1:10" s="100" customFormat="1" ht="18" x14ac:dyDescent="0.25">
      <c r="B26" s="108" t="s">
        <v>1367</v>
      </c>
      <c r="C26" s="109" t="s">
        <v>924</v>
      </c>
      <c r="D26" s="120">
        <v>0.5</v>
      </c>
      <c r="E26" s="244">
        <v>0</v>
      </c>
      <c r="F26" s="143" t="s">
        <v>1309</v>
      </c>
      <c r="G26" s="141" t="s">
        <v>907</v>
      </c>
      <c r="H26" s="251">
        <v>2</v>
      </c>
      <c r="I26" s="111"/>
      <c r="J26" s="159"/>
    </row>
    <row r="27" spans="1:10" s="100" customFormat="1" ht="18" x14ac:dyDescent="0.25">
      <c r="B27" s="108" t="s">
        <v>425</v>
      </c>
      <c r="C27" s="109" t="s">
        <v>925</v>
      </c>
      <c r="D27" s="120">
        <v>0.05</v>
      </c>
      <c r="E27" s="244">
        <v>0</v>
      </c>
      <c r="F27" s="143" t="s">
        <v>1309</v>
      </c>
      <c r="G27" s="141" t="s">
        <v>908</v>
      </c>
      <c r="H27" s="251">
        <v>2</v>
      </c>
      <c r="I27" s="111"/>
      <c r="J27" s="159"/>
    </row>
    <row r="28" spans="1:10" s="100" customFormat="1" ht="18" x14ac:dyDescent="0.25">
      <c r="B28" s="108" t="s">
        <v>426</v>
      </c>
      <c r="C28" s="109" t="s">
        <v>930</v>
      </c>
      <c r="D28" s="120">
        <v>0.01</v>
      </c>
      <c r="E28" s="244">
        <v>0</v>
      </c>
      <c r="F28" s="143" t="s">
        <v>1309</v>
      </c>
      <c r="G28" s="141" t="s">
        <v>909</v>
      </c>
      <c r="H28" s="251">
        <v>2</v>
      </c>
      <c r="I28" s="111"/>
      <c r="J28" s="159"/>
    </row>
    <row r="29" spans="1:10" s="100" customFormat="1" ht="18.75" thickBot="1" x14ac:dyDescent="0.3">
      <c r="B29" s="112" t="s">
        <v>1911</v>
      </c>
      <c r="C29" s="113" t="s">
        <v>1437</v>
      </c>
      <c r="D29" s="123">
        <v>1E-4</v>
      </c>
      <c r="E29" s="140">
        <v>0</v>
      </c>
      <c r="F29" s="132" t="s">
        <v>1309</v>
      </c>
      <c r="G29" s="132" t="s">
        <v>427</v>
      </c>
      <c r="H29" s="242">
        <v>4</v>
      </c>
      <c r="I29" s="115"/>
      <c r="J29" s="160"/>
    </row>
    <row r="30" spans="1:10" s="100" customFormat="1" ht="15.75" thickBot="1" x14ac:dyDescent="0.3">
      <c r="B30" s="116"/>
      <c r="C30" s="44"/>
      <c r="D30" s="117"/>
      <c r="E30" s="243"/>
      <c r="F30" s="246"/>
      <c r="G30" s="119"/>
      <c r="H30" s="252"/>
      <c r="I30" s="118"/>
    </row>
    <row r="31" spans="1:10" ht="15.75" thickBot="1" x14ac:dyDescent="0.3">
      <c r="A31" s="100"/>
      <c r="B31" s="101"/>
      <c r="C31" s="102" t="s">
        <v>493</v>
      </c>
      <c r="D31" s="101" t="s">
        <v>408</v>
      </c>
      <c r="G31" s="124"/>
      <c r="H31" s="124"/>
      <c r="I31" s="101"/>
    </row>
    <row r="32" spans="1:10" s="100" customFormat="1" ht="15.75" thickBot="1" x14ac:dyDescent="0.3">
      <c r="B32" s="134" t="s">
        <v>0</v>
      </c>
      <c r="C32" s="135" t="s">
        <v>1</v>
      </c>
      <c r="D32" s="136" t="s">
        <v>989</v>
      </c>
      <c r="E32" s="136" t="s">
        <v>550</v>
      </c>
      <c r="F32" s="136" t="s">
        <v>551</v>
      </c>
      <c r="G32" s="136" t="s">
        <v>2</v>
      </c>
      <c r="H32" s="136" t="s">
        <v>492</v>
      </c>
      <c r="I32" s="136" t="s">
        <v>114</v>
      </c>
      <c r="J32" s="161" t="s">
        <v>115</v>
      </c>
    </row>
    <row r="33" spans="2:10" s="100" customFormat="1" ht="18" x14ac:dyDescent="0.25">
      <c r="B33" s="146" t="s">
        <v>428</v>
      </c>
      <c r="C33" s="148" t="s">
        <v>933</v>
      </c>
      <c r="D33" s="149">
        <v>8</v>
      </c>
      <c r="E33" s="244">
        <v>0</v>
      </c>
      <c r="F33" s="143" t="s">
        <v>1309</v>
      </c>
      <c r="G33" s="143" t="s">
        <v>913</v>
      </c>
      <c r="H33" s="250">
        <v>1</v>
      </c>
      <c r="I33" s="107"/>
      <c r="J33" s="158"/>
    </row>
    <row r="34" spans="2:10" s="100" customFormat="1" ht="18" x14ac:dyDescent="0.25">
      <c r="B34" s="121" t="s">
        <v>429</v>
      </c>
      <c r="C34" s="109" t="s">
        <v>934</v>
      </c>
      <c r="D34" s="120">
        <v>1.2</v>
      </c>
      <c r="E34" s="244">
        <v>0</v>
      </c>
      <c r="F34" s="143" t="s">
        <v>1309</v>
      </c>
      <c r="G34" s="141" t="s">
        <v>913</v>
      </c>
      <c r="H34" s="251">
        <v>1</v>
      </c>
      <c r="I34" s="111"/>
      <c r="J34" s="159"/>
    </row>
    <row r="35" spans="2:10" s="100" customFormat="1" ht="18" x14ac:dyDescent="0.25">
      <c r="B35" s="121" t="s">
        <v>430</v>
      </c>
      <c r="C35" s="109" t="s">
        <v>915</v>
      </c>
      <c r="D35" s="120">
        <v>0.1</v>
      </c>
      <c r="E35" s="244">
        <v>0</v>
      </c>
      <c r="F35" s="143" t="s">
        <v>1309</v>
      </c>
      <c r="G35" s="141" t="s">
        <v>914</v>
      </c>
      <c r="H35" s="251">
        <v>1</v>
      </c>
      <c r="I35" s="111"/>
      <c r="J35" s="159"/>
    </row>
    <row r="36" spans="2:10" s="100" customFormat="1" ht="18" x14ac:dyDescent="0.25">
      <c r="B36" s="121" t="s">
        <v>431</v>
      </c>
      <c r="C36" s="109" t="s">
        <v>916</v>
      </c>
      <c r="D36" s="120">
        <v>0.22</v>
      </c>
      <c r="E36" s="244">
        <v>0</v>
      </c>
      <c r="F36" s="143" t="s">
        <v>1309</v>
      </c>
      <c r="G36" s="141" t="s">
        <v>1328</v>
      </c>
      <c r="H36" s="251">
        <v>2</v>
      </c>
      <c r="I36" s="111"/>
      <c r="J36" s="159"/>
    </row>
    <row r="37" spans="2:10" s="100" customFormat="1" ht="18" x14ac:dyDescent="0.25">
      <c r="B37" s="121" t="s">
        <v>432</v>
      </c>
      <c r="C37" s="109" t="s">
        <v>917</v>
      </c>
      <c r="D37" s="120">
        <v>0.35</v>
      </c>
      <c r="E37" s="244">
        <v>0</v>
      </c>
      <c r="F37" s="143" t="s">
        <v>1309</v>
      </c>
      <c r="G37" s="141" t="s">
        <v>936</v>
      </c>
      <c r="H37" s="251">
        <v>2</v>
      </c>
      <c r="I37" s="111"/>
      <c r="J37" s="159"/>
    </row>
    <row r="38" spans="2:10" s="100" customFormat="1" ht="18" x14ac:dyDescent="0.25">
      <c r="B38" s="121" t="s">
        <v>1912</v>
      </c>
      <c r="C38" s="109" t="s">
        <v>918</v>
      </c>
      <c r="D38" s="120">
        <v>0.01</v>
      </c>
      <c r="E38" s="244">
        <v>0</v>
      </c>
      <c r="F38" s="143" t="s">
        <v>1309</v>
      </c>
      <c r="G38" s="141" t="s">
        <v>936</v>
      </c>
      <c r="H38" s="251">
        <v>2</v>
      </c>
      <c r="I38" s="111"/>
      <c r="J38" s="159"/>
    </row>
    <row r="39" spans="2:10" s="100" customFormat="1" ht="18" x14ac:dyDescent="0.25">
      <c r="B39" s="121" t="s">
        <v>433</v>
      </c>
      <c r="C39" s="109" t="s">
        <v>919</v>
      </c>
      <c r="D39" s="120">
        <v>0.93</v>
      </c>
      <c r="E39" s="244">
        <v>0</v>
      </c>
      <c r="F39" s="143" t="s">
        <v>1309</v>
      </c>
      <c r="G39" s="141" t="s">
        <v>913</v>
      </c>
      <c r="H39" s="251">
        <v>2</v>
      </c>
      <c r="I39" s="111"/>
      <c r="J39" s="159"/>
    </row>
    <row r="40" spans="2:10" s="100" customFormat="1" ht="18" x14ac:dyDescent="0.25">
      <c r="B40" s="121" t="s">
        <v>434</v>
      </c>
      <c r="C40" s="109" t="s">
        <v>920</v>
      </c>
      <c r="D40" s="120">
        <v>0.5</v>
      </c>
      <c r="E40" s="244">
        <v>0</v>
      </c>
      <c r="F40" s="143" t="s">
        <v>1309</v>
      </c>
      <c r="G40" s="141" t="s">
        <v>913</v>
      </c>
      <c r="H40" s="251">
        <v>2</v>
      </c>
      <c r="I40" s="111"/>
      <c r="J40" s="159"/>
    </row>
    <row r="41" spans="2:10" s="100" customFormat="1" ht="18" x14ac:dyDescent="0.25">
      <c r="B41" s="121" t="s">
        <v>1913</v>
      </c>
      <c r="C41" s="109" t="s">
        <v>435</v>
      </c>
      <c r="D41" s="120">
        <v>0.01</v>
      </c>
      <c r="E41" s="244">
        <v>0</v>
      </c>
      <c r="F41" s="143" t="s">
        <v>1309</v>
      </c>
      <c r="G41" s="141" t="s">
        <v>1317</v>
      </c>
      <c r="H41" s="251">
        <v>2</v>
      </c>
      <c r="I41" s="111"/>
      <c r="J41" s="159"/>
    </row>
    <row r="42" spans="2:10" s="100" customFormat="1" ht="18" x14ac:dyDescent="0.25">
      <c r="B42" s="121" t="s">
        <v>1914</v>
      </c>
      <c r="C42" s="109" t="s">
        <v>921</v>
      </c>
      <c r="D42" s="120">
        <v>0.2</v>
      </c>
      <c r="E42" s="244">
        <v>0</v>
      </c>
      <c r="F42" s="143" t="s">
        <v>1309</v>
      </c>
      <c r="G42" s="141" t="s">
        <v>937</v>
      </c>
      <c r="H42" s="251">
        <v>2</v>
      </c>
      <c r="I42" s="111"/>
      <c r="J42" s="159"/>
    </row>
    <row r="43" spans="2:10" s="100" customFormat="1" ht="18" x14ac:dyDescent="0.25">
      <c r="B43" s="121" t="s">
        <v>436</v>
      </c>
      <c r="C43" s="109" t="s">
        <v>922</v>
      </c>
      <c r="D43" s="120">
        <v>5.51</v>
      </c>
      <c r="E43" s="244">
        <v>0</v>
      </c>
      <c r="F43" s="143" t="s">
        <v>1309</v>
      </c>
      <c r="G43" s="141" t="s">
        <v>913</v>
      </c>
      <c r="H43" s="251">
        <v>2</v>
      </c>
      <c r="I43" s="111"/>
      <c r="J43" s="159"/>
    </row>
    <row r="44" spans="2:10" s="100" customFormat="1" ht="18" x14ac:dyDescent="0.25">
      <c r="B44" s="121" t="s">
        <v>1356</v>
      </c>
      <c r="C44" s="109" t="s">
        <v>218</v>
      </c>
      <c r="D44" s="120">
        <v>0.8</v>
      </c>
      <c r="E44" s="244">
        <v>0</v>
      </c>
      <c r="F44" s="143" t="s">
        <v>1309</v>
      </c>
      <c r="G44" s="141" t="s">
        <v>1328</v>
      </c>
      <c r="H44" s="251">
        <v>2</v>
      </c>
      <c r="I44" s="111"/>
      <c r="J44" s="159"/>
    </row>
    <row r="45" spans="2:10" s="100" customFormat="1" ht="18" x14ac:dyDescent="0.25">
      <c r="B45" s="121" t="s">
        <v>437</v>
      </c>
      <c r="C45" s="109" t="s">
        <v>438</v>
      </c>
      <c r="D45" s="120">
        <v>0.06</v>
      </c>
      <c r="E45" s="244">
        <v>0</v>
      </c>
      <c r="F45" s="143" t="s">
        <v>1309</v>
      </c>
      <c r="G45" s="141" t="s">
        <v>417</v>
      </c>
      <c r="H45" s="251">
        <v>2</v>
      </c>
      <c r="I45" s="111"/>
      <c r="J45" s="159"/>
    </row>
    <row r="46" spans="2:10" s="100" customFormat="1" ht="18" x14ac:dyDescent="0.25">
      <c r="B46" s="121" t="s">
        <v>1357</v>
      </c>
      <c r="C46" s="109" t="s">
        <v>439</v>
      </c>
      <c r="D46" s="120">
        <v>0.09</v>
      </c>
      <c r="E46" s="244">
        <v>0</v>
      </c>
      <c r="F46" s="143" t="s">
        <v>1309</v>
      </c>
      <c r="G46" s="141" t="s">
        <v>417</v>
      </c>
      <c r="H46" s="251">
        <v>2</v>
      </c>
      <c r="I46" s="111"/>
      <c r="J46" s="159"/>
    </row>
    <row r="47" spans="2:10" s="100" customFormat="1" ht="18" x14ac:dyDescent="0.25">
      <c r="B47" s="121" t="s">
        <v>440</v>
      </c>
      <c r="C47" s="109" t="s">
        <v>441</v>
      </c>
      <c r="D47" s="120">
        <v>0.05</v>
      </c>
      <c r="E47" s="244">
        <v>0</v>
      </c>
      <c r="F47" s="143" t="s">
        <v>1309</v>
      </c>
      <c r="G47" s="141" t="s">
        <v>442</v>
      </c>
      <c r="H47" s="251">
        <v>2</v>
      </c>
      <c r="I47" s="111"/>
      <c r="J47" s="159"/>
    </row>
    <row r="48" spans="2:10" s="100" customFormat="1" ht="18" x14ac:dyDescent="0.25">
      <c r="B48" s="121" t="s">
        <v>1315</v>
      </c>
      <c r="C48" s="109" t="s">
        <v>935</v>
      </c>
      <c r="D48" s="120">
        <v>4</v>
      </c>
      <c r="E48" s="244">
        <v>0</v>
      </c>
      <c r="F48" s="143" t="s">
        <v>1309</v>
      </c>
      <c r="G48" s="141" t="s">
        <v>906</v>
      </c>
      <c r="H48" s="251">
        <v>1</v>
      </c>
      <c r="I48" s="111"/>
      <c r="J48" s="159"/>
    </row>
    <row r="49" spans="1:10" s="100" customFormat="1" ht="18" x14ac:dyDescent="0.25">
      <c r="B49" s="121" t="s">
        <v>443</v>
      </c>
      <c r="C49" s="109" t="s">
        <v>923</v>
      </c>
      <c r="D49" s="120">
        <v>0.2</v>
      </c>
      <c r="E49" s="244">
        <v>0</v>
      </c>
      <c r="F49" s="143" t="s">
        <v>1309</v>
      </c>
      <c r="G49" s="141" t="s">
        <v>903</v>
      </c>
      <c r="H49" s="251">
        <v>2</v>
      </c>
      <c r="I49" s="111"/>
      <c r="J49" s="159"/>
    </row>
    <row r="50" spans="1:10" s="100" customFormat="1" ht="18" x14ac:dyDescent="0.25">
      <c r="B50" s="121" t="s">
        <v>1368</v>
      </c>
      <c r="C50" s="109" t="s">
        <v>924</v>
      </c>
      <c r="D50" s="120">
        <v>0.5</v>
      </c>
      <c r="E50" s="244">
        <v>0</v>
      </c>
      <c r="F50" s="143" t="s">
        <v>1309</v>
      </c>
      <c r="G50" s="141" t="s">
        <v>908</v>
      </c>
      <c r="H50" s="251">
        <v>2</v>
      </c>
      <c r="I50" s="111"/>
      <c r="J50" s="159"/>
    </row>
    <row r="51" spans="1:10" s="100" customFormat="1" ht="18" x14ac:dyDescent="0.25">
      <c r="B51" s="121" t="s">
        <v>444</v>
      </c>
      <c r="C51" s="109" t="s">
        <v>925</v>
      </c>
      <c r="D51" s="120">
        <v>0.05</v>
      </c>
      <c r="E51" s="244">
        <v>0</v>
      </c>
      <c r="F51" s="143" t="s">
        <v>1309</v>
      </c>
      <c r="G51" s="141" t="s">
        <v>908</v>
      </c>
      <c r="H51" s="251">
        <v>2</v>
      </c>
      <c r="I51" s="111"/>
      <c r="J51" s="159"/>
    </row>
    <row r="52" spans="1:10" s="100" customFormat="1" ht="18" x14ac:dyDescent="0.25">
      <c r="B52" s="121" t="s">
        <v>445</v>
      </c>
      <c r="C52" s="109" t="s">
        <v>926</v>
      </c>
      <c r="D52" s="120">
        <v>0.02</v>
      </c>
      <c r="E52" s="244">
        <v>0</v>
      </c>
      <c r="F52" s="143" t="s">
        <v>1309</v>
      </c>
      <c r="G52" s="141" t="s">
        <v>909</v>
      </c>
      <c r="H52" s="251">
        <v>2</v>
      </c>
      <c r="I52" s="111"/>
      <c r="J52" s="159"/>
    </row>
    <row r="53" spans="1:10" s="100" customFormat="1" ht="18" x14ac:dyDescent="0.25">
      <c r="B53" s="121" t="s">
        <v>446</v>
      </c>
      <c r="C53" s="109" t="s">
        <v>927</v>
      </c>
      <c r="D53" s="120">
        <v>0.01</v>
      </c>
      <c r="E53" s="244">
        <v>0</v>
      </c>
      <c r="F53" s="143" t="s">
        <v>1309</v>
      </c>
      <c r="G53" s="141" t="s">
        <v>909</v>
      </c>
      <c r="H53" s="251">
        <v>2</v>
      </c>
      <c r="I53" s="111"/>
      <c r="J53" s="159"/>
    </row>
    <row r="54" spans="1:10" s="100" customFormat="1" ht="18" x14ac:dyDescent="0.25">
      <c r="B54" s="121" t="s">
        <v>447</v>
      </c>
      <c r="C54" s="109" t="s">
        <v>928</v>
      </c>
      <c r="D54" s="120">
        <v>0.01</v>
      </c>
      <c r="E54" s="244">
        <v>0</v>
      </c>
      <c r="F54" s="143" t="s">
        <v>1309</v>
      </c>
      <c r="G54" s="141" t="s">
        <v>906</v>
      </c>
      <c r="H54" s="251">
        <v>2</v>
      </c>
      <c r="I54" s="111"/>
      <c r="J54" s="159"/>
    </row>
    <row r="55" spans="1:10" s="100" customFormat="1" ht="18" x14ac:dyDescent="0.25">
      <c r="B55" s="121" t="s">
        <v>1915</v>
      </c>
      <c r="C55" s="109" t="s">
        <v>929</v>
      </c>
      <c r="D55" s="120">
        <v>0.01</v>
      </c>
      <c r="E55" s="244">
        <v>0</v>
      </c>
      <c r="F55" s="143" t="s">
        <v>1309</v>
      </c>
      <c r="G55" s="141" t="s">
        <v>906</v>
      </c>
      <c r="H55" s="251">
        <v>2</v>
      </c>
      <c r="I55" s="111"/>
      <c r="J55" s="159"/>
    </row>
    <row r="56" spans="1:10" s="100" customFormat="1" ht="18.75" thickBot="1" x14ac:dyDescent="0.3">
      <c r="B56" s="122" t="s">
        <v>1916</v>
      </c>
      <c r="C56" s="113" t="s">
        <v>1437</v>
      </c>
      <c r="D56" s="123">
        <v>1.0000000000000001E-5</v>
      </c>
      <c r="E56" s="140">
        <v>0</v>
      </c>
      <c r="F56" s="132" t="s">
        <v>1309</v>
      </c>
      <c r="G56" s="132" t="s">
        <v>427</v>
      </c>
      <c r="H56" s="242">
        <v>5</v>
      </c>
      <c r="I56" s="115"/>
      <c r="J56" s="160"/>
    </row>
    <row r="57" spans="1:10" s="100" customFormat="1" ht="15.75" thickBot="1" x14ac:dyDescent="0.3">
      <c r="B57" s="116"/>
      <c r="C57" s="44"/>
      <c r="D57" s="117"/>
      <c r="E57" s="243"/>
      <c r="F57" s="246"/>
      <c r="G57" s="119"/>
      <c r="H57" s="252"/>
      <c r="I57" s="118"/>
    </row>
    <row r="58" spans="1:10" ht="15.75" thickBot="1" x14ac:dyDescent="0.3">
      <c r="A58" s="100"/>
      <c r="B58" s="101"/>
      <c r="C58" s="102" t="s">
        <v>938</v>
      </c>
      <c r="D58" s="101" t="s">
        <v>408</v>
      </c>
      <c r="G58" s="124"/>
      <c r="H58" s="124"/>
      <c r="I58" s="101"/>
    </row>
    <row r="59" spans="1:10" s="100" customFormat="1" ht="15.75" thickBot="1" x14ac:dyDescent="0.3">
      <c r="B59" s="134" t="s">
        <v>0</v>
      </c>
      <c r="C59" s="135" t="s">
        <v>1</v>
      </c>
      <c r="D59" s="136" t="s">
        <v>989</v>
      </c>
      <c r="E59" s="136" t="s">
        <v>550</v>
      </c>
      <c r="F59" s="136" t="s">
        <v>551</v>
      </c>
      <c r="G59" s="136" t="s">
        <v>2</v>
      </c>
      <c r="H59" s="136" t="s">
        <v>492</v>
      </c>
      <c r="I59" s="136" t="s">
        <v>114</v>
      </c>
      <c r="J59" s="161" t="s">
        <v>115</v>
      </c>
    </row>
    <row r="60" spans="1:10" s="100" customFormat="1" ht="18" x14ac:dyDescent="0.25">
      <c r="B60" s="146" t="s">
        <v>448</v>
      </c>
      <c r="C60" s="148" t="s">
        <v>939</v>
      </c>
      <c r="D60" s="149">
        <v>1</v>
      </c>
      <c r="E60" s="244">
        <v>0</v>
      </c>
      <c r="F60" s="143" t="s">
        <v>1309</v>
      </c>
      <c r="G60" s="143" t="s">
        <v>417</v>
      </c>
      <c r="H60" s="250">
        <v>1</v>
      </c>
      <c r="I60" s="107"/>
      <c r="J60" s="158"/>
    </row>
    <row r="61" spans="1:10" s="100" customFormat="1" ht="18" x14ac:dyDescent="0.25">
      <c r="B61" s="121" t="s">
        <v>449</v>
      </c>
      <c r="C61" s="109" t="s">
        <v>940</v>
      </c>
      <c r="D61" s="120">
        <v>0.15</v>
      </c>
      <c r="E61" s="244">
        <v>0</v>
      </c>
      <c r="F61" s="143" t="s">
        <v>1309</v>
      </c>
      <c r="G61" s="141" t="s">
        <v>417</v>
      </c>
      <c r="H61" s="251">
        <v>2</v>
      </c>
      <c r="I61" s="111"/>
      <c r="J61" s="159"/>
    </row>
    <row r="62" spans="1:10" s="100" customFormat="1" ht="18" x14ac:dyDescent="0.25">
      <c r="B62" s="121" t="s">
        <v>1917</v>
      </c>
      <c r="C62" s="109" t="s">
        <v>923</v>
      </c>
      <c r="D62" s="120">
        <v>0.5</v>
      </c>
      <c r="E62" s="244">
        <v>0</v>
      </c>
      <c r="F62" s="143" t="s">
        <v>1309</v>
      </c>
      <c r="G62" s="141" t="s">
        <v>903</v>
      </c>
      <c r="H62" s="251">
        <v>2</v>
      </c>
      <c r="I62" s="111"/>
      <c r="J62" s="159"/>
    </row>
    <row r="63" spans="1:10" s="100" customFormat="1" ht="18" x14ac:dyDescent="0.25">
      <c r="B63" s="121" t="s">
        <v>1918</v>
      </c>
      <c r="C63" s="109" t="s">
        <v>925</v>
      </c>
      <c r="D63" s="120">
        <v>1</v>
      </c>
      <c r="E63" s="244">
        <v>0</v>
      </c>
      <c r="F63" s="143" t="s">
        <v>1309</v>
      </c>
      <c r="G63" s="141" t="s">
        <v>908</v>
      </c>
      <c r="H63" s="251">
        <v>1</v>
      </c>
      <c r="I63" s="111"/>
      <c r="J63" s="159"/>
    </row>
    <row r="64" spans="1:10" s="100" customFormat="1" ht="18" x14ac:dyDescent="0.25">
      <c r="B64" s="121" t="s">
        <v>1919</v>
      </c>
      <c r="C64" s="109" t="s">
        <v>930</v>
      </c>
      <c r="D64" s="120">
        <v>0.01</v>
      </c>
      <c r="E64" s="244">
        <v>0</v>
      </c>
      <c r="F64" s="143" t="s">
        <v>1309</v>
      </c>
      <c r="G64" s="141" t="s">
        <v>909</v>
      </c>
      <c r="H64" s="251">
        <v>2</v>
      </c>
      <c r="I64" s="111"/>
      <c r="J64" s="159"/>
    </row>
    <row r="65" spans="2:10" s="100" customFormat="1" ht="18.75" thickBot="1" x14ac:dyDescent="0.3">
      <c r="B65" s="122" t="s">
        <v>1920</v>
      </c>
      <c r="C65" s="113" t="s">
        <v>1437</v>
      </c>
      <c r="D65" s="123">
        <v>5.0000000000000001E-4</v>
      </c>
      <c r="E65" s="140">
        <v>0</v>
      </c>
      <c r="F65" s="132" t="s">
        <v>1309</v>
      </c>
      <c r="G65" s="132" t="s">
        <v>427</v>
      </c>
      <c r="H65" s="242">
        <v>5</v>
      </c>
      <c r="I65" s="115"/>
      <c r="J65" s="160"/>
    </row>
    <row r="66" spans="2:10" s="100" customFormat="1" ht="15.75" thickBot="1" x14ac:dyDescent="0.3">
      <c r="B66" s="124"/>
      <c r="C66" s="125"/>
      <c r="D66" s="126"/>
      <c r="E66" s="126"/>
      <c r="F66" s="126"/>
      <c r="G66" s="126"/>
      <c r="H66" s="126"/>
      <c r="I66" s="126"/>
    </row>
    <row r="67" spans="2:10" s="100" customFormat="1" ht="15.75" thickBot="1" x14ac:dyDescent="0.3">
      <c r="B67" s="101"/>
      <c r="C67" s="102" t="s">
        <v>494</v>
      </c>
      <c r="D67" s="101" t="s">
        <v>499</v>
      </c>
      <c r="E67" s="124"/>
      <c r="F67" s="124"/>
      <c r="G67" s="124"/>
      <c r="H67" s="124"/>
      <c r="I67" s="101"/>
    </row>
    <row r="68" spans="2:10" s="100" customFormat="1" ht="15.75" thickBot="1" x14ac:dyDescent="0.3">
      <c r="B68" s="134" t="s">
        <v>0</v>
      </c>
      <c r="C68" s="135" t="s">
        <v>1</v>
      </c>
      <c r="D68" s="136" t="s">
        <v>989</v>
      </c>
      <c r="E68" s="136" t="s">
        <v>550</v>
      </c>
      <c r="F68" s="136" t="s">
        <v>551</v>
      </c>
      <c r="G68" s="136" t="s">
        <v>2</v>
      </c>
      <c r="H68" s="136" t="s">
        <v>492</v>
      </c>
      <c r="I68" s="136" t="s">
        <v>114</v>
      </c>
      <c r="J68" s="161" t="s">
        <v>115</v>
      </c>
    </row>
    <row r="69" spans="2:10" s="100" customFormat="1" ht="18" x14ac:dyDescent="0.25">
      <c r="B69" s="104" t="s">
        <v>451</v>
      </c>
      <c r="C69" s="105" t="s">
        <v>941</v>
      </c>
      <c r="D69" s="106">
        <v>0.63</v>
      </c>
      <c r="E69" s="244" t="s">
        <v>1310</v>
      </c>
      <c r="F69" s="143" t="s">
        <v>1309</v>
      </c>
      <c r="G69" s="143" t="s">
        <v>953</v>
      </c>
      <c r="H69" s="250">
        <v>2</v>
      </c>
      <c r="I69" s="127"/>
      <c r="J69" s="158"/>
    </row>
    <row r="70" spans="2:10" s="100" customFormat="1" ht="18" x14ac:dyDescent="0.25">
      <c r="B70" s="108" t="s">
        <v>453</v>
      </c>
      <c r="C70" s="128" t="s">
        <v>942</v>
      </c>
      <c r="D70" s="110">
        <v>1.39</v>
      </c>
      <c r="E70" s="244" t="s">
        <v>1310</v>
      </c>
      <c r="F70" s="143" t="s">
        <v>1309</v>
      </c>
      <c r="G70" s="143" t="s">
        <v>953</v>
      </c>
      <c r="H70" s="251">
        <v>2</v>
      </c>
      <c r="I70" s="129"/>
      <c r="J70" s="159"/>
    </row>
    <row r="71" spans="2:10" s="100" customFormat="1" ht="18" x14ac:dyDescent="0.25">
      <c r="B71" s="108" t="s">
        <v>1358</v>
      </c>
      <c r="C71" s="128" t="s">
        <v>943</v>
      </c>
      <c r="D71" s="110">
        <v>1.72</v>
      </c>
      <c r="E71" s="244" t="s">
        <v>1310</v>
      </c>
      <c r="F71" s="143" t="s">
        <v>1309</v>
      </c>
      <c r="G71" s="143" t="s">
        <v>953</v>
      </c>
      <c r="H71" s="251">
        <v>2</v>
      </c>
      <c r="I71" s="129"/>
      <c r="J71" s="159"/>
    </row>
    <row r="72" spans="2:10" s="100" customFormat="1" ht="18" x14ac:dyDescent="0.25">
      <c r="B72" s="108" t="s">
        <v>1359</v>
      </c>
      <c r="C72" s="128" t="s">
        <v>944</v>
      </c>
      <c r="D72" s="110">
        <v>3.02</v>
      </c>
      <c r="E72" s="244" t="s">
        <v>1310</v>
      </c>
      <c r="F72" s="143" t="s">
        <v>1309</v>
      </c>
      <c r="G72" s="143" t="s">
        <v>954</v>
      </c>
      <c r="H72" s="251">
        <v>2</v>
      </c>
      <c r="I72" s="129"/>
      <c r="J72" s="159"/>
    </row>
    <row r="73" spans="2:10" s="100" customFormat="1" ht="18" x14ac:dyDescent="0.25">
      <c r="B73" s="108" t="s">
        <v>454</v>
      </c>
      <c r="C73" s="128" t="s">
        <v>945</v>
      </c>
      <c r="D73" s="110">
        <v>4.42</v>
      </c>
      <c r="E73" s="244" t="s">
        <v>1310</v>
      </c>
      <c r="F73" s="143" t="s">
        <v>1309</v>
      </c>
      <c r="G73" s="143" t="s">
        <v>954</v>
      </c>
      <c r="H73" s="251">
        <v>2</v>
      </c>
      <c r="I73" s="129"/>
      <c r="J73" s="159"/>
    </row>
    <row r="74" spans="2:10" s="100" customFormat="1" ht="18" x14ac:dyDescent="0.25">
      <c r="B74" s="108" t="s">
        <v>455</v>
      </c>
      <c r="C74" s="128" t="s">
        <v>946</v>
      </c>
      <c r="D74" s="110">
        <v>1.5</v>
      </c>
      <c r="E74" s="244" t="s">
        <v>1310</v>
      </c>
      <c r="F74" s="143" t="s">
        <v>1309</v>
      </c>
      <c r="G74" s="143" t="s">
        <v>953</v>
      </c>
      <c r="H74" s="251">
        <v>2</v>
      </c>
      <c r="I74" s="129"/>
      <c r="J74" s="159"/>
    </row>
    <row r="75" spans="2:10" s="100" customFormat="1" ht="18" x14ac:dyDescent="0.25">
      <c r="B75" s="108" t="s">
        <v>1360</v>
      </c>
      <c r="C75" s="128" t="s">
        <v>947</v>
      </c>
      <c r="D75" s="110">
        <v>0.71</v>
      </c>
      <c r="E75" s="244" t="s">
        <v>1310</v>
      </c>
      <c r="F75" s="143" t="s">
        <v>1309</v>
      </c>
      <c r="G75" s="143" t="s">
        <v>953</v>
      </c>
      <c r="H75" s="251">
        <v>2</v>
      </c>
      <c r="I75" s="129"/>
      <c r="J75" s="159"/>
    </row>
    <row r="76" spans="2:10" s="100" customFormat="1" ht="18" x14ac:dyDescent="0.25">
      <c r="B76" s="108" t="s">
        <v>456</v>
      </c>
      <c r="C76" s="128" t="s">
        <v>948</v>
      </c>
      <c r="D76" s="110">
        <v>0.35</v>
      </c>
      <c r="E76" s="244" t="s">
        <v>1310</v>
      </c>
      <c r="F76" s="143" t="s">
        <v>1309</v>
      </c>
      <c r="G76" s="143" t="s">
        <v>954</v>
      </c>
      <c r="H76" s="251">
        <v>2</v>
      </c>
      <c r="I76" s="129"/>
      <c r="J76" s="159"/>
    </row>
    <row r="77" spans="2:10" s="100" customFormat="1" ht="18" x14ac:dyDescent="0.25">
      <c r="B77" s="108" t="s">
        <v>1361</v>
      </c>
      <c r="C77" s="128" t="s">
        <v>949</v>
      </c>
      <c r="D77" s="110">
        <v>0.23</v>
      </c>
      <c r="E77" s="244" t="s">
        <v>1310</v>
      </c>
      <c r="F77" s="143" t="s">
        <v>1309</v>
      </c>
      <c r="G77" s="143" t="s">
        <v>954</v>
      </c>
      <c r="H77" s="251">
        <v>2</v>
      </c>
      <c r="I77" s="129"/>
      <c r="J77" s="159"/>
    </row>
    <row r="78" spans="2:10" s="100" customFormat="1" ht="18" x14ac:dyDescent="0.25">
      <c r="B78" s="108" t="s">
        <v>1362</v>
      </c>
      <c r="C78" s="128" t="s">
        <v>950</v>
      </c>
      <c r="D78" s="110">
        <v>1.18</v>
      </c>
      <c r="E78" s="244" t="s">
        <v>1310</v>
      </c>
      <c r="F78" s="143" t="s">
        <v>1309</v>
      </c>
      <c r="G78" s="143" t="s">
        <v>953</v>
      </c>
      <c r="H78" s="251">
        <v>2</v>
      </c>
      <c r="I78" s="129"/>
      <c r="J78" s="159"/>
    </row>
    <row r="79" spans="2:10" s="100" customFormat="1" ht="18" x14ac:dyDescent="0.25">
      <c r="B79" s="108" t="s">
        <v>457</v>
      </c>
      <c r="C79" s="128" t="s">
        <v>951</v>
      </c>
      <c r="D79" s="110">
        <v>1.1100000000000001</v>
      </c>
      <c r="E79" s="244" t="s">
        <v>1310</v>
      </c>
      <c r="F79" s="143" t="s">
        <v>1309</v>
      </c>
      <c r="G79" s="143" t="s">
        <v>953</v>
      </c>
      <c r="H79" s="251">
        <v>2</v>
      </c>
      <c r="I79" s="129"/>
      <c r="J79" s="159"/>
    </row>
    <row r="80" spans="2:10" s="100" customFormat="1" ht="18.75" thickBot="1" x14ac:dyDescent="0.3">
      <c r="B80" s="112" t="s">
        <v>458</v>
      </c>
      <c r="C80" s="131" t="s">
        <v>952</v>
      </c>
      <c r="D80" s="114">
        <v>0.24</v>
      </c>
      <c r="E80" s="140" t="s">
        <v>1310</v>
      </c>
      <c r="F80" s="132" t="s">
        <v>1309</v>
      </c>
      <c r="G80" s="242" t="s">
        <v>955</v>
      </c>
      <c r="H80" s="242">
        <v>2</v>
      </c>
      <c r="I80" s="145"/>
      <c r="J80" s="160"/>
    </row>
    <row r="81" spans="2:10" s="100" customFormat="1" ht="15.75" thickBot="1" x14ac:dyDescent="0.3">
      <c r="B81" s="124"/>
      <c r="C81" s="125"/>
      <c r="D81" s="126"/>
      <c r="E81" s="126"/>
      <c r="F81" s="126"/>
      <c r="G81" s="126"/>
      <c r="H81" s="126"/>
      <c r="I81" s="126"/>
    </row>
    <row r="82" spans="2:10" s="100" customFormat="1" ht="15.75" thickBot="1" x14ac:dyDescent="0.3">
      <c r="B82" s="101"/>
      <c r="C82" s="102" t="s">
        <v>495</v>
      </c>
      <c r="D82" s="101" t="s">
        <v>499</v>
      </c>
      <c r="E82" s="124"/>
      <c r="F82" s="124"/>
      <c r="G82" s="124"/>
      <c r="H82" s="124"/>
      <c r="I82" s="101"/>
    </row>
    <row r="83" spans="2:10" s="100" customFormat="1" ht="15.75" thickBot="1" x14ac:dyDescent="0.3">
      <c r="B83" s="134" t="s">
        <v>0</v>
      </c>
      <c r="C83" s="135" t="s">
        <v>1</v>
      </c>
      <c r="D83" s="136" t="s">
        <v>989</v>
      </c>
      <c r="E83" s="136" t="s">
        <v>550</v>
      </c>
      <c r="F83" s="136" t="s">
        <v>551</v>
      </c>
      <c r="G83" s="136" t="s">
        <v>2</v>
      </c>
      <c r="H83" s="136" t="s">
        <v>492</v>
      </c>
      <c r="I83" s="136" t="s">
        <v>114</v>
      </c>
      <c r="J83" s="161" t="s">
        <v>115</v>
      </c>
    </row>
    <row r="84" spans="2:10" s="100" customFormat="1" ht="18" x14ac:dyDescent="0.25">
      <c r="B84" s="104" t="s">
        <v>450</v>
      </c>
      <c r="C84" s="105" t="s">
        <v>220</v>
      </c>
      <c r="D84" s="106">
        <v>0</v>
      </c>
      <c r="E84" s="244">
        <v>0</v>
      </c>
      <c r="F84" s="143">
        <v>1</v>
      </c>
      <c r="G84" s="143" t="s">
        <v>901</v>
      </c>
      <c r="H84" s="250">
        <v>2</v>
      </c>
      <c r="I84" s="127"/>
      <c r="J84" s="158"/>
    </row>
    <row r="85" spans="2:10" s="100" customFormat="1" ht="18" x14ac:dyDescent="0.25">
      <c r="B85" s="108" t="s">
        <v>452</v>
      </c>
      <c r="C85" s="128" t="s">
        <v>956</v>
      </c>
      <c r="D85" s="110">
        <v>0.1</v>
      </c>
      <c r="E85" s="247">
        <v>0</v>
      </c>
      <c r="F85" s="141">
        <v>0.5</v>
      </c>
      <c r="G85" s="143" t="s">
        <v>901</v>
      </c>
      <c r="H85" s="251">
        <v>2</v>
      </c>
      <c r="I85" s="129"/>
      <c r="J85" s="159"/>
    </row>
    <row r="86" spans="2:10" s="100" customFormat="1" ht="18.75" thickBot="1" x14ac:dyDescent="0.3">
      <c r="B86" s="112" t="s">
        <v>459</v>
      </c>
      <c r="C86" s="131" t="s">
        <v>957</v>
      </c>
      <c r="D86" s="114">
        <v>0.1</v>
      </c>
      <c r="E86" s="140">
        <v>0</v>
      </c>
      <c r="F86" s="132">
        <v>0.5</v>
      </c>
      <c r="G86" s="242" t="s">
        <v>901</v>
      </c>
      <c r="H86" s="242">
        <v>2</v>
      </c>
      <c r="I86" s="145"/>
      <c r="J86" s="160"/>
    </row>
    <row r="87" spans="2:10" s="100" customFormat="1" ht="15.75" thickBot="1" x14ac:dyDescent="0.3">
      <c r="B87" s="124"/>
      <c r="C87" s="125"/>
      <c r="D87" s="126"/>
      <c r="E87" s="126"/>
      <c r="F87" s="126"/>
      <c r="G87" s="126"/>
      <c r="H87" s="126"/>
      <c r="I87" s="126"/>
    </row>
    <row r="88" spans="2:10" s="100" customFormat="1" ht="15.75" thickBot="1" x14ac:dyDescent="0.3">
      <c r="B88" s="101"/>
      <c r="C88" s="102" t="s">
        <v>496</v>
      </c>
      <c r="D88" s="101" t="s">
        <v>499</v>
      </c>
      <c r="E88" s="124"/>
      <c r="F88" s="124"/>
      <c r="G88" s="124"/>
      <c r="H88" s="124"/>
      <c r="I88" s="101"/>
    </row>
    <row r="89" spans="2:10" s="100" customFormat="1" ht="15.75" thickBot="1" x14ac:dyDescent="0.3">
      <c r="B89" s="134" t="s">
        <v>0</v>
      </c>
      <c r="C89" s="135" t="s">
        <v>1</v>
      </c>
      <c r="D89" s="136" t="s">
        <v>989</v>
      </c>
      <c r="E89" s="136" t="s">
        <v>550</v>
      </c>
      <c r="F89" s="136" t="s">
        <v>551</v>
      </c>
      <c r="G89" s="136" t="s">
        <v>2</v>
      </c>
      <c r="H89" s="136" t="s">
        <v>492</v>
      </c>
      <c r="I89" s="136" t="s">
        <v>114</v>
      </c>
      <c r="J89" s="161" t="s">
        <v>115</v>
      </c>
    </row>
    <row r="90" spans="2:10" s="100" customFormat="1" ht="18" x14ac:dyDescent="0.25">
      <c r="B90" s="104" t="s">
        <v>460</v>
      </c>
      <c r="C90" s="105" t="s">
        <v>461</v>
      </c>
      <c r="D90" s="106">
        <v>0.03</v>
      </c>
      <c r="E90" s="244">
        <v>0</v>
      </c>
      <c r="F90" s="143">
        <v>1</v>
      </c>
      <c r="G90" s="143" t="s">
        <v>966</v>
      </c>
      <c r="H90" s="250">
        <v>2</v>
      </c>
      <c r="I90" s="127"/>
      <c r="J90" s="158"/>
    </row>
    <row r="91" spans="2:10" s="100" customFormat="1" ht="18" x14ac:dyDescent="0.25">
      <c r="B91" s="108" t="s">
        <v>462</v>
      </c>
      <c r="C91" s="128" t="s">
        <v>958</v>
      </c>
      <c r="D91" s="110">
        <v>0.01</v>
      </c>
      <c r="E91" s="244">
        <v>0</v>
      </c>
      <c r="F91" s="143">
        <v>1</v>
      </c>
      <c r="G91" s="143" t="s">
        <v>966</v>
      </c>
      <c r="H91" s="251">
        <v>2</v>
      </c>
      <c r="I91" s="129"/>
      <c r="J91" s="159"/>
    </row>
    <row r="92" spans="2:10" s="100" customFormat="1" ht="18" x14ac:dyDescent="0.25">
      <c r="B92" s="108" t="s">
        <v>463</v>
      </c>
      <c r="C92" s="128" t="s">
        <v>959</v>
      </c>
      <c r="D92" s="110">
        <v>0.03</v>
      </c>
      <c r="E92" s="244">
        <v>0</v>
      </c>
      <c r="F92" s="143">
        <v>1</v>
      </c>
      <c r="G92" s="143" t="s">
        <v>966</v>
      </c>
      <c r="H92" s="251">
        <v>2</v>
      </c>
      <c r="I92" s="129"/>
      <c r="J92" s="159"/>
    </row>
    <row r="93" spans="2:10" s="100" customFormat="1" ht="18" x14ac:dyDescent="0.25">
      <c r="B93" s="108" t="s">
        <v>464</v>
      </c>
      <c r="C93" s="128" t="s">
        <v>964</v>
      </c>
      <c r="D93" s="110">
        <v>0.03</v>
      </c>
      <c r="E93" s="244">
        <v>0</v>
      </c>
      <c r="F93" s="143">
        <v>1</v>
      </c>
      <c r="G93" s="143" t="s">
        <v>966</v>
      </c>
      <c r="H93" s="251">
        <v>2</v>
      </c>
      <c r="I93" s="129"/>
      <c r="J93" s="159"/>
    </row>
    <row r="94" spans="2:10" s="100" customFormat="1" ht="18" x14ac:dyDescent="0.25">
      <c r="B94" s="108" t="s">
        <v>465</v>
      </c>
      <c r="C94" s="128" t="s">
        <v>960</v>
      </c>
      <c r="D94" s="110">
        <v>7.0000000000000007E-2</v>
      </c>
      <c r="E94" s="244">
        <v>0</v>
      </c>
      <c r="F94" s="143">
        <v>1</v>
      </c>
      <c r="G94" s="143" t="s">
        <v>966</v>
      </c>
      <c r="H94" s="251">
        <v>2</v>
      </c>
      <c r="I94" s="129"/>
      <c r="J94" s="159"/>
    </row>
    <row r="95" spans="2:10" s="100" customFormat="1" ht="18" x14ac:dyDescent="0.25">
      <c r="B95" s="108" t="s">
        <v>466</v>
      </c>
      <c r="C95" s="128" t="s">
        <v>467</v>
      </c>
      <c r="D95" s="110">
        <v>0.01</v>
      </c>
      <c r="E95" s="244">
        <v>0</v>
      </c>
      <c r="F95" s="143">
        <v>1</v>
      </c>
      <c r="G95" s="141" t="s">
        <v>967</v>
      </c>
      <c r="H95" s="251">
        <v>2</v>
      </c>
      <c r="I95" s="129"/>
      <c r="J95" s="159"/>
    </row>
    <row r="96" spans="2:10" s="100" customFormat="1" ht="18" x14ac:dyDescent="0.25">
      <c r="B96" s="108" t="s">
        <v>468</v>
      </c>
      <c r="C96" s="128" t="s">
        <v>961</v>
      </c>
      <c r="D96" s="110">
        <v>0</v>
      </c>
      <c r="E96" s="244">
        <v>0</v>
      </c>
      <c r="F96" s="143">
        <v>1</v>
      </c>
      <c r="G96" s="141" t="s">
        <v>967</v>
      </c>
      <c r="H96" s="251">
        <v>2</v>
      </c>
      <c r="I96" s="129"/>
      <c r="J96" s="159"/>
    </row>
    <row r="97" spans="2:10" s="100" customFormat="1" ht="18" x14ac:dyDescent="0.25">
      <c r="B97" s="108" t="s">
        <v>469</v>
      </c>
      <c r="C97" s="128" t="s">
        <v>962</v>
      </c>
      <c r="D97" s="110">
        <v>0.01</v>
      </c>
      <c r="E97" s="244">
        <v>0</v>
      </c>
      <c r="F97" s="143">
        <v>1</v>
      </c>
      <c r="G97" s="141" t="s">
        <v>967</v>
      </c>
      <c r="H97" s="251">
        <v>2</v>
      </c>
      <c r="I97" s="129"/>
      <c r="J97" s="159"/>
    </row>
    <row r="98" spans="2:10" s="100" customFormat="1" ht="18" x14ac:dyDescent="0.25">
      <c r="B98" s="108" t="s">
        <v>470</v>
      </c>
      <c r="C98" s="128" t="s">
        <v>963</v>
      </c>
      <c r="D98" s="110">
        <v>0.01</v>
      </c>
      <c r="E98" s="244">
        <v>0</v>
      </c>
      <c r="F98" s="143">
        <v>1</v>
      </c>
      <c r="G98" s="141" t="s">
        <v>967</v>
      </c>
      <c r="H98" s="251">
        <v>2</v>
      </c>
      <c r="I98" s="129"/>
      <c r="J98" s="159"/>
    </row>
    <row r="99" spans="2:10" s="100" customFormat="1" ht="18.75" thickBot="1" x14ac:dyDescent="0.3">
      <c r="B99" s="112" t="s">
        <v>471</v>
      </c>
      <c r="C99" s="131" t="s">
        <v>965</v>
      </c>
      <c r="D99" s="114">
        <v>0.02</v>
      </c>
      <c r="E99" s="114">
        <v>0</v>
      </c>
      <c r="F99" s="114">
        <v>1</v>
      </c>
      <c r="G99" s="114" t="s">
        <v>967</v>
      </c>
      <c r="H99" s="242">
        <v>2</v>
      </c>
      <c r="I99" s="145"/>
      <c r="J99" s="160"/>
    </row>
    <row r="100" spans="2:10" s="100" customFormat="1" ht="15.75" thickBot="1" x14ac:dyDescent="0.3">
      <c r="B100" s="124"/>
      <c r="C100" s="125"/>
      <c r="D100" s="126"/>
      <c r="E100" s="126"/>
      <c r="F100" s="126"/>
      <c r="G100" s="126"/>
      <c r="H100" s="126"/>
      <c r="I100" s="126"/>
    </row>
    <row r="101" spans="2:10" s="100" customFormat="1" ht="15.75" thickBot="1" x14ac:dyDescent="0.3">
      <c r="B101" s="101"/>
      <c r="C101" s="102" t="s">
        <v>497</v>
      </c>
      <c r="D101" s="101" t="s">
        <v>499</v>
      </c>
      <c r="E101" s="124"/>
      <c r="F101" s="124"/>
      <c r="G101" s="124"/>
      <c r="H101" s="124"/>
      <c r="I101" s="101"/>
    </row>
    <row r="102" spans="2:10" s="100" customFormat="1" ht="15.75" thickBot="1" x14ac:dyDescent="0.3">
      <c r="B102" s="134" t="s">
        <v>0</v>
      </c>
      <c r="C102" s="135" t="s">
        <v>1</v>
      </c>
      <c r="D102" s="136" t="s">
        <v>989</v>
      </c>
      <c r="E102" s="136" t="s">
        <v>550</v>
      </c>
      <c r="F102" s="136" t="s">
        <v>551</v>
      </c>
      <c r="G102" s="136" t="s">
        <v>2</v>
      </c>
      <c r="H102" s="136" t="s">
        <v>492</v>
      </c>
      <c r="I102" s="136" t="s">
        <v>114</v>
      </c>
      <c r="J102" s="161" t="s">
        <v>115</v>
      </c>
    </row>
    <row r="103" spans="2:10" s="100" customFormat="1" ht="18" x14ac:dyDescent="0.25">
      <c r="B103" s="104" t="s">
        <v>472</v>
      </c>
      <c r="C103" s="105" t="s">
        <v>968</v>
      </c>
      <c r="D103" s="106">
        <v>0.75</v>
      </c>
      <c r="E103" s="244">
        <v>0</v>
      </c>
      <c r="F103" s="143" t="s">
        <v>1309</v>
      </c>
      <c r="G103" s="143" t="s">
        <v>973</v>
      </c>
      <c r="H103" s="250">
        <v>2</v>
      </c>
      <c r="I103" s="127"/>
      <c r="J103" s="158"/>
    </row>
    <row r="104" spans="2:10" s="100" customFormat="1" ht="18" x14ac:dyDescent="0.25">
      <c r="B104" s="108" t="s">
        <v>473</v>
      </c>
      <c r="C104" s="128" t="s">
        <v>969</v>
      </c>
      <c r="D104" s="110">
        <v>0.75</v>
      </c>
      <c r="E104" s="247">
        <v>0</v>
      </c>
      <c r="F104" s="141" t="s">
        <v>1309</v>
      </c>
      <c r="G104" s="143" t="s">
        <v>973</v>
      </c>
      <c r="H104" s="251">
        <v>2</v>
      </c>
      <c r="I104" s="129"/>
      <c r="J104" s="159"/>
    </row>
    <row r="105" spans="2:10" s="100" customFormat="1" ht="18" x14ac:dyDescent="0.25">
      <c r="B105" s="108" t="s">
        <v>474</v>
      </c>
      <c r="C105" s="128" t="s">
        <v>970</v>
      </c>
      <c r="D105" s="110">
        <v>0.6</v>
      </c>
      <c r="E105" s="247">
        <v>0</v>
      </c>
      <c r="F105" s="141" t="s">
        <v>1309</v>
      </c>
      <c r="G105" s="143" t="s">
        <v>973</v>
      </c>
      <c r="H105" s="251">
        <v>2</v>
      </c>
      <c r="I105" s="129"/>
      <c r="J105" s="159"/>
    </row>
    <row r="106" spans="2:10" s="100" customFormat="1" ht="18" x14ac:dyDescent="0.25">
      <c r="B106" s="108" t="s">
        <v>475</v>
      </c>
      <c r="C106" s="128" t="s">
        <v>230</v>
      </c>
      <c r="D106" s="110">
        <v>0.9</v>
      </c>
      <c r="E106" s="247">
        <v>0</v>
      </c>
      <c r="F106" s="141" t="s">
        <v>1309</v>
      </c>
      <c r="G106" s="143" t="s">
        <v>973</v>
      </c>
      <c r="H106" s="251">
        <v>2</v>
      </c>
      <c r="I106" s="129"/>
      <c r="J106" s="159"/>
    </row>
    <row r="107" spans="2:10" s="100" customFormat="1" ht="18" x14ac:dyDescent="0.25">
      <c r="B107" s="108" t="s">
        <v>476</v>
      </c>
      <c r="C107" s="128" t="s">
        <v>971</v>
      </c>
      <c r="D107" s="110">
        <v>3.23</v>
      </c>
      <c r="E107" s="247">
        <v>0</v>
      </c>
      <c r="F107" s="141" t="s">
        <v>1309</v>
      </c>
      <c r="G107" s="143" t="s">
        <v>974</v>
      </c>
      <c r="H107" s="251">
        <v>2</v>
      </c>
      <c r="I107" s="129"/>
      <c r="J107" s="159"/>
    </row>
    <row r="108" spans="2:10" s="100" customFormat="1" ht="18.75" thickBot="1" x14ac:dyDescent="0.3">
      <c r="B108" s="112" t="s">
        <v>477</v>
      </c>
      <c r="C108" s="131" t="s">
        <v>972</v>
      </c>
      <c r="D108" s="114">
        <v>0.84</v>
      </c>
      <c r="E108" s="140">
        <v>0</v>
      </c>
      <c r="F108" s="132" t="s">
        <v>1309</v>
      </c>
      <c r="G108" s="114" t="s">
        <v>973</v>
      </c>
      <c r="H108" s="242">
        <v>2</v>
      </c>
      <c r="I108" s="145"/>
      <c r="J108" s="160"/>
    </row>
    <row r="109" spans="2:10" s="100" customFormat="1" ht="15.75" thickBot="1" x14ac:dyDescent="0.3">
      <c r="B109" s="124"/>
      <c r="C109" s="125"/>
      <c r="D109" s="126"/>
      <c r="E109" s="126"/>
      <c r="F109" s="126"/>
      <c r="G109" s="126"/>
      <c r="H109" s="126"/>
      <c r="I109" s="126"/>
    </row>
    <row r="110" spans="2:10" s="100" customFormat="1" ht="15.75" thickBot="1" x14ac:dyDescent="0.3">
      <c r="B110" s="101"/>
      <c r="C110" s="102" t="s">
        <v>498</v>
      </c>
      <c r="D110" s="101" t="s">
        <v>499</v>
      </c>
      <c r="E110" s="124"/>
      <c r="F110" s="124"/>
      <c r="G110" s="124"/>
      <c r="H110" s="124"/>
      <c r="I110" s="101"/>
    </row>
    <row r="111" spans="2:10" s="100" customFormat="1" ht="15.75" thickBot="1" x14ac:dyDescent="0.3">
      <c r="B111" s="134" t="s">
        <v>0</v>
      </c>
      <c r="C111" s="135" t="s">
        <v>1</v>
      </c>
      <c r="D111" s="136" t="s">
        <v>989</v>
      </c>
      <c r="E111" s="136" t="s">
        <v>550</v>
      </c>
      <c r="F111" s="136" t="s">
        <v>551</v>
      </c>
      <c r="G111" s="136" t="s">
        <v>2</v>
      </c>
      <c r="H111" s="136" t="s">
        <v>492</v>
      </c>
      <c r="I111" s="136" t="s">
        <v>114</v>
      </c>
      <c r="J111" s="161" t="s">
        <v>115</v>
      </c>
    </row>
    <row r="112" spans="2:10" s="100" customFormat="1" ht="18" x14ac:dyDescent="0.25">
      <c r="B112" s="146" t="s">
        <v>478</v>
      </c>
      <c r="C112" s="105" t="s">
        <v>479</v>
      </c>
      <c r="D112" s="147">
        <v>2.8571428571428572</v>
      </c>
      <c r="E112" s="244" t="s">
        <v>1310</v>
      </c>
      <c r="F112" s="143" t="s">
        <v>1309</v>
      </c>
      <c r="G112" s="143" t="s">
        <v>480</v>
      </c>
      <c r="H112" s="250">
        <v>3</v>
      </c>
      <c r="I112" s="127"/>
      <c r="J112" s="158"/>
    </row>
    <row r="113" spans="2:10" s="100" customFormat="1" ht="18" x14ac:dyDescent="0.25">
      <c r="B113" s="121" t="s">
        <v>481</v>
      </c>
      <c r="C113" s="128" t="s">
        <v>482</v>
      </c>
      <c r="D113" s="130">
        <v>-4.5714285714285712</v>
      </c>
      <c r="E113" s="247" t="s">
        <v>1314</v>
      </c>
      <c r="F113" s="141" t="s">
        <v>1309</v>
      </c>
      <c r="G113" s="141" t="s">
        <v>480</v>
      </c>
      <c r="H113" s="251">
        <v>3</v>
      </c>
      <c r="I113" s="129"/>
      <c r="J113" s="159"/>
    </row>
    <row r="114" spans="2:10" s="100" customFormat="1" ht="18" x14ac:dyDescent="0.25">
      <c r="B114" s="121" t="s">
        <v>483</v>
      </c>
      <c r="C114" s="128" t="s">
        <v>484</v>
      </c>
      <c r="D114" s="130">
        <v>-1.7142857142857142</v>
      </c>
      <c r="E114" s="247" t="s">
        <v>1314</v>
      </c>
      <c r="F114" s="141" t="s">
        <v>1309</v>
      </c>
      <c r="G114" s="141" t="s">
        <v>480</v>
      </c>
      <c r="H114" s="251">
        <v>3</v>
      </c>
      <c r="I114" s="129"/>
      <c r="J114" s="159"/>
    </row>
    <row r="115" spans="2:10" s="100" customFormat="1" ht="18" x14ac:dyDescent="0.25">
      <c r="B115" s="121" t="s">
        <v>485</v>
      </c>
      <c r="C115" s="128" t="s">
        <v>975</v>
      </c>
      <c r="D115" s="130">
        <v>-1.5625E-5</v>
      </c>
      <c r="E115" s="247" t="s">
        <v>1314</v>
      </c>
      <c r="F115" s="141" t="s">
        <v>1309</v>
      </c>
      <c r="G115" s="141" t="s">
        <v>486</v>
      </c>
      <c r="H115" s="251">
        <v>6</v>
      </c>
      <c r="I115" s="129"/>
      <c r="J115" s="159"/>
    </row>
    <row r="116" spans="2:10" s="100" customFormat="1" ht="18" x14ac:dyDescent="0.25">
      <c r="B116" s="121" t="s">
        <v>1439</v>
      </c>
      <c r="C116" s="128" t="s">
        <v>978</v>
      </c>
      <c r="D116" s="130">
        <v>7.1428571428571393E-5</v>
      </c>
      <c r="E116" s="247" t="s">
        <v>1314</v>
      </c>
      <c r="F116" s="141" t="s">
        <v>1309</v>
      </c>
      <c r="G116" s="141" t="s">
        <v>487</v>
      </c>
      <c r="H116" s="251">
        <v>6</v>
      </c>
      <c r="I116" s="129"/>
      <c r="J116" s="159"/>
    </row>
    <row r="117" spans="2:10" s="100" customFormat="1" ht="18" x14ac:dyDescent="0.25">
      <c r="B117" s="121" t="s">
        <v>1438</v>
      </c>
      <c r="C117" s="128" t="s">
        <v>977</v>
      </c>
      <c r="D117" s="130">
        <v>-7.1428571428571393E-5</v>
      </c>
      <c r="E117" s="247" t="s">
        <v>1314</v>
      </c>
      <c r="F117" s="141" t="s">
        <v>1309</v>
      </c>
      <c r="G117" s="141" t="s">
        <v>487</v>
      </c>
      <c r="H117" s="251">
        <v>6</v>
      </c>
      <c r="I117" s="129"/>
      <c r="J117" s="159"/>
    </row>
    <row r="118" spans="2:10" s="100" customFormat="1" ht="18" x14ac:dyDescent="0.25">
      <c r="B118" s="121" t="s">
        <v>1440</v>
      </c>
      <c r="C118" s="128" t="s">
        <v>976</v>
      </c>
      <c r="D118" s="130">
        <v>-4.83870967741935E-5</v>
      </c>
      <c r="E118" s="247" t="s">
        <v>1314</v>
      </c>
      <c r="F118" s="141" t="s">
        <v>1309</v>
      </c>
      <c r="G118" s="141" t="s">
        <v>488</v>
      </c>
      <c r="H118" s="251">
        <v>6</v>
      </c>
      <c r="I118" s="129"/>
      <c r="J118" s="159"/>
    </row>
    <row r="119" spans="2:10" s="100" customFormat="1" ht="18.75" thickBot="1" x14ac:dyDescent="0.3">
      <c r="B119" s="122" t="s">
        <v>489</v>
      </c>
      <c r="C119" s="131" t="s">
        <v>979</v>
      </c>
      <c r="D119" s="144">
        <v>-3.2258064516129E-5</v>
      </c>
      <c r="E119" s="140" t="s">
        <v>1314</v>
      </c>
      <c r="F119" s="132" t="s">
        <v>1309</v>
      </c>
      <c r="G119" s="132" t="s">
        <v>488</v>
      </c>
      <c r="H119" s="242">
        <v>6</v>
      </c>
      <c r="I119" s="145"/>
      <c r="J119" s="160"/>
    </row>
    <row r="120" spans="2:10" s="100" customFormat="1" ht="15.75" thickBot="1" x14ac:dyDescent="0.3">
      <c r="B120" s="124"/>
      <c r="C120" s="125"/>
      <c r="D120" s="126"/>
      <c r="E120" s="126"/>
      <c r="F120" s="126"/>
      <c r="G120" s="126"/>
      <c r="H120" s="126"/>
      <c r="I120" s="126"/>
    </row>
    <row r="121" spans="2:10" s="100" customFormat="1" ht="15.75" thickBot="1" x14ac:dyDescent="0.3">
      <c r="B121" s="101"/>
      <c r="C121" s="102" t="s">
        <v>500</v>
      </c>
      <c r="D121" s="101" t="s">
        <v>499</v>
      </c>
      <c r="E121" s="124"/>
      <c r="F121" s="124"/>
      <c r="G121" s="124"/>
      <c r="H121" s="124"/>
      <c r="I121" s="101"/>
    </row>
    <row r="122" spans="2:10" s="100" customFormat="1" ht="15.75" thickBot="1" x14ac:dyDescent="0.3">
      <c r="B122" s="134" t="s">
        <v>0</v>
      </c>
      <c r="C122" s="135" t="s">
        <v>1</v>
      </c>
      <c r="D122" s="136" t="s">
        <v>989</v>
      </c>
      <c r="E122" s="136" t="s">
        <v>550</v>
      </c>
      <c r="F122" s="136" t="s">
        <v>551</v>
      </c>
      <c r="G122" s="136" t="s">
        <v>2</v>
      </c>
      <c r="H122" s="136" t="s">
        <v>492</v>
      </c>
      <c r="I122" s="136" t="s">
        <v>114</v>
      </c>
      <c r="J122" s="161" t="s">
        <v>115</v>
      </c>
    </row>
    <row r="123" spans="2:10" s="100" customFormat="1" ht="18" x14ac:dyDescent="0.25">
      <c r="B123" s="142" t="s">
        <v>490</v>
      </c>
      <c r="C123" s="105" t="s">
        <v>231</v>
      </c>
      <c r="D123" s="143">
        <v>1.48</v>
      </c>
      <c r="E123" s="143" t="s">
        <v>1310</v>
      </c>
      <c r="F123" s="143" t="s">
        <v>1309</v>
      </c>
      <c r="G123" s="143" t="s">
        <v>491</v>
      </c>
      <c r="H123" s="143">
        <v>2</v>
      </c>
      <c r="I123" s="143"/>
      <c r="J123" s="158"/>
    </row>
    <row r="124" spans="2:10" s="100" customFormat="1" ht="18" x14ac:dyDescent="0.25">
      <c r="B124" s="271" t="s">
        <v>1329</v>
      </c>
      <c r="C124" s="176" t="s">
        <v>1330</v>
      </c>
      <c r="D124" s="272">
        <v>1.0660000000000001</v>
      </c>
      <c r="E124" s="247">
        <v>0</v>
      </c>
      <c r="F124" s="247">
        <v>5</v>
      </c>
      <c r="G124" s="247" t="s">
        <v>1331</v>
      </c>
      <c r="H124" s="247">
        <v>2</v>
      </c>
      <c r="I124" s="129"/>
      <c r="J124" s="159"/>
    </row>
    <row r="125" spans="2:10" s="100" customFormat="1" ht="18" x14ac:dyDescent="0.25">
      <c r="B125" s="271" t="s">
        <v>1332</v>
      </c>
      <c r="C125" s="176" t="s">
        <v>1333</v>
      </c>
      <c r="D125" s="272">
        <v>1.0660000000000001</v>
      </c>
      <c r="E125" s="247">
        <v>0</v>
      </c>
      <c r="F125" s="247">
        <v>5</v>
      </c>
      <c r="G125" s="247" t="s">
        <v>1331</v>
      </c>
      <c r="H125" s="247">
        <v>2</v>
      </c>
      <c r="I125" s="129"/>
      <c r="J125" s="159"/>
    </row>
    <row r="126" spans="2:10" s="100" customFormat="1" ht="18" x14ac:dyDescent="0.25">
      <c r="B126" s="271" t="s">
        <v>1334</v>
      </c>
      <c r="C126" s="176" t="s">
        <v>1335</v>
      </c>
      <c r="D126" s="272">
        <v>0.92600000000000005</v>
      </c>
      <c r="E126" s="247">
        <v>0</v>
      </c>
      <c r="F126" s="247">
        <v>5</v>
      </c>
      <c r="G126" s="247" t="s">
        <v>1331</v>
      </c>
      <c r="H126" s="247">
        <v>2</v>
      </c>
      <c r="I126" s="129"/>
      <c r="J126" s="159"/>
    </row>
    <row r="127" spans="2:10" ht="21.75" customHeight="1" thickBot="1" x14ac:dyDescent="0.3">
      <c r="B127" s="138" t="s">
        <v>1342</v>
      </c>
      <c r="C127" s="139" t="s">
        <v>501</v>
      </c>
      <c r="D127" s="140">
        <v>0.65</v>
      </c>
      <c r="E127" s="140">
        <v>0</v>
      </c>
      <c r="F127" s="140">
        <v>1</v>
      </c>
      <c r="G127" s="140" t="s">
        <v>502</v>
      </c>
      <c r="H127" s="140">
        <v>2</v>
      </c>
      <c r="I127" s="140"/>
      <c r="J127" s="162"/>
    </row>
  </sheetData>
  <phoneticPr fontId="11" type="noConversion"/>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unka3"/>
  <dimension ref="A1:AC68"/>
  <sheetViews>
    <sheetView showGridLines="0" zoomScaleNormal="100" workbookViewId="0">
      <pane xSplit="4" ySplit="3" topLeftCell="E4" activePane="bottomRight" state="frozen"/>
      <selection pane="topRight" activeCell="E1" sqref="E1"/>
      <selection pane="bottomLeft" activeCell="A4" sqref="A4"/>
      <selection pane="bottomRight" activeCell="A2" sqref="A2"/>
    </sheetView>
  </sheetViews>
  <sheetFormatPr defaultColWidth="9.140625" defaultRowHeight="15" x14ac:dyDescent="0.25"/>
  <cols>
    <col min="1" max="1" width="17.140625" customWidth="1"/>
    <col min="2" max="2" width="4.28515625" customWidth="1"/>
    <col min="3" max="3" width="7.5703125" bestFit="1" customWidth="1"/>
    <col min="4" max="4" width="43.5703125" bestFit="1" customWidth="1"/>
    <col min="5" max="5" width="22.5703125" customWidth="1"/>
    <col min="6" max="6" width="11.5703125" customWidth="1"/>
    <col min="7" max="7" width="9.28515625" customWidth="1"/>
    <col min="8" max="8" width="35.42578125" customWidth="1"/>
    <col min="9" max="9" width="28.140625" customWidth="1"/>
    <col min="10" max="10" width="27.140625" customWidth="1"/>
    <col min="11" max="11" width="32" customWidth="1"/>
    <col min="13" max="13" width="75.42578125" customWidth="1"/>
    <col min="17" max="17" width="16" customWidth="1"/>
    <col min="18" max="18" width="18.28515625" customWidth="1"/>
    <col min="19" max="19" width="9.28515625" customWidth="1"/>
    <col min="20" max="20" width="12.5703125" customWidth="1"/>
    <col min="21" max="21" width="9" customWidth="1"/>
    <col min="22" max="22" width="59.42578125" customWidth="1"/>
    <col min="23" max="23" width="191.140625" customWidth="1"/>
    <col min="24" max="24" width="9.28515625" bestFit="1" customWidth="1"/>
  </cols>
  <sheetData>
    <row r="1" spans="1:26" s="46" customFormat="1" ht="54" customHeight="1" thickBot="1" x14ac:dyDescent="0.3">
      <c r="A1" s="47"/>
    </row>
    <row r="2" spans="1:26" ht="18.75" customHeight="1" thickBot="1" x14ac:dyDescent="0.3">
      <c r="C2" s="170"/>
      <c r="D2" s="51" t="s">
        <v>126</v>
      </c>
      <c r="E2" s="13"/>
      <c r="F2" s="13"/>
    </row>
    <row r="3" spans="1:26" s="5" customFormat="1" ht="24" customHeight="1" thickBot="1" x14ac:dyDescent="0.3">
      <c r="B3" s="171" t="s">
        <v>91</v>
      </c>
      <c r="C3" s="172" t="s">
        <v>0</v>
      </c>
      <c r="D3" s="172" t="s">
        <v>1</v>
      </c>
      <c r="E3" s="173" t="s">
        <v>1427</v>
      </c>
      <c r="F3" s="173" t="s">
        <v>232</v>
      </c>
      <c r="G3" s="173" t="s">
        <v>233</v>
      </c>
      <c r="H3" s="173" t="s">
        <v>234</v>
      </c>
      <c r="I3" s="173" t="s">
        <v>1352</v>
      </c>
      <c r="J3" s="173" t="s">
        <v>235</v>
      </c>
      <c r="K3" s="173" t="s">
        <v>236</v>
      </c>
      <c r="L3" s="173" t="s">
        <v>237</v>
      </c>
      <c r="M3" s="173" t="s">
        <v>1353</v>
      </c>
      <c r="N3" s="173" t="s">
        <v>406</v>
      </c>
      <c r="O3" s="173" t="s">
        <v>238</v>
      </c>
      <c r="P3" s="173" t="s">
        <v>239</v>
      </c>
      <c r="Q3" s="173" t="s">
        <v>240</v>
      </c>
      <c r="R3" s="173" t="s">
        <v>241</v>
      </c>
      <c r="S3" s="173" t="s">
        <v>242</v>
      </c>
      <c r="T3" s="173" t="s">
        <v>243</v>
      </c>
      <c r="U3" s="173" t="s">
        <v>244</v>
      </c>
      <c r="V3" s="173" t="s">
        <v>245</v>
      </c>
      <c r="W3" s="174" t="s">
        <v>1319</v>
      </c>
      <c r="X3" s="277" t="s">
        <v>2</v>
      </c>
      <c r="Y3" s="277" t="s">
        <v>9</v>
      </c>
      <c r="Z3" s="175" t="s">
        <v>114</v>
      </c>
    </row>
    <row r="4" spans="1:26" s="5" customFormat="1" ht="24" customHeight="1" x14ac:dyDescent="0.25">
      <c r="B4" s="278" t="s">
        <v>246</v>
      </c>
      <c r="C4" s="279" t="s">
        <v>247</v>
      </c>
      <c r="D4" s="279" t="s">
        <v>248</v>
      </c>
      <c r="E4" s="280"/>
      <c r="F4" s="280" t="s">
        <v>249</v>
      </c>
      <c r="G4" s="280"/>
      <c r="H4" s="281" t="s">
        <v>250</v>
      </c>
      <c r="I4" s="280"/>
      <c r="J4" s="280"/>
      <c r="K4" s="282" t="s">
        <v>251</v>
      </c>
      <c r="L4" s="281" t="s">
        <v>219</v>
      </c>
      <c r="M4" s="283" t="s">
        <v>1441</v>
      </c>
      <c r="N4" s="280"/>
      <c r="O4" s="280">
        <v>-1</v>
      </c>
      <c r="P4" s="280"/>
      <c r="Q4" s="280"/>
      <c r="R4" s="280"/>
      <c r="S4" s="280"/>
      <c r="T4" s="280"/>
      <c r="U4" s="280"/>
      <c r="V4" s="280" t="s">
        <v>252</v>
      </c>
      <c r="W4" s="284" t="s">
        <v>1053</v>
      </c>
      <c r="X4" s="285" t="s">
        <v>1341</v>
      </c>
      <c r="Y4" s="285"/>
      <c r="Z4" s="276"/>
    </row>
    <row r="5" spans="1:26" s="5" customFormat="1" ht="24" customHeight="1" x14ac:dyDescent="0.25">
      <c r="B5" s="83" t="s">
        <v>253</v>
      </c>
      <c r="C5" s="84" t="s">
        <v>254</v>
      </c>
      <c r="D5" s="84" t="s">
        <v>255</v>
      </c>
      <c r="E5" s="70"/>
      <c r="F5" s="70" t="s">
        <v>249</v>
      </c>
      <c r="G5" s="70"/>
      <c r="H5" s="85" t="s">
        <v>250</v>
      </c>
      <c r="I5" s="70"/>
      <c r="J5" s="70"/>
      <c r="K5" s="71" t="s">
        <v>251</v>
      </c>
      <c r="L5" s="85" t="s">
        <v>219</v>
      </c>
      <c r="M5" s="72" t="s">
        <v>1442</v>
      </c>
      <c r="N5" s="70"/>
      <c r="O5" s="70">
        <v>-1</v>
      </c>
      <c r="P5" s="70"/>
      <c r="Q5" s="70"/>
      <c r="R5" s="70"/>
      <c r="S5" s="70"/>
      <c r="T5" s="70"/>
      <c r="U5" s="70"/>
      <c r="V5" s="70" t="s">
        <v>252</v>
      </c>
      <c r="W5" s="181" t="s">
        <v>1393</v>
      </c>
      <c r="X5" s="96" t="s">
        <v>1341</v>
      </c>
      <c r="Y5" s="96"/>
      <c r="Z5" s="80"/>
    </row>
    <row r="6" spans="1:26" s="5" customFormat="1" ht="24" customHeight="1" x14ac:dyDescent="0.25">
      <c r="B6" s="83" t="s">
        <v>256</v>
      </c>
      <c r="C6" s="84" t="s">
        <v>257</v>
      </c>
      <c r="D6" s="84" t="s">
        <v>258</v>
      </c>
      <c r="E6" s="70"/>
      <c r="F6" s="70" t="s">
        <v>249</v>
      </c>
      <c r="G6" s="70"/>
      <c r="H6" s="85" t="s">
        <v>250</v>
      </c>
      <c r="I6" s="70"/>
      <c r="J6" s="70"/>
      <c r="K6" s="71" t="s">
        <v>251</v>
      </c>
      <c r="L6" s="85" t="s">
        <v>219</v>
      </c>
      <c r="M6" s="72" t="s">
        <v>1443</v>
      </c>
      <c r="N6" s="70"/>
      <c r="O6" s="70">
        <v>-1</v>
      </c>
      <c r="P6" s="70"/>
      <c r="Q6" s="70"/>
      <c r="R6" s="70"/>
      <c r="S6" s="70"/>
      <c r="T6" s="70"/>
      <c r="U6" s="70"/>
      <c r="V6" s="70" t="s">
        <v>252</v>
      </c>
      <c r="W6" s="181" t="s">
        <v>1394</v>
      </c>
      <c r="X6" s="96" t="s">
        <v>1341</v>
      </c>
      <c r="Y6" s="96"/>
      <c r="Z6" s="80"/>
    </row>
    <row r="7" spans="1:26" s="5" customFormat="1" ht="24" customHeight="1" x14ac:dyDescent="0.25">
      <c r="B7" s="83" t="s">
        <v>259</v>
      </c>
      <c r="C7" s="84" t="s">
        <v>260</v>
      </c>
      <c r="D7" s="84" t="s">
        <v>261</v>
      </c>
      <c r="E7" s="73" t="s">
        <v>262</v>
      </c>
      <c r="F7" s="73" t="s">
        <v>263</v>
      </c>
      <c r="G7" s="73"/>
      <c r="H7" s="72" t="s">
        <v>264</v>
      </c>
      <c r="I7" s="70"/>
      <c r="J7" s="70"/>
      <c r="K7" s="72" t="s">
        <v>265</v>
      </c>
      <c r="L7" s="70"/>
      <c r="M7" s="72" t="s">
        <v>1444</v>
      </c>
      <c r="N7" s="70"/>
      <c r="O7" s="70"/>
      <c r="P7" s="70">
        <v>1</v>
      </c>
      <c r="Q7" s="70"/>
      <c r="R7" s="70"/>
      <c r="S7" s="70"/>
      <c r="T7" s="70"/>
      <c r="U7" s="70"/>
      <c r="V7" s="85" t="s">
        <v>229</v>
      </c>
      <c r="W7" s="181" t="s">
        <v>1908</v>
      </c>
      <c r="X7" s="96" t="s">
        <v>1341</v>
      </c>
      <c r="Y7" s="96"/>
      <c r="Z7" s="80"/>
    </row>
    <row r="8" spans="1:26" s="5" customFormat="1" ht="24" customHeight="1" x14ac:dyDescent="0.25">
      <c r="B8" s="83" t="s">
        <v>266</v>
      </c>
      <c r="C8" s="84" t="s">
        <v>267</v>
      </c>
      <c r="D8" s="84" t="s">
        <v>268</v>
      </c>
      <c r="E8" s="73" t="s">
        <v>262</v>
      </c>
      <c r="F8" s="73"/>
      <c r="G8" s="73" t="s">
        <v>263</v>
      </c>
      <c r="H8" s="70" t="s">
        <v>269</v>
      </c>
      <c r="I8" s="70"/>
      <c r="J8" s="70"/>
      <c r="K8" s="70" t="s">
        <v>270</v>
      </c>
      <c r="L8" s="70"/>
      <c r="M8" s="72" t="s">
        <v>1445</v>
      </c>
      <c r="N8" s="70"/>
      <c r="O8" s="70"/>
      <c r="P8" s="70">
        <v>1</v>
      </c>
      <c r="Q8" s="70"/>
      <c r="R8" s="70"/>
      <c r="S8" s="70"/>
      <c r="T8" s="70"/>
      <c r="U8" s="70"/>
      <c r="V8" s="85" t="s">
        <v>229</v>
      </c>
      <c r="W8" s="181" t="s">
        <v>1907</v>
      </c>
      <c r="X8" s="96" t="s">
        <v>1341</v>
      </c>
      <c r="Y8" s="96"/>
      <c r="Z8" s="80"/>
    </row>
    <row r="9" spans="1:26" s="5" customFormat="1" ht="24" customHeight="1" x14ac:dyDescent="0.25">
      <c r="B9" s="83" t="s">
        <v>271</v>
      </c>
      <c r="C9" s="84" t="s">
        <v>272</v>
      </c>
      <c r="D9" s="84" t="s">
        <v>273</v>
      </c>
      <c r="E9" s="73"/>
      <c r="F9" s="73" t="s">
        <v>263</v>
      </c>
      <c r="G9" s="73"/>
      <c r="H9" s="72" t="s">
        <v>264</v>
      </c>
      <c r="I9" s="74" t="s">
        <v>274</v>
      </c>
      <c r="J9" s="73" t="s">
        <v>275</v>
      </c>
      <c r="K9" s="72" t="s">
        <v>265</v>
      </c>
      <c r="L9" s="70"/>
      <c r="M9" s="72" t="s">
        <v>1446</v>
      </c>
      <c r="N9" s="70"/>
      <c r="O9" s="70"/>
      <c r="P9" s="70">
        <v>1</v>
      </c>
      <c r="Q9" s="70"/>
      <c r="R9" s="70"/>
      <c r="S9" s="70"/>
      <c r="T9" s="70"/>
      <c r="U9" s="70"/>
      <c r="V9" s="85" t="s">
        <v>229</v>
      </c>
      <c r="W9" s="181" t="s">
        <v>1909</v>
      </c>
      <c r="X9" s="96" t="s">
        <v>1341</v>
      </c>
      <c r="Y9" s="96"/>
      <c r="Z9" s="80"/>
    </row>
    <row r="10" spans="1:26" s="5" customFormat="1" ht="24" customHeight="1" x14ac:dyDescent="0.25">
      <c r="B10" s="83" t="s">
        <v>276</v>
      </c>
      <c r="C10" s="84" t="s">
        <v>277</v>
      </c>
      <c r="D10" s="84" t="s">
        <v>278</v>
      </c>
      <c r="E10" s="73"/>
      <c r="F10" s="73"/>
      <c r="G10" s="73" t="s">
        <v>263</v>
      </c>
      <c r="H10" s="70" t="s">
        <v>269</v>
      </c>
      <c r="I10" s="74" t="s">
        <v>274</v>
      </c>
      <c r="J10" s="73" t="s">
        <v>275</v>
      </c>
      <c r="K10" s="70" t="s">
        <v>270</v>
      </c>
      <c r="L10" s="70"/>
      <c r="M10" s="72" t="s">
        <v>1447</v>
      </c>
      <c r="N10" s="70"/>
      <c r="O10" s="70"/>
      <c r="P10" s="70">
        <v>1</v>
      </c>
      <c r="Q10" s="70"/>
      <c r="R10" s="70"/>
      <c r="S10" s="70"/>
      <c r="T10" s="70"/>
      <c r="U10" s="70"/>
      <c r="V10" s="85" t="s">
        <v>229</v>
      </c>
      <c r="W10" s="181" t="s">
        <v>1910</v>
      </c>
      <c r="X10" s="96" t="s">
        <v>1341</v>
      </c>
      <c r="Y10" s="96"/>
      <c r="Z10" s="80"/>
    </row>
    <row r="11" spans="1:26" s="5" customFormat="1" ht="24" customHeight="1" x14ac:dyDescent="0.25">
      <c r="B11" s="83" t="s">
        <v>279</v>
      </c>
      <c r="C11" s="84" t="s">
        <v>280</v>
      </c>
      <c r="D11" s="84" t="s">
        <v>281</v>
      </c>
      <c r="E11" s="73"/>
      <c r="F11" s="70">
        <v>-1</v>
      </c>
      <c r="G11" s="70">
        <v>1</v>
      </c>
      <c r="H11" s="85" t="s">
        <v>225</v>
      </c>
      <c r="I11" s="70"/>
      <c r="J11" s="70"/>
      <c r="K11" s="85" t="s">
        <v>227</v>
      </c>
      <c r="L11" s="70"/>
      <c r="M11" s="72" t="s">
        <v>1448</v>
      </c>
      <c r="N11" s="70"/>
      <c r="O11" s="70"/>
      <c r="P11" s="70"/>
      <c r="Q11" s="70"/>
      <c r="R11" s="70"/>
      <c r="S11" s="70"/>
      <c r="T11" s="70"/>
      <c r="U11" s="70"/>
      <c r="V11" s="70"/>
      <c r="W11" s="181" t="s">
        <v>1398</v>
      </c>
      <c r="X11" s="96" t="s">
        <v>1341</v>
      </c>
      <c r="Y11" s="96"/>
      <c r="Z11" s="80"/>
    </row>
    <row r="12" spans="1:26" s="5" customFormat="1" ht="24" customHeight="1" x14ac:dyDescent="0.25">
      <c r="B12" s="83" t="s">
        <v>282</v>
      </c>
      <c r="C12" s="84" t="s">
        <v>283</v>
      </c>
      <c r="D12" s="84" t="s">
        <v>284</v>
      </c>
      <c r="E12" s="73"/>
      <c r="F12" s="70"/>
      <c r="G12" s="70"/>
      <c r="H12" s="85" t="s">
        <v>285</v>
      </c>
      <c r="I12" s="70"/>
      <c r="J12" s="70"/>
      <c r="K12" s="85" t="s">
        <v>286</v>
      </c>
      <c r="L12" s="70"/>
      <c r="M12" s="72" t="s">
        <v>1449</v>
      </c>
      <c r="N12" s="85" t="s">
        <v>221</v>
      </c>
      <c r="O12" s="70" t="s">
        <v>287</v>
      </c>
      <c r="P12" s="70">
        <v>-1</v>
      </c>
      <c r="Q12" s="70"/>
      <c r="R12" s="70"/>
      <c r="S12" s="70"/>
      <c r="T12" s="70"/>
      <c r="U12" s="70"/>
      <c r="V12" s="85" t="s">
        <v>288</v>
      </c>
      <c r="W12" s="181" t="s">
        <v>289</v>
      </c>
      <c r="X12" s="96" t="s">
        <v>1341</v>
      </c>
      <c r="Y12" s="96"/>
      <c r="Z12" s="80"/>
    </row>
    <row r="13" spans="1:26" s="5" customFormat="1" ht="24" customHeight="1" x14ac:dyDescent="0.25">
      <c r="B13" s="83" t="s">
        <v>290</v>
      </c>
      <c r="C13" s="84" t="s">
        <v>291</v>
      </c>
      <c r="D13" s="84" t="s">
        <v>292</v>
      </c>
      <c r="E13" s="73"/>
      <c r="F13" s="70"/>
      <c r="G13" s="70">
        <v>-1</v>
      </c>
      <c r="H13" s="70"/>
      <c r="I13" s="70"/>
      <c r="J13" s="70"/>
      <c r="K13" s="85" t="s">
        <v>223</v>
      </c>
      <c r="L13" s="70"/>
      <c r="M13" s="72" t="s">
        <v>1450</v>
      </c>
      <c r="N13" s="70"/>
      <c r="O13" s="70"/>
      <c r="P13" s="70"/>
      <c r="Q13" s="70"/>
      <c r="R13" s="70" t="s">
        <v>293</v>
      </c>
      <c r="S13" s="85" t="s">
        <v>222</v>
      </c>
      <c r="T13" s="70" t="s">
        <v>294</v>
      </c>
      <c r="U13" s="70"/>
      <c r="V13" s="75" t="s">
        <v>295</v>
      </c>
      <c r="W13" s="181" t="s">
        <v>1395</v>
      </c>
      <c r="X13" s="96" t="s">
        <v>1341</v>
      </c>
      <c r="Y13" s="96"/>
      <c r="Z13" s="80"/>
    </row>
    <row r="14" spans="1:26" s="5" customFormat="1" ht="24" customHeight="1" x14ac:dyDescent="0.25">
      <c r="B14" s="83" t="s">
        <v>296</v>
      </c>
      <c r="C14" s="84" t="s">
        <v>297</v>
      </c>
      <c r="D14" s="84" t="s">
        <v>298</v>
      </c>
      <c r="E14" s="73"/>
      <c r="F14" s="70"/>
      <c r="G14" s="70"/>
      <c r="H14" s="70"/>
      <c r="I14" s="70"/>
      <c r="J14" s="70"/>
      <c r="K14" s="70">
        <v>1</v>
      </c>
      <c r="L14" s="70"/>
      <c r="M14" s="72" t="s">
        <v>1451</v>
      </c>
      <c r="N14" s="70"/>
      <c r="O14" s="70"/>
      <c r="P14" s="70"/>
      <c r="Q14" s="70"/>
      <c r="R14" s="70">
        <v>-1</v>
      </c>
      <c r="S14" s="70"/>
      <c r="T14" s="70"/>
      <c r="U14" s="70"/>
      <c r="V14" s="73" t="s">
        <v>299</v>
      </c>
      <c r="W14" s="181" t="s">
        <v>1396</v>
      </c>
      <c r="X14" s="96" t="s">
        <v>1341</v>
      </c>
      <c r="Y14" s="96"/>
      <c r="Z14" s="80"/>
    </row>
    <row r="15" spans="1:26" s="5" customFormat="1" ht="24" customHeight="1" x14ac:dyDescent="0.25">
      <c r="B15" s="83" t="s">
        <v>300</v>
      </c>
      <c r="C15" s="84" t="s">
        <v>301</v>
      </c>
      <c r="D15" s="84" t="s">
        <v>302</v>
      </c>
      <c r="E15" s="73"/>
      <c r="F15" s="70"/>
      <c r="G15" s="70">
        <v>-1</v>
      </c>
      <c r="H15" s="70"/>
      <c r="I15" s="74" t="s">
        <v>1399</v>
      </c>
      <c r="J15" s="73" t="s">
        <v>1412</v>
      </c>
      <c r="K15" s="85" t="s">
        <v>1413</v>
      </c>
      <c r="L15" s="70"/>
      <c r="M15" s="72" t="s">
        <v>1452</v>
      </c>
      <c r="N15" s="70"/>
      <c r="O15" s="70"/>
      <c r="P15" s="70"/>
      <c r="Q15" s="70"/>
      <c r="R15" s="89" t="s">
        <v>1418</v>
      </c>
      <c r="S15" s="85" t="s">
        <v>1422</v>
      </c>
      <c r="T15" s="70"/>
      <c r="U15" s="70"/>
      <c r="V15" s="75" t="s">
        <v>1425</v>
      </c>
      <c r="W15" s="181" t="s">
        <v>1426</v>
      </c>
      <c r="X15" s="96" t="s">
        <v>1341</v>
      </c>
      <c r="Y15" s="96"/>
      <c r="Z15" s="80"/>
    </row>
    <row r="16" spans="1:26" s="5" customFormat="1" ht="24" customHeight="1" x14ac:dyDescent="0.25">
      <c r="B16" s="83" t="s">
        <v>303</v>
      </c>
      <c r="C16" s="84" t="s">
        <v>304</v>
      </c>
      <c r="D16" s="84" t="s">
        <v>305</v>
      </c>
      <c r="E16" s="73"/>
      <c r="F16" s="70"/>
      <c r="G16" s="70"/>
      <c r="H16" s="289" t="s">
        <v>1400</v>
      </c>
      <c r="I16" s="74" t="s">
        <v>1401</v>
      </c>
      <c r="J16" s="73" t="s">
        <v>1402</v>
      </c>
      <c r="K16" s="289" t="s">
        <v>1403</v>
      </c>
      <c r="L16" s="70"/>
      <c r="M16" s="72" t="s">
        <v>1453</v>
      </c>
      <c r="N16" s="70"/>
      <c r="O16" s="70"/>
      <c r="P16" s="70"/>
      <c r="Q16" s="73" t="s">
        <v>1414</v>
      </c>
      <c r="R16" s="70"/>
      <c r="S16" s="70">
        <v>-1</v>
      </c>
      <c r="T16" s="70"/>
      <c r="U16" s="70"/>
      <c r="V16" s="75" t="s">
        <v>1419</v>
      </c>
      <c r="W16" s="181" t="s">
        <v>1397</v>
      </c>
      <c r="X16" s="96" t="s">
        <v>1341</v>
      </c>
      <c r="Y16" s="96"/>
      <c r="Z16" s="80"/>
    </row>
    <row r="17" spans="2:26" s="5" customFormat="1" ht="24" customHeight="1" x14ac:dyDescent="0.25">
      <c r="B17" s="83" t="s">
        <v>306</v>
      </c>
      <c r="C17" s="84" t="s">
        <v>307</v>
      </c>
      <c r="D17" s="84" t="s">
        <v>308</v>
      </c>
      <c r="E17" s="73"/>
      <c r="F17" s="70"/>
      <c r="G17" s="70"/>
      <c r="H17" s="72" t="s">
        <v>1407</v>
      </c>
      <c r="I17" s="74" t="s">
        <v>1404</v>
      </c>
      <c r="J17" s="73" t="s">
        <v>1405</v>
      </c>
      <c r="K17" s="72" t="s">
        <v>1406</v>
      </c>
      <c r="L17" s="70"/>
      <c r="M17" s="72" t="s">
        <v>1454</v>
      </c>
      <c r="N17" s="70"/>
      <c r="O17" s="70"/>
      <c r="P17" s="70"/>
      <c r="Q17" s="74" t="s">
        <v>1415</v>
      </c>
      <c r="R17" s="70" t="s">
        <v>246</v>
      </c>
      <c r="S17" s="70"/>
      <c r="T17" s="70"/>
      <c r="U17" s="70"/>
      <c r="V17" s="74" t="s">
        <v>1420</v>
      </c>
      <c r="W17" s="181" t="s">
        <v>1424</v>
      </c>
      <c r="X17" s="96" t="s">
        <v>1341</v>
      </c>
      <c r="Y17" s="96"/>
      <c r="Z17" s="80"/>
    </row>
    <row r="18" spans="2:26" s="5" customFormat="1" ht="24" customHeight="1" x14ac:dyDescent="0.25">
      <c r="B18" s="83" t="s">
        <v>309</v>
      </c>
      <c r="C18" s="84" t="s">
        <v>310</v>
      </c>
      <c r="D18" s="84" t="s">
        <v>311</v>
      </c>
      <c r="E18" s="73"/>
      <c r="F18" s="70"/>
      <c r="G18" s="70"/>
      <c r="H18" s="72" t="s">
        <v>1408</v>
      </c>
      <c r="I18" s="74" t="s">
        <v>1409</v>
      </c>
      <c r="J18" s="73" t="s">
        <v>1410</v>
      </c>
      <c r="K18" s="72" t="s">
        <v>1411</v>
      </c>
      <c r="L18" s="70"/>
      <c r="M18" s="72" t="s">
        <v>1455</v>
      </c>
      <c r="N18" s="70"/>
      <c r="O18" s="70"/>
      <c r="P18" s="70"/>
      <c r="Q18" s="74" t="s">
        <v>1416</v>
      </c>
      <c r="R18" s="70"/>
      <c r="S18" s="70"/>
      <c r="T18" s="70">
        <v>1</v>
      </c>
      <c r="U18" s="70"/>
      <c r="V18" s="74" t="s">
        <v>1421</v>
      </c>
      <c r="W18" s="181" t="s">
        <v>1423</v>
      </c>
      <c r="X18" s="96" t="s">
        <v>1341</v>
      </c>
      <c r="Y18" s="96"/>
      <c r="Z18" s="80"/>
    </row>
    <row r="19" spans="2:26" s="5" customFormat="1" ht="24" customHeight="1" x14ac:dyDescent="0.25">
      <c r="B19" s="83" t="s">
        <v>312</v>
      </c>
      <c r="C19" s="84" t="s">
        <v>313</v>
      </c>
      <c r="D19" s="84" t="s">
        <v>314</v>
      </c>
      <c r="E19" s="73"/>
      <c r="F19" s="70"/>
      <c r="G19" s="70"/>
      <c r="H19" s="72" t="s">
        <v>226</v>
      </c>
      <c r="I19" s="74" t="s">
        <v>315</v>
      </c>
      <c r="J19" s="73" t="s">
        <v>316</v>
      </c>
      <c r="K19" s="72" t="s">
        <v>228</v>
      </c>
      <c r="L19" s="70"/>
      <c r="M19" s="72" t="s">
        <v>1456</v>
      </c>
      <c r="N19" s="70"/>
      <c r="O19" s="70"/>
      <c r="P19" s="70"/>
      <c r="Q19" s="70">
        <v>-1</v>
      </c>
      <c r="R19" s="70"/>
      <c r="S19" s="70"/>
      <c r="T19" s="70"/>
      <c r="U19" s="70"/>
      <c r="V19" s="73" t="s">
        <v>317</v>
      </c>
      <c r="W19" s="181" t="s">
        <v>1417</v>
      </c>
      <c r="X19" s="96" t="s">
        <v>1341</v>
      </c>
      <c r="Y19" s="96"/>
      <c r="Z19" s="80"/>
    </row>
    <row r="20" spans="2:26" s="5" customFormat="1" ht="24" customHeight="1" x14ac:dyDescent="0.25">
      <c r="B20" s="83" t="s">
        <v>318</v>
      </c>
      <c r="C20" s="84" t="s">
        <v>319</v>
      </c>
      <c r="D20" s="84" t="s">
        <v>320</v>
      </c>
      <c r="E20" s="73" t="s">
        <v>321</v>
      </c>
      <c r="F20" s="70"/>
      <c r="G20" s="70"/>
      <c r="H20" s="76" t="s">
        <v>322</v>
      </c>
      <c r="I20" s="70"/>
      <c r="J20" s="70"/>
      <c r="K20" s="76" t="s">
        <v>323</v>
      </c>
      <c r="L20" s="70"/>
      <c r="M20" s="72" t="s">
        <v>1457</v>
      </c>
      <c r="N20" s="70"/>
      <c r="O20" s="70"/>
      <c r="P20" s="70"/>
      <c r="Q20" s="73" t="s">
        <v>324</v>
      </c>
      <c r="R20" s="70"/>
      <c r="S20" s="70">
        <v>-1</v>
      </c>
      <c r="T20" s="70"/>
      <c r="U20" s="70"/>
      <c r="V20" s="75" t="s">
        <v>325</v>
      </c>
      <c r="W20" s="181" t="s">
        <v>1392</v>
      </c>
      <c r="X20" s="96" t="s">
        <v>1341</v>
      </c>
      <c r="Y20" s="96"/>
      <c r="Z20" s="80"/>
    </row>
    <row r="21" spans="2:26" s="5" customFormat="1" ht="24" customHeight="1" x14ac:dyDescent="0.25">
      <c r="B21" s="83" t="s">
        <v>326</v>
      </c>
      <c r="C21" s="84" t="s">
        <v>327</v>
      </c>
      <c r="D21" s="84" t="s">
        <v>328</v>
      </c>
      <c r="E21" s="73" t="s">
        <v>329</v>
      </c>
      <c r="F21" s="70"/>
      <c r="G21" s="70"/>
      <c r="H21" s="72" t="s">
        <v>330</v>
      </c>
      <c r="I21" s="70"/>
      <c r="J21" s="70"/>
      <c r="K21" s="72" t="s">
        <v>331</v>
      </c>
      <c r="L21" s="70"/>
      <c r="M21" s="72" t="s">
        <v>1458</v>
      </c>
      <c r="N21" s="70"/>
      <c r="O21" s="70"/>
      <c r="P21" s="70"/>
      <c r="Q21" s="73" t="s">
        <v>329</v>
      </c>
      <c r="R21" s="70" t="s">
        <v>246</v>
      </c>
      <c r="S21" s="70"/>
      <c r="T21" s="70"/>
      <c r="U21" s="70"/>
      <c r="V21" s="73" t="s">
        <v>332</v>
      </c>
      <c r="W21" s="181" t="s">
        <v>1079</v>
      </c>
      <c r="X21" s="96" t="s">
        <v>1341</v>
      </c>
      <c r="Y21" s="96"/>
      <c r="Z21" s="80"/>
    </row>
    <row r="22" spans="2:26" s="5" customFormat="1" ht="24" customHeight="1" x14ac:dyDescent="0.25">
      <c r="B22" s="83" t="s">
        <v>333</v>
      </c>
      <c r="C22" s="84" t="s">
        <v>334</v>
      </c>
      <c r="D22" s="84" t="s">
        <v>335</v>
      </c>
      <c r="E22" s="73" t="s">
        <v>336</v>
      </c>
      <c r="F22" s="70"/>
      <c r="G22" s="70"/>
      <c r="H22" s="72" t="s">
        <v>337</v>
      </c>
      <c r="I22" s="70"/>
      <c r="J22" s="70"/>
      <c r="K22" s="72" t="s">
        <v>338</v>
      </c>
      <c r="L22" s="70"/>
      <c r="M22" s="72" t="s">
        <v>1459</v>
      </c>
      <c r="N22" s="70"/>
      <c r="O22" s="70"/>
      <c r="P22" s="70"/>
      <c r="Q22" s="73" t="s">
        <v>339</v>
      </c>
      <c r="R22" s="70"/>
      <c r="S22" s="70"/>
      <c r="T22" s="70">
        <v>1</v>
      </c>
      <c r="U22" s="70"/>
      <c r="V22" s="73" t="s">
        <v>340</v>
      </c>
      <c r="W22" s="181" t="s">
        <v>1076</v>
      </c>
      <c r="X22" s="96" t="s">
        <v>1341</v>
      </c>
      <c r="Y22" s="96"/>
      <c r="Z22" s="80"/>
    </row>
    <row r="23" spans="2:26" s="5" customFormat="1" ht="24" customHeight="1" x14ac:dyDescent="0.25">
      <c r="B23" s="83" t="s">
        <v>341</v>
      </c>
      <c r="C23" s="84" t="s">
        <v>342</v>
      </c>
      <c r="D23" s="84" t="s">
        <v>343</v>
      </c>
      <c r="E23" s="77">
        <v>-1</v>
      </c>
      <c r="F23" s="70"/>
      <c r="G23" s="70"/>
      <c r="H23" s="85" t="s">
        <v>226</v>
      </c>
      <c r="I23" s="70"/>
      <c r="J23" s="70"/>
      <c r="K23" s="85" t="s">
        <v>228</v>
      </c>
      <c r="L23" s="70"/>
      <c r="M23" s="72" t="s">
        <v>1460</v>
      </c>
      <c r="N23" s="70"/>
      <c r="O23" s="70"/>
      <c r="P23" s="70"/>
      <c r="Q23" s="70">
        <v>-1</v>
      </c>
      <c r="R23" s="70"/>
      <c r="S23" s="70"/>
      <c r="T23" s="70"/>
      <c r="U23" s="70"/>
      <c r="V23" s="73" t="s">
        <v>317</v>
      </c>
      <c r="W23" s="181" t="s">
        <v>1032</v>
      </c>
      <c r="X23" s="96" t="s">
        <v>1341</v>
      </c>
      <c r="Y23" s="96"/>
      <c r="Z23" s="80"/>
    </row>
    <row r="24" spans="2:26" s="5" customFormat="1" ht="24" customHeight="1" x14ac:dyDescent="0.25">
      <c r="B24" s="83" t="s">
        <v>344</v>
      </c>
      <c r="C24" s="84" t="s">
        <v>345</v>
      </c>
      <c r="D24" s="84" t="s">
        <v>346</v>
      </c>
      <c r="E24" s="74" t="s">
        <v>347</v>
      </c>
      <c r="F24" s="70"/>
      <c r="G24" s="70"/>
      <c r="H24" s="73" t="s">
        <v>348</v>
      </c>
      <c r="I24" s="73" t="s">
        <v>349</v>
      </c>
      <c r="J24" s="70"/>
      <c r="K24" s="70" t="s">
        <v>270</v>
      </c>
      <c r="L24" s="70"/>
      <c r="M24" s="72" t="s">
        <v>1461</v>
      </c>
      <c r="N24" s="70"/>
      <c r="O24" s="70"/>
      <c r="P24" s="70"/>
      <c r="Q24" s="70"/>
      <c r="R24" s="70"/>
      <c r="S24" s="70"/>
      <c r="T24" s="70"/>
      <c r="U24" s="70" t="s">
        <v>246</v>
      </c>
      <c r="V24" s="85" t="s">
        <v>229</v>
      </c>
      <c r="W24" s="181" t="s">
        <v>1391</v>
      </c>
      <c r="X24" s="96" t="s">
        <v>1341</v>
      </c>
      <c r="Y24" s="96"/>
      <c r="Z24" s="80"/>
    </row>
    <row r="25" spans="2:26" s="5" customFormat="1" ht="24" customHeight="1" thickBot="1" x14ac:dyDescent="0.3">
      <c r="B25" s="86" t="s">
        <v>350</v>
      </c>
      <c r="C25" s="87" t="s">
        <v>351</v>
      </c>
      <c r="D25" s="87" t="s">
        <v>284</v>
      </c>
      <c r="E25" s="78"/>
      <c r="F25" s="78"/>
      <c r="G25" s="78"/>
      <c r="H25" s="88" t="s">
        <v>352</v>
      </c>
      <c r="I25" s="78"/>
      <c r="J25" s="78"/>
      <c r="K25" s="88" t="s">
        <v>353</v>
      </c>
      <c r="L25" s="78"/>
      <c r="M25" s="79" t="s">
        <v>1462</v>
      </c>
      <c r="N25" s="88" t="s">
        <v>224</v>
      </c>
      <c r="O25" s="78" t="s">
        <v>354</v>
      </c>
      <c r="P25" s="78"/>
      <c r="Q25" s="78"/>
      <c r="R25" s="78"/>
      <c r="S25" s="78"/>
      <c r="T25" s="78"/>
      <c r="U25" s="78" t="s">
        <v>355</v>
      </c>
      <c r="V25" s="88" t="s">
        <v>356</v>
      </c>
      <c r="W25" s="316" t="s">
        <v>357</v>
      </c>
      <c r="X25" s="253" t="s">
        <v>1341</v>
      </c>
      <c r="Y25" s="253"/>
      <c r="Z25" s="81"/>
    </row>
    <row r="26" spans="2:26" s="5" customFormat="1" ht="15.75" thickBot="1" x14ac:dyDescent="0.3">
      <c r="B26" s="67"/>
      <c r="C26" s="67"/>
      <c r="D26" s="67"/>
      <c r="E26" s="68"/>
      <c r="F26" s="69"/>
      <c r="G26" s="67"/>
    </row>
    <row r="27" spans="2:26" ht="15.75" thickBot="1" x14ac:dyDescent="0.3">
      <c r="D27" s="52" t="s">
        <v>5</v>
      </c>
      <c r="E27" s="12"/>
    </row>
    <row r="28" spans="2:26" ht="19.5" x14ac:dyDescent="0.25">
      <c r="D28" s="286" t="s">
        <v>146</v>
      </c>
      <c r="E28" s="287" t="s">
        <v>355</v>
      </c>
      <c r="F28" s="287" t="s">
        <v>246</v>
      </c>
      <c r="G28" s="287" t="s">
        <v>246</v>
      </c>
      <c r="H28" s="287"/>
      <c r="I28" s="288" t="s">
        <v>358</v>
      </c>
      <c r="J28" s="288" t="s">
        <v>359</v>
      </c>
      <c r="K28" s="287"/>
      <c r="L28" s="287">
        <v>1</v>
      </c>
      <c r="M28" s="287"/>
      <c r="N28" s="287">
        <v>1</v>
      </c>
      <c r="O28" s="287">
        <v>1</v>
      </c>
      <c r="P28" s="287">
        <v>1</v>
      </c>
      <c r="Q28" s="287">
        <v>1</v>
      </c>
      <c r="R28" s="287"/>
      <c r="S28" s="287">
        <v>1</v>
      </c>
      <c r="T28" s="287">
        <v>1</v>
      </c>
      <c r="U28" s="287">
        <v>1</v>
      </c>
      <c r="V28" s="287"/>
    </row>
    <row r="29" spans="2:26" ht="19.5" x14ac:dyDescent="0.25">
      <c r="D29" s="90" t="s">
        <v>360</v>
      </c>
      <c r="E29" s="91"/>
      <c r="F29" s="92" t="s">
        <v>361</v>
      </c>
      <c r="G29" s="91"/>
      <c r="H29" s="91">
        <v>1</v>
      </c>
      <c r="I29" s="91">
        <v>1</v>
      </c>
      <c r="J29" s="91">
        <v>1</v>
      </c>
      <c r="K29" s="91"/>
      <c r="L29" s="92" t="s">
        <v>362</v>
      </c>
      <c r="M29" s="91"/>
      <c r="N29" s="92" t="s">
        <v>363</v>
      </c>
      <c r="O29" s="92" t="s">
        <v>364</v>
      </c>
      <c r="P29" s="92" t="s">
        <v>365</v>
      </c>
      <c r="Q29" s="92" t="s">
        <v>365</v>
      </c>
      <c r="R29" s="91"/>
      <c r="S29" s="91"/>
      <c r="T29" s="91"/>
      <c r="U29" s="92" t="s">
        <v>365</v>
      </c>
      <c r="V29" s="91"/>
    </row>
    <row r="30" spans="2:26" ht="19.5" x14ac:dyDescent="0.25">
      <c r="D30" s="90" t="s">
        <v>366</v>
      </c>
      <c r="E30" s="91"/>
      <c r="F30" s="92" t="s">
        <v>367</v>
      </c>
      <c r="G30" s="91"/>
      <c r="H30" s="91"/>
      <c r="I30" s="91"/>
      <c r="J30" s="91"/>
      <c r="K30" s="91">
        <v>1</v>
      </c>
      <c r="L30" s="92" t="s">
        <v>368</v>
      </c>
      <c r="M30" s="91"/>
      <c r="N30" s="92" t="s">
        <v>369</v>
      </c>
      <c r="O30" s="92" t="s">
        <v>370</v>
      </c>
      <c r="P30" s="92" t="s">
        <v>371</v>
      </c>
      <c r="Q30" s="92" t="s">
        <v>371</v>
      </c>
      <c r="R30" s="91">
        <v>1</v>
      </c>
      <c r="S30" s="91"/>
      <c r="T30" s="91"/>
      <c r="U30" s="92" t="s">
        <v>371</v>
      </c>
      <c r="V30" s="91"/>
    </row>
    <row r="31" spans="2:26" ht="39" x14ac:dyDescent="0.25">
      <c r="D31" s="90" t="s">
        <v>8</v>
      </c>
      <c r="E31" s="91"/>
      <c r="F31" s="91"/>
      <c r="G31" s="92" t="s">
        <v>372</v>
      </c>
      <c r="H31" s="92" t="s">
        <v>1463</v>
      </c>
      <c r="I31" s="92" t="s">
        <v>1464</v>
      </c>
      <c r="J31" s="91"/>
      <c r="K31" s="92" t="s">
        <v>1465</v>
      </c>
      <c r="L31" s="91"/>
      <c r="M31" s="91">
        <v>-1</v>
      </c>
      <c r="N31" s="91"/>
      <c r="O31" s="91"/>
      <c r="P31" s="91"/>
      <c r="Q31" s="91"/>
      <c r="R31" s="92" t="s">
        <v>373</v>
      </c>
      <c r="S31" s="91"/>
      <c r="T31" s="91"/>
      <c r="U31" s="91"/>
      <c r="V31" s="91"/>
    </row>
    <row r="32" spans="2:26" ht="20.25" thickBot="1" x14ac:dyDescent="0.3">
      <c r="D32" s="93" t="s">
        <v>374</v>
      </c>
      <c r="E32" s="94"/>
      <c r="F32" s="94"/>
      <c r="G32" s="94"/>
      <c r="H32" s="94"/>
      <c r="I32" s="94"/>
      <c r="J32" s="94"/>
      <c r="K32" s="94"/>
      <c r="L32" s="94"/>
      <c r="M32" s="94"/>
      <c r="N32" s="95" t="s">
        <v>375</v>
      </c>
      <c r="O32" s="95" t="s">
        <v>376</v>
      </c>
      <c r="P32" s="95" t="s">
        <v>377</v>
      </c>
      <c r="Q32" s="95" t="s">
        <v>377</v>
      </c>
      <c r="R32" s="95" t="s">
        <v>378</v>
      </c>
      <c r="S32" s="95" t="s">
        <v>379</v>
      </c>
      <c r="T32" s="95" t="s">
        <v>380</v>
      </c>
      <c r="U32" s="95" t="s">
        <v>377</v>
      </c>
      <c r="V32" s="94">
        <v>-1</v>
      </c>
    </row>
    <row r="35" spans="2:29" x14ac:dyDescent="0.25">
      <c r="Z35" t="s">
        <v>407</v>
      </c>
    </row>
    <row r="37" spans="2:29" ht="15.75" thickBot="1" x14ac:dyDescent="0.3">
      <c r="Y37" t="s">
        <v>407</v>
      </c>
    </row>
    <row r="38" spans="2:29" ht="79.5" thickBot="1" x14ac:dyDescent="0.3">
      <c r="B38" s="171" t="s">
        <v>91</v>
      </c>
      <c r="C38" s="172"/>
      <c r="D38" s="172" t="s">
        <v>1</v>
      </c>
      <c r="E38" s="173" t="s">
        <v>1427</v>
      </c>
      <c r="F38" s="173" t="s">
        <v>232</v>
      </c>
      <c r="G38" s="173" t="s">
        <v>233</v>
      </c>
      <c r="H38" s="173" t="s">
        <v>234</v>
      </c>
      <c r="I38" s="173" t="s">
        <v>1352</v>
      </c>
      <c r="J38" s="173" t="s">
        <v>235</v>
      </c>
      <c r="K38" s="173" t="s">
        <v>236</v>
      </c>
      <c r="L38" s="173" t="s">
        <v>237</v>
      </c>
      <c r="M38" s="173" t="s">
        <v>1353</v>
      </c>
      <c r="N38" s="173" t="s">
        <v>406</v>
      </c>
      <c r="O38" s="173" t="s">
        <v>238</v>
      </c>
      <c r="P38" s="173" t="s">
        <v>239</v>
      </c>
      <c r="Q38" s="173" t="s">
        <v>240</v>
      </c>
      <c r="R38" s="173" t="s">
        <v>241</v>
      </c>
      <c r="S38" s="173" t="s">
        <v>242</v>
      </c>
      <c r="T38" s="173" t="s">
        <v>243</v>
      </c>
      <c r="U38" s="173" t="s">
        <v>244</v>
      </c>
      <c r="V38" s="173" t="s">
        <v>245</v>
      </c>
      <c r="W38" s="174" t="s">
        <v>1319</v>
      </c>
      <c r="Y38" s="405" t="s">
        <v>146</v>
      </c>
      <c r="Z38" s="405" t="s">
        <v>360</v>
      </c>
      <c r="AA38" s="405" t="s">
        <v>366</v>
      </c>
      <c r="AB38" s="405" t="s">
        <v>8</v>
      </c>
      <c r="AC38" s="405" t="s">
        <v>374</v>
      </c>
    </row>
    <row r="39" spans="2:29" ht="15.75" x14ac:dyDescent="0.25">
      <c r="B39" s="278" t="s">
        <v>246</v>
      </c>
      <c r="C39" s="279" t="s">
        <v>247</v>
      </c>
      <c r="D39" s="279" t="s">
        <v>248</v>
      </c>
      <c r="E39" s="391">
        <f>0</f>
        <v>0</v>
      </c>
      <c r="F39" s="391">
        <f>1-f_SI</f>
        <v>1</v>
      </c>
      <c r="G39" s="391">
        <f>0</f>
        <v>0</v>
      </c>
      <c r="H39" s="395">
        <f>i_N_XS-i_N_SI*f_SI-i_N_SF*(1-f_SI)</f>
        <v>0</v>
      </c>
      <c r="I39" s="391">
        <f>0</f>
        <v>0</v>
      </c>
      <c r="J39" s="391">
        <f>0</f>
        <v>0</v>
      </c>
      <c r="K39" s="395">
        <f>i_P_XS-i_P_SI*f_SI-i_P_SF*(1-f_SI)</f>
        <v>0</v>
      </c>
      <c r="L39" s="395">
        <f>f_SI</f>
        <v>0</v>
      </c>
      <c r="M39" s="395">
        <f>v_1_SNH*i_Charge_SNHx+v_1_SPO*i_Charge_SPO4</f>
        <v>0</v>
      </c>
      <c r="N39" s="391">
        <f>0</f>
        <v>0</v>
      </c>
      <c r="O39" s="391">
        <f>-1</f>
        <v>-1</v>
      </c>
      <c r="P39" s="391">
        <f>0</f>
        <v>0</v>
      </c>
      <c r="Q39" s="391">
        <f>0</f>
        <v>0</v>
      </c>
      <c r="R39" s="391">
        <f>0</f>
        <v>0</v>
      </c>
      <c r="S39" s="391">
        <f>0</f>
        <v>0</v>
      </c>
      <c r="T39" s="391">
        <f>0</f>
        <v>0</v>
      </c>
      <c r="U39" s="391">
        <f>0</f>
        <v>0</v>
      </c>
      <c r="V39" s="398">
        <f>-i_TSS_XS</f>
        <v>-0.75</v>
      </c>
      <c r="W39" s="402">
        <f>q_h*M_RsatXS_XH_XPAO_KX*M_satSO_KO_HYD*(X_H+X_PAO)</f>
        <v>839.16083916083903</v>
      </c>
      <c r="Y39" s="290">
        <f>E64*E39+F64*F39+G64*G39+H64*H39+I64*I39+J64*J39+K64*K39+L64*L39+M64*M39+N64*N39+O64*O39+P64*P39+Q64*Q39+R64*R39+S64*S39+T64*T39+U64*U39+V64*V39</f>
        <v>0</v>
      </c>
      <c r="Z39" s="290">
        <f>E65*E39+F65*F39+G65*G39+H65*H39+I65*I39+J65*J39+K65*K39+L65*L39+M65*M39+N65*N39+O65*O39+P65*P39+Q65*Q39+R65*R39+S65*S39+T65*T39+U65*U39+V65*V39</f>
        <v>0</v>
      </c>
      <c r="AA39" s="290">
        <f>E66*E39+F66*F39+G66*G39+H66*H39+I66*I39+J66*J39+K66*K39+L66*L39+M66*M39+N66*N39+O66*O39+P66*P39+Q66*Q39+R66*R39+S66*S39+T66*T39+U66*U39+V66*V39</f>
        <v>0</v>
      </c>
      <c r="AB39" s="290">
        <f>E67*E39+F67*F39+G67*G39+H67*H39+I67*I39+J67*J39+K67*K39+L67*L39+M67*M39+N67*N39+O67*O39+P67*P39+Q67*Q39+R67*R39+S67*S39+T67*T39+U67*U39+V67*V39</f>
        <v>0</v>
      </c>
      <c r="AC39" s="290">
        <f>E68*E39+F68*F39+G68*G39+H68*H39+I68*I39+J68*J39+K68*K39+L68*L39+M68*M39+N68*N39+O68*O39+P68*P39+Q68*Q39+R68*R39+S68*S39+T68*T39+U68*U39+V68*V39</f>
        <v>0</v>
      </c>
    </row>
    <row r="40" spans="2:29" ht="15.75" x14ac:dyDescent="0.25">
      <c r="B40" s="83" t="s">
        <v>253</v>
      </c>
      <c r="C40" s="84" t="s">
        <v>254</v>
      </c>
      <c r="D40" s="84" t="s">
        <v>255</v>
      </c>
      <c r="E40" s="392">
        <f>0</f>
        <v>0</v>
      </c>
      <c r="F40" s="392">
        <f>1-f_SI</f>
        <v>1</v>
      </c>
      <c r="G40" s="392">
        <f>0</f>
        <v>0</v>
      </c>
      <c r="H40" s="396">
        <f>i_N_XS-i_N_SI*f_SI-i_N_SF*(1-f_SI)</f>
        <v>0</v>
      </c>
      <c r="I40" s="392">
        <f>0</f>
        <v>0</v>
      </c>
      <c r="J40" s="392">
        <f>0</f>
        <v>0</v>
      </c>
      <c r="K40" s="396">
        <f>i_P_XS-i_P_SI*f_SI-i_P_SF*(1-f_SI)</f>
        <v>0</v>
      </c>
      <c r="L40" s="396">
        <f>f_SI</f>
        <v>0</v>
      </c>
      <c r="M40" s="396">
        <f>v_2_SNH*i_Charge_SNHx+v_2_SPO*i_Charge_SPO4</f>
        <v>0</v>
      </c>
      <c r="N40" s="392">
        <f>0</f>
        <v>0</v>
      </c>
      <c r="O40" s="392">
        <f>-1</f>
        <v>-1</v>
      </c>
      <c r="P40" s="392">
        <f>0</f>
        <v>0</v>
      </c>
      <c r="Q40" s="392">
        <f>0</f>
        <v>0</v>
      </c>
      <c r="R40" s="392">
        <f>0</f>
        <v>0</v>
      </c>
      <c r="S40" s="392">
        <f>0</f>
        <v>0</v>
      </c>
      <c r="T40" s="392">
        <f>0</f>
        <v>0</v>
      </c>
      <c r="U40" s="392">
        <f>0</f>
        <v>0</v>
      </c>
      <c r="V40" s="399">
        <f>-i_TSS_XS</f>
        <v>-0.75</v>
      </c>
      <c r="W40" s="403">
        <f>q_h*η_NO_HYD*M_inhSO_KO_HYD*M_satSNO_KNO_HYD*M_RsatXS_XH_XPAO_KX*(X_H+X_PAO)</f>
        <v>64.967290773742405</v>
      </c>
      <c r="Y40" s="290">
        <f>E64*E40+F64*F40+G64*G40+H64*H40+I64*I40+J64*J40+K64*K40+L64*L40+M64*M40+N64*N40+O64*O40+P64*P40+Q64*Q40+R64*R40+S64*S40+T64*T40+U64*U40+V64*V40</f>
        <v>0</v>
      </c>
      <c r="Z40" s="290">
        <f>E65*E40+F65*F40+G65*G40+H65*H40+I65*I40+J65*J40+K65*K40+L65*L40+M65*M40+N65*N40+O65*O40+P65*P40+Q65*Q40+R65*R40+S65*S40+T65*T40+U65*U40+V65*V40</f>
        <v>0</v>
      </c>
      <c r="AA40" s="290">
        <f>E66*E40+F66*F40+G66*G40+H66*H40+I66*I40+J66*J40+K66*K40+L66*L40+M66*M40+N66*N40+O66*O40+P66*P40+Q66*Q40+R66*R40+S66*S40+T66*T40+U66*U40+V66*V40</f>
        <v>0</v>
      </c>
      <c r="AB40" s="290">
        <f>E67*E40+F67*F40+G67*G40+H67*H40+I67*I40+J67*J40+K67*K40+L67*L40+M67*M40+N67*N40+O67*O40+P67*P40+Q67*Q40+R67*R40+S67*S40+T67*T40+U67*U40+V67*V40</f>
        <v>0</v>
      </c>
      <c r="AC40" s="290">
        <f>E68*E40+F68*F40+G68*G40+H68*H40+I68*I40+J68*J40+K68*K40+L68*L40+M68*M40+N68*N40+O68*O40+P68*P40+Q68*Q40+R68*R40+S68*S40+T68*T40+U68*U40+V68*V40</f>
        <v>0</v>
      </c>
    </row>
    <row r="41" spans="2:29" ht="15.75" x14ac:dyDescent="0.25">
      <c r="B41" s="83" t="s">
        <v>256</v>
      </c>
      <c r="C41" s="84" t="s">
        <v>257</v>
      </c>
      <c r="D41" s="84" t="s">
        <v>258</v>
      </c>
      <c r="E41" s="392">
        <f>0</f>
        <v>0</v>
      </c>
      <c r="F41" s="392">
        <f>1-f_SI</f>
        <v>1</v>
      </c>
      <c r="G41" s="392">
        <f>0</f>
        <v>0</v>
      </c>
      <c r="H41" s="396">
        <f>i_N_XS-i_N_SI*f_SI-i_N_SF*(1-f_SI)</f>
        <v>0</v>
      </c>
      <c r="I41" s="392">
        <f>0</f>
        <v>0</v>
      </c>
      <c r="J41" s="392">
        <f>0</f>
        <v>0</v>
      </c>
      <c r="K41" s="396">
        <f>i_P_XS-i_P_SI*f_SI-i_P_SF*(1-f_SI)</f>
        <v>0</v>
      </c>
      <c r="L41" s="396">
        <f>f_SI</f>
        <v>0</v>
      </c>
      <c r="M41" s="396">
        <f>v_3_SNH*i_Charge_SNHx+v_3_SPO*i_Charge_SPO4</f>
        <v>0</v>
      </c>
      <c r="N41" s="392">
        <f>0</f>
        <v>0</v>
      </c>
      <c r="O41" s="392">
        <f>-1</f>
        <v>-1</v>
      </c>
      <c r="P41" s="392">
        <f>0</f>
        <v>0</v>
      </c>
      <c r="Q41" s="392">
        <f>0</f>
        <v>0</v>
      </c>
      <c r="R41" s="392">
        <f>0</f>
        <v>0</v>
      </c>
      <c r="S41" s="392">
        <f>0</f>
        <v>0</v>
      </c>
      <c r="T41" s="392">
        <f>0</f>
        <v>0</v>
      </c>
      <c r="U41" s="392">
        <f>0</f>
        <v>0</v>
      </c>
      <c r="V41" s="399">
        <f>-i_TSS_XS</f>
        <v>-0.75</v>
      </c>
      <c r="W41" s="403">
        <f>q_h*η_fe*M_inhSO_KO_HYD*M_inhSNO_KNO_HYD*M_RsatXS_XH_XPAO_KX*(X_H+X_PAO)</f>
        <v>0.54139408978118653</v>
      </c>
      <c r="Y41" s="290">
        <f>E64*E41+F64*F41+G64*G41+H64*H41+I64*I41+J64*J41+K64*K41+L64*L41+M64*M41+N64*N41+O64*O41+P64*P41+Q64*Q41+R64*R41+S64*S41+T64*T41+U64*U41+V64*V41</f>
        <v>0</v>
      </c>
      <c r="Z41" s="290">
        <f>E65*E41+F65*F41+G65*G41+H65*H41+I65*I41+J65*J41+K65*K41+L65*L41+M65*M41+N65*N41+O65*O41+P65*P41+Q65*Q41+R65*R41+S65*S41+T65*T41+U65*U41+V65*V41</f>
        <v>0</v>
      </c>
      <c r="AA41" s="290">
        <f>E66*E41+F66*F41+G66*G41+H66*H41+I66*I41+J66*J41+K66*K41+L66*L41+M66*M41+N66*N41+O66*O41+P66*P41+Q66*Q41+R66*R41+S66*S41+T66*T41+U66*U41+V66*V41</f>
        <v>0</v>
      </c>
      <c r="AB41" s="290">
        <f>E67*E41+F67*F41+G67*G41+H67*H41+I67*I41+J67*J41+K67*K41+L67*L41+M67*M41+N67*N41+O67*O41+P67*P41+Q67*Q41+R67*R41+S67*S41+T67*T41+U67*U41+V67*V41</f>
        <v>0</v>
      </c>
      <c r="AC41" s="290">
        <f>E68*E41+F68*F41+G68*G41+H68*H41+I68*I41+J68*J41+K68*K41+L68*L41+M68*M41+N68*N41+O68*O41+P68*P41+Q68*Q41+R68*R41+S68*S41+T68*T41+U68*U41+V68*V41</f>
        <v>0</v>
      </c>
    </row>
    <row r="42" spans="2:29" ht="18.75" x14ac:dyDescent="0.25">
      <c r="B42" s="83" t="s">
        <v>259</v>
      </c>
      <c r="C42" s="84" t="s">
        <v>260</v>
      </c>
      <c r="D42" s="84" t="s">
        <v>261</v>
      </c>
      <c r="E42" s="392">
        <f>-(1-Y_H)/Y_H</f>
        <v>-0.58730158730158732</v>
      </c>
      <c r="F42" s="392">
        <f>-1/Y_H</f>
        <v>-1.5873015873015872</v>
      </c>
      <c r="G42" s="392">
        <f>0</f>
        <v>0</v>
      </c>
      <c r="H42" s="396">
        <f>i_N_SF/Y_H-i_N_BM</f>
        <v>-2.238095238095239E-2</v>
      </c>
      <c r="I42" s="392">
        <f>0</f>
        <v>0</v>
      </c>
      <c r="J42" s="392">
        <f>0</f>
        <v>0</v>
      </c>
      <c r="K42" s="396">
        <f>i_P_SF/Y_H-i_P_BM</f>
        <v>-4.1269841269841283E-3</v>
      </c>
      <c r="L42" s="392">
        <f>0</f>
        <v>0</v>
      </c>
      <c r="M42" s="396">
        <f>v_4_SNH*i_Charge_SNHx+v_4_SPO*i_Charge_SPO4</f>
        <v>-1.3989466754443714E-6</v>
      </c>
      <c r="N42" s="392">
        <f>0</f>
        <v>0</v>
      </c>
      <c r="O42" s="392">
        <f>0</f>
        <v>0</v>
      </c>
      <c r="P42" s="392">
        <f>1</f>
        <v>1</v>
      </c>
      <c r="Q42" s="392">
        <f>0</f>
        <v>0</v>
      </c>
      <c r="R42" s="392">
        <f>0</f>
        <v>0</v>
      </c>
      <c r="S42" s="392">
        <f>0</f>
        <v>0</v>
      </c>
      <c r="T42" s="392">
        <f>0</f>
        <v>0</v>
      </c>
      <c r="U42" s="392">
        <f>0</f>
        <v>0</v>
      </c>
      <c r="V42" s="396">
        <f>i_TSS_BM</f>
        <v>0.9</v>
      </c>
      <c r="W42" s="403">
        <f>μ_H*M_satSO_KO_H*M_satSF_KF*S_F/(S_F+S_A)*M_satSNH_KN_H*M_satSPO_KP_H*M_satSHCO_KHCO_H*X_H</f>
        <v>1204.5366463712282</v>
      </c>
      <c r="Y42" s="290">
        <f>E64*E42+F64*F42+G64*G42+H64*H42+I64*I42+J64*J42+K64*K42+L64*L42+M64*M42+N64*N42+O64*O42+P64*P42+Q64*Q42+R64*R42+S64*S42+T64*T42+U64*U42+V64*V42</f>
        <v>1.1102230246251565E-16</v>
      </c>
      <c r="Z42" s="290">
        <f>E65*E42+F65*F42+G65*G42+H65*H42+I65*I42+J65*J42+K65*K42+L65*L42+M65*M42+N65*N42+O65*O42+P65*P42+Q65*Q42+R65*R42+S65*S42+T65*T42+U65*U42+V65*V42</f>
        <v>0</v>
      </c>
      <c r="AA42" s="290">
        <f>E66*E42+F66*F42+G66*G42+H66*H42+I66*I42+J66*J42+K66*K42+L66*L42+M66*M42+N66*N42+O66*O42+P66*P42+Q66*Q42+R66*R42+S66*S42+T66*T42+U66*U42+V66*V42</f>
        <v>0</v>
      </c>
      <c r="AB42" s="290">
        <f>E67*E42+F67*F42+G67*G42+H67*H42+I67*I42+J67*J42+K67*K42+L67*L42+M67*M42+N67*N42+O67*O42+P67*P42+Q67*Q42+R67*R42+S67*S42+T67*T42+U67*U42+V67*V42</f>
        <v>0</v>
      </c>
      <c r="AC42" s="290">
        <f>E68*E42+F68*F42+G68*G42+H68*H42+I68*I42+J68*J42+K68*K42+L68*L42+M68*M42+N68*N42+O68*O42+P68*P42+Q68*Q42+R68*R42+S68*S42+T68*T42+U68*U42+V68*V42</f>
        <v>0</v>
      </c>
    </row>
    <row r="43" spans="2:29" ht="18.75" x14ac:dyDescent="0.25">
      <c r="B43" s="83" t="s">
        <v>266</v>
      </c>
      <c r="C43" s="84" t="s">
        <v>267</v>
      </c>
      <c r="D43" s="84" t="s">
        <v>268</v>
      </c>
      <c r="E43" s="392">
        <f>-(1-Y_H)/Y_H</f>
        <v>-0.58730158730158732</v>
      </c>
      <c r="F43" s="392">
        <f>0</f>
        <v>0</v>
      </c>
      <c r="G43" s="392">
        <f>-1/Y_H</f>
        <v>-1.5873015873015872</v>
      </c>
      <c r="H43" s="392">
        <f>-i_N_BM</f>
        <v>-7.0000000000000007E-2</v>
      </c>
      <c r="I43" s="392">
        <f>0</f>
        <v>0</v>
      </c>
      <c r="J43" s="392">
        <f>0</f>
        <v>0</v>
      </c>
      <c r="K43" s="392">
        <f>-i_P_BM</f>
        <v>-0.02</v>
      </c>
      <c r="L43" s="392">
        <f>0</f>
        <v>0</v>
      </c>
      <c r="M43" s="396">
        <f>v_5_SNH*i_Charge_SNHx+v_5_SPO*i_Charge_SPO4+v_5_SA*i_Charge_SVFA</f>
        <v>2.0769329237071173E-5</v>
      </c>
      <c r="N43" s="392">
        <f>0</f>
        <v>0</v>
      </c>
      <c r="O43" s="392">
        <f>0</f>
        <v>0</v>
      </c>
      <c r="P43" s="392">
        <f>1</f>
        <v>1</v>
      </c>
      <c r="Q43" s="392">
        <f>0</f>
        <v>0</v>
      </c>
      <c r="R43" s="392">
        <f>0</f>
        <v>0</v>
      </c>
      <c r="S43" s="392">
        <f>0</f>
        <v>0</v>
      </c>
      <c r="T43" s="392">
        <f>0</f>
        <v>0</v>
      </c>
      <c r="U43" s="392">
        <f>0</f>
        <v>0</v>
      </c>
      <c r="V43" s="396">
        <f>i_TSS_BM</f>
        <v>0.9</v>
      </c>
      <c r="W43" s="403">
        <f>μ_H*M_satSO_KO_H*M_satSA_KAc*S_A/(S_F+S_A)*M_satSNH_KN_H*M_satSPO_KP_H*M_satSHCO_KHCO_H*X_H</f>
        <v>86.726638538728409</v>
      </c>
      <c r="Y43" s="290">
        <f>E64*E43+F64*F43+G64*G43+H64*H43+I64*I43+J64*J43+K64*K43+L64*L43+M64*M43+N64*N43+O64*O43+P64*P43+Q64*Q43+R64*R43+S64*S43+T64*T43+U64*U43+V64*V43</f>
        <v>1.1102230246251565E-16</v>
      </c>
      <c r="Z43" s="290">
        <f>E65*E43+F65*F43+G65*G43+H65*H43+I65*I43+J65*J43+K65*K43+L65*L43+M65*M43+N65*N43+O65*O43+P65*P43+Q65*Q43+R65*R43+S65*S43+T65*T43+U65*U43+V65*V43</f>
        <v>0</v>
      </c>
      <c r="AA43" s="290">
        <f>E66*E43+F66*F43+G66*G43+H66*H43+I66*I43+J66*J43+K66*K43+L66*L43+M66*M43+N66*N43+O66*O43+P66*P43+Q66*Q43+R66*R43+S66*S43+T66*T43+U66*U43+V66*V43</f>
        <v>0</v>
      </c>
      <c r="AB43" s="290">
        <f>E67*E43+F67*F43+G67*G43+H67*H43+I67*I43+J67*J43+K67*K43+L67*L43+M67*M43+N67*N43+O67*O43+P67*P43+Q67*Q43+R67*R43+S67*S43+T67*T43+U67*U43+V67*V43</f>
        <v>0</v>
      </c>
      <c r="AC43" s="290">
        <f>E68*E43+F68*F43+G68*G43+H68*H43+I68*I43+J68*J43+K68*K43+L68*L43+M68*M43+N68*N43+O68*O43+P68*P43+Q68*Q43+R68*R43+S68*S43+T68*T43+U68*U43+V68*V43</f>
        <v>0</v>
      </c>
    </row>
    <row r="44" spans="2:29" ht="18.75" x14ac:dyDescent="0.25">
      <c r="B44" s="83" t="s">
        <v>271</v>
      </c>
      <c r="C44" s="84" t="s">
        <v>272</v>
      </c>
      <c r="D44" s="84" t="s">
        <v>273</v>
      </c>
      <c r="E44" s="392">
        <f>0</f>
        <v>0</v>
      </c>
      <c r="F44" s="392">
        <f>-1/Y_H</f>
        <v>-1.5873015873015872</v>
      </c>
      <c r="G44" s="392">
        <f>0</f>
        <v>0</v>
      </c>
      <c r="H44" s="396">
        <f>i_N_SF/Y_H-i_N_BM</f>
        <v>-2.238095238095239E-2</v>
      </c>
      <c r="I44" s="393">
        <f>-(1-Y_H)/(i_NO3_N2*Y_H)</f>
        <v>-0.20555555555555555</v>
      </c>
      <c r="J44" s="392">
        <f>(1-Y_H)/(i_NO3_N2*Y_H)</f>
        <v>0.20555555555555555</v>
      </c>
      <c r="K44" s="396">
        <f>i_P_SF/Y_H-i_P_BM</f>
        <v>-4.1269841269841283E-3</v>
      </c>
      <c r="L44" s="392">
        <f>0</f>
        <v>0</v>
      </c>
      <c r="M44" s="396">
        <f>v_6_SNH*i_Charge_SNHx+v_6_SPO*i_Charge_SPO4+v_6_SNO*i_Charge_SNOx</f>
        <v>1.3283593007095304E-5</v>
      </c>
      <c r="N44" s="392">
        <f>0</f>
        <v>0</v>
      </c>
      <c r="O44" s="392">
        <f>0</f>
        <v>0</v>
      </c>
      <c r="P44" s="392">
        <f>1</f>
        <v>1</v>
      </c>
      <c r="Q44" s="392">
        <f>0</f>
        <v>0</v>
      </c>
      <c r="R44" s="392">
        <f>0</f>
        <v>0</v>
      </c>
      <c r="S44" s="392">
        <f>0</f>
        <v>0</v>
      </c>
      <c r="T44" s="392">
        <f>0</f>
        <v>0</v>
      </c>
      <c r="U44" s="392">
        <f>0</f>
        <v>0</v>
      </c>
      <c r="V44" s="396">
        <f>i_TSS_BM</f>
        <v>0.9</v>
      </c>
      <c r="W44" s="403">
        <f>μ_H*η_NO_H*M_inhSO_KO_H*M_satSNO_KNO_H*M_satSF_KF*S_F/(S_F+S_A)*M_satSNH_KN_H*M_satSPO_KP_H*M_satSHCO_KHCO_H*X_H</f>
        <v>93.254450041643466</v>
      </c>
      <c r="Y44" s="290">
        <f>E64*E44+F64*F44+G64*G44+H64*H44+I64*I44+J64*J44+K64*K44+L64*L44+M64*M44+N64*N44+O64*O44+P64*P44+Q64*Q44+R64*R44+S64*S44+T64*T44+U64*U44+V64*V44</f>
        <v>0</v>
      </c>
      <c r="Z44" s="290">
        <f>E65*E44+F65*F44+G65*G44+H65*H44+I65*I44+J65*J44+K65*K44+L65*L44+M65*M44+N65*N44+O65*O44+P65*P44+Q65*Q44+R65*R44+S65*S44+T65*T44+U65*U44+V65*V44</f>
        <v>0</v>
      </c>
      <c r="AA44" s="290">
        <f>E66*E44+F66*F44+G66*G44+H66*H44+I66*I44+J66*J44+K66*K44+L66*L44+M66*M44+N66*N44+O66*O44+P66*P44+Q66*Q44+R66*R44+S66*S44+T66*T44+U66*U44+V66*V44</f>
        <v>0</v>
      </c>
      <c r="AB44" s="290">
        <f>E67*E44+F67*F44+G67*G44+H67*H44+I67*I44+J67*J44+K67*K44+L67*L44+M67*M44+N67*N44+O67*O44+P67*P44+Q67*Q44+R67*R44+S67*S44+T67*T44+U67*U44+V67*V44</f>
        <v>0</v>
      </c>
      <c r="AC44" s="290">
        <f>E68*E44+F68*F44+G68*G44+H68*H44+I68*I44+J68*J44+K68*K44+L68*L44+M68*M44+N68*N44+O68*O44+P68*P44+Q68*Q44+R68*R44+S68*S44+T68*T44+U68*U44+V68*V44</f>
        <v>0</v>
      </c>
    </row>
    <row r="45" spans="2:29" ht="18.75" x14ac:dyDescent="0.25">
      <c r="B45" s="83" t="s">
        <v>276</v>
      </c>
      <c r="C45" s="84" t="s">
        <v>277</v>
      </c>
      <c r="D45" s="84" t="s">
        <v>278</v>
      </c>
      <c r="E45" s="392">
        <f>0</f>
        <v>0</v>
      </c>
      <c r="F45" s="392">
        <f>0</f>
        <v>0</v>
      </c>
      <c r="G45" s="392">
        <f>-1/Y_H</f>
        <v>-1.5873015873015872</v>
      </c>
      <c r="H45" s="392">
        <f>-i_N_BM</f>
        <v>-7.0000000000000007E-2</v>
      </c>
      <c r="I45" s="393">
        <f>-(1-Y_H)/(i_NO3_N2*Y_H)</f>
        <v>-0.20555555555555555</v>
      </c>
      <c r="J45" s="392">
        <f>(1-Y_H)/(i_NO3_N2*Y_H)</f>
        <v>0.20555555555555555</v>
      </c>
      <c r="K45" s="392">
        <f>-i_P_BM</f>
        <v>-0.02</v>
      </c>
      <c r="L45" s="392">
        <f>0</f>
        <v>0</v>
      </c>
      <c r="M45" s="396">
        <f>v_7_SNH*i_Charge_SNHx+v_7_SPO*i_Charge_SPO4+v_7_SNO*i_Charge_SNOx+v_7_SA*i_Charge_SVFA</f>
        <v>3.5451868919610848E-5</v>
      </c>
      <c r="N45" s="392">
        <f>0</f>
        <v>0</v>
      </c>
      <c r="O45" s="392">
        <f>0</f>
        <v>0</v>
      </c>
      <c r="P45" s="392">
        <f>1</f>
        <v>1</v>
      </c>
      <c r="Q45" s="392">
        <f>0</f>
        <v>0</v>
      </c>
      <c r="R45" s="392">
        <f>0</f>
        <v>0</v>
      </c>
      <c r="S45" s="392">
        <f>0</f>
        <v>0</v>
      </c>
      <c r="T45" s="392">
        <f>0</f>
        <v>0</v>
      </c>
      <c r="U45" s="392">
        <f>0</f>
        <v>0</v>
      </c>
      <c r="V45" s="396">
        <f>i_TSS_BM</f>
        <v>0.9</v>
      </c>
      <c r="W45" s="403">
        <f>μ_H*η_NO_H*M_inhSO_KO_H*M_satSNO_KNO_H*M_satSA_KAc*S_A/(S_F+S_A)*M_satSNH_KN_H*M_satSPO_KP_H*M_satSHCO_KHCO_H*X_H</f>
        <v>6.7143204029983323</v>
      </c>
      <c r="Y45" s="290">
        <f>E64*E45+F64*F45+G64*G45+H64*H45+I64*I45+J64*J45+K64*K45+L64*L45+M64*M45+N64*N45+O64*O45+P64*P45+Q64*Q45+R64*R45+S64*S45+T64*T45+U64*U45+V64*V45</f>
        <v>0</v>
      </c>
      <c r="Z45" s="290">
        <f>E65*E45+F65*F45+G65*G45+H65*H45+I65*I45+J65*J45+K65*K45+L65*L45+M65*M45+N65*N45+O65*O45+P65*P45+Q65*Q45+R65*R45+S65*S45+T65*T45+U65*U45+V65*V45</f>
        <v>0</v>
      </c>
      <c r="AA45" s="290">
        <f>E66*E45+F66*F45+G66*G45+H66*H45+I66*I45+J66*J45+K66*K45+L66*L45+M66*M45+N66*N45+O66*O45+P66*P45+Q66*Q45+R66*R45+S66*S45+T66*T45+U66*U45+V66*V45</f>
        <v>0</v>
      </c>
      <c r="AB45" s="290">
        <f>E67*E45+F67*F45+G67*G45+H67*H45+I67*I45+J67*J45+K67*K45+L67*L45+M67*M45+N67*N45+O67*O45+P67*P45+Q67*Q45+R67*R45+S67*S45+T67*T45+U67*U45+V67*V45</f>
        <v>0</v>
      </c>
      <c r="AC45" s="290">
        <f>E68*E45+F68*F45+G68*G45+H68*H45+I68*I45+J68*J45+K68*K45+L68*L45+M68*M45+N68*N45+O68*O45+P68*P45+Q68*Q45+R68*R45+S68*S45+T68*T45+U68*U45+V68*V45</f>
        <v>0</v>
      </c>
    </row>
    <row r="46" spans="2:29" ht="15.75" x14ac:dyDescent="0.25">
      <c r="B46" s="83" t="s">
        <v>279</v>
      </c>
      <c r="C46" s="84" t="s">
        <v>280</v>
      </c>
      <c r="D46" s="84" t="s">
        <v>281</v>
      </c>
      <c r="E46" s="392">
        <f>0</f>
        <v>0</v>
      </c>
      <c r="F46" s="392">
        <f>-1</f>
        <v>-1</v>
      </c>
      <c r="G46" s="392">
        <f>1</f>
        <v>1</v>
      </c>
      <c r="H46" s="396">
        <f>i_N_SF</f>
        <v>0.03</v>
      </c>
      <c r="I46" s="392">
        <f>0</f>
        <v>0</v>
      </c>
      <c r="J46" s="392">
        <f>0</f>
        <v>0</v>
      </c>
      <c r="K46" s="396">
        <f>i_P_SF</f>
        <v>0.01</v>
      </c>
      <c r="L46" s="392">
        <f>0</f>
        <v>0</v>
      </c>
      <c r="M46" s="396">
        <f>v_8_SNH*i_Charge_SNHx+v_8_SPO*i_Charge_SPO4+i_Charge_SVFA</f>
        <v>-1.3966013824884793E-5</v>
      </c>
      <c r="N46" s="392">
        <f>0</f>
        <v>0</v>
      </c>
      <c r="O46" s="392">
        <f>0</f>
        <v>0</v>
      </c>
      <c r="P46" s="392">
        <f>0</f>
        <v>0</v>
      </c>
      <c r="Q46" s="392">
        <f>0</f>
        <v>0</v>
      </c>
      <c r="R46" s="392">
        <f>0</f>
        <v>0</v>
      </c>
      <c r="S46" s="392">
        <f>0</f>
        <v>0</v>
      </c>
      <c r="T46" s="392">
        <f>0</f>
        <v>0</v>
      </c>
      <c r="U46" s="392">
        <f>0</f>
        <v>0</v>
      </c>
      <c r="V46" s="392">
        <f>0</f>
        <v>0</v>
      </c>
      <c r="W46" s="403">
        <f>q_fe*M_inhSO_KO_H*M_inhSNO_KNO_H*M_satSF_Kfe*M_satSHCO_KHCO_H*X_H</f>
        <v>0.8618110000598479</v>
      </c>
      <c r="Y46" s="290">
        <f>E64*E46+F64*F46+G64*G46+H64*H46+I64*I46+J64*J46+K64*K46+L64*L46+M64*M46+N64*N46+O64*O46+P64*P46+Q64*Q46+R64*R46+S64*S46+T64*T46+U64*U46+V64*V46</f>
        <v>0</v>
      </c>
      <c r="Z46" s="290">
        <f>E65*E46+F65*F46+G65*G46+H65*H46+I65*I46+J65*J46+K65*K46+L65*L46+M65*M46+N65*N46+O65*O46+P65*P46+Q65*Q46+R65*R46+S65*S46+T65*T46+U65*U46+V65*V46</f>
        <v>0</v>
      </c>
      <c r="AA46" s="290">
        <f>E66*E46+F66*F46+G66*G46+H66*H46+I66*I46+J66*J46+K66*K46+L66*L46+M66*M46+N66*N46+O66*O46+P66*P46+Q66*Q46+R66*R46+S66*S46+T66*T46+U66*U46+V66*V46</f>
        <v>0</v>
      </c>
      <c r="AB46" s="290">
        <f>E67*E46+F67*F46+G67*G46+H67*H46+I67*I46+J67*J46+K67*K46+L67*L46+M67*M46+N67*N46+O67*O46+P67*P46+Q67*Q46+R67*R46+S67*S46+T67*T46+U67*U46+V67*V46</f>
        <v>-1.6940658945086007E-21</v>
      </c>
      <c r="AC46" s="290">
        <f>E68*E46+F68*F46+G68*G46+H68*H46+I68*I46+J68*J46+K68*K46+L68*L46+M68*M46+N68*N46+O68*O46+P68*P46+Q68*Q46+R68*R46+S68*S46+T68*T46+U68*U46+V68*V46</f>
        <v>0</v>
      </c>
    </row>
    <row r="47" spans="2:29" ht="15.75" x14ac:dyDescent="0.25">
      <c r="B47" s="83" t="s">
        <v>282</v>
      </c>
      <c r="C47" s="84" t="s">
        <v>283</v>
      </c>
      <c r="D47" s="84" t="s">
        <v>284</v>
      </c>
      <c r="E47" s="392">
        <f>0</f>
        <v>0</v>
      </c>
      <c r="F47" s="392">
        <f>0</f>
        <v>0</v>
      </c>
      <c r="G47" s="392">
        <f>0</f>
        <v>0</v>
      </c>
      <c r="H47" s="396">
        <f>i_N_BM-i_N_XI*f_XI_H-i_N_XS*(1-f_XI_H)</f>
        <v>4.0000000000000008E-2</v>
      </c>
      <c r="I47" s="392">
        <f>0</f>
        <v>0</v>
      </c>
      <c r="J47" s="392">
        <f>0</f>
        <v>0</v>
      </c>
      <c r="K47" s="396">
        <f>i_P_BM-i_P_XI*f_XI_H-i_P_XS*(1-f_XI_H)</f>
        <v>9.9999999999999985E-3</v>
      </c>
      <c r="L47" s="392">
        <f>0</f>
        <v>0</v>
      </c>
      <c r="M47" s="396">
        <f>v_9_SNH*i_Charge_SNHx+v_9_SPO*i_Charge_SPO4</f>
        <v>2.3732718894009217E-6</v>
      </c>
      <c r="N47" s="396">
        <f>f_XI_H</f>
        <v>0.1</v>
      </c>
      <c r="O47" s="392">
        <f>1-f_XI_H</f>
        <v>0.9</v>
      </c>
      <c r="P47" s="392">
        <f>-1</f>
        <v>-1</v>
      </c>
      <c r="Q47" s="392">
        <f>0</f>
        <v>0</v>
      </c>
      <c r="R47" s="392">
        <f>0</f>
        <v>0</v>
      </c>
      <c r="S47" s="392">
        <f>0</f>
        <v>0</v>
      </c>
      <c r="T47" s="392">
        <f>0</f>
        <v>0</v>
      </c>
      <c r="U47" s="392">
        <f>0</f>
        <v>0</v>
      </c>
      <c r="V47" s="400">
        <f>i_TSS_XI*f_XI_H+i_TSS_XS*(1-f_XI_H)-i_TSS_BM</f>
        <v>-0.15000000000000002</v>
      </c>
      <c r="W47" s="403">
        <f>b_H*X_H</f>
        <v>200</v>
      </c>
      <c r="Y47" s="290">
        <f>E64*E47+F64*F47+G64*G47+H64*H47+I64*I47+J64*J47+K64*K47+L64*L47+M64*M47+N64*N47+O64*O47+P64*P47+Q64*Q47+R64*R47+S64*S47+T64*T47+U64*U47+V64*V47</f>
        <v>0</v>
      </c>
      <c r="Z47" s="290">
        <f>E65*E47+F65*F47+G65*G47+H65*H47+I65*I47+J65*J47+K65*K47+L65*L47+M65*M47+N65*N47+O65*O47+P65*P47+Q65*Q47+R65*R47+S65*S47+T65*T47+U65*U47+V65*V47</f>
        <v>0</v>
      </c>
      <c r="AA47" s="290">
        <f>E66*E47+F66*F47+G66*G47+H66*H47+I66*I47+J66*J47+K66*K47+L66*L47+M66*M47+N66*N47+O66*O47+P66*P47+Q66*Q47+R66*R47+S66*S47+T66*T47+U66*U47+V66*V47</f>
        <v>0</v>
      </c>
      <c r="AB47" s="290">
        <f>E67*E47+F67*F47+G67*G47+H67*H47+I67*I47+J67*J47+K67*K47+L67*L47+M67*M47+N67*N47+O67*O47+P67*P47+Q67*Q47+R67*R47+S67*S47+T67*T47+U67*U47+V67*V47</f>
        <v>0</v>
      </c>
      <c r="AC47" s="290">
        <f>E68*E47+F68*F47+G68*G47+H68*H47+I68*I47+J68*J47+K68*K47+L68*L47+M68*M47+N68*N47+O68*O47+P68*P47+Q68*Q47+R68*R47+S68*S47+T68*T47+U68*U47+V68*V47</f>
        <v>0</v>
      </c>
    </row>
    <row r="48" spans="2:29" ht="15.75" x14ac:dyDescent="0.25">
      <c r="B48" s="83" t="s">
        <v>290</v>
      </c>
      <c r="C48" s="84" t="s">
        <v>291</v>
      </c>
      <c r="D48" s="84" t="s">
        <v>292</v>
      </c>
      <c r="E48" s="392">
        <f>0</f>
        <v>0</v>
      </c>
      <c r="F48" s="392">
        <f>0</f>
        <v>0</v>
      </c>
      <c r="G48" s="392">
        <f>-1</f>
        <v>-1</v>
      </c>
      <c r="H48" s="392">
        <f>0</f>
        <v>0</v>
      </c>
      <c r="I48" s="392">
        <f>0</f>
        <v>0</v>
      </c>
      <c r="J48" s="392">
        <f>0</f>
        <v>0</v>
      </c>
      <c r="K48" s="396">
        <f>Y_PO_AN</f>
        <v>0.35</v>
      </c>
      <c r="L48" s="392">
        <f>0</f>
        <v>0</v>
      </c>
      <c r="M48" s="396">
        <f>v_10_SPO*i_Charge_SPO4-i_Charge_SVFA+v_10_XPP*i_Charge_XPAO_PP</f>
        <v>9.979838709677425E-6</v>
      </c>
      <c r="N48" s="392">
        <f>0</f>
        <v>0</v>
      </c>
      <c r="O48" s="392">
        <f>0</f>
        <v>0</v>
      </c>
      <c r="P48" s="392">
        <f>0</f>
        <v>0</v>
      </c>
      <c r="Q48" s="392">
        <f>0</f>
        <v>0</v>
      </c>
      <c r="R48" s="392">
        <f>-Y_PO_AN</f>
        <v>-0.35</v>
      </c>
      <c r="S48" s="396">
        <f>Y_SA_AN</f>
        <v>1.5</v>
      </c>
      <c r="T48" s="392">
        <f>1-Y_SA_AN</f>
        <v>-0.5</v>
      </c>
      <c r="U48" s="392">
        <f>0</f>
        <v>0</v>
      </c>
      <c r="V48" s="400">
        <f>i_TSS_PP*(-Y_PO_AN)+i_TSS_PHA*Y_SA_AN+i_TSS_GLY*(1-Y_SA_AN)</f>
        <v>-0.65049999999999986</v>
      </c>
      <c r="W48" s="403">
        <f>q_Ac*M_satSA_KAc*M_inhSO_KO_PAO*M_inhSNO_KNO_PAO*M_satXGLY_KGLY*M_satXPP_KPP*X_PAO</f>
        <v>1.4068508303031479</v>
      </c>
      <c r="Y48" s="290">
        <f>E64*E48+F64*F48+G64*G48+H64*H48+I64*I48+J64*J48+K64*K48+L64*L48+M64*M48+N64*N48+O64*O48+P64*P48+Q64*Q48+R64*R48+S64*S48+T64*T48+U64*U48+V64*V48</f>
        <v>0</v>
      </c>
      <c r="Z48" s="290">
        <f>E65*E48+F65*F48+G65*G48+H65*H48+I65*I48+J65*J48+K65*K48+L65*L48+M65*M48+N65*N48+O65*O48+P65*P48+Q65*Q48+R65*R48+S65*S48+T65*T48+U65*U48+V65*V48</f>
        <v>0</v>
      </c>
      <c r="AA48" s="290">
        <f>E66*E48+F66*F48+G66*G48+H66*H48+I66*I48+J66*J48+K66*K48+L66*L48+M66*M48+N66*N48+O66*O48+P66*P48+Q66*Q48+R66*R48+S66*S48+T66*T48+U66*U48+V66*V48</f>
        <v>0</v>
      </c>
      <c r="AB48" s="290">
        <f>E67*E48+F67*F48+G67*G48+H67*H48+I67*I48+J67*J48+K67*K48+L67*L48+M67*M48+N67*N48+O67*O48+P67*P48+Q67*Q48+R67*R48+S67*S48+T67*T48+U67*U48+V67*V48</f>
        <v>0</v>
      </c>
      <c r="AC48" s="290">
        <f>E68*E48+F68*F48+G68*G48+H68*H48+I68*I48+J68*J48+K68*K48+L68*L48+M68*M48+N68*N48+O68*O48+P68*P48+Q68*Q48+R68*R48+S68*S48+T68*T48+U68*U48+V68*V48</f>
        <v>0</v>
      </c>
    </row>
    <row r="49" spans="2:29" ht="15.75" x14ac:dyDescent="0.25">
      <c r="B49" s="83" t="s">
        <v>296</v>
      </c>
      <c r="C49" s="84" t="s">
        <v>297</v>
      </c>
      <c r="D49" s="84" t="s">
        <v>298</v>
      </c>
      <c r="E49" s="392">
        <f>0</f>
        <v>0</v>
      </c>
      <c r="F49" s="392">
        <f>0</f>
        <v>0</v>
      </c>
      <c r="G49" s="392">
        <f>0</f>
        <v>0</v>
      </c>
      <c r="H49" s="392">
        <f>0</f>
        <v>0</v>
      </c>
      <c r="I49" s="392">
        <f>0</f>
        <v>0</v>
      </c>
      <c r="J49" s="392">
        <f>0</f>
        <v>0</v>
      </c>
      <c r="K49" s="392">
        <f>1</f>
        <v>1</v>
      </c>
      <c r="L49" s="392">
        <f>0</f>
        <v>0</v>
      </c>
      <c r="M49" s="400">
        <f>i_Charge_SPO4-i_Charge_XPAO_PP</f>
        <v>-1.61290322580645E-5</v>
      </c>
      <c r="N49" s="392">
        <f>0</f>
        <v>0</v>
      </c>
      <c r="O49" s="392">
        <f>0</f>
        <v>0</v>
      </c>
      <c r="P49" s="392">
        <f>0</f>
        <v>0</v>
      </c>
      <c r="Q49" s="392">
        <f>0</f>
        <v>0</v>
      </c>
      <c r="R49" s="392">
        <f>-1</f>
        <v>-1</v>
      </c>
      <c r="S49" s="392">
        <f>0</f>
        <v>0</v>
      </c>
      <c r="T49" s="392">
        <f>0</f>
        <v>0</v>
      </c>
      <c r="U49" s="392">
        <f>0</f>
        <v>0</v>
      </c>
      <c r="V49" s="399">
        <f>-i_TSS_PP</f>
        <v>-3.23</v>
      </c>
      <c r="W49" s="403">
        <f>m_AN*M_inhSO_KO_PAO*M_inhSNO_KNO_PAO*M_satXPP_KPP*X_PAO</f>
        <v>4.3986070491196856E-2</v>
      </c>
      <c r="Y49" s="290">
        <f>E64*E49+F64*F49+G64*G49+H64*H49+I64*I49+J64*J49+K64*K49+L64*L49+M64*M49+N64*N49+O64*O49+P64*P49+Q64*Q49+R64*R49+S64*S49+T64*T49+U64*U49+V64*V49</f>
        <v>0</v>
      </c>
      <c r="Z49" s="290">
        <f>E65*E49+F65*F49+G65*G49+H65*H49+I65*I49+J65*J49+K65*K49+L65*L49+M65*M49+N65*N49+O65*O49+P65*P49+Q65*Q49+R65*R49+S65*S49+T65*T49+U65*U49+V65*V49</f>
        <v>0</v>
      </c>
      <c r="AA49" s="290">
        <f>E66*E49+F66*F49+G66*G49+H66*H49+I66*I49+J66*J49+K66*K49+L66*L49+M66*M49+N66*N49+O66*O49+P66*P49+Q66*Q49+R66*R49+S66*S49+T66*T49+U66*U49+V66*V49</f>
        <v>0</v>
      </c>
      <c r="AB49" s="290">
        <f>E67*E49+F67*F49+G67*G49+H67*H49+I67*I49+J67*J49+K67*K49+L67*L49+M67*M49+N67*N49+O67*O49+P67*P49+Q67*Q49+R67*R49+S67*S49+T67*T49+U67*U49+V67*V49</f>
        <v>0</v>
      </c>
      <c r="AC49" s="290">
        <f>E68*E49+F68*F49+G68*G49+H68*H49+I68*I49+J68*J49+K68*K49+L68*L49+M68*M49+N68*N49+O68*O49+P68*P49+Q68*Q49+R68*R49+S68*S49+T68*T49+U68*U49+V68*V49</f>
        <v>0</v>
      </c>
    </row>
    <row r="50" spans="2:29" ht="18.75" x14ac:dyDescent="0.25">
      <c r="B50" s="83" t="s">
        <v>300</v>
      </c>
      <c r="C50" s="84" t="s">
        <v>301</v>
      </c>
      <c r="D50" s="84" t="s">
        <v>302</v>
      </c>
      <c r="E50" s="392">
        <f>0</f>
        <v>0</v>
      </c>
      <c r="F50" s="392">
        <f>0</f>
        <v>0</v>
      </c>
      <c r="G50" s="392">
        <f>-1</f>
        <v>-1</v>
      </c>
      <c r="H50" s="392">
        <f>0</f>
        <v>0</v>
      </c>
      <c r="I50" s="393">
        <f>-(1-Y_SA_NO)/i_NO3_N2</f>
        <v>-0.10150000000000001</v>
      </c>
      <c r="J50" s="392">
        <f>(1-Y_SA_NO)/i_NO3_N2</f>
        <v>0.10150000000000001</v>
      </c>
      <c r="K50" s="396">
        <f>Y_PO_NO</f>
        <v>0.23</v>
      </c>
      <c r="L50" s="392">
        <f>0</f>
        <v>0</v>
      </c>
      <c r="M50" s="396">
        <f>v_12_SPO*i_Charge_SPO4-i_Charge_SVFA+v_12_XPP*i_Charge_XPAO_PP+v_12_SNO*i_Charge_SNOx</f>
        <v>1.9165322580645162E-5</v>
      </c>
      <c r="N50" s="392">
        <f>0</f>
        <v>0</v>
      </c>
      <c r="O50" s="392">
        <f>0</f>
        <v>0</v>
      </c>
      <c r="P50" s="392">
        <f>0</f>
        <v>0</v>
      </c>
      <c r="Q50" s="392">
        <f>0</f>
        <v>0</v>
      </c>
      <c r="R50" s="393">
        <f>-Y_PO_NO</f>
        <v>-0.23</v>
      </c>
      <c r="S50" s="396">
        <f>Y_SA_NO</f>
        <v>0.71</v>
      </c>
      <c r="T50" s="392">
        <f>0</f>
        <v>0</v>
      </c>
      <c r="U50" s="392">
        <f>0</f>
        <v>0</v>
      </c>
      <c r="V50" s="400">
        <f>i_TSS_PP*(-Y_PO_NO)+i_TSS_PHA*Y_SA_NO</f>
        <v>-0.31690000000000002</v>
      </c>
      <c r="W50" s="403">
        <f>q_Ac_NO*M_satSA_KAc*M_inhSO_KO_PAO*M_satSNO_KNO_PAO*M_satXPP_KPP*X_PAO</f>
        <v>6.3339941507323472</v>
      </c>
      <c r="Y50" s="290">
        <f>E64*E50+F64*F50+G64*G50+H64*H50+I64*I50+J64*J50+K64*K50+L64*L50+M64*M50+N64*N50+O64*O50+P64*P50+Q64*Q50+R64*R50+S64*S50+T64*T50+U64*U50+V64*V50</f>
        <v>-1.1102230246251565E-16</v>
      </c>
      <c r="Z50" s="290">
        <f>E65*E50+F65*F50+G65*G50+H65*H50+I65*I50+J65*J50+K65*K50+L65*L50+M65*M50+N65*N50+O65*O50+P65*P50+Q65*Q50+R65*R50+S65*S50+T65*T50+U65*U50+V65*V50</f>
        <v>0</v>
      </c>
      <c r="AA50" s="290">
        <f>E66*E50+F66*F50+G66*G50+H66*H50+I66*I50+J66*J50+K66*K50+L66*L50+M66*M50+N66*N50+O66*O50+P66*P50+Q66*Q50+R66*R50+S66*S50+T66*T50+U66*U50+V66*V50</f>
        <v>0</v>
      </c>
      <c r="AB50" s="290">
        <f>E67*E50+F67*F50+G67*G50+H67*H50+I67*I50+J67*J50+K67*K50+L67*L50+M67*M50+N67*N50+O67*O50+P67*P50+Q67*Q50+R67*R50+S67*S50+T67*T50+U67*U50+V67*V50</f>
        <v>-8.4703294725430034E-22</v>
      </c>
      <c r="AC50" s="290">
        <f>E68*E50+F68*F50+G68*G50+H68*H50+I68*I50+J68*J50+K68*K50+L68*L50+M68*M50+N68*N50+O68*O50+P68*P50+Q68*Q50+R68*R50+S68*S50+T68*T50+U68*U50+V68*V50</f>
        <v>0</v>
      </c>
    </row>
    <row r="51" spans="2:29" ht="15.75" x14ac:dyDescent="0.25">
      <c r="B51" s="83" t="s">
        <v>303</v>
      </c>
      <c r="C51" s="84" t="s">
        <v>304</v>
      </c>
      <c r="D51" s="84" t="s">
        <v>305</v>
      </c>
      <c r="E51" s="392">
        <f>0</f>
        <v>0</v>
      </c>
      <c r="F51" s="392">
        <f>0</f>
        <v>0</v>
      </c>
      <c r="G51" s="392">
        <f>0</f>
        <v>0</v>
      </c>
      <c r="H51" s="393">
        <f>-i_N_BM/Y_PHA_NO</f>
        <v>-4.0697674418604654E-2</v>
      </c>
      <c r="I51" s="393">
        <f>-(1-1/Y_PHA_NO)/i_NO3_N2</f>
        <v>-0.14651162790697672</v>
      </c>
      <c r="J51" s="392">
        <f>(1-1/Y_PHA_NO)/i_NO3_N2</f>
        <v>0.14651162790697672</v>
      </c>
      <c r="K51" s="393">
        <f>-i_P_BM/Y_PHA_NO</f>
        <v>-1.1627906976744186E-2</v>
      </c>
      <c r="L51" s="392">
        <f>0</f>
        <v>0</v>
      </c>
      <c r="M51" s="396">
        <f>v_13_SNH*i_Charge_SNHx+v_13_SPO*i_Charge_SPO4+v_13_SNO*i_Charge_SNOx</f>
        <v>8.1207801950487557E-6</v>
      </c>
      <c r="N51" s="392">
        <f>0</f>
        <v>0</v>
      </c>
      <c r="O51" s="392">
        <f>0</f>
        <v>0</v>
      </c>
      <c r="P51" s="392">
        <f>0</f>
        <v>0</v>
      </c>
      <c r="Q51" s="392">
        <f>1/Y_PHA_NO</f>
        <v>0.58139534883720934</v>
      </c>
      <c r="R51" s="392">
        <f>0</f>
        <v>0</v>
      </c>
      <c r="S51" s="392">
        <f>-1</f>
        <v>-1</v>
      </c>
      <c r="T51" s="392">
        <f>0</f>
        <v>0</v>
      </c>
      <c r="U51" s="392">
        <f>0</f>
        <v>0</v>
      </c>
      <c r="V51" s="400">
        <f>i_TSS_BM/Y_PHA_NO-i_TSS_PHA</f>
        <v>-7.6744186046511564E-2</v>
      </c>
      <c r="W51" s="403">
        <f>q_PHA*η_NO_PAO*M_inhSO_KO_PAO*M_satSNH_KN_PAO*M_satSNO_KNO_PAO*M_satSPO_KP_PAO*M_satSHCO_KHCO_PAO*M_RsatXPHA_XPAO_KfPHA*X_PAO</f>
        <v>86.119949918701352</v>
      </c>
      <c r="Y51" s="290">
        <f>E64*E51+F64*F51+G64*G51+H64*H51+I64*I51+J64*J51+K64*K51+L64*L51+M64*M51+N64*N51+O64*O51+P64*P51+Q64*Q51+R64*R51+S64*S51+T64*T51+U64*U51+V64*V51</f>
        <v>0</v>
      </c>
      <c r="Z51" s="290">
        <f>E65*E51+F65*F51+G65*G51+H65*H51+I65*I51+J65*J51+K65*K51+L65*L51+M65*M51+N65*N51+O65*O51+P65*P51+Q65*Q51+R65*R51+S65*S51+T65*T51+U65*U51+V65*V51</f>
        <v>1.3877787807814457E-17</v>
      </c>
      <c r="AA51" s="290">
        <f>E66*E51+F66*F51+G66*G51+H66*H51+I66*I51+J66*J51+K66*K51+L66*L51+M66*M51+N66*N51+O66*O51+P66*P51+Q66*Q51+R66*R51+S66*S51+T66*T51+U66*U51+V66*V51</f>
        <v>1.7347234759768071E-18</v>
      </c>
      <c r="AB51" s="290">
        <f>E67*E51+F67*F51+G67*G51+H67*H51+I67*I51+J67*J51+K67*K51+L67*L51+M67*M51+N67*N51+O67*O51+P67*P51+Q67*Q51+R67*R51+S67*S51+T67*T51+U67*U51+V67*V51</f>
        <v>0</v>
      </c>
      <c r="AC51" s="290">
        <f>E68*E51+F68*F51+G68*G51+H68*H51+I68*I51+J68*J51+K68*K51+L68*L51+M68*M51+N68*N51+O68*O51+P68*P51+Q68*Q51+R68*R51+S68*S51+T68*T51+U68*U51+V68*V51</f>
        <v>0</v>
      </c>
    </row>
    <row r="52" spans="2:29" ht="15.75" x14ac:dyDescent="0.25">
      <c r="B52" s="83" t="s">
        <v>306</v>
      </c>
      <c r="C52" s="84" t="s">
        <v>307</v>
      </c>
      <c r="D52" s="84" t="s">
        <v>308</v>
      </c>
      <c r="E52" s="392">
        <f>0</f>
        <v>0</v>
      </c>
      <c r="F52" s="392">
        <f>0</f>
        <v>0</v>
      </c>
      <c r="G52" s="392">
        <f>0</f>
        <v>0</v>
      </c>
      <c r="H52" s="396">
        <f>i_N_BM/Y_PP_NO</f>
        <v>2.3178807947019868E-2</v>
      </c>
      <c r="I52" s="393">
        <f>-(1/Y_PP_NO)/i_NO3_N2</f>
        <v>-0.11589403973509935</v>
      </c>
      <c r="J52" s="392">
        <f>(1/Y_PP_NO)/i_NO3_N2</f>
        <v>0.11589403973509935</v>
      </c>
      <c r="K52" s="396">
        <f>i_P_BM/Y_PP_NO-1</f>
        <v>-0.99337748344370858</v>
      </c>
      <c r="L52" s="392">
        <f>0</f>
        <v>0</v>
      </c>
      <c r="M52" s="396">
        <f>v_14_SNH*i_Charge_SNHx+v_14_SPO*i_Charge_SPO4+v_14_SNO*i_Charge_SNOx+i_Charge_XPAO_PP</f>
        <v>2.5742362743003615E-5</v>
      </c>
      <c r="N52" s="392">
        <f>0</f>
        <v>0</v>
      </c>
      <c r="O52" s="392">
        <f>0</f>
        <v>0</v>
      </c>
      <c r="P52" s="392">
        <f>0</f>
        <v>0</v>
      </c>
      <c r="Q52" s="393">
        <f>-1/Y_PP_NO</f>
        <v>-0.33112582781456956</v>
      </c>
      <c r="R52" s="392">
        <f>1</f>
        <v>1</v>
      </c>
      <c r="S52" s="392">
        <f>0</f>
        <v>0</v>
      </c>
      <c r="T52" s="392">
        <f>0</f>
        <v>0</v>
      </c>
      <c r="U52" s="392">
        <f>0</f>
        <v>0</v>
      </c>
      <c r="V52" s="393">
        <f>-i_TSS_BM/Y_PP_NO+i_TSS_PP</f>
        <v>2.9319867549668874</v>
      </c>
      <c r="W52" s="403">
        <f>q_PP*η_NO_PAO*(X_PAO/X_PP)*M_inhSO_KO_PAO*M_satSNO_gPP_KNO_PAO*M_satSPO_KP_PAO*M_satXPHA_KPHA*M_RsatXPP_XPAO_KfPP*X_PAO</f>
        <v>3.2888987390824003</v>
      </c>
      <c r="Y52" s="290">
        <f>E64*E52+F64*F52+G64*G52+H64*H52+I64*I52+J64*J52+K64*K52+L64*L52+M64*M52+N64*N52+O64*O52+P64*P52+Q64*Q52+R64*R52+S64*S52+T64*T52+U64*U52+V64*V52</f>
        <v>0</v>
      </c>
      <c r="Z52" s="290">
        <f>E65*E52+F65*F52+G65*G52+H65*H52+I65*I52+J65*J52+K65*K52+L65*L52+M65*M52+N65*N52+O65*O52+P65*P52+Q65*Q52+R65*R52+S65*S52+T65*T52+U65*U52+V65*V52</f>
        <v>3.4694469519536142E-18</v>
      </c>
      <c r="AA52" s="290">
        <f>E66*E52+F66*F52+G66*G52+H66*H52+I66*I52+J66*J52+K66*K52+L66*L52+M66*M52+N66*N52+O66*O52+P66*P52+Q66*Q52+R66*R52+S66*S52+T66*T52+U66*U52+V66*V52</f>
        <v>0</v>
      </c>
      <c r="AB52" s="290">
        <f>E67*E52+F67*F52+G67*G52+H67*H52+I67*I52+J67*J52+K67*K52+L67*L52+M67*M52+N67*N52+O67*O52+P67*P52+Q67*Q52+R67*R52+S67*S52+T67*T52+U67*U52+V67*V52</f>
        <v>0</v>
      </c>
      <c r="AC52" s="290">
        <f>E68*E52+F68*F52+G68*G52+H68*H52+I68*I52+J68*J52+K68*K52+L68*L52+M68*M52+N68*N52+O68*O52+P68*P52+Q68*Q52+R68*R52+S68*S52+T68*T52+U68*U52+V68*V52</f>
        <v>0</v>
      </c>
    </row>
    <row r="53" spans="2:29" ht="15.75" x14ac:dyDescent="0.25">
      <c r="B53" s="83" t="s">
        <v>309</v>
      </c>
      <c r="C53" s="84" t="s">
        <v>310</v>
      </c>
      <c r="D53" s="84" t="s">
        <v>311</v>
      </c>
      <c r="E53" s="392">
        <f>0</f>
        <v>0</v>
      </c>
      <c r="F53" s="392">
        <f>0</f>
        <v>0</v>
      </c>
      <c r="G53" s="392">
        <f>0</f>
        <v>0</v>
      </c>
      <c r="H53" s="396">
        <f>i_N_BM/Y_GLY_NO</f>
        <v>5.9322033898305093E-2</v>
      </c>
      <c r="I53" s="393">
        <f>-(1/Y_GLY_NO-1)/i_NO3_N2</f>
        <v>5.3389830508474546E-2</v>
      </c>
      <c r="J53" s="399">
        <f>(1/Y_GLY_NO-1)/i_NO3_N2</f>
        <v>-5.3389830508474546E-2</v>
      </c>
      <c r="K53" s="396">
        <f>i_P_BM/Y_GLY_NO</f>
        <v>1.6949152542372881E-2</v>
      </c>
      <c r="L53" s="392">
        <f>0</f>
        <v>0</v>
      </c>
      <c r="M53" s="396">
        <f>v_15_SNH*i_Charge_SNHx+v_15_SPO*i_Charge_SPO4+v_15_SNO*i_Charge_SNOx</f>
        <v>-3.9639147074904003E-7</v>
      </c>
      <c r="N53" s="392">
        <f>0</f>
        <v>0</v>
      </c>
      <c r="O53" s="392">
        <f>0</f>
        <v>0</v>
      </c>
      <c r="P53" s="392">
        <f>0</f>
        <v>0</v>
      </c>
      <c r="Q53" s="393">
        <f>-1/Y_GLY_NO</f>
        <v>-0.84745762711864414</v>
      </c>
      <c r="R53" s="392">
        <f>0</f>
        <v>0</v>
      </c>
      <c r="S53" s="392">
        <f>0</f>
        <v>0</v>
      </c>
      <c r="T53" s="392">
        <f>1</f>
        <v>1</v>
      </c>
      <c r="U53" s="392">
        <f>0</f>
        <v>0</v>
      </c>
      <c r="V53" s="393">
        <f>-i_TSS_BM/Y_GLY_NO+i_TSS_GLY</f>
        <v>7.7288135593220231E-2</v>
      </c>
      <c r="W53" s="403">
        <f>q_GLY*η_NO_PAO*(X_PHA/X_GLY)*M_inhSO_KO_PAO*M_satSNO_KNO_PAO*M_satXPHA_KPHA*M_RsatXGLY_XPAO_KfGLY*M_satSHCO_KHCO_PAO*X_PAO</f>
        <v>191.52577314142923</v>
      </c>
      <c r="Y53" s="290">
        <f>E64*E53+F64*F53+G64*G53+H64*H53+I64*I53+J64*J53+K64*K53+L64*L53+M64*M53+N64*N53+O64*O53+P64*P53+Q64*Q53+R64*R53+S64*S53+T64*T53+U64*U53+V64*V53</f>
        <v>0</v>
      </c>
      <c r="Z53" s="290">
        <f>E65*E53+F65*F53+G65*G53+H65*H53+I65*I53+J65*J53+K65*K53+L65*L53+M65*M53+N65*N53+O65*O53+P65*P53+Q65*Q53+R65*R53+S65*S53+T65*T53+U65*U53+V65*V53</f>
        <v>-6.9388939039072284E-18</v>
      </c>
      <c r="AA53" s="290">
        <f>E66*E53+F66*F53+G66*G53+H66*H53+I66*I53+J66*J53+K66*K53+L66*L53+M66*M53+N66*N53+O66*O53+P66*P53+Q66*Q53+R66*R53+S66*S53+T66*T53+U66*U53+V66*V53</f>
        <v>-3.4694469519536142E-18</v>
      </c>
      <c r="AB53" s="290">
        <f>E67*E53+F67*F53+G67*G53+H67*H53+I67*I53+J67*J53+K67*K53+L67*L53+M67*M53+N67*N53+O67*O53+P67*P53+Q67*Q53+R67*R53+S67*S53+T67*T53+U67*U53+V67*V53</f>
        <v>-1.0587911840678754E-22</v>
      </c>
      <c r="AC53" s="290">
        <f>E68*E53+F68*F53+G68*G53+H68*H53+I68*I53+J68*J53+K68*K53+L68*L53+M68*M53+N68*N53+O68*O53+P68*P53+Q68*Q53+R68*R53+S68*S53+T68*T53+U68*U53+V68*V53</f>
        <v>0</v>
      </c>
    </row>
    <row r="54" spans="2:29" ht="15.75" x14ac:dyDescent="0.25">
      <c r="B54" s="83" t="s">
        <v>312</v>
      </c>
      <c r="C54" s="84" t="s">
        <v>313</v>
      </c>
      <c r="D54" s="84" t="s">
        <v>314</v>
      </c>
      <c r="E54" s="392">
        <f>0</f>
        <v>0</v>
      </c>
      <c r="F54" s="392">
        <f>0</f>
        <v>0</v>
      </c>
      <c r="G54" s="392">
        <f>0</f>
        <v>0</v>
      </c>
      <c r="H54" s="396">
        <f>i_N_BM</f>
        <v>7.0000000000000007E-2</v>
      </c>
      <c r="I54" s="393">
        <f>-1/i_NO3_N2</f>
        <v>-0.35</v>
      </c>
      <c r="J54" s="392">
        <f>1/i_NO3_N2</f>
        <v>0.35</v>
      </c>
      <c r="K54" s="396">
        <f>i_P_BM</f>
        <v>0.02</v>
      </c>
      <c r="L54" s="392">
        <f>0</f>
        <v>0</v>
      </c>
      <c r="M54" s="396">
        <f>v_16_SNH*i_Charge_SNHx+v_16_SPO*i_Charge_SPO4+v_16_SNO*i_Charge_SNOx</f>
        <v>2.9032258064516116E-5</v>
      </c>
      <c r="N54" s="392">
        <f>0</f>
        <v>0</v>
      </c>
      <c r="O54" s="392">
        <f>0</f>
        <v>0</v>
      </c>
      <c r="P54" s="392">
        <f>0</f>
        <v>0</v>
      </c>
      <c r="Q54" s="392">
        <f>-1</f>
        <v>-1</v>
      </c>
      <c r="R54" s="392">
        <f>0</f>
        <v>0</v>
      </c>
      <c r="S54" s="392">
        <f>0</f>
        <v>0</v>
      </c>
      <c r="T54" s="392">
        <f>0</f>
        <v>0</v>
      </c>
      <c r="U54" s="392">
        <f>0</f>
        <v>0</v>
      </c>
      <c r="V54" s="399">
        <f>-i_TSS_BM</f>
        <v>-0.9</v>
      </c>
      <c r="W54" s="403">
        <f>m_NO*M_inhSO_KO_PAO*M_satSNO_KNO_PAO*X_PAO</f>
        <v>2.3753665689149566</v>
      </c>
      <c r="Y54" s="290">
        <f>E64*E54+F64*F54+G64*G54+H64*H54+I64*I54+J64*J54+K64*K54+L64*L54+M64*M54+N64*N54+O64*O54+P64*P54+Q64*Q54+R64*R54+S64*S54+T64*T54+U64*U54+V64*V54</f>
        <v>-1.1102230246251565E-16</v>
      </c>
      <c r="Z54" s="290">
        <f>E65*E54+F65*F54+G65*G54+H65*H54+I65*I54+J65*J54+K65*K54+L65*L54+M65*M54+N65*N54+O65*O54+P65*P54+Q65*Q54+R65*R54+S65*S54+T65*T54+U65*U54+V65*V54</f>
        <v>0</v>
      </c>
      <c r="AA54" s="290">
        <f>E66*E54+F66*F54+G66*G54+H66*H54+I66*I54+J66*J54+K66*K54+L66*L54+M66*M54+N66*N54+O66*O54+P66*P54+Q66*Q54+R66*R54+S66*S54+T66*T54+U66*U54+V66*V54</f>
        <v>0</v>
      </c>
      <c r="AB54" s="290">
        <f>E67*E54+F67*F54+G67*G54+H67*H54+I67*I54+J67*J54+K67*K54+L67*L54+M67*M54+N67*N54+O67*O54+P67*P54+Q67*Q54+R67*R54+S67*S54+T67*T54+U67*U54+V67*V54</f>
        <v>-3.3881317890172014E-21</v>
      </c>
      <c r="AC54" s="290">
        <f>E68*E54+F68*F54+G68*G54+H68*H54+I68*I54+J68*J54+K68*K54+L68*L54+M68*M54+N68*N54+O68*O54+P68*P54+Q68*Q54+R68*R54+S68*S54+T68*T54+U68*U54+V68*V54</f>
        <v>0</v>
      </c>
    </row>
    <row r="55" spans="2:29" ht="15.75" x14ac:dyDescent="0.25">
      <c r="B55" s="83" t="s">
        <v>318</v>
      </c>
      <c r="C55" s="84" t="s">
        <v>319</v>
      </c>
      <c r="D55" s="84" t="s">
        <v>320</v>
      </c>
      <c r="E55" s="392">
        <f>-1+1/Y_PHA_O</f>
        <v>-0.28057553956834524</v>
      </c>
      <c r="F55" s="392">
        <f>0</f>
        <v>0</v>
      </c>
      <c r="G55" s="392">
        <f>0</f>
        <v>0</v>
      </c>
      <c r="H55" s="392">
        <f>-i_N_BM/Y_PHA_O</f>
        <v>-5.0359712230215833E-2</v>
      </c>
      <c r="I55" s="392">
        <f>0</f>
        <v>0</v>
      </c>
      <c r="J55" s="392">
        <f>0</f>
        <v>0</v>
      </c>
      <c r="K55" s="392">
        <f>-i_P_BM/Y_PHA_O</f>
        <v>-1.4388489208633094E-2</v>
      </c>
      <c r="L55" s="392">
        <f>0</f>
        <v>0</v>
      </c>
      <c r="M55" s="396">
        <f>v_17_SNH*i_Charge_SNHx+v_17_SPO*i_Charge_SPO4</f>
        <v>-2.9009050823857037E-6</v>
      </c>
      <c r="N55" s="392">
        <f>0</f>
        <v>0</v>
      </c>
      <c r="O55" s="392">
        <f>0</f>
        <v>0</v>
      </c>
      <c r="P55" s="392">
        <f>0</f>
        <v>0</v>
      </c>
      <c r="Q55" s="392">
        <f>1/Y_PHA_O</f>
        <v>0.71942446043165476</v>
      </c>
      <c r="R55" s="392">
        <f>0</f>
        <v>0</v>
      </c>
      <c r="S55" s="392">
        <f>-1</f>
        <v>-1</v>
      </c>
      <c r="T55" s="392">
        <f>0</f>
        <v>0</v>
      </c>
      <c r="U55" s="392">
        <f>0</f>
        <v>0</v>
      </c>
      <c r="V55" s="396">
        <f>i_TSS_BM/Y_PHA_O-i_TSS_PHA</f>
        <v>4.7482014388489313E-2</v>
      </c>
      <c r="W55" s="403">
        <f>q_PHA*M_satSO_KO_PAO*M_satSNH_KN_PAO*M_satSPO_KP_PAO*M_satSHCO_KHCO_PAO*M_RsatXPHA_XPAO_KfPHA*X_PAO</f>
        <v>1112.3826864498922</v>
      </c>
      <c r="Y55" s="290">
        <f>E64*E55+F64*F55+G64*G55+H64*H55+I64*I55+J64*J55+K64*K55+L64*L55+M64*M55+N64*N55+O64*O55+P64*P55+Q64*Q55+R64*R55+S64*S55+T64*T55+U64*U55+V64*V55</f>
        <v>0</v>
      </c>
      <c r="Z55" s="290">
        <f>E65*E55+F65*F55+G65*G55+H65*H55+I65*I55+J65*J55+K65*K55+L65*L55+M65*M55+N65*N55+O65*O55+P65*P55+Q65*Q55+R65*R55+S65*S55+T65*T55+U65*U55+V65*V55</f>
        <v>6.9388939039072284E-18</v>
      </c>
      <c r="AA55" s="290">
        <f>E66*E55+F66*F55+G66*G55+H66*H55+I66*I55+J66*J55+K66*K55+L66*L55+M66*M55+N66*N55+O66*O55+P66*P55+Q66*Q55+R66*R55+S66*S55+T66*T55+U66*U55+V66*V55</f>
        <v>1.7347234759768071E-18</v>
      </c>
      <c r="AB55" s="290">
        <f>E67*E55+F67*F55+G67*G55+H67*H55+I67*I55+J67*J55+K67*K55+L67*L55+M67*M55+N67*N55+O67*O55+P67*P55+Q67*Q55+R67*R55+S67*S55+T67*T55+U67*U55+V67*V55</f>
        <v>0</v>
      </c>
      <c r="AC55" s="290">
        <f>E68*E55+F68*F55+G68*G55+H68*H55+I68*I55+J68*J55+K68*K55+L68*L55+M68*M55+N68*N55+O68*O55+P68*P55+Q68*Q55+R68*R55+S68*S55+T68*T55+U68*U55+V68*V55</f>
        <v>0</v>
      </c>
    </row>
    <row r="56" spans="2:29" ht="15.75" x14ac:dyDescent="0.25">
      <c r="B56" s="83" t="s">
        <v>326</v>
      </c>
      <c r="C56" s="84" t="s">
        <v>327</v>
      </c>
      <c r="D56" s="84" t="s">
        <v>328</v>
      </c>
      <c r="E56" s="392">
        <f>-1/Y_PP_O</f>
        <v>-0.22624434389140272</v>
      </c>
      <c r="F56" s="392">
        <f>0</f>
        <v>0</v>
      </c>
      <c r="G56" s="392">
        <f>0</f>
        <v>0</v>
      </c>
      <c r="H56" s="396">
        <f>i_N_BM/Y_PP_O</f>
        <v>1.5837104072398193E-2</v>
      </c>
      <c r="I56" s="392">
        <f>0</f>
        <v>0</v>
      </c>
      <c r="J56" s="392">
        <f>0</f>
        <v>0</v>
      </c>
      <c r="K56" s="396">
        <f>i_P_BM/Y_PP_O-1</f>
        <v>-0.99547511312217196</v>
      </c>
      <c r="L56" s="392">
        <f>0</f>
        <v>0</v>
      </c>
      <c r="M56" s="396">
        <f>v_18_SNH*i_Charge_SNHx+v_18_SPO*i_Charge_SPO4+i_Charge_XPAO_PP</f>
        <v>1.7041307838271775E-5</v>
      </c>
      <c r="N56" s="392">
        <f>0</f>
        <v>0</v>
      </c>
      <c r="O56" s="392">
        <f>0</f>
        <v>0</v>
      </c>
      <c r="P56" s="392">
        <f>0</f>
        <v>0</v>
      </c>
      <c r="Q56" s="392">
        <f>-1/Y_PP_O</f>
        <v>-0.22624434389140272</v>
      </c>
      <c r="R56" s="392">
        <f>1</f>
        <v>1</v>
      </c>
      <c r="S56" s="392">
        <f>0</f>
        <v>0</v>
      </c>
      <c r="T56" s="392">
        <f>0</f>
        <v>0</v>
      </c>
      <c r="U56" s="392">
        <f>0</f>
        <v>0</v>
      </c>
      <c r="V56" s="392">
        <f>-i_TSS_BM/Y_PP_O+i_TSS_PP</f>
        <v>3.0263800904977374</v>
      </c>
      <c r="W56" s="403">
        <f>q_PP*(X_PAO/X_PP)*M_satSO_gPP_KO_PAO*M_satSPO_KP_PAO*M_satXPHA_KPHA*M_RsatXPP_XPAO_KfPP*X_PAO</f>
        <v>44.573374056008291</v>
      </c>
      <c r="Y56" s="290">
        <f>E64*E56+F64*F56+G64*G56+H64*H56+I64*I56+J64*J56+K64*K56+L64*L56+M64*M56+N64*N56+O64*O56+P64*P56+Q64*Q56+R64*R56+S64*S56+T64*T56+U64*U56+V64*V56</f>
        <v>0</v>
      </c>
      <c r="Z56" s="290">
        <f>E65*E56+F65*F56+G65*G56+H65*H56+I65*I56+J65*J56+K65*K56+L65*L56+M65*M56+N65*N56+O65*O56+P65*P56+Q65*Q56+R65*R56+S65*S56+T65*T56+U65*U56+V65*V56</f>
        <v>0</v>
      </c>
      <c r="AA56" s="290">
        <f>E66*E56+F66*F56+G66*G56+H66*H56+I66*I56+J66*J56+K66*K56+L66*L56+M66*M56+N66*N56+O66*O56+P66*P56+Q66*Q56+R66*R56+S66*S56+T66*T56+U66*U56+V66*V56</f>
        <v>0</v>
      </c>
      <c r="AB56" s="290">
        <f>E67*E56+F67*F56+G67*G56+H67*H56+I67*I56+J67*J56+K67*K56+L67*L56+M67*M56+N67*N56+O67*O56+P67*P56+Q67*Q56+R67*R56+S67*S56+T67*T56+U67*U56+V67*V56</f>
        <v>0</v>
      </c>
      <c r="AC56" s="290">
        <f>E68*E56+F68*F56+G68*G56+H68*H56+I68*I56+J68*J56+K68*K56+L68*L56+M68*M56+N68*N56+O68*O56+P68*P56+Q68*Q56+R68*R56+S68*S56+T68*T56+U68*U56+V68*V56</f>
        <v>0</v>
      </c>
    </row>
    <row r="57" spans="2:29" ht="15.75" x14ac:dyDescent="0.25">
      <c r="B57" s="83" t="s">
        <v>333</v>
      </c>
      <c r="C57" s="84" t="s">
        <v>334</v>
      </c>
      <c r="D57" s="84" t="s">
        <v>335</v>
      </c>
      <c r="E57" s="392">
        <f>-(1-Y_GLY_O)/Y_GLY_O</f>
        <v>9.9099099099099183E-2</v>
      </c>
      <c r="F57" s="392">
        <f>0</f>
        <v>0</v>
      </c>
      <c r="G57" s="392">
        <f>0</f>
        <v>0</v>
      </c>
      <c r="H57" s="396">
        <f>i_N_BM/Y_GLY_O</f>
        <v>6.3063063063063057E-2</v>
      </c>
      <c r="I57" s="392">
        <f>0</f>
        <v>0</v>
      </c>
      <c r="J57" s="392">
        <f>0</f>
        <v>0</v>
      </c>
      <c r="K57" s="396">
        <f>i_P_BM/Y_GLY_O</f>
        <v>1.8018018018018018E-2</v>
      </c>
      <c r="L57" s="392">
        <f>0</f>
        <v>0</v>
      </c>
      <c r="M57" s="396">
        <f>v_19_SNH*i_Charge_SNHx+v_19_SPO*i_Charge_SPO4</f>
        <v>3.6326649229875023E-6</v>
      </c>
      <c r="N57" s="392">
        <f>0</f>
        <v>0</v>
      </c>
      <c r="O57" s="392">
        <f>0</f>
        <v>0</v>
      </c>
      <c r="P57" s="392">
        <f>0</f>
        <v>0</v>
      </c>
      <c r="Q57" s="392">
        <f>-1/Y_GLY_O</f>
        <v>-0.9009009009009008</v>
      </c>
      <c r="R57" s="392">
        <f>0</f>
        <v>0</v>
      </c>
      <c r="S57" s="392">
        <f>0</f>
        <v>0</v>
      </c>
      <c r="T57" s="392">
        <f>1</f>
        <v>1</v>
      </c>
      <c r="U57" s="392">
        <f>0</f>
        <v>0</v>
      </c>
      <c r="V57" s="392">
        <f>-i_TSS_BM/Y_GLY_O+i_TSS_GLY</f>
        <v>2.9189189189189224E-2</v>
      </c>
      <c r="W57" s="403">
        <f>q_GLY*(X_PHA/X_GLY)*M_satSO_KO_PAO*M_satXPHA_KPHA*M_RsatXGLY_XPAO_KfGLY*X_PAO</f>
        <v>2479.0284750970932</v>
      </c>
      <c r="Y57" s="290">
        <f>E64*E57+F64*F57+G64*G57+H64*H57+I64*I57+J64*J57+K64*K57+L64*L57+M64*M57+N64*N57+O64*O57+P64*P57+Q64*Q57+R64*R57+S64*S57+T64*T57+U64*U57+V64*V57</f>
        <v>0</v>
      </c>
      <c r="Z57" s="290">
        <f>E65*E57+F65*F57+G65*G57+H65*H57+I65*I57+J65*J57+K65*K57+L65*L57+M65*M57+N65*N57+O65*O57+P65*P57+Q65*Q57+R65*R57+S65*S57+T65*T57+U65*U57+V65*V57</f>
        <v>0</v>
      </c>
      <c r="AA57" s="290">
        <f>E66*E57+F66*F57+G66*G57+H66*H57+I66*I57+J66*J57+K66*K57+L66*L57+M66*M57+N66*N57+O66*O57+P66*P57+Q66*Q57+R66*R57+S66*S57+T66*T57+U66*U57+V66*V57</f>
        <v>0</v>
      </c>
      <c r="AB57" s="290">
        <f>E67*E57+F67*F57+G67*G57+H67*H57+I67*I57+J67*J57+K67*K57+L67*L57+M67*M57+N67*N57+O67*O57+P67*P57+Q67*Q57+R67*R57+S67*S57+T67*T57+U67*U57+V67*V57</f>
        <v>0</v>
      </c>
      <c r="AC57" s="290">
        <f>E68*E57+F68*F57+G68*G57+H68*H57+I68*I57+J68*J57+K68*K57+L68*L57+M68*M57+N68*N57+O68*O57+P68*P57+Q68*Q57+R68*R57+S68*S57+T68*T57+U68*U57+V68*V57</f>
        <v>0</v>
      </c>
    </row>
    <row r="58" spans="2:29" ht="15.75" x14ac:dyDescent="0.25">
      <c r="B58" s="83" t="s">
        <v>341</v>
      </c>
      <c r="C58" s="84" t="s">
        <v>342</v>
      </c>
      <c r="D58" s="84" t="s">
        <v>343</v>
      </c>
      <c r="E58" s="392">
        <f>-1</f>
        <v>-1</v>
      </c>
      <c r="F58" s="392">
        <f>0</f>
        <v>0</v>
      </c>
      <c r="G58" s="392">
        <f>0</f>
        <v>0</v>
      </c>
      <c r="H58" s="396">
        <f>i_N_BM</f>
        <v>7.0000000000000007E-2</v>
      </c>
      <c r="I58" s="392">
        <f>0</f>
        <v>0</v>
      </c>
      <c r="J58" s="392">
        <f>0</f>
        <v>0</v>
      </c>
      <c r="K58" s="396">
        <f>i_P_BM</f>
        <v>0.02</v>
      </c>
      <c r="L58" s="392">
        <f>0</f>
        <v>0</v>
      </c>
      <c r="M58" s="396">
        <f>v_20_SNH*i_Charge_SNHx+v_20_SPO*i_Charge_SPO4</f>
        <v>4.0322580645161284E-6</v>
      </c>
      <c r="N58" s="392">
        <f>0</f>
        <v>0</v>
      </c>
      <c r="O58" s="392">
        <f>0</f>
        <v>0</v>
      </c>
      <c r="P58" s="392">
        <f>0</f>
        <v>0</v>
      </c>
      <c r="Q58" s="392">
        <f>-1</f>
        <v>-1</v>
      </c>
      <c r="R58" s="392">
        <f>0</f>
        <v>0</v>
      </c>
      <c r="S58" s="392">
        <f>0</f>
        <v>0</v>
      </c>
      <c r="T58" s="392">
        <f>0</f>
        <v>0</v>
      </c>
      <c r="U58" s="392">
        <f>0</f>
        <v>0</v>
      </c>
      <c r="V58" s="399">
        <f>-i_TSS_BM</f>
        <v>-0.9</v>
      </c>
      <c r="W58" s="403">
        <f>m_O*M_satSO_KO_PAO*X_PAO</f>
        <v>16.363636363636363</v>
      </c>
      <c r="Y58" s="290">
        <f>E64*E58+F64*F58+G64*G58+H64*H58+I64*I58+J64*J58+K64*K58+L64*L58+M64*M58+N64*N58+O64*O58+P64*P58+Q64*Q58+R64*R58+S64*S58+T64*T58+U64*U58+V64*V58</f>
        <v>0</v>
      </c>
      <c r="Z58" s="290">
        <f>E65*E58+F65*F58+G65*G58+H65*H58+I65*I58+J65*J58+K65*K58+L65*L58+M65*M58+N65*N58+O65*O58+P65*P58+Q65*Q58+R65*R58+S65*S58+T65*T58+U65*U58+V65*V58</f>
        <v>0</v>
      </c>
      <c r="AA58" s="290">
        <f>E66*E58+F66*F58+G66*G58+H66*H58+I66*I58+J66*J58+K66*K58+L66*L58+M66*M58+N66*N58+O66*O58+P66*P58+Q66*Q58+R66*R58+S66*S58+T66*T58+U66*U58+V66*V58</f>
        <v>0</v>
      </c>
      <c r="AB58" s="290">
        <f>E67*E58+F67*F58+G67*G58+H67*H58+I67*I58+J67*J58+K67*K58+L67*L58+M67*M58+N67*N58+O67*O58+P67*P58+Q67*Q58+R67*R58+S67*S58+T67*T58+U67*U58+V67*V58</f>
        <v>0</v>
      </c>
      <c r="AC58" s="290">
        <f>E68*E58+F68*F58+G68*G58+H68*H58+I68*I58+J68*J58+K68*K58+L68*L58+M68*M58+N68*N58+O68*O58+P68*P58+Q68*Q58+R68*R58+S68*S58+T68*T58+U68*U58+V68*V58</f>
        <v>0</v>
      </c>
    </row>
    <row r="59" spans="2:29" ht="18.75" x14ac:dyDescent="0.25">
      <c r="B59" s="83" t="s">
        <v>344</v>
      </c>
      <c r="C59" s="84" t="s">
        <v>345</v>
      </c>
      <c r="D59" s="84" t="s">
        <v>346</v>
      </c>
      <c r="E59" s="393">
        <f>-(-i_COD_NO3-Y_A)/Y_A</f>
        <v>-18.047619047619047</v>
      </c>
      <c r="F59" s="392">
        <f>0</f>
        <v>0</v>
      </c>
      <c r="G59" s="392">
        <f>0</f>
        <v>0</v>
      </c>
      <c r="H59" s="392">
        <f>-i_N_BM-1/Y_A</f>
        <v>-4.2366666666666672</v>
      </c>
      <c r="I59" s="392">
        <f>1/Y_A</f>
        <v>4.166666666666667</v>
      </c>
      <c r="J59" s="392">
        <f>0</f>
        <v>0</v>
      </c>
      <c r="K59" s="392">
        <f>-i_P_BM</f>
        <v>-0.02</v>
      </c>
      <c r="L59" s="392">
        <f>0</f>
        <v>0</v>
      </c>
      <c r="M59" s="396">
        <f>v_21_SNH*i_Charge_SNHx+v_21_SPO*i_Charge_SPO4+v_21_SNO*i_Charge_SNOx</f>
        <v>-5.9927035330261118E-4</v>
      </c>
      <c r="N59" s="392">
        <f>0</f>
        <v>0</v>
      </c>
      <c r="O59" s="392">
        <f>0</f>
        <v>0</v>
      </c>
      <c r="P59" s="392">
        <f>0</f>
        <v>0</v>
      </c>
      <c r="Q59" s="392">
        <f>0</f>
        <v>0</v>
      </c>
      <c r="R59" s="392">
        <f>0</f>
        <v>0</v>
      </c>
      <c r="S59" s="392">
        <f>0</f>
        <v>0</v>
      </c>
      <c r="T59" s="392">
        <f>0</f>
        <v>0</v>
      </c>
      <c r="U59" s="392">
        <f>1</f>
        <v>1</v>
      </c>
      <c r="V59" s="396">
        <f>i_TSS_BM</f>
        <v>0.9</v>
      </c>
      <c r="W59" s="403">
        <f>μ_A*M_satSO_KO_A*M_satSNH_KNH_A*M_satSPO_KP_A*M_satSHCO_KHCO_A*X_A</f>
        <v>26.900803287875963</v>
      </c>
      <c r="Y59" s="290">
        <f>E64*E59+F64*F59+G64*G59+H64*H59+I64*I59+J64*J59+K64*K59+L64*L59+M64*M59+N64*N59+O64*O59+P64*P59+Q64*Q59+R64*R59+S64*S59+T64*T59+U64*U59+V64*V59</f>
        <v>0</v>
      </c>
      <c r="Z59" s="290">
        <f>E65*E59+F65*F59+G65*G59+H65*H59+I65*I59+J65*J59+K65*K59+L65*L59+M65*M59+N65*N59+O65*O59+P65*P59+Q65*Q59+R65*R59+S65*S59+T65*T59+U65*U59+V65*V59</f>
        <v>-2.7755575615628914E-16</v>
      </c>
      <c r="AA59" s="290">
        <f>E66*E59+F66*F59+G66*G59+H66*H59+I66*I59+J66*J59+K66*K59+L66*L59+M66*M59+N66*N59+O66*O59+P66*P59+Q66*Q59+R66*R59+S66*S59+T66*T59+U66*U59+V66*V59</f>
        <v>0</v>
      </c>
      <c r="AB59" s="290">
        <f>E67*E59+F67*F59+G67*G59+H67*H59+I67*I59+J67*J59+K67*K59+L67*L59+M67*M59+N67*N59+O67*O59+P67*P59+Q67*Q59+R67*R59+S67*S59+T67*T59+U67*U59+V67*V59</f>
        <v>1.0842021724855044E-19</v>
      </c>
      <c r="AC59" s="290">
        <f>E68*E59+F68*F59+G68*G59+H68*H59+I68*I59+J68*J59+K68*K59+L68*L59+M68*M59+N68*N59+O68*O59+P68*P59+Q68*Q59+R68*R59+S68*S59+T68*T59+U68*U59+V68*V59</f>
        <v>0</v>
      </c>
    </row>
    <row r="60" spans="2:29" ht="16.5" thickBot="1" x14ac:dyDescent="0.3">
      <c r="B60" s="86" t="s">
        <v>350</v>
      </c>
      <c r="C60" s="87" t="s">
        <v>351</v>
      </c>
      <c r="D60" s="87" t="s">
        <v>284</v>
      </c>
      <c r="E60" s="394">
        <f>0</f>
        <v>0</v>
      </c>
      <c r="F60" s="394">
        <f>0</f>
        <v>0</v>
      </c>
      <c r="G60" s="394">
        <f>0</f>
        <v>0</v>
      </c>
      <c r="H60" s="397">
        <f>i_N_BM-i_N_XI*f_XI_A-i_N_XS*(1-f_XI_A)</f>
        <v>4.0000000000000008E-2</v>
      </c>
      <c r="I60" s="394">
        <f>0</f>
        <v>0</v>
      </c>
      <c r="J60" s="394">
        <f>0</f>
        <v>0</v>
      </c>
      <c r="K60" s="397">
        <f>i_P_BM-i_P_XI*f_XI_A-i_P_XS*(1-f_XI_A)</f>
        <v>9.9999999999999985E-3</v>
      </c>
      <c r="L60" s="394">
        <f>0</f>
        <v>0</v>
      </c>
      <c r="M60" s="397">
        <f>v_22_SNH*i_Charge_SNHx+v_22_SPO*i_Charge_SPO4</f>
        <v>2.3732718894009217E-6</v>
      </c>
      <c r="N60" s="397">
        <f>f_XI_A</f>
        <v>0.1</v>
      </c>
      <c r="O60" s="394">
        <f>1-f_XI_A</f>
        <v>0.9</v>
      </c>
      <c r="P60" s="394">
        <f>0</f>
        <v>0</v>
      </c>
      <c r="Q60" s="394">
        <f>0</f>
        <v>0</v>
      </c>
      <c r="R60" s="394">
        <f>0</f>
        <v>0</v>
      </c>
      <c r="S60" s="394">
        <f>0</f>
        <v>0</v>
      </c>
      <c r="T60" s="394">
        <f>0</f>
        <v>0</v>
      </c>
      <c r="U60" s="394">
        <f>-1</f>
        <v>-1</v>
      </c>
      <c r="V60" s="401">
        <f>i_TSS_XI*f_XI_A+i_TSS_XS*(1-f_XI_A)-i_TSS_BM</f>
        <v>-0.15000000000000002</v>
      </c>
      <c r="W60" s="404">
        <f>b_A*X_A</f>
        <v>7.5</v>
      </c>
      <c r="Y60" s="290">
        <f>E64*E60+F64*F60+G64*G60+H64*H60+I64*I60+J64*J60+K64*K60+L64*L60+M64*M60+N64*N60+O64*O60+P64*P60+Q64*Q60+R64*R60+S64*S60+T64*T60+U64*U60+V64*V60</f>
        <v>0</v>
      </c>
      <c r="Z60" s="290">
        <f>E65*E60+F65*F60+G65*G60+H65*H60+I65*I60+J65*J60+K65*K60+L65*L60+M65*M60+N65*N60+O65*O60+P65*P60+Q65*Q60+R65*R60+S65*S60+T65*T60+U65*U60+V65*V60</f>
        <v>0</v>
      </c>
      <c r="AA60" s="290">
        <f>E66*E60+F66*F60+G66*G60+H66*H60+I66*I60+J66*J60+K66*K60+L66*L60+M66*M60+N66*N60+O66*O60+P66*P60+Q66*Q60+R66*R60+S66*S60+T66*T60+U66*U60+V66*V60</f>
        <v>0</v>
      </c>
      <c r="AB60" s="290">
        <f>E67*E60+F67*F60+G67*G60+H67*H60+I67*I60+J67*J60+K67*K60+L67*L60+M67*M60+N67*N60+O67*O60+P67*P60+Q67*Q60+R67*R60+S67*S60+T67*T60+U67*U60+V67*V60</f>
        <v>0</v>
      </c>
      <c r="AC60" s="290">
        <f>E68*E60+F68*F60+G68*G60+H68*H60+I68*I60+J68*J60+K68*K60+L68*L60+M68*M60+N68*N60+O68*O60+P68*P60+Q68*Q60+R68*R60+S68*S60+T68*T60+U68*U60+V68*V60</f>
        <v>0</v>
      </c>
    </row>
    <row r="62" spans="2:29" ht="15.75" thickBot="1" x14ac:dyDescent="0.3"/>
    <row r="63" spans="2:29" ht="15.75" thickBot="1" x14ac:dyDescent="0.3">
      <c r="D63" s="52" t="s">
        <v>5</v>
      </c>
      <c r="E63" s="12"/>
    </row>
    <row r="64" spans="2:29" ht="15.75" x14ac:dyDescent="0.25">
      <c r="D64" s="286" t="s">
        <v>146</v>
      </c>
      <c r="E64" s="287" t="s">
        <v>355</v>
      </c>
      <c r="F64" s="287" t="s">
        <v>246</v>
      </c>
      <c r="G64" s="287" t="s">
        <v>246</v>
      </c>
      <c r="H64" s="287"/>
      <c r="I64" s="288">
        <f>i_COD_NO3</f>
        <v>-4.5714285714285712</v>
      </c>
      <c r="J64" s="288">
        <f>i_COD_N2</f>
        <v>-1.7142857142857142</v>
      </c>
      <c r="K64" s="287"/>
      <c r="L64" s="287">
        <v>1</v>
      </c>
      <c r="M64" s="287"/>
      <c r="N64" s="287">
        <v>1</v>
      </c>
      <c r="O64" s="287">
        <v>1</v>
      </c>
      <c r="P64" s="287">
        <v>1</v>
      </c>
      <c r="Q64" s="287">
        <v>1</v>
      </c>
      <c r="R64" s="287"/>
      <c r="S64" s="287">
        <v>1</v>
      </c>
      <c r="T64" s="287">
        <v>1</v>
      </c>
      <c r="U64" s="287">
        <v>1</v>
      </c>
      <c r="V64" s="287"/>
    </row>
    <row r="65" spans="4:22" ht="15.75" x14ac:dyDescent="0.25">
      <c r="D65" s="90" t="s">
        <v>360</v>
      </c>
      <c r="E65" s="91"/>
      <c r="F65" s="92">
        <f>i_N_SF</f>
        <v>0.03</v>
      </c>
      <c r="G65" s="91"/>
      <c r="H65" s="91">
        <v>1</v>
      </c>
      <c r="I65" s="91">
        <v>1</v>
      </c>
      <c r="J65" s="91">
        <v>1</v>
      </c>
      <c r="K65" s="91"/>
      <c r="L65" s="92">
        <f>i_N_SI</f>
        <v>0.01</v>
      </c>
      <c r="M65" s="91"/>
      <c r="N65" s="92">
        <f>i_N_XI</f>
        <v>0.03</v>
      </c>
      <c r="O65" s="92">
        <f>i_N_XS</f>
        <v>0.03</v>
      </c>
      <c r="P65" s="92">
        <f>i_N_BM</f>
        <v>7.0000000000000007E-2</v>
      </c>
      <c r="Q65" s="92">
        <f>i_N_BM</f>
        <v>7.0000000000000007E-2</v>
      </c>
      <c r="R65" s="91"/>
      <c r="S65" s="91"/>
      <c r="T65" s="91"/>
      <c r="U65" s="92">
        <f>i_N_BM</f>
        <v>7.0000000000000007E-2</v>
      </c>
      <c r="V65" s="91"/>
    </row>
    <row r="66" spans="4:22" ht="15.75" x14ac:dyDescent="0.25">
      <c r="D66" s="90" t="s">
        <v>366</v>
      </c>
      <c r="E66" s="91"/>
      <c r="F66" s="92">
        <f>i_P_SF</f>
        <v>0.01</v>
      </c>
      <c r="G66" s="91"/>
      <c r="H66" s="91"/>
      <c r="I66" s="91"/>
      <c r="J66" s="91"/>
      <c r="K66" s="91">
        <v>1</v>
      </c>
      <c r="L66" s="92">
        <f>i_P_SI</f>
        <v>0</v>
      </c>
      <c r="M66" s="91"/>
      <c r="N66" s="92">
        <f>i_P_XI</f>
        <v>0.01</v>
      </c>
      <c r="O66" s="92">
        <f>i_P_XS</f>
        <v>0.01</v>
      </c>
      <c r="P66" s="92">
        <f>i_P_BM</f>
        <v>0.02</v>
      </c>
      <c r="Q66" s="92">
        <f>i_P_BM</f>
        <v>0.02</v>
      </c>
      <c r="R66" s="91">
        <v>1</v>
      </c>
      <c r="S66" s="91"/>
      <c r="T66" s="91"/>
      <c r="U66" s="92">
        <f>i_P_BM</f>
        <v>0.02</v>
      </c>
      <c r="V66" s="91"/>
    </row>
    <row r="67" spans="4:22" ht="15.75" x14ac:dyDescent="0.25">
      <c r="D67" s="90" t="s">
        <v>8</v>
      </c>
      <c r="E67" s="91"/>
      <c r="F67" s="91"/>
      <c r="G67" s="92">
        <f>i_Charge_SVFA</f>
        <v>-1.5625E-5</v>
      </c>
      <c r="H67" s="92">
        <f>i_Charge_SNHx</f>
        <v>7.1428571428571393E-5</v>
      </c>
      <c r="I67" s="92">
        <f>i_Charge_SNOx</f>
        <v>-7.1428571428571393E-5</v>
      </c>
      <c r="J67" s="91"/>
      <c r="K67" s="92">
        <f>i_Charge_SPO4</f>
        <v>-4.83870967741935E-5</v>
      </c>
      <c r="L67" s="91"/>
      <c r="M67" s="91">
        <v>-1</v>
      </c>
      <c r="N67" s="91"/>
      <c r="O67" s="91"/>
      <c r="P67" s="91"/>
      <c r="Q67" s="91"/>
      <c r="R67" s="92">
        <f>i_Charge_XPAO_PP</f>
        <v>-3.2258064516129E-5</v>
      </c>
      <c r="S67" s="91"/>
      <c r="T67" s="91"/>
      <c r="U67" s="91"/>
      <c r="V67" s="91"/>
    </row>
    <row r="68" spans="4:22" ht="16.5" thickBot="1" x14ac:dyDescent="0.3">
      <c r="D68" s="93" t="s">
        <v>374</v>
      </c>
      <c r="E68" s="94"/>
      <c r="F68" s="94"/>
      <c r="G68" s="94"/>
      <c r="H68" s="94"/>
      <c r="I68" s="94"/>
      <c r="J68" s="94"/>
      <c r="K68" s="94"/>
      <c r="L68" s="94"/>
      <c r="M68" s="94"/>
      <c r="N68" s="95">
        <f>i_TSS_XI</f>
        <v>0.75</v>
      </c>
      <c r="O68" s="95">
        <f>i_TSS_XS</f>
        <v>0.75</v>
      </c>
      <c r="P68" s="95">
        <f>i_TSS_BM</f>
        <v>0.9</v>
      </c>
      <c r="Q68" s="95">
        <f>i_TSS_BM</f>
        <v>0.9</v>
      </c>
      <c r="R68" s="95">
        <f>i_TSS_PP</f>
        <v>3.23</v>
      </c>
      <c r="S68" s="95">
        <f>i_TSS_PHA</f>
        <v>0.6</v>
      </c>
      <c r="T68" s="95">
        <f>i_TSS_GLY</f>
        <v>0.84</v>
      </c>
      <c r="U68" s="95">
        <f>i_TSS_BM</f>
        <v>0.9</v>
      </c>
      <c r="V68" s="94">
        <v>-1</v>
      </c>
    </row>
  </sheetData>
  <phoneticPr fontId="11" type="noConversion"/>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4"/>
  <dimension ref="A1"/>
  <sheetViews>
    <sheetView showGridLines="0" zoomScale="80" zoomScaleNormal="80" workbookViewId="0">
      <selection activeCell="A19" sqref="A19:A20"/>
    </sheetView>
  </sheetViews>
  <sheetFormatPr defaultColWidth="9.140625" defaultRowHeight="15" x14ac:dyDescent="0.25"/>
  <cols>
    <col min="1" max="1" width="17.7109375" customWidth="1"/>
    <col min="2" max="2" width="3" customWidth="1"/>
    <col min="3" max="3" width="8" bestFit="1" customWidth="1"/>
    <col min="4" max="4" width="31.7109375" bestFit="1" customWidth="1"/>
    <col min="5" max="5" width="14.7109375" customWidth="1"/>
    <col min="6" max="6" width="10.85546875" bestFit="1" customWidth="1"/>
    <col min="7" max="7" width="29.140625" bestFit="1" customWidth="1"/>
  </cols>
  <sheetData>
    <row r="1" spans="1:1" s="46" customFormat="1" ht="48" customHeight="1" x14ac:dyDescent="0.25">
      <c r="A1" s="48"/>
    </row>
  </sheetData>
  <phoneticPr fontId="1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3"/>
  <dimension ref="B1:I13"/>
  <sheetViews>
    <sheetView showGridLines="0" workbookViewId="0">
      <selection activeCell="L12" sqref="L12"/>
    </sheetView>
  </sheetViews>
  <sheetFormatPr defaultColWidth="9.140625" defaultRowHeight="15" x14ac:dyDescent="0.25"/>
  <cols>
    <col min="1" max="1" width="4" style="20" customWidth="1"/>
    <col min="2" max="2" width="22" style="19" customWidth="1"/>
    <col min="3" max="3" width="9.7109375" style="20" customWidth="1"/>
    <col min="4" max="16384" width="9.140625" style="20"/>
  </cols>
  <sheetData>
    <row r="1" spans="2:9" ht="56.25" customHeight="1" thickBot="1" x14ac:dyDescent="0.3"/>
    <row r="2" spans="2:9" s="19" customFormat="1" ht="15.75" thickBot="1" x14ac:dyDescent="0.3">
      <c r="B2" s="21" t="s">
        <v>132</v>
      </c>
      <c r="C2" s="22" t="s">
        <v>133</v>
      </c>
      <c r="D2" s="22" t="s">
        <v>134</v>
      </c>
      <c r="E2" s="22" t="s">
        <v>135</v>
      </c>
      <c r="F2" s="22" t="s">
        <v>136</v>
      </c>
      <c r="G2" s="22" t="s">
        <v>137</v>
      </c>
      <c r="H2" s="22" t="s">
        <v>138</v>
      </c>
      <c r="I2" s="23" t="s">
        <v>139</v>
      </c>
    </row>
    <row r="3" spans="2:9" ht="15.75" thickBot="1" x14ac:dyDescent="0.3">
      <c r="B3" s="24" t="s">
        <v>8</v>
      </c>
      <c r="C3" s="25">
        <v>1</v>
      </c>
      <c r="D3" s="25">
        <v>0</v>
      </c>
      <c r="E3" s="25">
        <v>-1</v>
      </c>
      <c r="F3" s="25">
        <v>-1</v>
      </c>
      <c r="G3" s="25">
        <v>1</v>
      </c>
      <c r="H3" s="26">
        <v>-1</v>
      </c>
      <c r="I3" s="27"/>
    </row>
    <row r="4" spans="2:9" x14ac:dyDescent="0.25">
      <c r="B4" s="28" t="s">
        <v>133</v>
      </c>
      <c r="C4" s="29">
        <v>1</v>
      </c>
      <c r="D4" s="29"/>
      <c r="E4" s="29"/>
      <c r="F4" s="29"/>
      <c r="G4" s="29"/>
      <c r="H4" s="30"/>
      <c r="I4" s="27"/>
    </row>
    <row r="5" spans="2:9" x14ac:dyDescent="0.25">
      <c r="B5" s="28" t="s">
        <v>134</v>
      </c>
      <c r="C5" s="29"/>
      <c r="D5" s="29">
        <v>1</v>
      </c>
      <c r="E5" s="29"/>
      <c r="F5" s="29"/>
      <c r="G5" s="29"/>
      <c r="H5" s="30"/>
      <c r="I5" s="27"/>
    </row>
    <row r="6" spans="2:9" x14ac:dyDescent="0.25">
      <c r="B6" s="28" t="s">
        <v>140</v>
      </c>
      <c r="C6" s="29"/>
      <c r="D6" s="29"/>
      <c r="E6" s="29">
        <v>1</v>
      </c>
      <c r="F6" s="29"/>
      <c r="G6" s="29"/>
      <c r="H6" s="30"/>
      <c r="I6" s="27"/>
    </row>
    <row r="7" spans="2:9" x14ac:dyDescent="0.25">
      <c r="B7" s="28" t="s">
        <v>141</v>
      </c>
      <c r="C7" s="29"/>
      <c r="D7" s="29"/>
      <c r="E7" s="29"/>
      <c r="F7" s="29">
        <v>1</v>
      </c>
      <c r="G7" s="29"/>
      <c r="H7" s="30"/>
      <c r="I7" s="27"/>
    </row>
    <row r="8" spans="2:9" x14ac:dyDescent="0.25">
      <c r="B8" s="28" t="s">
        <v>137</v>
      </c>
      <c r="C8" s="29"/>
      <c r="D8" s="29"/>
      <c r="E8" s="29"/>
      <c r="F8" s="29"/>
      <c r="G8" s="29">
        <v>1</v>
      </c>
      <c r="H8" s="30"/>
      <c r="I8" s="27"/>
    </row>
    <row r="9" spans="2:9" ht="15.75" thickBot="1" x14ac:dyDescent="0.3">
      <c r="B9" s="31" t="s">
        <v>138</v>
      </c>
      <c r="C9" s="32"/>
      <c r="D9" s="32"/>
      <c r="E9" s="32"/>
      <c r="F9" s="32"/>
      <c r="G9" s="32"/>
      <c r="H9" s="33">
        <v>1</v>
      </c>
    </row>
    <row r="10" spans="2:9" x14ac:dyDescent="0.25">
      <c r="B10" s="28" t="s">
        <v>142</v>
      </c>
      <c r="C10" s="29">
        <v>-1</v>
      </c>
      <c r="D10" s="29">
        <v>0</v>
      </c>
      <c r="E10" s="29">
        <v>0</v>
      </c>
      <c r="F10" s="29">
        <v>0</v>
      </c>
      <c r="G10" s="29">
        <v>0</v>
      </c>
      <c r="H10" s="29">
        <v>0</v>
      </c>
      <c r="I10" s="34">
        <v>-14.163232949999999</v>
      </c>
    </row>
    <row r="11" spans="2:9" ht="15.75" thickBot="1" x14ac:dyDescent="0.3">
      <c r="B11" s="28" t="s">
        <v>143</v>
      </c>
      <c r="C11" s="29">
        <v>1</v>
      </c>
      <c r="D11" s="29">
        <v>1</v>
      </c>
      <c r="E11" s="29">
        <v>0</v>
      </c>
      <c r="F11" s="29">
        <v>0</v>
      </c>
      <c r="G11" s="29">
        <v>0</v>
      </c>
      <c r="H11" s="29">
        <v>0</v>
      </c>
      <c r="I11" s="35">
        <v>9.4016472899999997</v>
      </c>
    </row>
    <row r="12" spans="2:9" x14ac:dyDescent="0.25">
      <c r="B12" s="36" t="s">
        <v>144</v>
      </c>
      <c r="C12" s="39"/>
      <c r="D12" s="39">
        <v>1E-3</v>
      </c>
      <c r="E12" s="39">
        <v>1E-3</v>
      </c>
      <c r="F12" s="39">
        <v>1E-3</v>
      </c>
      <c r="G12" s="39">
        <v>1E-3</v>
      </c>
      <c r="H12" s="37">
        <v>1E-3</v>
      </c>
      <c r="I12" s="27"/>
    </row>
    <row r="13" spans="2:9" ht="15.75" thickBot="1" x14ac:dyDescent="0.3">
      <c r="B13" s="31" t="s">
        <v>145</v>
      </c>
      <c r="C13" s="38">
        <v>9.9999999999999995E-8</v>
      </c>
      <c r="D13" s="38">
        <v>1E-4</v>
      </c>
      <c r="E13" s="32">
        <v>1E-3</v>
      </c>
      <c r="F13" s="32">
        <v>1E-3</v>
      </c>
      <c r="G13" s="32">
        <v>1E-3</v>
      </c>
      <c r="H13" s="33">
        <v>1E-3</v>
      </c>
      <c r="I13" s="27"/>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7"/>
  <dimension ref="A1:S21"/>
  <sheetViews>
    <sheetView showGridLines="0" zoomScaleNormal="100" workbookViewId="0">
      <selection activeCell="B21" sqref="B21:E21"/>
    </sheetView>
  </sheetViews>
  <sheetFormatPr defaultColWidth="9.140625" defaultRowHeight="15" x14ac:dyDescent="0.25"/>
  <cols>
    <col min="1" max="1" width="14.28515625" style="3" customWidth="1"/>
    <col min="2" max="2" width="11.140625" style="3" customWidth="1"/>
    <col min="3" max="3" width="71.7109375" style="3" bestFit="1" customWidth="1"/>
    <col min="4" max="4" width="10.5703125" style="3" bestFit="1" customWidth="1"/>
    <col min="5" max="5" width="16.42578125" style="3" customWidth="1"/>
    <col min="6" max="6" width="18.5703125" style="3" customWidth="1"/>
    <col min="7" max="7" width="13.28515625" style="3" customWidth="1"/>
    <col min="8" max="9" width="11.42578125" style="3" customWidth="1"/>
    <col min="10" max="11" width="19.140625" style="3" customWidth="1"/>
    <col min="12" max="12" width="16.28515625" style="3" bestFit="1" customWidth="1"/>
    <col min="13" max="13" width="10.85546875" style="3" customWidth="1"/>
    <col min="14" max="14" width="13.5703125" style="3" customWidth="1"/>
    <col min="15" max="15" width="11.85546875" style="3" bestFit="1" customWidth="1"/>
    <col min="16" max="16" width="10.28515625" style="3" bestFit="1" customWidth="1"/>
    <col min="17" max="17" width="10.28515625" style="3" customWidth="1"/>
    <col min="18" max="18" width="20.5703125" style="3" customWidth="1"/>
    <col min="19" max="19" width="18.28515625" style="3" customWidth="1"/>
    <col min="20" max="16384" width="9.140625" style="3"/>
  </cols>
  <sheetData>
    <row r="1" spans="1:19" s="315" customFormat="1" ht="48" customHeight="1" thickBot="1" x14ac:dyDescent="0.3">
      <c r="A1" s="291"/>
      <c r="B1" s="292"/>
    </row>
    <row r="2" spans="1:19" ht="19.5" customHeight="1" thickBot="1" x14ac:dyDescent="0.3">
      <c r="C2" s="293" t="s">
        <v>1013</v>
      </c>
    </row>
    <row r="3" spans="1:19" ht="15.75" thickBot="1" x14ac:dyDescent="0.3">
      <c r="A3" s="294"/>
      <c r="B3" s="295" t="s">
        <v>0</v>
      </c>
      <c r="C3" s="296" t="s">
        <v>1</v>
      </c>
      <c r="D3" s="296" t="s">
        <v>11</v>
      </c>
      <c r="E3" s="297" t="s">
        <v>1327</v>
      </c>
      <c r="F3" s="297" t="s">
        <v>12</v>
      </c>
      <c r="G3" s="297" t="s">
        <v>1289</v>
      </c>
      <c r="H3" s="297" t="s">
        <v>1320</v>
      </c>
      <c r="I3" s="297" t="s">
        <v>1351</v>
      </c>
      <c r="J3" s="298" t="s">
        <v>550</v>
      </c>
      <c r="K3" s="298" t="s">
        <v>551</v>
      </c>
      <c r="L3" s="296" t="s">
        <v>2</v>
      </c>
      <c r="M3" s="296" t="s">
        <v>492</v>
      </c>
      <c r="N3" s="296" t="s">
        <v>13</v>
      </c>
      <c r="O3" s="296" t="s">
        <v>990</v>
      </c>
      <c r="P3" s="296" t="s">
        <v>3</v>
      </c>
      <c r="Q3" s="359" t="s">
        <v>1942</v>
      </c>
      <c r="R3" s="299" t="s">
        <v>114</v>
      </c>
      <c r="S3" s="300" t="s">
        <v>6</v>
      </c>
    </row>
    <row r="4" spans="1:19" ht="18" x14ac:dyDescent="0.25">
      <c r="B4" s="301" t="s">
        <v>1428</v>
      </c>
      <c r="C4" s="105" t="s">
        <v>381</v>
      </c>
      <c r="D4" s="105" t="s">
        <v>1318</v>
      </c>
      <c r="E4" s="105">
        <v>2</v>
      </c>
      <c r="F4" s="105">
        <v>2</v>
      </c>
      <c r="G4" s="105">
        <v>2</v>
      </c>
      <c r="H4" s="105">
        <v>2</v>
      </c>
      <c r="I4" s="105" t="s">
        <v>1318</v>
      </c>
      <c r="J4" s="302" t="s">
        <v>1349</v>
      </c>
      <c r="K4" s="302" t="s">
        <v>1350</v>
      </c>
      <c r="L4" s="303" t="s">
        <v>991</v>
      </c>
      <c r="M4" s="303">
        <v>1</v>
      </c>
      <c r="N4" s="304" t="s">
        <v>382</v>
      </c>
      <c r="O4" s="304" t="s">
        <v>383</v>
      </c>
      <c r="P4" s="304" t="s">
        <v>385</v>
      </c>
      <c r="Q4" s="305" t="s">
        <v>1943</v>
      </c>
      <c r="R4" s="305"/>
      <c r="S4" s="306"/>
    </row>
    <row r="5" spans="1:19" ht="18" x14ac:dyDescent="0.25">
      <c r="B5" s="307" t="s">
        <v>992</v>
      </c>
      <c r="C5" s="128" t="s">
        <v>384</v>
      </c>
      <c r="D5" s="128">
        <v>75</v>
      </c>
      <c r="E5" s="128">
        <v>5</v>
      </c>
      <c r="F5" s="128">
        <v>5</v>
      </c>
      <c r="G5" s="128">
        <v>5</v>
      </c>
      <c r="H5" s="128">
        <v>5</v>
      </c>
      <c r="I5" s="105" t="s">
        <v>1318</v>
      </c>
      <c r="J5" s="96" t="s">
        <v>1349</v>
      </c>
      <c r="K5" s="96" t="s">
        <v>1350</v>
      </c>
      <c r="L5" s="128" t="s">
        <v>993</v>
      </c>
      <c r="M5" s="128">
        <v>1</v>
      </c>
      <c r="N5" s="176" t="s">
        <v>382</v>
      </c>
      <c r="O5" s="176" t="s">
        <v>383</v>
      </c>
      <c r="P5" s="176" t="s">
        <v>385</v>
      </c>
      <c r="Q5" s="308" t="s">
        <v>146</v>
      </c>
      <c r="R5" s="308"/>
      <c r="S5" s="309"/>
    </row>
    <row r="6" spans="1:19" ht="18" x14ac:dyDescent="0.25">
      <c r="B6" s="307" t="s">
        <v>994</v>
      </c>
      <c r="C6" s="128" t="s">
        <v>386</v>
      </c>
      <c r="D6" s="128">
        <v>45</v>
      </c>
      <c r="E6" s="128">
        <v>1</v>
      </c>
      <c r="F6" s="128">
        <v>1</v>
      </c>
      <c r="G6" s="128">
        <v>1</v>
      </c>
      <c r="H6" s="128">
        <v>1</v>
      </c>
      <c r="I6" s="105" t="s">
        <v>1318</v>
      </c>
      <c r="J6" s="96" t="s">
        <v>1349</v>
      </c>
      <c r="K6" s="96" t="s">
        <v>1350</v>
      </c>
      <c r="L6" s="128" t="s">
        <v>993</v>
      </c>
      <c r="M6" s="128">
        <v>1</v>
      </c>
      <c r="N6" s="176" t="s">
        <v>382</v>
      </c>
      <c r="O6" s="176" t="s">
        <v>383</v>
      </c>
      <c r="P6" s="176" t="s">
        <v>385</v>
      </c>
      <c r="Q6" s="308" t="s">
        <v>146</v>
      </c>
      <c r="R6" s="308"/>
      <c r="S6" s="309"/>
    </row>
    <row r="7" spans="1:19" ht="18" x14ac:dyDescent="0.25">
      <c r="B7" s="307" t="s">
        <v>995</v>
      </c>
      <c r="C7" s="128" t="s">
        <v>996</v>
      </c>
      <c r="D7" s="128">
        <v>23</v>
      </c>
      <c r="E7" s="128">
        <v>3</v>
      </c>
      <c r="F7" s="128">
        <v>3</v>
      </c>
      <c r="G7" s="128">
        <v>3</v>
      </c>
      <c r="H7" s="128">
        <v>3</v>
      </c>
      <c r="I7" s="105" t="s">
        <v>1318</v>
      </c>
      <c r="J7" s="96" t="s">
        <v>1349</v>
      </c>
      <c r="K7" s="96" t="s">
        <v>1350</v>
      </c>
      <c r="L7" s="128" t="s">
        <v>415</v>
      </c>
      <c r="M7" s="128">
        <v>2</v>
      </c>
      <c r="N7" s="176" t="s">
        <v>382</v>
      </c>
      <c r="O7" s="176" t="s">
        <v>383</v>
      </c>
      <c r="P7" s="176" t="s">
        <v>385</v>
      </c>
      <c r="Q7" s="308" t="s">
        <v>360</v>
      </c>
      <c r="R7" s="308"/>
      <c r="S7" s="309"/>
    </row>
    <row r="8" spans="1:19" ht="18" x14ac:dyDescent="0.25">
      <c r="B8" s="307" t="s">
        <v>1364</v>
      </c>
      <c r="C8" s="128" t="s">
        <v>997</v>
      </c>
      <c r="D8" s="128" t="s">
        <v>1318</v>
      </c>
      <c r="E8" s="128">
        <v>15</v>
      </c>
      <c r="F8" s="128">
        <v>15</v>
      </c>
      <c r="G8" s="128">
        <v>15</v>
      </c>
      <c r="H8" s="128">
        <v>15</v>
      </c>
      <c r="I8" s="105" t="s">
        <v>1318</v>
      </c>
      <c r="J8" s="96" t="s">
        <v>1349</v>
      </c>
      <c r="K8" s="96" t="s">
        <v>1350</v>
      </c>
      <c r="L8" s="128" t="s">
        <v>415</v>
      </c>
      <c r="M8" s="128">
        <v>2</v>
      </c>
      <c r="N8" s="176" t="s">
        <v>382</v>
      </c>
      <c r="O8" s="176" t="s">
        <v>383</v>
      </c>
      <c r="P8" s="176" t="s">
        <v>385</v>
      </c>
      <c r="Q8" s="308" t="s">
        <v>360</v>
      </c>
      <c r="R8" s="308"/>
      <c r="S8" s="309"/>
    </row>
    <row r="9" spans="1:19" ht="18" x14ac:dyDescent="0.25">
      <c r="B9" s="307" t="s">
        <v>998</v>
      </c>
      <c r="C9" s="128" t="s">
        <v>387</v>
      </c>
      <c r="D9" s="128">
        <v>16</v>
      </c>
      <c r="E9" s="128">
        <v>16</v>
      </c>
      <c r="F9" s="128">
        <v>16</v>
      </c>
      <c r="G9" s="128">
        <v>16</v>
      </c>
      <c r="H9" s="128">
        <v>16</v>
      </c>
      <c r="I9" s="105" t="s">
        <v>1318</v>
      </c>
      <c r="J9" s="96" t="s">
        <v>1349</v>
      </c>
      <c r="K9" s="96" t="s">
        <v>1350</v>
      </c>
      <c r="L9" s="128" t="s">
        <v>415</v>
      </c>
      <c r="M9" s="128">
        <v>1</v>
      </c>
      <c r="N9" s="176" t="s">
        <v>382</v>
      </c>
      <c r="O9" s="176" t="s">
        <v>383</v>
      </c>
      <c r="P9" s="176" t="s">
        <v>385</v>
      </c>
      <c r="Q9" s="308" t="s">
        <v>360</v>
      </c>
      <c r="R9" s="308"/>
      <c r="S9" s="310"/>
    </row>
    <row r="10" spans="1:19" ht="18" x14ac:dyDescent="0.25">
      <c r="B10" s="307" t="s">
        <v>999</v>
      </c>
      <c r="C10" s="128" t="s">
        <v>388</v>
      </c>
      <c r="D10" s="128">
        <v>2.2000000000000002</v>
      </c>
      <c r="E10" s="128">
        <v>1</v>
      </c>
      <c r="F10" s="128">
        <v>1</v>
      </c>
      <c r="G10" s="128">
        <v>1</v>
      </c>
      <c r="H10" s="128">
        <v>1</v>
      </c>
      <c r="I10" s="105" t="s">
        <v>1318</v>
      </c>
      <c r="J10" s="96" t="s">
        <v>1349</v>
      </c>
      <c r="K10" s="96" t="s">
        <v>1350</v>
      </c>
      <c r="L10" s="128" t="s">
        <v>1000</v>
      </c>
      <c r="M10" s="128">
        <v>2</v>
      </c>
      <c r="N10" s="176" t="s">
        <v>382</v>
      </c>
      <c r="O10" s="176" t="s">
        <v>383</v>
      </c>
      <c r="P10" s="176" t="s">
        <v>385</v>
      </c>
      <c r="Q10" s="308" t="s">
        <v>366</v>
      </c>
      <c r="R10" s="308"/>
      <c r="S10" s="309"/>
    </row>
    <row r="11" spans="1:19" ht="18" x14ac:dyDescent="0.25">
      <c r="B11" s="307" t="s">
        <v>1001</v>
      </c>
      <c r="C11" s="128" t="s">
        <v>389</v>
      </c>
      <c r="D11" s="128">
        <v>25</v>
      </c>
      <c r="E11" s="128">
        <v>25</v>
      </c>
      <c r="F11" s="128">
        <v>25</v>
      </c>
      <c r="G11" s="128">
        <v>25</v>
      </c>
      <c r="H11" s="128">
        <v>25</v>
      </c>
      <c r="I11" s="105" t="s">
        <v>1318</v>
      </c>
      <c r="J11" s="96" t="s">
        <v>1349</v>
      </c>
      <c r="K11" s="96" t="s">
        <v>1350</v>
      </c>
      <c r="L11" s="128" t="s">
        <v>993</v>
      </c>
      <c r="M11" s="128">
        <v>1</v>
      </c>
      <c r="N11" s="176" t="s">
        <v>382</v>
      </c>
      <c r="O11" s="176" t="s">
        <v>383</v>
      </c>
      <c r="P11" s="176" t="s">
        <v>385</v>
      </c>
      <c r="Q11" s="308" t="s">
        <v>146</v>
      </c>
      <c r="R11" s="308"/>
      <c r="S11" s="309"/>
    </row>
    <row r="12" spans="1:19" ht="18" x14ac:dyDescent="0.25">
      <c r="B12" s="307" t="s">
        <v>1363</v>
      </c>
      <c r="C12" s="128" t="s">
        <v>1002</v>
      </c>
      <c r="D12" s="128">
        <v>7.0000000000000001E-3</v>
      </c>
      <c r="E12" s="128">
        <v>4.7999999999999996E-3</v>
      </c>
      <c r="F12" s="128">
        <v>4.7999999999999996E-3</v>
      </c>
      <c r="G12" s="128">
        <v>4.7999999999999996E-3</v>
      </c>
      <c r="H12" s="128">
        <v>4.7999999999999996E-3</v>
      </c>
      <c r="I12" s="105" t="s">
        <v>1318</v>
      </c>
      <c r="J12" s="96" t="s">
        <v>1349</v>
      </c>
      <c r="K12" s="96" t="s">
        <v>1350</v>
      </c>
      <c r="L12" s="128" t="s">
        <v>427</v>
      </c>
      <c r="M12" s="128">
        <v>4</v>
      </c>
      <c r="N12" s="176" t="s">
        <v>382</v>
      </c>
      <c r="O12" s="176" t="s">
        <v>383</v>
      </c>
      <c r="P12" s="176" t="s">
        <v>385</v>
      </c>
      <c r="Q12" s="308" t="s">
        <v>1945</v>
      </c>
      <c r="R12" s="308"/>
      <c r="S12" s="309"/>
    </row>
    <row r="13" spans="1:19" ht="18" x14ac:dyDescent="0.25">
      <c r="B13" s="307" t="s">
        <v>1003</v>
      </c>
      <c r="C13" s="128" t="s">
        <v>390</v>
      </c>
      <c r="D13" s="128">
        <v>67</v>
      </c>
      <c r="E13" s="128">
        <v>700</v>
      </c>
      <c r="F13" s="128">
        <v>700</v>
      </c>
      <c r="G13" s="128">
        <v>700</v>
      </c>
      <c r="H13" s="128">
        <v>700</v>
      </c>
      <c r="I13" s="105" t="s">
        <v>1318</v>
      </c>
      <c r="J13" s="96" t="s">
        <v>1349</v>
      </c>
      <c r="K13" s="96" t="s">
        <v>1350</v>
      </c>
      <c r="L13" s="128" t="s">
        <v>993</v>
      </c>
      <c r="M13" s="128">
        <v>1</v>
      </c>
      <c r="N13" s="176" t="s">
        <v>382</v>
      </c>
      <c r="O13" s="176" t="s">
        <v>391</v>
      </c>
      <c r="P13" s="176" t="s">
        <v>385</v>
      </c>
      <c r="Q13" s="308" t="s">
        <v>146</v>
      </c>
      <c r="R13" s="308"/>
      <c r="S13" s="309"/>
    </row>
    <row r="14" spans="1:19" ht="18" x14ac:dyDescent="0.25">
      <c r="B14" s="307" t="s">
        <v>1004</v>
      </c>
      <c r="C14" s="128" t="s">
        <v>392</v>
      </c>
      <c r="D14" s="128">
        <v>185.5</v>
      </c>
      <c r="E14" s="128">
        <v>50</v>
      </c>
      <c r="F14" s="128">
        <v>50</v>
      </c>
      <c r="G14" s="128">
        <v>50</v>
      </c>
      <c r="H14" s="128">
        <v>50</v>
      </c>
      <c r="I14" s="105" t="s">
        <v>1318</v>
      </c>
      <c r="J14" s="96" t="s">
        <v>1349</v>
      </c>
      <c r="K14" s="96" t="s">
        <v>1350</v>
      </c>
      <c r="L14" s="128" t="s">
        <v>993</v>
      </c>
      <c r="M14" s="128">
        <v>1</v>
      </c>
      <c r="N14" s="176" t="s">
        <v>382</v>
      </c>
      <c r="O14" s="176" t="s">
        <v>391</v>
      </c>
      <c r="P14" s="176" t="s">
        <v>385</v>
      </c>
      <c r="Q14" s="308" t="s">
        <v>146</v>
      </c>
      <c r="R14" s="308"/>
      <c r="S14" s="309"/>
    </row>
    <row r="15" spans="1:19" ht="18" x14ac:dyDescent="0.25">
      <c r="B15" s="307" t="s">
        <v>1005</v>
      </c>
      <c r="C15" s="128" t="s">
        <v>393</v>
      </c>
      <c r="D15" s="128">
        <v>21</v>
      </c>
      <c r="E15" s="128">
        <v>500</v>
      </c>
      <c r="F15" s="128">
        <v>500</v>
      </c>
      <c r="G15" s="128">
        <v>500</v>
      </c>
      <c r="H15" s="128">
        <v>500</v>
      </c>
      <c r="I15" s="105" t="s">
        <v>1318</v>
      </c>
      <c r="J15" s="96" t="s">
        <v>1349</v>
      </c>
      <c r="K15" s="96" t="s">
        <v>1350</v>
      </c>
      <c r="L15" s="128" t="s">
        <v>993</v>
      </c>
      <c r="M15" s="128">
        <v>1</v>
      </c>
      <c r="N15" s="176" t="s">
        <v>382</v>
      </c>
      <c r="O15" s="176" t="s">
        <v>391</v>
      </c>
      <c r="P15" s="176" t="s">
        <v>385</v>
      </c>
      <c r="Q15" s="308" t="s">
        <v>1946</v>
      </c>
      <c r="R15" s="308"/>
      <c r="S15" s="309"/>
    </row>
    <row r="16" spans="1:19" ht="18" x14ac:dyDescent="0.25">
      <c r="B16" s="307" t="s">
        <v>1006</v>
      </c>
      <c r="C16" s="128" t="s">
        <v>394</v>
      </c>
      <c r="D16" s="128">
        <v>0.1</v>
      </c>
      <c r="E16" s="128">
        <v>300</v>
      </c>
      <c r="F16" s="128">
        <v>300</v>
      </c>
      <c r="G16" s="128">
        <v>300</v>
      </c>
      <c r="H16" s="128">
        <v>300</v>
      </c>
      <c r="I16" s="105" t="s">
        <v>1318</v>
      </c>
      <c r="J16" s="96" t="s">
        <v>1349</v>
      </c>
      <c r="K16" s="96" t="s">
        <v>1350</v>
      </c>
      <c r="L16" s="128" t="s">
        <v>993</v>
      </c>
      <c r="M16" s="128">
        <v>1</v>
      </c>
      <c r="N16" s="176" t="s">
        <v>382</v>
      </c>
      <c r="O16" s="176" t="s">
        <v>391</v>
      </c>
      <c r="P16" s="176" t="s">
        <v>385</v>
      </c>
      <c r="Q16" s="308" t="s">
        <v>1946</v>
      </c>
      <c r="R16" s="308"/>
      <c r="S16" s="309"/>
    </row>
    <row r="17" spans="2:19" ht="18" x14ac:dyDescent="0.25">
      <c r="B17" s="307" t="s">
        <v>1007</v>
      </c>
      <c r="C17" s="128" t="s">
        <v>395</v>
      </c>
      <c r="D17" s="128">
        <v>0.01</v>
      </c>
      <c r="E17" s="128">
        <v>200</v>
      </c>
      <c r="F17" s="128">
        <v>200</v>
      </c>
      <c r="G17" s="128">
        <v>200</v>
      </c>
      <c r="H17" s="128">
        <v>200</v>
      </c>
      <c r="I17" s="105" t="s">
        <v>1318</v>
      </c>
      <c r="J17" s="96" t="s">
        <v>1349</v>
      </c>
      <c r="K17" s="96" t="s">
        <v>1350</v>
      </c>
      <c r="L17" s="128" t="s">
        <v>1000</v>
      </c>
      <c r="M17" s="128">
        <v>2</v>
      </c>
      <c r="N17" s="176" t="s">
        <v>382</v>
      </c>
      <c r="O17" s="176" t="s">
        <v>391</v>
      </c>
      <c r="P17" s="176" t="s">
        <v>385</v>
      </c>
      <c r="Q17" s="308" t="s">
        <v>366</v>
      </c>
      <c r="R17" s="308"/>
      <c r="S17" s="309"/>
    </row>
    <row r="18" spans="2:19" ht="18" x14ac:dyDescent="0.25">
      <c r="B18" s="307" t="s">
        <v>1008</v>
      </c>
      <c r="C18" s="128" t="s">
        <v>396</v>
      </c>
      <c r="D18" s="128">
        <v>0.01</v>
      </c>
      <c r="E18" s="128">
        <v>200</v>
      </c>
      <c r="F18" s="128">
        <v>200</v>
      </c>
      <c r="G18" s="128">
        <v>200</v>
      </c>
      <c r="H18" s="128">
        <v>200</v>
      </c>
      <c r="I18" s="105" t="s">
        <v>1318</v>
      </c>
      <c r="J18" s="96" t="s">
        <v>1349</v>
      </c>
      <c r="K18" s="96" t="s">
        <v>1350</v>
      </c>
      <c r="L18" s="128" t="s">
        <v>993</v>
      </c>
      <c r="M18" s="128">
        <v>2</v>
      </c>
      <c r="N18" s="176" t="s">
        <v>382</v>
      </c>
      <c r="O18" s="176" t="s">
        <v>391</v>
      </c>
      <c r="P18" s="176" t="s">
        <v>385</v>
      </c>
      <c r="Q18" s="308" t="s">
        <v>146</v>
      </c>
      <c r="R18" s="308"/>
      <c r="S18" s="309"/>
    </row>
    <row r="19" spans="2:19" ht="18" x14ac:dyDescent="0.25">
      <c r="B19" s="307" t="s">
        <v>1009</v>
      </c>
      <c r="C19" s="176" t="s">
        <v>397</v>
      </c>
      <c r="D19" s="311">
        <v>0.2</v>
      </c>
      <c r="E19" s="311">
        <v>20</v>
      </c>
      <c r="F19" s="311">
        <v>20</v>
      </c>
      <c r="G19" s="311">
        <v>20</v>
      </c>
      <c r="H19" s="311">
        <v>20</v>
      </c>
      <c r="I19" s="105" t="s">
        <v>1318</v>
      </c>
      <c r="J19" s="96" t="s">
        <v>1349</v>
      </c>
      <c r="K19" s="96" t="s">
        <v>1350</v>
      </c>
      <c r="L19" s="128" t="s">
        <v>993</v>
      </c>
      <c r="M19" s="128">
        <v>2</v>
      </c>
      <c r="N19" s="128" t="s">
        <v>382</v>
      </c>
      <c r="O19" s="128" t="s">
        <v>391</v>
      </c>
      <c r="P19" s="176" t="s">
        <v>385</v>
      </c>
      <c r="Q19" s="308" t="s">
        <v>146</v>
      </c>
      <c r="R19" s="308"/>
      <c r="S19" s="309"/>
    </row>
    <row r="20" spans="2:19" ht="18" x14ac:dyDescent="0.25">
      <c r="B20" s="307" t="s">
        <v>1010</v>
      </c>
      <c r="C20" s="128" t="s">
        <v>398</v>
      </c>
      <c r="D20" s="128">
        <v>0.1</v>
      </c>
      <c r="E20" s="128">
        <v>50</v>
      </c>
      <c r="F20" s="128">
        <v>50</v>
      </c>
      <c r="G20" s="128">
        <v>50</v>
      </c>
      <c r="H20" s="128">
        <v>50</v>
      </c>
      <c r="I20" s="105" t="s">
        <v>1318</v>
      </c>
      <c r="J20" s="96" t="s">
        <v>1349</v>
      </c>
      <c r="K20" s="96" t="s">
        <v>1350</v>
      </c>
      <c r="L20" s="128" t="s">
        <v>993</v>
      </c>
      <c r="M20" s="128">
        <v>1</v>
      </c>
      <c r="N20" s="176" t="s">
        <v>382</v>
      </c>
      <c r="O20" s="176" t="s">
        <v>391</v>
      </c>
      <c r="P20" s="176" t="s">
        <v>385</v>
      </c>
      <c r="Q20" s="308" t="s">
        <v>1946</v>
      </c>
      <c r="R20" s="308"/>
      <c r="S20" s="309"/>
    </row>
    <row r="21" spans="2:19" ht="18.75" thickBot="1" x14ac:dyDescent="0.3">
      <c r="B21" s="312" t="s">
        <v>1011</v>
      </c>
      <c r="C21" s="131" t="s">
        <v>399</v>
      </c>
      <c r="D21" s="131">
        <v>212</v>
      </c>
      <c r="E21" s="131">
        <v>2000</v>
      </c>
      <c r="F21" s="131">
        <v>2000</v>
      </c>
      <c r="G21" s="131">
        <v>2000</v>
      </c>
      <c r="H21" s="131">
        <v>2000</v>
      </c>
      <c r="I21" s="131" t="s">
        <v>1318</v>
      </c>
      <c r="J21" s="253" t="s">
        <v>1349</v>
      </c>
      <c r="K21" s="253" t="s">
        <v>1350</v>
      </c>
      <c r="L21" s="131" t="s">
        <v>1012</v>
      </c>
      <c r="M21" s="131">
        <v>1</v>
      </c>
      <c r="N21" s="274" t="s">
        <v>382</v>
      </c>
      <c r="O21" s="274" t="s">
        <v>391</v>
      </c>
      <c r="P21" s="274" t="s">
        <v>385</v>
      </c>
      <c r="Q21" s="313" t="s">
        <v>1944</v>
      </c>
      <c r="R21" s="313"/>
      <c r="S21" s="314"/>
    </row>
  </sheetData>
  <phoneticPr fontId="11" type="noConversion"/>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5"/>
  <dimension ref="B1:G4"/>
  <sheetViews>
    <sheetView showGridLines="0" workbookViewId="0">
      <selection activeCell="D23" sqref="D23"/>
    </sheetView>
  </sheetViews>
  <sheetFormatPr defaultColWidth="9.140625" defaultRowHeight="15" x14ac:dyDescent="0.25"/>
  <cols>
    <col min="1" max="1" width="16.85546875" customWidth="1"/>
    <col min="2" max="2" width="7.5703125" bestFit="1" customWidth="1"/>
    <col min="3" max="3" width="19.42578125" customWidth="1"/>
    <col min="4" max="4" width="51.85546875" customWidth="1"/>
    <col min="5" max="5" width="4.85546875" bestFit="1" customWidth="1"/>
    <col min="6" max="6" width="5" bestFit="1" customWidth="1"/>
    <col min="7" max="7" width="22.28515625" customWidth="1"/>
  </cols>
  <sheetData>
    <row r="1" spans="2:7" s="46" customFormat="1" ht="57.75" customHeight="1" thickBot="1" x14ac:dyDescent="0.3"/>
    <row r="2" spans="2:7" ht="15.75" thickBot="1" x14ac:dyDescent="0.3">
      <c r="B2" s="3"/>
      <c r="C2" s="58" t="s">
        <v>113</v>
      </c>
      <c r="D2" s="59" t="s">
        <v>116</v>
      </c>
      <c r="E2" s="3"/>
      <c r="F2" s="3"/>
      <c r="G2" s="3"/>
    </row>
    <row r="3" spans="2:7" x14ac:dyDescent="0.25">
      <c r="B3" s="53" t="s">
        <v>0</v>
      </c>
      <c r="C3" s="54" t="s">
        <v>1</v>
      </c>
      <c r="D3" s="54" t="s">
        <v>4</v>
      </c>
      <c r="E3" s="55" t="s">
        <v>2</v>
      </c>
      <c r="F3" s="56" t="s">
        <v>114</v>
      </c>
      <c r="G3" s="57" t="s">
        <v>115</v>
      </c>
    </row>
    <row r="4" spans="2:7" x14ac:dyDescent="0.25">
      <c r="B4" s="4"/>
      <c r="C4" s="4"/>
      <c r="D4" s="4"/>
      <c r="E4" s="4"/>
      <c r="F4" s="4"/>
      <c r="G4" s="4"/>
    </row>
  </sheetData>
  <phoneticPr fontId="11"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6"/>
  <dimension ref="B1:G4"/>
  <sheetViews>
    <sheetView showGridLines="0" workbookViewId="0">
      <selection activeCell="C2" sqref="C2"/>
    </sheetView>
  </sheetViews>
  <sheetFormatPr defaultColWidth="9.140625" defaultRowHeight="15" x14ac:dyDescent="0.25"/>
  <cols>
    <col min="2" max="2" width="15.140625" customWidth="1"/>
    <col min="3" max="3" width="24.85546875" customWidth="1"/>
    <col min="4" max="4" width="20.85546875" customWidth="1"/>
    <col min="7" max="7" width="23.42578125" customWidth="1"/>
  </cols>
  <sheetData>
    <row r="1" spans="2:7" s="46" customFormat="1" ht="43.5" customHeight="1" thickBot="1" x14ac:dyDescent="0.3"/>
    <row r="2" spans="2:7" ht="15.75" thickBot="1" x14ac:dyDescent="0.3">
      <c r="B2" s="3"/>
      <c r="C2" s="2" t="s">
        <v>113</v>
      </c>
      <c r="D2" s="11"/>
      <c r="E2" s="3"/>
      <c r="F2" s="3"/>
      <c r="G2" s="3"/>
    </row>
    <row r="3" spans="2:7" x14ac:dyDescent="0.25">
      <c r="B3" s="14" t="s">
        <v>0</v>
      </c>
      <c r="C3" s="15" t="s">
        <v>1</v>
      </c>
      <c r="D3" s="15" t="s">
        <v>4</v>
      </c>
      <c r="E3" s="16" t="s">
        <v>2</v>
      </c>
      <c r="F3" s="17" t="s">
        <v>114</v>
      </c>
      <c r="G3" s="18" t="s">
        <v>115</v>
      </c>
    </row>
    <row r="4" spans="2:7" x14ac:dyDescent="0.25">
      <c r="B4" s="4"/>
      <c r="C4" s="4"/>
      <c r="D4" s="4"/>
      <c r="E4" s="4"/>
      <c r="F4" s="4"/>
      <c r="G4" s="4"/>
    </row>
  </sheetData>
  <phoneticPr fontId="1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8"/>
  <dimension ref="B1:F3"/>
  <sheetViews>
    <sheetView showGridLines="0" workbookViewId="0">
      <selection activeCell="M13" sqref="M13"/>
    </sheetView>
  </sheetViews>
  <sheetFormatPr defaultColWidth="9.140625" defaultRowHeight="15" x14ac:dyDescent="0.25"/>
  <cols>
    <col min="2" max="2" width="24.28515625" customWidth="1"/>
    <col min="3" max="4" width="22.140625" customWidth="1"/>
  </cols>
  <sheetData>
    <row r="1" spans="2:6" s="46" customFormat="1" ht="58.5" customHeight="1" thickBot="1" x14ac:dyDescent="0.3"/>
    <row r="2" spans="2:6" ht="15.75" thickBot="1" x14ac:dyDescent="0.3">
      <c r="C2" s="60" t="s">
        <v>131</v>
      </c>
      <c r="D2" s="1"/>
    </row>
    <row r="3" spans="2:6" ht="20.25" customHeight="1" x14ac:dyDescent="0.25">
      <c r="B3" s="52" t="s">
        <v>0</v>
      </c>
      <c r="C3" s="52" t="s">
        <v>1</v>
      </c>
      <c r="D3" s="61" t="s">
        <v>4</v>
      </c>
      <c r="E3" s="61" t="s">
        <v>114</v>
      </c>
      <c r="F3" s="61" t="s">
        <v>2</v>
      </c>
    </row>
  </sheetData>
  <phoneticPr fontId="11" type="noConversion"/>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9"/>
  <dimension ref="B1:I61"/>
  <sheetViews>
    <sheetView showGridLines="0" zoomScaleNormal="100" workbookViewId="0"/>
  </sheetViews>
  <sheetFormatPr defaultColWidth="9.140625" defaultRowHeight="15" x14ac:dyDescent="0.25"/>
  <cols>
    <col min="1" max="1" width="3.7109375" style="370" customWidth="1"/>
    <col min="2" max="2" width="17.85546875" style="3" bestFit="1" customWidth="1"/>
    <col min="3" max="3" width="76.140625" style="3" bestFit="1" customWidth="1"/>
    <col min="4" max="4" width="76.7109375" style="374" customWidth="1"/>
    <col min="5" max="5" width="9.7109375" style="82" bestFit="1" customWidth="1"/>
    <col min="6" max="6" width="14.42578125" style="82" bestFit="1" customWidth="1"/>
    <col min="7" max="7" width="12.28515625" style="82" customWidth="1"/>
    <col min="8" max="8" width="22.5703125" style="370" bestFit="1" customWidth="1"/>
    <col min="9" max="9" width="20.85546875" style="370" customWidth="1"/>
    <col min="10" max="16384" width="9.140625" style="370"/>
  </cols>
  <sheetData>
    <row r="1" spans="2:9" s="369" customFormat="1" ht="62.25" customHeight="1" thickBot="1" x14ac:dyDescent="0.3">
      <c r="B1" s="315"/>
      <c r="C1" s="315"/>
      <c r="D1" s="367"/>
      <c r="E1" s="368"/>
      <c r="F1" s="368"/>
      <c r="G1" s="368"/>
    </row>
    <row r="2" spans="2:9" ht="15.75" thickBot="1" x14ac:dyDescent="0.3">
      <c r="C2" s="334" t="s">
        <v>1906</v>
      </c>
      <c r="D2" s="189" t="s">
        <v>499</v>
      </c>
      <c r="E2" s="12"/>
    </row>
    <row r="3" spans="2:9" ht="15.75" thickBot="1" x14ac:dyDescent="0.3">
      <c r="B3" s="335" t="s">
        <v>0</v>
      </c>
      <c r="C3" s="336" t="s">
        <v>1</v>
      </c>
      <c r="D3" s="360" t="s">
        <v>4</v>
      </c>
      <c r="E3" s="337" t="s">
        <v>150</v>
      </c>
      <c r="F3" s="337" t="s">
        <v>2</v>
      </c>
      <c r="G3" s="337" t="s">
        <v>492</v>
      </c>
      <c r="H3" s="337" t="s">
        <v>114</v>
      </c>
      <c r="I3" s="338" t="s">
        <v>115</v>
      </c>
    </row>
    <row r="4" spans="2:9" ht="18" x14ac:dyDescent="0.25">
      <c r="B4" s="339" t="s">
        <v>1343</v>
      </c>
      <c r="C4" s="340" t="s">
        <v>513</v>
      </c>
      <c r="D4" s="361" t="s">
        <v>1209</v>
      </c>
      <c r="E4" s="371">
        <f>S_F+S_A</f>
        <v>6</v>
      </c>
      <c r="F4" s="371" t="s">
        <v>521</v>
      </c>
      <c r="G4" s="371">
        <v>1</v>
      </c>
      <c r="H4" s="341"/>
      <c r="I4" s="342"/>
    </row>
    <row r="5" spans="2:9" ht="18" x14ac:dyDescent="0.25">
      <c r="B5" s="151" t="s">
        <v>1344</v>
      </c>
      <c r="C5" s="128" t="s">
        <v>514</v>
      </c>
      <c r="D5" s="362" t="s">
        <v>523</v>
      </c>
      <c r="E5" s="224">
        <f>X_S+X_H+X_PAO+X_PHA+X_GLY+X_A</f>
        <v>1120</v>
      </c>
      <c r="F5" s="224" t="s">
        <v>521</v>
      </c>
      <c r="G5" s="224">
        <v>1</v>
      </c>
      <c r="H5" s="152"/>
      <c r="I5" s="153"/>
    </row>
    <row r="6" spans="2:9" ht="18" x14ac:dyDescent="0.25">
      <c r="B6" s="151" t="s">
        <v>1345</v>
      </c>
      <c r="C6" s="128" t="s">
        <v>514</v>
      </c>
      <c r="D6" s="176" t="s">
        <v>1346</v>
      </c>
      <c r="E6" s="224">
        <f>S_BOD_ult+X_BOD_ult</f>
        <v>1126</v>
      </c>
      <c r="F6" s="224" t="s">
        <v>521</v>
      </c>
      <c r="G6" s="224">
        <v>1</v>
      </c>
      <c r="H6" s="152"/>
      <c r="I6" s="153"/>
    </row>
    <row r="7" spans="2:9" ht="18" x14ac:dyDescent="0.25">
      <c r="B7" s="151" t="s">
        <v>506</v>
      </c>
      <c r="C7" s="128" t="s">
        <v>1311</v>
      </c>
      <c r="D7" s="176" t="s">
        <v>1347</v>
      </c>
      <c r="E7" s="224">
        <f>S_BOD_ult*f_BOD5_BODult</f>
        <v>3.9000000000000004</v>
      </c>
      <c r="F7" s="224" t="s">
        <v>521</v>
      </c>
      <c r="G7" s="224">
        <v>1</v>
      </c>
      <c r="H7" s="152"/>
      <c r="I7" s="153"/>
    </row>
    <row r="8" spans="2:9" ht="18" x14ac:dyDescent="0.25">
      <c r="B8" s="151" t="s">
        <v>507</v>
      </c>
      <c r="C8" s="128" t="s">
        <v>1312</v>
      </c>
      <c r="D8" s="176" t="s">
        <v>1348</v>
      </c>
      <c r="E8" s="224">
        <f>X_BOD_ult*f_BOD5_BODult</f>
        <v>728</v>
      </c>
      <c r="F8" s="224" t="s">
        <v>521</v>
      </c>
      <c r="G8" s="224">
        <v>1</v>
      </c>
      <c r="H8" s="152"/>
      <c r="I8" s="153"/>
    </row>
    <row r="9" spans="2:9" ht="18" x14ac:dyDescent="0.25">
      <c r="B9" s="151" t="s">
        <v>508</v>
      </c>
      <c r="C9" s="128" t="s">
        <v>1313</v>
      </c>
      <c r="D9" s="176" t="s">
        <v>1210</v>
      </c>
      <c r="E9" s="224">
        <f>S_BOD_5+X_BOD_5</f>
        <v>731.9</v>
      </c>
      <c r="F9" s="224" t="s">
        <v>521</v>
      </c>
      <c r="G9" s="224">
        <v>1</v>
      </c>
      <c r="H9" s="152"/>
      <c r="I9" s="153"/>
    </row>
    <row r="10" spans="2:9" ht="18" x14ac:dyDescent="0.25">
      <c r="B10" s="151" t="s">
        <v>509</v>
      </c>
      <c r="C10" s="128" t="s">
        <v>515</v>
      </c>
      <c r="D10" s="176" t="s">
        <v>1211</v>
      </c>
      <c r="E10" s="224">
        <f>S_F+S_A+S_I</f>
        <v>31</v>
      </c>
      <c r="F10" s="224" t="s">
        <v>521</v>
      </c>
      <c r="G10" s="224">
        <v>1</v>
      </c>
      <c r="H10" s="152"/>
      <c r="I10" s="153"/>
    </row>
    <row r="11" spans="2:9" ht="18" x14ac:dyDescent="0.25">
      <c r="B11" s="343" t="s">
        <v>402</v>
      </c>
      <c r="C11" s="96" t="s">
        <v>516</v>
      </c>
      <c r="D11" s="362" t="s">
        <v>403</v>
      </c>
      <c r="E11" s="224">
        <f>X_I+X_S+X_H+X_PAO+X_PHA+X_GLY+X_A</f>
        <v>1820</v>
      </c>
      <c r="F11" s="224" t="s">
        <v>521</v>
      </c>
      <c r="G11" s="224">
        <v>1</v>
      </c>
      <c r="H11" s="372"/>
      <c r="I11" s="373"/>
    </row>
    <row r="12" spans="2:9" ht="18" x14ac:dyDescent="0.25">
      <c r="B12" s="343" t="s">
        <v>510</v>
      </c>
      <c r="C12" s="96" t="s">
        <v>517</v>
      </c>
      <c r="D12" s="362" t="s">
        <v>1212</v>
      </c>
      <c r="E12" s="224">
        <f>S_COD+X_COD</f>
        <v>1851</v>
      </c>
      <c r="F12" s="224" t="s">
        <v>521</v>
      </c>
      <c r="G12" s="224">
        <v>1</v>
      </c>
      <c r="H12" s="372"/>
      <c r="I12" s="373"/>
    </row>
    <row r="13" spans="2:9" ht="18" x14ac:dyDescent="0.25">
      <c r="B13" s="343" t="s">
        <v>511</v>
      </c>
      <c r="C13" s="96" t="s">
        <v>518</v>
      </c>
      <c r="D13" s="176" t="s">
        <v>524</v>
      </c>
      <c r="E13" s="224">
        <f>S_NH+i_N_SF*S_F+i_N_SI*S_I+i_N_XI*X_I+i_N_XS*X_S+i_N_BM*(X_H+X_A+X_PAO)</f>
        <v>85.4</v>
      </c>
      <c r="F13" s="224" t="s">
        <v>410</v>
      </c>
      <c r="G13" s="224">
        <v>1</v>
      </c>
      <c r="H13" s="372"/>
      <c r="I13" s="373"/>
    </row>
    <row r="14" spans="2:9" ht="18" x14ac:dyDescent="0.25">
      <c r="B14" s="343" t="s">
        <v>512</v>
      </c>
      <c r="C14" s="96" t="s">
        <v>519</v>
      </c>
      <c r="D14" s="362" t="s">
        <v>1382</v>
      </c>
      <c r="E14" s="224">
        <f>T_KN+S_NO</f>
        <v>100.4</v>
      </c>
      <c r="F14" s="224" t="s">
        <v>410</v>
      </c>
      <c r="G14" s="224">
        <v>1</v>
      </c>
      <c r="H14" s="372"/>
      <c r="I14" s="373"/>
    </row>
    <row r="15" spans="2:9" ht="18" x14ac:dyDescent="0.25">
      <c r="B15" s="343" t="s">
        <v>404</v>
      </c>
      <c r="C15" s="96" t="s">
        <v>520</v>
      </c>
      <c r="D15" s="362" t="s">
        <v>405</v>
      </c>
      <c r="E15" s="224">
        <f>X_COD/i_CV</f>
        <v>1229.7297297297298</v>
      </c>
      <c r="F15" s="224" t="s">
        <v>522</v>
      </c>
      <c r="G15" s="224">
        <v>1</v>
      </c>
      <c r="H15" s="372"/>
      <c r="I15" s="373"/>
    </row>
    <row r="16" spans="2:9" ht="18" x14ac:dyDescent="0.25">
      <c r="B16" s="151" t="s">
        <v>1336</v>
      </c>
      <c r="C16" s="128" t="s">
        <v>1337</v>
      </c>
      <c r="D16" s="362" t="s">
        <v>1338</v>
      </c>
      <c r="E16" s="180">
        <f>X_TSS-X_VSS</f>
        <v>770.2702702702702</v>
      </c>
      <c r="F16" s="224" t="s">
        <v>522</v>
      </c>
      <c r="G16" s="224">
        <v>1</v>
      </c>
      <c r="H16" s="372"/>
      <c r="I16" s="373"/>
    </row>
    <row r="17" spans="2:9" s="124" customFormat="1" ht="18.75" thickBot="1" x14ac:dyDescent="0.3">
      <c r="B17" s="273" t="s">
        <v>1339</v>
      </c>
      <c r="C17" s="131" t="s">
        <v>1340</v>
      </c>
      <c r="D17" s="274" t="s">
        <v>1383</v>
      </c>
      <c r="E17" s="275">
        <f>X_TSS+S_I/i_CV_SI+S_F/i_CV_SF+S_A/i_CV_SA+S_NH*M_MNH4/A_MN+S_NO*M_MNO3/A_MN+S_PO*M_MPO4/A_MP</f>
        <v>2105.9581241031528</v>
      </c>
      <c r="F17" s="132" t="s">
        <v>1012</v>
      </c>
      <c r="G17" s="132">
        <v>1</v>
      </c>
      <c r="H17" s="132"/>
      <c r="I17" s="177"/>
    </row>
    <row r="18" spans="2:9" ht="15.75" thickBot="1" x14ac:dyDescent="0.3"/>
    <row r="19" spans="2:9" ht="20.25" customHeight="1" thickBot="1" x14ac:dyDescent="0.3">
      <c r="C19" s="257" t="s">
        <v>525</v>
      </c>
      <c r="D19" s="363" t="s">
        <v>408</v>
      </c>
      <c r="E19" s="178"/>
      <c r="H19" s="3"/>
      <c r="I19" s="3"/>
    </row>
    <row r="20" spans="2:9" ht="15.75" thickBot="1" x14ac:dyDescent="0.3">
      <c r="B20" s="154" t="s">
        <v>0</v>
      </c>
      <c r="C20" s="155" t="s">
        <v>1</v>
      </c>
      <c r="D20" s="364" t="s">
        <v>4</v>
      </c>
      <c r="E20" s="156" t="s">
        <v>150</v>
      </c>
      <c r="F20" s="156" t="s">
        <v>2</v>
      </c>
      <c r="G20" s="156" t="s">
        <v>492</v>
      </c>
      <c r="H20" s="156" t="s">
        <v>114</v>
      </c>
      <c r="I20" s="157" t="s">
        <v>115</v>
      </c>
    </row>
    <row r="21" spans="2:9" ht="18" x14ac:dyDescent="0.25">
      <c r="B21" s="375" t="s">
        <v>400</v>
      </c>
      <c r="C21" s="302" t="s">
        <v>505</v>
      </c>
      <c r="D21" s="376" t="s">
        <v>1429</v>
      </c>
      <c r="E21" s="150">
        <f>-(v_4_SO*r_4+v_5_SO*r_5+v_17_SO*r_17+v_18_SO*r_18+v_19_SO*r_19+v_20_SO*r_20+v_21_SO*r_21)</f>
        <v>1336.7424207323947</v>
      </c>
      <c r="F21" s="223" t="s">
        <v>1286</v>
      </c>
      <c r="G21" s="223">
        <v>1</v>
      </c>
      <c r="H21" s="377" t="s">
        <v>401</v>
      </c>
      <c r="I21" s="378"/>
    </row>
    <row r="22" spans="2:9" ht="36" x14ac:dyDescent="0.25">
      <c r="B22" s="379" t="s">
        <v>1921</v>
      </c>
      <c r="C22" s="372" t="s">
        <v>1922</v>
      </c>
      <c r="D22" s="380" t="s">
        <v>1366</v>
      </c>
      <c r="E22" s="381">
        <f>-(v_6_SNO*r_6+v_7_SNO*r_7+v_12_SNO*r_12+v_13_SNO*r_13+v_14_SNO*r_14+v_15_SNO*r_15+v_16_SNO*r_16+v_21_SNO*r_21)</f>
        <v>-87.290056260793421</v>
      </c>
      <c r="F22" s="224" t="s">
        <v>1287</v>
      </c>
      <c r="G22" s="224">
        <v>1</v>
      </c>
      <c r="H22" s="372" t="s">
        <v>401</v>
      </c>
      <c r="I22" s="373"/>
    </row>
    <row r="23" spans="2:9" ht="54.75" thickBot="1" x14ac:dyDescent="0.3">
      <c r="B23" s="382" t="s">
        <v>503</v>
      </c>
      <c r="C23" s="253" t="s">
        <v>504</v>
      </c>
      <c r="D23" s="383" t="s">
        <v>1288</v>
      </c>
      <c r="E23" s="384">
        <f>-(v_1_SNH*r_1+v_2_SNH*r_2+v_3_SNH*r_3+v_4_SNH*r_4+v_5_SNH*r_5+v_6_SNH*r_6+v_7_SNH*r_7+v_8_SNH*r_8+v_9_SNH*r_9+v_13_SNH*r_13+v_14_SNH*r_14+v_15_SNH*r_15+v_16_SNH*r_16+v_17_SNH*r_17+v_18_SNH*r_18+v_19_SNH*r_19+v_20_SNH*r_20+v_21_SNH*r_21+v_22_SNH*r_22)</f>
        <v>30.964000195525653</v>
      </c>
      <c r="F23" s="225" t="s">
        <v>1287</v>
      </c>
      <c r="G23" s="225">
        <v>1</v>
      </c>
      <c r="H23" s="385" t="s">
        <v>401</v>
      </c>
      <c r="I23" s="386"/>
    </row>
    <row r="24" spans="2:9" s="3" customFormat="1" ht="15.75" thickBot="1" x14ac:dyDescent="0.3">
      <c r="C24" s="255"/>
      <c r="D24" s="365"/>
      <c r="E24" s="256"/>
      <c r="F24" s="259"/>
      <c r="G24" s="259"/>
      <c r="H24" s="255"/>
      <c r="I24" s="255"/>
    </row>
    <row r="25" spans="2:9" ht="15.75" thickBot="1" x14ac:dyDescent="0.3">
      <c r="C25" s="257" t="s">
        <v>1014</v>
      </c>
      <c r="D25" s="363" t="s">
        <v>408</v>
      </c>
      <c r="E25" s="317"/>
      <c r="H25" s="82"/>
      <c r="I25" s="82"/>
    </row>
    <row r="26" spans="2:9" ht="15.75" thickBot="1" x14ac:dyDescent="0.3">
      <c r="B26" s="260" t="s">
        <v>0</v>
      </c>
      <c r="C26" s="261" t="s">
        <v>1</v>
      </c>
      <c r="D26" s="366" t="s">
        <v>4</v>
      </c>
      <c r="E26" s="168" t="s">
        <v>150</v>
      </c>
      <c r="F26" s="168" t="s">
        <v>2</v>
      </c>
      <c r="G26" s="168" t="s">
        <v>492</v>
      </c>
      <c r="H26" s="168" t="s">
        <v>114</v>
      </c>
      <c r="I26" s="179" t="s">
        <v>115</v>
      </c>
    </row>
    <row r="27" spans="2:9" ht="18" x14ac:dyDescent="0.25">
      <c r="B27" s="343" t="s">
        <v>1015</v>
      </c>
      <c r="C27" s="96" t="s">
        <v>1033</v>
      </c>
      <c r="D27" s="380" t="s">
        <v>1430</v>
      </c>
      <c r="E27" s="180">
        <f>S_O/(K_O_H+S_O)</f>
        <v>0.90909090909090906</v>
      </c>
      <c r="F27" s="224" t="s">
        <v>215</v>
      </c>
      <c r="G27" s="224">
        <v>2</v>
      </c>
      <c r="H27" s="224"/>
      <c r="I27" s="387"/>
    </row>
    <row r="28" spans="2:9" ht="18" x14ac:dyDescent="0.25">
      <c r="B28" s="343" t="s">
        <v>1384</v>
      </c>
      <c r="C28" s="96" t="s">
        <v>1034</v>
      </c>
      <c r="D28" s="380" t="s">
        <v>1369</v>
      </c>
      <c r="E28" s="180">
        <f>S_NO/(K_NO_HYD+S_NO)</f>
        <v>0.967741935483871</v>
      </c>
      <c r="F28" s="224" t="s">
        <v>215</v>
      </c>
      <c r="G28" s="224">
        <v>2</v>
      </c>
      <c r="H28" s="224"/>
      <c r="I28" s="387"/>
    </row>
    <row r="29" spans="2:9" ht="18" x14ac:dyDescent="0.25">
      <c r="B29" s="343" t="s">
        <v>1016</v>
      </c>
      <c r="C29" s="96" t="s">
        <v>1035</v>
      </c>
      <c r="D29" s="380" t="s">
        <v>1430</v>
      </c>
      <c r="E29" s="180">
        <f>S_O/(K_O_H+S_O)</f>
        <v>0.90909090909090906</v>
      </c>
      <c r="F29" s="224" t="s">
        <v>215</v>
      </c>
      <c r="G29" s="224">
        <v>2</v>
      </c>
      <c r="H29" s="224"/>
      <c r="I29" s="387"/>
    </row>
    <row r="30" spans="2:9" ht="18" x14ac:dyDescent="0.25">
      <c r="B30" s="343" t="s">
        <v>1370</v>
      </c>
      <c r="C30" s="96" t="s">
        <v>1036</v>
      </c>
      <c r="D30" s="380" t="s">
        <v>1371</v>
      </c>
      <c r="E30" s="180">
        <f>S_NO/(K_NO_H+S_NO)</f>
        <v>0.967741935483871</v>
      </c>
      <c r="F30" s="224" t="s">
        <v>215</v>
      </c>
      <c r="G30" s="224">
        <v>2</v>
      </c>
      <c r="H30" s="224"/>
      <c r="I30" s="387"/>
    </row>
    <row r="31" spans="2:9" ht="18" x14ac:dyDescent="0.25">
      <c r="B31" s="343" t="s">
        <v>1017</v>
      </c>
      <c r="C31" s="96" t="s">
        <v>1949</v>
      </c>
      <c r="D31" s="380" t="s">
        <v>1018</v>
      </c>
      <c r="E31" s="180">
        <f>S_NH/(K_N_H+S_NH)</f>
        <v>0.98360655737704927</v>
      </c>
      <c r="F31" s="224" t="s">
        <v>215</v>
      </c>
      <c r="G31" s="224">
        <v>2</v>
      </c>
      <c r="H31" s="224"/>
      <c r="I31" s="387"/>
    </row>
    <row r="32" spans="2:9" ht="18" x14ac:dyDescent="0.25">
      <c r="B32" s="343" t="s">
        <v>1019</v>
      </c>
      <c r="C32" s="96" t="s">
        <v>1048</v>
      </c>
      <c r="D32" s="380" t="s">
        <v>1020</v>
      </c>
      <c r="E32" s="180">
        <f>S_F/(K_F+S_F)</f>
        <v>0.55555555555555558</v>
      </c>
      <c r="F32" s="224" t="s">
        <v>215</v>
      </c>
      <c r="G32" s="224">
        <v>2</v>
      </c>
      <c r="H32" s="224"/>
      <c r="I32" s="387"/>
    </row>
    <row r="33" spans="2:9" ht="18" x14ac:dyDescent="0.25">
      <c r="B33" s="343" t="s">
        <v>1061</v>
      </c>
      <c r="C33" s="96" t="s">
        <v>1062</v>
      </c>
      <c r="D33" s="380" t="s">
        <v>1060</v>
      </c>
      <c r="E33" s="180">
        <f>S_F/(K_fe+S_F)</f>
        <v>0.2</v>
      </c>
      <c r="F33" s="224" t="s">
        <v>215</v>
      </c>
      <c r="G33" s="224">
        <v>2</v>
      </c>
      <c r="H33" s="224"/>
      <c r="I33" s="387"/>
    </row>
    <row r="34" spans="2:9" ht="18" x14ac:dyDescent="0.25">
      <c r="B34" s="343" t="s">
        <v>1021</v>
      </c>
      <c r="C34" s="96" t="s">
        <v>1037</v>
      </c>
      <c r="D34" s="380" t="s">
        <v>1022</v>
      </c>
      <c r="E34" s="180">
        <f>S_PO/(K_P_H+S_PO)</f>
        <v>0.99009900990099009</v>
      </c>
      <c r="F34" s="224" t="s">
        <v>215</v>
      </c>
      <c r="G34" s="224">
        <v>2</v>
      </c>
      <c r="H34" s="224"/>
      <c r="I34" s="387"/>
    </row>
    <row r="35" spans="2:9" ht="18" x14ac:dyDescent="0.25">
      <c r="B35" s="343" t="s">
        <v>1387</v>
      </c>
      <c r="C35" s="96" t="s">
        <v>1038</v>
      </c>
      <c r="D35" s="380" t="s">
        <v>1385</v>
      </c>
      <c r="E35" s="180">
        <f>S_HCO/(K_HCO_H+S_HCO)</f>
        <v>0.97959183673469385</v>
      </c>
      <c r="F35" s="224" t="s">
        <v>215</v>
      </c>
      <c r="G35" s="224">
        <v>2</v>
      </c>
      <c r="H35" s="224"/>
      <c r="I35" s="387"/>
    </row>
    <row r="36" spans="2:9" ht="18" x14ac:dyDescent="0.25">
      <c r="B36" s="343" t="s">
        <v>1031</v>
      </c>
      <c r="C36" s="96" t="s">
        <v>1049</v>
      </c>
      <c r="D36" s="380" t="s">
        <v>1316</v>
      </c>
      <c r="E36" s="180">
        <f>S_A/(K_ac+S_A)</f>
        <v>0.2</v>
      </c>
      <c r="F36" s="224" t="s">
        <v>215</v>
      </c>
      <c r="G36" s="224">
        <v>2</v>
      </c>
      <c r="H36" s="224"/>
      <c r="I36" s="387"/>
    </row>
    <row r="37" spans="2:9" ht="18" x14ac:dyDescent="0.25">
      <c r="B37" s="343" t="s">
        <v>1023</v>
      </c>
      <c r="C37" s="96" t="s">
        <v>1039</v>
      </c>
      <c r="D37" s="380" t="s">
        <v>1431</v>
      </c>
      <c r="E37" s="180">
        <f>S_O/(K_O_PAO+S_O)</f>
        <v>0.90909090909090906</v>
      </c>
      <c r="F37" s="224" t="s">
        <v>215</v>
      </c>
      <c r="G37" s="224">
        <v>2</v>
      </c>
      <c r="H37" s="224"/>
      <c r="I37" s="387"/>
    </row>
    <row r="38" spans="2:9" ht="18" x14ac:dyDescent="0.25">
      <c r="B38" s="343" t="s">
        <v>1386</v>
      </c>
      <c r="C38" s="96" t="s">
        <v>1040</v>
      </c>
      <c r="D38" s="380" t="s">
        <v>1388</v>
      </c>
      <c r="E38" s="180">
        <f>S_HCO/(K_HCO_PAO+S_HCO)</f>
        <v>0.99792099792099798</v>
      </c>
      <c r="F38" s="224" t="s">
        <v>215</v>
      </c>
      <c r="G38" s="224">
        <v>2</v>
      </c>
      <c r="H38" s="224"/>
      <c r="I38" s="387"/>
    </row>
    <row r="39" spans="2:9" ht="18" x14ac:dyDescent="0.25">
      <c r="B39" s="343" t="s">
        <v>1024</v>
      </c>
      <c r="C39" s="96" t="s">
        <v>1041</v>
      </c>
      <c r="D39" s="380" t="s">
        <v>1025</v>
      </c>
      <c r="E39" s="180">
        <f>S_PO/(K_P_PAO+S_PO)</f>
        <v>0.98039215686274506</v>
      </c>
      <c r="F39" s="224" t="s">
        <v>215</v>
      </c>
      <c r="G39" s="224">
        <v>2</v>
      </c>
      <c r="H39" s="224"/>
      <c r="I39" s="387"/>
    </row>
    <row r="40" spans="2:9" ht="18" x14ac:dyDescent="0.25">
      <c r="B40" s="343" t="s">
        <v>1372</v>
      </c>
      <c r="C40" s="96" t="s">
        <v>1042</v>
      </c>
      <c r="D40" s="380" t="s">
        <v>1373</v>
      </c>
      <c r="E40" s="180">
        <f>S_NO/(K_NO_PAO+S_NO)</f>
        <v>0.967741935483871</v>
      </c>
      <c r="F40" s="224" t="s">
        <v>215</v>
      </c>
      <c r="G40" s="224">
        <v>2</v>
      </c>
      <c r="H40" s="224"/>
      <c r="I40" s="387"/>
    </row>
    <row r="41" spans="2:9" ht="18" x14ac:dyDescent="0.25">
      <c r="B41" s="343" t="s">
        <v>1026</v>
      </c>
      <c r="C41" s="96" t="s">
        <v>1043</v>
      </c>
      <c r="D41" s="380" t="s">
        <v>1027</v>
      </c>
      <c r="E41" s="180">
        <f>S_NH/(K_N_PAO+S_NH)</f>
        <v>0.98360655737704927</v>
      </c>
      <c r="F41" s="224" t="s">
        <v>215</v>
      </c>
      <c r="G41" s="224">
        <v>2</v>
      </c>
      <c r="H41" s="224"/>
      <c r="I41" s="387"/>
    </row>
    <row r="42" spans="2:9" ht="18" x14ac:dyDescent="0.25">
      <c r="B42" s="343" t="s">
        <v>1064</v>
      </c>
      <c r="C42" s="96" t="s">
        <v>1063</v>
      </c>
      <c r="D42" s="380" t="s">
        <v>1065</v>
      </c>
      <c r="E42" s="180">
        <f>X_GLY/(K_GLY+X_GLY)</f>
        <v>0.99950024987506236</v>
      </c>
      <c r="F42" s="224" t="s">
        <v>215</v>
      </c>
      <c r="G42" s="224">
        <v>2</v>
      </c>
      <c r="H42" s="224"/>
      <c r="I42" s="387"/>
    </row>
    <row r="43" spans="2:9" ht="18" x14ac:dyDescent="0.25">
      <c r="B43" s="343" t="s">
        <v>1374</v>
      </c>
      <c r="C43" s="96" t="s">
        <v>1066</v>
      </c>
      <c r="D43" s="380" t="s">
        <v>1375</v>
      </c>
      <c r="E43" s="180">
        <f>S_NO/(g_PP*K_NO_PAO+S_NO)</f>
        <v>0.99272005294506949</v>
      </c>
      <c r="F43" s="224" t="s">
        <v>215</v>
      </c>
      <c r="G43" s="224">
        <v>2</v>
      </c>
      <c r="H43" s="224"/>
      <c r="I43" s="387"/>
    </row>
    <row r="44" spans="2:9" ht="18" x14ac:dyDescent="0.25">
      <c r="B44" s="343" t="s">
        <v>1080</v>
      </c>
      <c r="C44" s="96" t="s">
        <v>1081</v>
      </c>
      <c r="D44" s="380" t="s">
        <v>1432</v>
      </c>
      <c r="E44" s="180">
        <f>S_O/(K_O_A+S_O)</f>
        <v>0.8</v>
      </c>
      <c r="F44" s="224" t="s">
        <v>215</v>
      </c>
      <c r="G44" s="224">
        <v>2</v>
      </c>
      <c r="H44" s="224"/>
      <c r="I44" s="387"/>
    </row>
    <row r="45" spans="2:9" ht="18" x14ac:dyDescent="0.25">
      <c r="B45" s="343" t="s">
        <v>1087</v>
      </c>
      <c r="C45" s="96" t="s">
        <v>1082</v>
      </c>
      <c r="D45" s="380" t="s">
        <v>1088</v>
      </c>
      <c r="E45" s="180">
        <f>S_NH/(K_NH_A+S_NH)</f>
        <v>0.75</v>
      </c>
      <c r="F45" s="224" t="s">
        <v>215</v>
      </c>
      <c r="G45" s="224">
        <v>2</v>
      </c>
      <c r="H45" s="224"/>
      <c r="I45" s="387"/>
    </row>
    <row r="46" spans="2:9" ht="18" x14ac:dyDescent="0.25">
      <c r="B46" s="343" t="s">
        <v>1083</v>
      </c>
      <c r="C46" s="96" t="s">
        <v>1084</v>
      </c>
      <c r="D46" s="380" t="s">
        <v>1085</v>
      </c>
      <c r="E46" s="180">
        <f>S_PO/(K_P_A+S_PO)</f>
        <v>0.99009900990099009</v>
      </c>
      <c r="F46" s="224" t="s">
        <v>215</v>
      </c>
      <c r="G46" s="224">
        <v>2</v>
      </c>
      <c r="H46" s="224"/>
      <c r="I46" s="387"/>
    </row>
    <row r="47" spans="2:9" ht="18" x14ac:dyDescent="0.25">
      <c r="B47" s="343" t="s">
        <v>1389</v>
      </c>
      <c r="C47" s="96" t="s">
        <v>1086</v>
      </c>
      <c r="D47" s="380" t="s">
        <v>1390</v>
      </c>
      <c r="E47" s="180">
        <f>S_HCO/(K_HCO_A+S_HCO)</f>
        <v>0.90566037735849059</v>
      </c>
      <c r="F47" s="224" t="s">
        <v>215</v>
      </c>
      <c r="G47" s="224">
        <v>2</v>
      </c>
      <c r="H47" s="224"/>
      <c r="I47" s="387"/>
    </row>
    <row r="48" spans="2:9" ht="18" x14ac:dyDescent="0.25">
      <c r="B48" s="343" t="s">
        <v>1077</v>
      </c>
      <c r="C48" s="96" t="s">
        <v>1078</v>
      </c>
      <c r="D48" s="380" t="s">
        <v>1433</v>
      </c>
      <c r="E48" s="180">
        <f>S_O/(g_PP*K_O_PAO+S_O)</f>
        <v>0.97847358121330719</v>
      </c>
      <c r="F48" s="224" t="s">
        <v>215</v>
      </c>
      <c r="G48" s="224">
        <v>2</v>
      </c>
      <c r="H48" s="224"/>
      <c r="I48" s="387"/>
    </row>
    <row r="49" spans="2:9" ht="18" x14ac:dyDescent="0.25">
      <c r="B49" s="343" t="s">
        <v>1068</v>
      </c>
      <c r="C49" s="96" t="s">
        <v>1067</v>
      </c>
      <c r="D49" s="380" t="s">
        <v>1069</v>
      </c>
      <c r="E49" s="180">
        <f>(X_PHA/X_PAO)/(K_fPHA+(X_PHA/X_PAO))</f>
        <v>0.76923076923076916</v>
      </c>
      <c r="F49" s="224" t="s">
        <v>215</v>
      </c>
      <c r="G49" s="224">
        <v>2</v>
      </c>
      <c r="H49" s="224"/>
      <c r="I49" s="387"/>
    </row>
    <row r="50" spans="2:9" ht="18" x14ac:dyDescent="0.25">
      <c r="B50" s="343" t="s">
        <v>1070</v>
      </c>
      <c r="C50" s="96" t="s">
        <v>1071</v>
      </c>
      <c r="D50" s="380" t="s">
        <v>1072</v>
      </c>
      <c r="E50" s="180">
        <f>(f_PP_max-(X_PP/X_PAO))/(K_fPP+(f_PP_max-X_PP/X_PAO))</f>
        <v>1.0326086956521738</v>
      </c>
      <c r="F50" s="224" t="s">
        <v>215</v>
      </c>
      <c r="G50" s="224">
        <v>2</v>
      </c>
      <c r="H50" s="224"/>
      <c r="I50" s="387"/>
    </row>
    <row r="51" spans="2:9" ht="18" x14ac:dyDescent="0.25">
      <c r="B51" s="343" t="s">
        <v>1074</v>
      </c>
      <c r="C51" s="96" t="s">
        <v>1075</v>
      </c>
      <c r="D51" s="380" t="s">
        <v>1073</v>
      </c>
      <c r="E51" s="180">
        <f>(f_GLY_max-(X_GLY/X_PAO))/(K_fGLY+(f_GLY_max-X_GLY/X_PAO))</f>
        <v>0.97744360902255634</v>
      </c>
      <c r="F51" s="224" t="s">
        <v>215</v>
      </c>
      <c r="G51" s="224">
        <v>2</v>
      </c>
      <c r="H51" s="224"/>
      <c r="I51" s="387"/>
    </row>
    <row r="52" spans="2:9" ht="18" x14ac:dyDescent="0.25">
      <c r="B52" s="343" t="s">
        <v>1050</v>
      </c>
      <c r="C52" s="96" t="s">
        <v>1051</v>
      </c>
      <c r="D52" s="380" t="s">
        <v>1052</v>
      </c>
      <c r="E52" s="180">
        <f>(X_S/(X_H+X_PAO))/(K_X+(X_S/(X_H+X_PAO)))</f>
        <v>0.38461538461538458</v>
      </c>
      <c r="F52" s="224" t="s">
        <v>215</v>
      </c>
      <c r="G52" s="224">
        <v>2</v>
      </c>
      <c r="H52" s="224"/>
      <c r="I52" s="387"/>
    </row>
    <row r="53" spans="2:9" ht="18" x14ac:dyDescent="0.25">
      <c r="B53" s="343" t="s">
        <v>1054</v>
      </c>
      <c r="C53" s="96" t="s">
        <v>1947</v>
      </c>
      <c r="D53" s="380" t="s">
        <v>1055</v>
      </c>
      <c r="E53" s="180">
        <f>X_PP/(K_PP+X_PP)</f>
        <v>0.99995000249987509</v>
      </c>
      <c r="F53" s="224" t="s">
        <v>215</v>
      </c>
      <c r="G53" s="224">
        <v>2</v>
      </c>
      <c r="H53" s="224"/>
      <c r="I53" s="387"/>
    </row>
    <row r="54" spans="2:9" ht="18" x14ac:dyDescent="0.25">
      <c r="B54" s="343" t="s">
        <v>1056</v>
      </c>
      <c r="C54" s="96" t="s">
        <v>1948</v>
      </c>
      <c r="D54" s="380" t="s">
        <v>1057</v>
      </c>
      <c r="E54" s="180">
        <f>X_PHA/(K_PHA+X_PHA)</f>
        <v>0.99995000249987509</v>
      </c>
      <c r="F54" s="224" t="s">
        <v>215</v>
      </c>
      <c r="G54" s="224">
        <v>2</v>
      </c>
      <c r="H54" s="224"/>
      <c r="I54" s="387"/>
    </row>
    <row r="55" spans="2:9" ht="18" x14ac:dyDescent="0.25">
      <c r="B55" s="343" t="s">
        <v>1028</v>
      </c>
      <c r="C55" s="96" t="s">
        <v>1044</v>
      </c>
      <c r="D55" s="380" t="s">
        <v>1434</v>
      </c>
      <c r="E55" s="180">
        <f>K_O_HYD/(K_O_HYD+S_O)</f>
        <v>9.0909090909090912E-2</v>
      </c>
      <c r="F55" s="224" t="s">
        <v>215</v>
      </c>
      <c r="G55" s="224">
        <v>2</v>
      </c>
      <c r="H55" s="224"/>
      <c r="I55" s="387"/>
    </row>
    <row r="56" spans="2:9" ht="18" x14ac:dyDescent="0.25">
      <c r="B56" s="343" t="s">
        <v>1376</v>
      </c>
      <c r="C56" s="96" t="s">
        <v>1058</v>
      </c>
      <c r="D56" s="380" t="s">
        <v>1377</v>
      </c>
      <c r="E56" s="180">
        <f>K_NO_HYD/(K_NO_HYD+S_NO)</f>
        <v>3.2258064516129031E-2</v>
      </c>
      <c r="F56" s="224" t="s">
        <v>215</v>
      </c>
      <c r="G56" s="224">
        <v>2</v>
      </c>
      <c r="H56" s="224"/>
      <c r="I56" s="387"/>
    </row>
    <row r="57" spans="2:9" ht="18" x14ac:dyDescent="0.25">
      <c r="B57" s="343" t="s">
        <v>1029</v>
      </c>
      <c r="C57" s="96" t="s">
        <v>1045</v>
      </c>
      <c r="D57" s="380" t="s">
        <v>1435</v>
      </c>
      <c r="E57" s="180">
        <f>K_O_H/(K_O_H+S_O)</f>
        <v>9.0909090909090912E-2</v>
      </c>
      <c r="F57" s="224" t="s">
        <v>215</v>
      </c>
      <c r="G57" s="224">
        <v>2</v>
      </c>
      <c r="H57" s="224"/>
      <c r="I57" s="387"/>
    </row>
    <row r="58" spans="2:9" ht="18" x14ac:dyDescent="0.25">
      <c r="B58" s="343" t="s">
        <v>1378</v>
      </c>
      <c r="C58" s="96" t="s">
        <v>1059</v>
      </c>
      <c r="D58" s="380" t="s">
        <v>1379</v>
      </c>
      <c r="E58" s="180">
        <f>K_NO_H/(K_NO_H+S_NO)</f>
        <v>3.2258064516129031E-2</v>
      </c>
      <c r="F58" s="224" t="s">
        <v>215</v>
      </c>
      <c r="G58" s="224">
        <v>2</v>
      </c>
      <c r="H58" s="224"/>
      <c r="I58" s="387"/>
    </row>
    <row r="59" spans="2:9" ht="18" x14ac:dyDescent="0.25">
      <c r="B59" s="343" t="s">
        <v>1380</v>
      </c>
      <c r="C59" s="96" t="s">
        <v>1046</v>
      </c>
      <c r="D59" s="380" t="s">
        <v>1381</v>
      </c>
      <c r="E59" s="180">
        <f>K_NO_PAO/(K_NO_PAO+S_NO)</f>
        <v>3.2258064516129031E-2</v>
      </c>
      <c r="F59" s="224" t="s">
        <v>215</v>
      </c>
      <c r="G59" s="224">
        <v>2</v>
      </c>
      <c r="H59" s="224"/>
      <c r="I59" s="387"/>
    </row>
    <row r="60" spans="2:9" ht="18.75" thickBot="1" x14ac:dyDescent="0.3">
      <c r="B60" s="382" t="s">
        <v>1030</v>
      </c>
      <c r="C60" s="253" t="s">
        <v>1047</v>
      </c>
      <c r="D60" s="383" t="s">
        <v>1436</v>
      </c>
      <c r="E60" s="388">
        <f>K_O_PAO/(K_O_PAO+S_O)</f>
        <v>9.0909090909090912E-2</v>
      </c>
      <c r="F60" s="225" t="s">
        <v>215</v>
      </c>
      <c r="G60" s="225">
        <v>2</v>
      </c>
      <c r="H60" s="385"/>
      <c r="I60" s="386"/>
    </row>
    <row r="61" spans="2:9" x14ac:dyDescent="0.25">
      <c r="D61" s="389"/>
      <c r="E61" s="390"/>
    </row>
  </sheetData>
  <phoneticPr fontId="11" type="noConversion"/>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H28"/>
  <sheetViews>
    <sheetView zoomScaleNormal="100" workbookViewId="0">
      <selection activeCell="B7" sqref="B7"/>
    </sheetView>
  </sheetViews>
  <sheetFormatPr defaultColWidth="9.140625" defaultRowHeight="15" x14ac:dyDescent="0.25"/>
  <cols>
    <col min="1" max="1" width="5.85546875" customWidth="1"/>
    <col min="2" max="2" width="47" bestFit="1" customWidth="1"/>
    <col min="3" max="3" width="52" customWidth="1"/>
    <col min="4" max="4" width="82.7109375" customWidth="1"/>
    <col min="5" max="5" width="17.7109375" customWidth="1"/>
    <col min="6" max="6" width="9.28515625" customWidth="1"/>
    <col min="8" max="8" width="56.85546875" style="11" customWidth="1"/>
    <col min="9" max="9" width="22.7109375" customWidth="1"/>
  </cols>
  <sheetData>
    <row r="1" spans="2:8" ht="53.25" customHeight="1" thickBot="1" x14ac:dyDescent="0.3"/>
    <row r="2" spans="2:8" ht="15.75" thickBot="1" x14ac:dyDescent="0.3">
      <c r="C2" s="184" t="s">
        <v>526</v>
      </c>
      <c r="D2" s="1"/>
      <c r="E2" s="1"/>
    </row>
    <row r="3" spans="2:8" ht="15.75" thickBot="1" x14ac:dyDescent="0.3">
      <c r="B3" s="185" t="s">
        <v>0</v>
      </c>
      <c r="C3" s="186" t="s">
        <v>1</v>
      </c>
      <c r="D3" s="187" t="s">
        <v>4</v>
      </c>
      <c r="E3" s="187" t="s">
        <v>114</v>
      </c>
      <c r="F3" s="188" t="s">
        <v>2</v>
      </c>
      <c r="H3" s="189" t="s">
        <v>527</v>
      </c>
    </row>
    <row r="4" spans="2:8" ht="18.75" customHeight="1" x14ac:dyDescent="0.25">
      <c r="B4" s="190" t="s">
        <v>163</v>
      </c>
      <c r="C4" s="127" t="s">
        <v>164</v>
      </c>
      <c r="D4" s="191" t="s">
        <v>165</v>
      </c>
      <c r="E4" s="191"/>
      <c r="F4" s="182"/>
    </row>
    <row r="5" spans="2:8" x14ac:dyDescent="0.25">
      <c r="B5" s="193" t="s">
        <v>1194</v>
      </c>
      <c r="C5" s="109" t="s">
        <v>528</v>
      </c>
      <c r="D5" s="192" t="s">
        <v>1195</v>
      </c>
      <c r="E5" s="192"/>
      <c r="F5" s="183"/>
    </row>
    <row r="6" spans="2:8" x14ac:dyDescent="0.25">
      <c r="B6" s="193" t="s">
        <v>166</v>
      </c>
      <c r="C6" s="129" t="s">
        <v>167</v>
      </c>
      <c r="D6" s="129" t="s">
        <v>168</v>
      </c>
      <c r="E6" s="129"/>
      <c r="F6" s="183"/>
    </row>
    <row r="7" spans="2:8" x14ac:dyDescent="0.25">
      <c r="B7" s="193" t="s">
        <v>1196</v>
      </c>
      <c r="C7" s="109" t="s">
        <v>529</v>
      </c>
      <c r="D7" s="192" t="s">
        <v>1197</v>
      </c>
      <c r="E7" s="129"/>
      <c r="F7" s="183"/>
    </row>
    <row r="8" spans="2:8" x14ac:dyDescent="0.25">
      <c r="B8" s="193" t="s">
        <v>530</v>
      </c>
      <c r="C8" s="129" t="s">
        <v>531</v>
      </c>
      <c r="D8" s="129" t="s">
        <v>532</v>
      </c>
      <c r="E8" s="129"/>
      <c r="F8" s="183"/>
    </row>
    <row r="9" spans="2:8" x14ac:dyDescent="0.25">
      <c r="B9" s="193" t="s">
        <v>533</v>
      </c>
      <c r="C9" s="129" t="s">
        <v>534</v>
      </c>
      <c r="D9" s="129" t="s">
        <v>1290</v>
      </c>
      <c r="E9" s="129"/>
      <c r="F9" s="183"/>
    </row>
    <row r="10" spans="2:8" x14ac:dyDescent="0.25">
      <c r="B10" s="193" t="s">
        <v>169</v>
      </c>
      <c r="C10" s="129" t="s">
        <v>170</v>
      </c>
      <c r="D10" s="129" t="s">
        <v>171</v>
      </c>
      <c r="E10" s="129"/>
      <c r="F10" s="183"/>
    </row>
    <row r="11" spans="2:8" x14ac:dyDescent="0.25">
      <c r="B11" s="193" t="s">
        <v>535</v>
      </c>
      <c r="C11" s="109" t="s">
        <v>536</v>
      </c>
      <c r="D11" s="192" t="s">
        <v>980</v>
      </c>
      <c r="E11" s="129"/>
      <c r="F11" s="183"/>
    </row>
    <row r="12" spans="2:8" x14ac:dyDescent="0.25">
      <c r="B12" s="193" t="s">
        <v>172</v>
      </c>
      <c r="C12" s="129" t="s">
        <v>173</v>
      </c>
      <c r="D12" s="129" t="s">
        <v>1223</v>
      </c>
      <c r="E12" s="129"/>
      <c r="F12" s="183"/>
    </row>
    <row r="13" spans="2:8" x14ac:dyDescent="0.25">
      <c r="B13" s="193" t="s">
        <v>1198</v>
      </c>
      <c r="C13" s="129" t="s">
        <v>1199</v>
      </c>
      <c r="D13" s="129" t="s">
        <v>1200</v>
      </c>
      <c r="E13" s="129"/>
      <c r="F13" s="183"/>
    </row>
    <row r="14" spans="2:8" x14ac:dyDescent="0.25">
      <c r="B14" s="193" t="s">
        <v>175</v>
      </c>
      <c r="C14" s="129" t="s">
        <v>176</v>
      </c>
      <c r="D14" s="129" t="s">
        <v>1224</v>
      </c>
      <c r="E14" s="129"/>
      <c r="F14" s="183"/>
    </row>
    <row r="15" spans="2:8" x14ac:dyDescent="0.25">
      <c r="B15" s="193" t="s">
        <v>1225</v>
      </c>
      <c r="C15" s="129" t="s">
        <v>1226</v>
      </c>
      <c r="D15" s="129" t="s">
        <v>1227</v>
      </c>
      <c r="E15" s="129"/>
      <c r="F15" s="183"/>
    </row>
    <row r="16" spans="2:8" x14ac:dyDescent="0.25">
      <c r="B16" s="218" t="s">
        <v>1228</v>
      </c>
      <c r="C16" s="219" t="s">
        <v>1229</v>
      </c>
      <c r="D16" s="219" t="s">
        <v>1291</v>
      </c>
      <c r="E16" s="219"/>
      <c r="F16" s="220"/>
    </row>
    <row r="17" spans="2:8" x14ac:dyDescent="0.25">
      <c r="B17" s="193" t="s">
        <v>1230</v>
      </c>
      <c r="C17" s="219" t="s">
        <v>1231</v>
      </c>
      <c r="D17" s="219" t="s">
        <v>1232</v>
      </c>
      <c r="E17" s="219"/>
      <c r="F17" s="220"/>
    </row>
    <row r="18" spans="2:8" x14ac:dyDescent="0.25">
      <c r="B18" s="193" t="s">
        <v>178</v>
      </c>
      <c r="C18" s="129" t="s">
        <v>179</v>
      </c>
      <c r="D18" s="129" t="s">
        <v>180</v>
      </c>
      <c r="E18" s="129"/>
      <c r="F18" s="183"/>
      <c r="H18" s="194" t="s">
        <v>541</v>
      </c>
    </row>
    <row r="19" spans="2:8" x14ac:dyDescent="0.25">
      <c r="B19" s="193" t="s">
        <v>181</v>
      </c>
      <c r="C19" s="129" t="s">
        <v>182</v>
      </c>
      <c r="D19" s="129" t="s">
        <v>537</v>
      </c>
      <c r="E19" s="129"/>
      <c r="F19" s="183"/>
    </row>
    <row r="20" spans="2:8" x14ac:dyDescent="0.25">
      <c r="B20" s="193" t="s">
        <v>149</v>
      </c>
      <c r="C20" s="129" t="s">
        <v>147</v>
      </c>
      <c r="D20" s="129" t="s">
        <v>148</v>
      </c>
      <c r="E20" s="129"/>
      <c r="F20" s="183"/>
    </row>
    <row r="21" spans="2:8" x14ac:dyDescent="0.25">
      <c r="B21" s="193" t="s">
        <v>538</v>
      </c>
      <c r="C21" s="128" t="s">
        <v>539</v>
      </c>
      <c r="D21" s="192" t="s">
        <v>540</v>
      </c>
      <c r="E21" s="129"/>
      <c r="F21" s="183"/>
    </row>
    <row r="22" spans="2:8" ht="18" x14ac:dyDescent="0.35">
      <c r="B22" s="193" t="s">
        <v>1201</v>
      </c>
      <c r="C22" s="128" t="s">
        <v>542</v>
      </c>
      <c r="D22" s="192" t="s">
        <v>1292</v>
      </c>
      <c r="E22" s="129"/>
      <c r="F22" s="183"/>
    </row>
    <row r="23" spans="2:8" ht="18" x14ac:dyDescent="0.35">
      <c r="B23" s="193" t="s">
        <v>1202</v>
      </c>
      <c r="C23" s="128" t="s">
        <v>543</v>
      </c>
      <c r="D23" s="192" t="s">
        <v>1293</v>
      </c>
      <c r="E23" s="129"/>
      <c r="F23" s="183"/>
    </row>
    <row r="24" spans="2:8" ht="18" x14ac:dyDescent="0.35">
      <c r="B24" s="193" t="s">
        <v>1203</v>
      </c>
      <c r="C24" s="128" t="s">
        <v>544</v>
      </c>
      <c r="D24" s="192" t="s">
        <v>1294</v>
      </c>
      <c r="E24" s="129"/>
      <c r="F24" s="183"/>
    </row>
    <row r="25" spans="2:8" ht="18" x14ac:dyDescent="0.35">
      <c r="B25" s="193" t="s">
        <v>1204</v>
      </c>
      <c r="C25" s="128" t="s">
        <v>545</v>
      </c>
      <c r="D25" s="192" t="s">
        <v>1295</v>
      </c>
      <c r="E25" s="129"/>
      <c r="F25" s="183"/>
    </row>
    <row r="26" spans="2:8" ht="18" x14ac:dyDescent="0.35">
      <c r="B26" s="193" t="s">
        <v>1205</v>
      </c>
      <c r="C26" s="128" t="s">
        <v>546</v>
      </c>
      <c r="D26" s="192" t="s">
        <v>1296</v>
      </c>
      <c r="E26" s="129"/>
      <c r="F26" s="183"/>
    </row>
    <row r="27" spans="2:8" ht="15.75" customHeight="1" x14ac:dyDescent="0.35">
      <c r="B27" s="193" t="s">
        <v>1206</v>
      </c>
      <c r="C27" s="128" t="s">
        <v>547</v>
      </c>
      <c r="D27" s="192" t="s">
        <v>1297</v>
      </c>
      <c r="E27" s="129"/>
      <c r="F27" s="183"/>
    </row>
    <row r="28" spans="2:8" ht="16.5" customHeight="1" thickBot="1" x14ac:dyDescent="0.4">
      <c r="B28" s="221" t="s">
        <v>1207</v>
      </c>
      <c r="C28" s="131" t="s">
        <v>548</v>
      </c>
      <c r="D28" s="222" t="s">
        <v>1298</v>
      </c>
      <c r="E28" s="145"/>
      <c r="F28" s="162"/>
    </row>
  </sheetData>
  <conditionalFormatting sqref="D43">
    <cfRule type="cellIs" dxfId="1" priority="2" stopIfTrue="1" operator="notEqual">
      <formula>INDIRECT("Dummy_for_Comparison5!"&amp;ADDRESS(ROW(),COLUMN()))</formula>
    </cfRule>
  </conditionalFormatting>
  <conditionalFormatting sqref="D44">
    <cfRule type="cellIs" dxfId="0" priority="1" stopIfTrue="1" operator="notEqual">
      <formula>INDIRECT("Dummy_for_Comparison5!"&amp;ADDRESS(ROW(),COLUMN()))</formula>
    </cfRule>
  </conditionalFormatting>
  <hyperlinks>
    <hyperlink ref="B87" r:id="rId1" display="http://www.cplusplus.com/reference/cmath/cos/"/>
    <hyperlink ref="B88" r:id="rId2" display="http://www.cplusplus.com/reference/cmath/sin/"/>
    <hyperlink ref="B89" r:id="rId3" display="http://www.cplusplus.com/reference/cmath/tan/"/>
    <hyperlink ref="B90" r:id="rId4" display="http://www.cplusplus.com/reference/cmath/acos/"/>
    <hyperlink ref="B91" r:id="rId5" display="http://www.cplusplus.com/reference/cmath/asin/"/>
    <hyperlink ref="B92" r:id="rId6" display="http://www.cplusplus.com/reference/cmath/atan/"/>
    <hyperlink ref="B93" r:id="rId7" display="http://www.cplusplus.com/reference/cmath/atan2/"/>
    <hyperlink ref="B94" r:id="rId8" display="http://www.cplusplus.com/reference/cmath/cosh/"/>
    <hyperlink ref="B95" r:id="rId9" display="http://www.cplusplus.com/reference/cmath/sinh/"/>
    <hyperlink ref="B96" r:id="rId10" display="http://www.cplusplus.com/reference/cmath/tanh/"/>
    <hyperlink ref="B97" r:id="rId11" display="http://www.cplusplus.com/reference/cmath/exp/"/>
    <hyperlink ref="B98" r:id="rId12" display="http://www.cplusplus.com/reference/cmath/ldexp/"/>
    <hyperlink ref="B99" r:id="rId13" display="http://www.cplusplus.com/reference/cmath/log/"/>
    <hyperlink ref="B100" r:id="rId14" display="http://www.cplusplus.com/reference/cmath/log10/"/>
    <hyperlink ref="B101" r:id="rId15" display="http://www.cplusplus.com/reference/cmath/sqrt/"/>
    <hyperlink ref="B102" r:id="rId16" display="http://www.cplusplus.com/reference/cmath/ceil/"/>
    <hyperlink ref="B103" r:id="rId17" display="http://www.cplusplus.com/reference/cmath/fabs/"/>
    <hyperlink ref="B104" r:id="rId18" display="http://www.cplusplus.com/reference/cmath/floor/"/>
    <hyperlink ref="B105" r:id="rId19" display="http://www.cplusplus.com/reference/cmath/fmod/"/>
    <hyperlink ref="D87" r:id="rId20" display="http://www.cplusplus.com/reference/cmath/cos/"/>
    <hyperlink ref="D88" r:id="rId21" display="http://www.cplusplus.com/reference/cmath/sin/"/>
    <hyperlink ref="D89" r:id="rId22" display="http://www.cplusplus.com/reference/cmath/tan/"/>
    <hyperlink ref="D90" r:id="rId23" display="http://www.cplusplus.com/reference/cmath/acos/"/>
    <hyperlink ref="D91" r:id="rId24" display="http://www.cplusplus.com/reference/cmath/asin/"/>
    <hyperlink ref="D92" r:id="rId25" display="http://www.cplusplus.com/reference/cmath/atan/"/>
    <hyperlink ref="D93" r:id="rId26" display="http://www.cplusplus.com/reference/cmath/atan2/"/>
    <hyperlink ref="D94" r:id="rId27" display="http://www.cplusplus.com/reference/cmath/cosh/"/>
    <hyperlink ref="D95" r:id="rId28" display="http://www.cplusplus.com/reference/cmath/sinh/"/>
    <hyperlink ref="D96" r:id="rId29" display="http://www.cplusplus.com/reference/cmath/tanh/"/>
    <hyperlink ref="D97" r:id="rId30" display="http://www.cplusplus.com/reference/cmath/exp/"/>
    <hyperlink ref="D98" r:id="rId31" display="http://www.cplusplus.com/reference/cmath/ldexp/"/>
    <hyperlink ref="D99" r:id="rId32" display="http://www.cplusplus.com/reference/cmath/log/"/>
    <hyperlink ref="D100" r:id="rId33" display="http://www.cplusplus.com/reference/cmath/log10/"/>
    <hyperlink ref="D101" r:id="rId34" display="http://www.cplusplus.com/reference/cmath/sqrt/"/>
    <hyperlink ref="D102" r:id="rId35" display="http://www.cplusplus.com/reference/cmath/ceil/"/>
    <hyperlink ref="D103" r:id="rId36" display="http://www.cplusplus.com/reference/cmath/fabs/"/>
    <hyperlink ref="D104" r:id="rId37" display="http://www.cplusplus.com/reference/cmath/floor/"/>
    <hyperlink ref="D105" r:id="rId38" display="http://www.cplusplus.com/reference/cmath/fmod/"/>
  </hyperlinks>
  <pageMargins left="0.7" right="0.7" top="0.75" bottom="0.75" header="0.3" footer="0.3"/>
  <pageSetup paperSize="9" orientation="portrait" r:id="rId39"/>
  <drawing r:id="rId4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I14"/>
  <sheetViews>
    <sheetView workbookViewId="0">
      <selection activeCell="B3" sqref="B3:D14"/>
    </sheetView>
  </sheetViews>
  <sheetFormatPr defaultColWidth="9.140625" defaultRowHeight="15" x14ac:dyDescent="0.25"/>
  <cols>
    <col min="1" max="1" width="9.140625" style="195"/>
    <col min="2" max="2" width="19.28515625" style="195" bestFit="1" customWidth="1"/>
    <col min="3" max="3" width="43.140625" style="195" bestFit="1" customWidth="1"/>
    <col min="4" max="5" width="9.140625" style="195"/>
    <col min="6" max="6" width="17.85546875" style="195" customWidth="1"/>
    <col min="7" max="8" width="9.140625" style="195"/>
    <col min="9" max="9" width="12.85546875" style="195" bestFit="1" customWidth="1"/>
    <col min="10" max="16384" width="9.140625" style="195"/>
  </cols>
  <sheetData>
    <row r="1" spans="2:9" ht="15.75" thickBot="1" x14ac:dyDescent="0.3"/>
    <row r="2" spans="2:9" ht="15.75" thickBot="1" x14ac:dyDescent="0.3">
      <c r="B2" s="163"/>
      <c r="C2" s="164" t="s">
        <v>898</v>
      </c>
      <c r="D2" s="163"/>
      <c r="E2" s="163"/>
      <c r="F2" s="163"/>
      <c r="G2" s="163"/>
      <c r="H2" s="163"/>
      <c r="I2" s="163"/>
    </row>
    <row r="3" spans="2:9" ht="15.75" thickBot="1" x14ac:dyDescent="0.3">
      <c r="B3" s="196" t="s">
        <v>0</v>
      </c>
      <c r="C3" s="197" t="s">
        <v>1</v>
      </c>
      <c r="D3" s="197" t="s">
        <v>150</v>
      </c>
      <c r="E3" s="198" t="s">
        <v>550</v>
      </c>
      <c r="F3" s="198" t="s">
        <v>551</v>
      </c>
      <c r="G3" s="197" t="s">
        <v>2</v>
      </c>
      <c r="H3" s="197" t="s">
        <v>492</v>
      </c>
      <c r="I3" s="199" t="s">
        <v>114</v>
      </c>
    </row>
    <row r="4" spans="2:9" ht="15.75" thickBot="1" x14ac:dyDescent="0.3">
      <c r="B4" s="137"/>
      <c r="C4" s="226"/>
      <c r="D4" s="227"/>
      <c r="E4" s="228"/>
      <c r="F4" s="229"/>
      <c r="G4" s="227"/>
      <c r="H4" s="227"/>
      <c r="I4" s="230"/>
    </row>
    <row r="5" spans="2:9" ht="15.75" thickBot="1" x14ac:dyDescent="0.3">
      <c r="B5" s="137"/>
      <c r="C5" s="164" t="s">
        <v>1302</v>
      </c>
      <c r="D5" s="227"/>
      <c r="E5" s="228"/>
      <c r="F5" s="229"/>
      <c r="G5" s="227"/>
      <c r="H5" s="227"/>
      <c r="I5" s="230"/>
    </row>
    <row r="6" spans="2:9" ht="15.75" thickBot="1" x14ac:dyDescent="0.3">
      <c r="B6" s="196" t="s">
        <v>0</v>
      </c>
      <c r="C6" s="197" t="s">
        <v>1</v>
      </c>
      <c r="D6" s="197" t="s">
        <v>150</v>
      </c>
      <c r="E6" s="198" t="s">
        <v>550</v>
      </c>
      <c r="F6" s="198" t="s">
        <v>551</v>
      </c>
      <c r="G6" s="197" t="s">
        <v>2</v>
      </c>
      <c r="H6" s="197" t="s">
        <v>492</v>
      </c>
      <c r="I6" s="199" t="s">
        <v>114</v>
      </c>
    </row>
    <row r="7" spans="2:9" ht="15.75" thickBot="1" x14ac:dyDescent="0.3">
      <c r="B7" s="231" t="s">
        <v>981</v>
      </c>
      <c r="C7" s="232" t="s">
        <v>899</v>
      </c>
      <c r="D7" s="233" t="b">
        <v>0</v>
      </c>
      <c r="E7" s="232"/>
      <c r="F7" s="232"/>
      <c r="G7" s="232"/>
      <c r="H7" s="232"/>
      <c r="I7" s="234" t="s">
        <v>900</v>
      </c>
    </row>
    <row r="8" spans="2:9" ht="15.75" thickBot="1" x14ac:dyDescent="0.3"/>
    <row r="9" spans="2:9" ht="15.75" thickBot="1" x14ac:dyDescent="0.3">
      <c r="B9" s="235" t="s">
        <v>1303</v>
      </c>
      <c r="C9" s="164" t="s">
        <v>1304</v>
      </c>
      <c r="D9" s="163"/>
      <c r="E9" s="163"/>
      <c r="F9" s="163"/>
      <c r="G9" s="163"/>
      <c r="H9" s="163"/>
      <c r="I9" s="163"/>
    </row>
    <row r="10" spans="2:9" ht="15.75" thickBot="1" x14ac:dyDescent="0.3">
      <c r="B10" s="196" t="s">
        <v>0</v>
      </c>
      <c r="C10" s="197" t="s">
        <v>1</v>
      </c>
      <c r="D10" s="197" t="s">
        <v>150</v>
      </c>
      <c r="E10" s="198" t="s">
        <v>550</v>
      </c>
      <c r="F10" s="198" t="s">
        <v>551</v>
      </c>
      <c r="G10" s="197" t="s">
        <v>2</v>
      </c>
      <c r="H10" s="197" t="s">
        <v>492</v>
      </c>
      <c r="I10" s="199" t="s">
        <v>114</v>
      </c>
    </row>
    <row r="11" spans="2:9" x14ac:dyDescent="0.25">
      <c r="B11" s="200" t="s">
        <v>1289</v>
      </c>
      <c r="C11" s="201"/>
      <c r="D11" s="201" t="b">
        <v>0</v>
      </c>
      <c r="E11" s="201"/>
      <c r="F11" s="201"/>
      <c r="G11" s="201"/>
      <c r="H11" s="201"/>
      <c r="I11" s="202" t="s">
        <v>1306</v>
      </c>
    </row>
    <row r="12" spans="2:9" x14ac:dyDescent="0.25">
      <c r="B12" s="200" t="s">
        <v>1305</v>
      </c>
      <c r="C12" s="201"/>
      <c r="D12" s="201" t="b">
        <v>0</v>
      </c>
      <c r="E12" s="201"/>
      <c r="F12" s="201"/>
      <c r="G12" s="201"/>
      <c r="H12" s="201"/>
      <c r="I12" s="202" t="s">
        <v>1306</v>
      </c>
    </row>
    <row r="13" spans="2:9" x14ac:dyDescent="0.25">
      <c r="B13" s="236" t="s">
        <v>1307</v>
      </c>
      <c r="C13" s="237"/>
      <c r="D13" s="237" t="b">
        <v>1</v>
      </c>
      <c r="E13" s="237"/>
      <c r="F13" s="237"/>
      <c r="G13" s="237"/>
      <c r="H13" s="237"/>
      <c r="I13" s="238" t="s">
        <v>1306</v>
      </c>
    </row>
    <row r="14" spans="2:9" ht="15.75" thickBot="1" x14ac:dyDescent="0.3">
      <c r="B14" s="239" t="s">
        <v>401</v>
      </c>
      <c r="C14" s="240"/>
      <c r="D14" s="240" t="b">
        <v>1</v>
      </c>
      <c r="E14" s="240"/>
      <c r="F14" s="240"/>
      <c r="G14" s="240"/>
      <c r="H14" s="240"/>
      <c r="I14" s="241" t="s">
        <v>1306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0"/>
  <dimension ref="B1:G4"/>
  <sheetViews>
    <sheetView showGridLines="0" zoomScale="110" zoomScaleNormal="110" workbookViewId="0">
      <selection activeCell="C10" sqref="C10"/>
    </sheetView>
  </sheetViews>
  <sheetFormatPr defaultColWidth="9.140625" defaultRowHeight="15" x14ac:dyDescent="0.25"/>
  <cols>
    <col min="1" max="1" width="3.140625" customWidth="1"/>
    <col min="2" max="2" width="10.42578125" customWidth="1"/>
    <col min="3" max="3" width="26.42578125" customWidth="1"/>
    <col min="4" max="4" width="30" customWidth="1"/>
    <col min="5" max="5" width="12.28515625" customWidth="1"/>
    <col min="6" max="6" width="9.85546875" customWidth="1"/>
    <col min="7" max="7" width="20.85546875" customWidth="1"/>
  </cols>
  <sheetData>
    <row r="1" spans="2:7" s="46" customFormat="1" ht="44.25" customHeight="1" thickBot="1" x14ac:dyDescent="0.3"/>
    <row r="2" spans="2:7" ht="16.5" customHeight="1" thickBot="1" x14ac:dyDescent="0.3">
      <c r="B2" s="3"/>
      <c r="C2" s="60"/>
      <c r="D2" s="59"/>
      <c r="E2" s="3"/>
      <c r="F2" s="3"/>
      <c r="G2" s="3"/>
    </row>
    <row r="3" spans="2:7" ht="13.5" customHeight="1" thickBot="1" x14ac:dyDescent="0.3">
      <c r="B3" s="62"/>
      <c r="C3" s="63" t="s">
        <v>1</v>
      </c>
      <c r="D3" s="63" t="s">
        <v>4</v>
      </c>
      <c r="E3" s="65" t="s">
        <v>2</v>
      </c>
      <c r="F3" s="66" t="s">
        <v>114</v>
      </c>
      <c r="G3" s="64" t="s">
        <v>115</v>
      </c>
    </row>
    <row r="4" spans="2:7" ht="20.25" customHeight="1" x14ac:dyDescent="0.25">
      <c r="B4" s="41"/>
      <c r="C4" s="41"/>
      <c r="D4" s="40"/>
      <c r="E4" s="42"/>
      <c r="F4" s="43"/>
      <c r="G4" s="43"/>
    </row>
  </sheetData>
  <phoneticPr fontId="1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2"/>
  <dimension ref="A1:BU18"/>
  <sheetViews>
    <sheetView workbookViewId="0">
      <selection activeCell="J15" sqref="J15"/>
    </sheetView>
  </sheetViews>
  <sheetFormatPr defaultColWidth="9.140625" defaultRowHeight="15" x14ac:dyDescent="0.25"/>
  <cols>
    <col min="1" max="1" width="9.140625" style="7"/>
    <col min="2" max="7" width="16.42578125" style="7" customWidth="1"/>
    <col min="8" max="73" width="9.140625" style="7"/>
  </cols>
  <sheetData>
    <row r="1" spans="2:7" ht="15.75" thickBot="1" x14ac:dyDescent="0.3"/>
    <row r="2" spans="2:7" x14ac:dyDescent="0.25">
      <c r="B2" s="8"/>
      <c r="C2" s="9"/>
      <c r="D2" s="9"/>
      <c r="E2" s="9"/>
      <c r="F2" s="9"/>
      <c r="G2" s="10"/>
    </row>
    <row r="3" spans="2:7" x14ac:dyDescent="0.25">
      <c r="B3" s="419" t="s">
        <v>107</v>
      </c>
      <c r="C3" s="420"/>
      <c r="D3" s="420"/>
      <c r="E3" s="420"/>
      <c r="F3" s="420"/>
      <c r="G3" s="421"/>
    </row>
    <row r="4" spans="2:7" x14ac:dyDescent="0.25">
      <c r="B4" s="419"/>
      <c r="C4" s="420"/>
      <c r="D4" s="420"/>
      <c r="E4" s="420"/>
      <c r="F4" s="420"/>
      <c r="G4" s="421"/>
    </row>
    <row r="5" spans="2:7" x14ac:dyDescent="0.25">
      <c r="B5" s="419"/>
      <c r="C5" s="420"/>
      <c r="D5" s="420"/>
      <c r="E5" s="420"/>
      <c r="F5" s="420"/>
      <c r="G5" s="421"/>
    </row>
    <row r="6" spans="2:7" x14ac:dyDescent="0.25">
      <c r="B6" s="419"/>
      <c r="C6" s="420"/>
      <c r="D6" s="420"/>
      <c r="E6" s="420"/>
      <c r="F6" s="420"/>
      <c r="G6" s="421"/>
    </row>
    <row r="7" spans="2:7" x14ac:dyDescent="0.25">
      <c r="B7" s="419"/>
      <c r="C7" s="420"/>
      <c r="D7" s="420"/>
      <c r="E7" s="420"/>
      <c r="F7" s="420"/>
      <c r="G7" s="421"/>
    </row>
    <row r="8" spans="2:7" ht="15.75" thickBot="1" x14ac:dyDescent="0.3">
      <c r="B8" s="422"/>
      <c r="C8" s="423"/>
      <c r="D8" s="423"/>
      <c r="E8" s="423"/>
      <c r="F8" s="423"/>
      <c r="G8" s="424"/>
    </row>
    <row r="10" spans="2:7" x14ac:dyDescent="0.25">
      <c r="B10" s="425"/>
      <c r="C10" s="425"/>
      <c r="D10" s="425"/>
      <c r="E10" s="425"/>
      <c r="F10" s="425"/>
      <c r="G10" s="425"/>
    </row>
    <row r="11" spans="2:7" x14ac:dyDescent="0.25">
      <c r="B11" s="425"/>
      <c r="C11" s="425"/>
      <c r="D11" s="425"/>
      <c r="E11" s="425"/>
      <c r="F11" s="425"/>
      <c r="G11" s="425"/>
    </row>
    <row r="12" spans="2:7" x14ac:dyDescent="0.25">
      <c r="B12" s="425"/>
      <c r="C12" s="425"/>
      <c r="D12" s="425"/>
      <c r="E12" s="425"/>
      <c r="F12" s="425"/>
      <c r="G12" s="425"/>
    </row>
    <row r="13" spans="2:7" x14ac:dyDescent="0.25">
      <c r="B13" s="425"/>
      <c r="C13" s="425"/>
      <c r="D13" s="425"/>
      <c r="E13" s="425"/>
      <c r="F13" s="425"/>
      <c r="G13" s="425"/>
    </row>
    <row r="14" spans="2:7" x14ac:dyDescent="0.25">
      <c r="B14" s="425"/>
      <c r="C14" s="425"/>
      <c r="D14" s="425"/>
      <c r="E14" s="425"/>
      <c r="F14" s="425"/>
      <c r="G14" s="425"/>
    </row>
    <row r="15" spans="2:7" x14ac:dyDescent="0.25">
      <c r="B15" s="425"/>
      <c r="C15" s="425"/>
      <c r="D15" s="425"/>
      <c r="E15" s="425"/>
      <c r="F15" s="425"/>
      <c r="G15" s="425"/>
    </row>
    <row r="16" spans="2:7" x14ac:dyDescent="0.25">
      <c r="B16" s="425"/>
      <c r="C16" s="425"/>
      <c r="D16" s="425"/>
      <c r="E16" s="425"/>
      <c r="F16" s="425"/>
      <c r="G16" s="425"/>
    </row>
    <row r="17" spans="2:7" x14ac:dyDescent="0.25">
      <c r="B17" s="425"/>
      <c r="C17" s="425"/>
      <c r="D17" s="425"/>
      <c r="E17" s="425"/>
      <c r="F17" s="425"/>
      <c r="G17" s="425"/>
    </row>
    <row r="18" spans="2:7" x14ac:dyDescent="0.25">
      <c r="B18" s="425"/>
      <c r="C18" s="425"/>
      <c r="D18" s="425"/>
      <c r="E18" s="425"/>
      <c r="F18" s="425"/>
      <c r="G18" s="425"/>
    </row>
  </sheetData>
  <sheetProtection selectLockedCells="1" selectUnlockedCells="1"/>
  <mergeCells count="2">
    <mergeCell ref="B3:G8"/>
    <mergeCell ref="B10:G18"/>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1"/>
  <dimension ref="A1:C9"/>
  <sheetViews>
    <sheetView workbookViewId="0">
      <selection activeCell="A10" sqref="A10"/>
    </sheetView>
  </sheetViews>
  <sheetFormatPr defaultColWidth="9.140625" defaultRowHeight="15" x14ac:dyDescent="0.25"/>
  <cols>
    <col min="1" max="1" width="14.140625" bestFit="1" customWidth="1"/>
    <col min="2" max="2" width="4" bestFit="1" customWidth="1"/>
    <col min="3" max="3" width="12.85546875" bestFit="1" customWidth="1"/>
  </cols>
  <sheetData>
    <row r="1" spans="1:3" x14ac:dyDescent="0.25">
      <c r="A1" t="s">
        <v>105</v>
      </c>
      <c r="B1" s="6">
        <v>387</v>
      </c>
    </row>
    <row r="2" spans="1:3" x14ac:dyDescent="0.25">
      <c r="A2" t="s">
        <v>106</v>
      </c>
      <c r="B2" s="6">
        <v>441</v>
      </c>
    </row>
    <row r="3" spans="1:3" x14ac:dyDescent="0.25">
      <c r="A3" t="s">
        <v>108</v>
      </c>
      <c r="B3">
        <v>517</v>
      </c>
    </row>
    <row r="4" spans="1:3" x14ac:dyDescent="0.25">
      <c r="A4" t="s">
        <v>111</v>
      </c>
      <c r="B4">
        <v>444</v>
      </c>
    </row>
    <row r="5" spans="1:3" x14ac:dyDescent="0.25">
      <c r="A5" t="s">
        <v>118</v>
      </c>
      <c r="B5">
        <v>364</v>
      </c>
    </row>
    <row r="6" spans="1:3" x14ac:dyDescent="0.25">
      <c r="A6" t="s">
        <v>124</v>
      </c>
      <c r="B6">
        <v>418</v>
      </c>
    </row>
    <row r="7" spans="1:3" x14ac:dyDescent="0.25">
      <c r="A7" t="s">
        <v>125</v>
      </c>
      <c r="B7">
        <v>510</v>
      </c>
    </row>
    <row r="8" spans="1:3" x14ac:dyDescent="0.25">
      <c r="A8" t="s">
        <v>127</v>
      </c>
      <c r="B8">
        <v>452</v>
      </c>
      <c r="C8" t="s">
        <v>128</v>
      </c>
    </row>
    <row r="9" spans="1:3" x14ac:dyDescent="0.25">
      <c r="A9" t="s">
        <v>129</v>
      </c>
      <c r="B9">
        <v>611</v>
      </c>
      <c r="C9" t="s">
        <v>130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H3"/>
  <sheetViews>
    <sheetView workbookViewId="0">
      <selection activeCell="D1" sqref="D1"/>
    </sheetView>
  </sheetViews>
  <sheetFormatPr defaultColWidth="9.140625" defaultRowHeight="15" x14ac:dyDescent="0.25"/>
  <cols>
    <col min="3" max="3" width="26.42578125" customWidth="1"/>
    <col min="6" max="6" width="10.5703125" customWidth="1"/>
    <col min="8" max="8" width="25.5703125" customWidth="1"/>
  </cols>
  <sheetData>
    <row r="1" spans="2:8" s="46" customFormat="1" ht="43.5" customHeight="1" thickBot="1" x14ac:dyDescent="0.3"/>
    <row r="2" spans="2:8" ht="15.75" thickBot="1" x14ac:dyDescent="0.3">
      <c r="B2" s="124"/>
      <c r="C2" s="165" t="s">
        <v>7</v>
      </c>
      <c r="D2" s="124"/>
      <c r="E2" s="124"/>
      <c r="F2" s="124"/>
      <c r="G2" s="103"/>
      <c r="H2" s="103"/>
    </row>
    <row r="3" spans="2:8" ht="15.75" thickBot="1" x14ac:dyDescent="0.3">
      <c r="B3" s="166" t="s">
        <v>0</v>
      </c>
      <c r="C3" s="167" t="s">
        <v>1</v>
      </c>
      <c r="D3" s="168" t="s">
        <v>150</v>
      </c>
      <c r="E3" s="167" t="s">
        <v>2</v>
      </c>
      <c r="F3" s="167" t="s">
        <v>492</v>
      </c>
      <c r="G3" s="167" t="s">
        <v>114</v>
      </c>
      <c r="H3" s="169" t="s">
        <v>115</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Munkalapok</vt:lpstr>
      </vt:variant>
      <vt:variant>
        <vt:i4>15</vt:i4>
      </vt:variant>
      <vt:variant>
        <vt:lpstr>Névvel ellátott tartományok</vt:lpstr>
      </vt:variant>
      <vt:variant>
        <vt:i4>995</vt:i4>
      </vt:variant>
    </vt:vector>
  </HeadingPairs>
  <TitlesOfParts>
    <vt:vector size="1010" baseType="lpstr">
      <vt:lpstr>systemcode_constants</vt:lpstr>
      <vt:lpstr>Help</vt:lpstr>
      <vt:lpstr>Parameters</vt:lpstr>
      <vt:lpstr>Model</vt:lpstr>
      <vt:lpstr>pH</vt:lpstr>
      <vt:lpstr>Tableau</vt:lpstr>
      <vt:lpstr>Components</vt:lpstr>
      <vt:lpstr>Algebraic model</vt:lpstr>
      <vt:lpstr>Expert knowledge</vt:lpstr>
      <vt:lpstr>Functions</vt:lpstr>
      <vt:lpstr>Calculated variables</vt:lpstr>
      <vt:lpstr>systemcode_functions</vt:lpstr>
      <vt:lpstr>other parameters</vt:lpstr>
      <vt:lpstr>Code</vt:lpstr>
      <vt:lpstr>Species</vt:lpstr>
      <vt:lpstr>A_dvanced</vt:lpstr>
      <vt:lpstr>A_H2O</vt:lpstr>
      <vt:lpstr>A_MAc</vt:lpstr>
      <vt:lpstr>A_MAg</vt:lpstr>
      <vt:lpstr>A_MAl</vt:lpstr>
      <vt:lpstr>A_MAm</vt:lpstr>
      <vt:lpstr>A_MAr</vt:lpstr>
      <vt:lpstr>A_MAs</vt:lpstr>
      <vt:lpstr>A_MAt</vt:lpstr>
      <vt:lpstr>A_MAu</vt:lpstr>
      <vt:lpstr>A_MB</vt:lpstr>
      <vt:lpstr>A_MBa</vt:lpstr>
      <vt:lpstr>A_MBe</vt:lpstr>
      <vt:lpstr>A_MBh</vt:lpstr>
      <vt:lpstr>A_MBi</vt:lpstr>
      <vt:lpstr>A_MBk</vt:lpstr>
      <vt:lpstr>A_MBr</vt:lpstr>
      <vt:lpstr>A_MC</vt:lpstr>
      <vt:lpstr>A_MCa</vt:lpstr>
      <vt:lpstr>A_MCd</vt:lpstr>
      <vt:lpstr>A_MCe</vt:lpstr>
      <vt:lpstr>A_MCf</vt:lpstr>
      <vt:lpstr>A_MCl</vt:lpstr>
      <vt:lpstr>A_MCm</vt:lpstr>
      <vt:lpstr>A_MCn</vt:lpstr>
      <vt:lpstr>A_MCo</vt:lpstr>
      <vt:lpstr>A_MCr</vt:lpstr>
      <vt:lpstr>A_MCu</vt:lpstr>
      <vt:lpstr>A_MCs</vt:lpstr>
      <vt:lpstr>A_MDb</vt:lpstr>
      <vt:lpstr>A_MDs</vt:lpstr>
      <vt:lpstr>A_MDy</vt:lpstr>
      <vt:lpstr>A_MEr</vt:lpstr>
      <vt:lpstr>A_MEs</vt:lpstr>
      <vt:lpstr>A_MEu</vt:lpstr>
      <vt:lpstr>A_MF</vt:lpstr>
      <vt:lpstr>A_MFe</vt:lpstr>
      <vt:lpstr>A_MFl</vt:lpstr>
      <vt:lpstr>A_MFm</vt:lpstr>
      <vt:lpstr>A_MFr</vt:lpstr>
      <vt:lpstr>A_MGa</vt:lpstr>
      <vt:lpstr>A_MGd</vt:lpstr>
      <vt:lpstr>A_MGe</vt:lpstr>
      <vt:lpstr>A_MH</vt:lpstr>
      <vt:lpstr>A_MHe</vt:lpstr>
      <vt:lpstr>A_MHf</vt:lpstr>
      <vt:lpstr>A_MHg</vt:lpstr>
      <vt:lpstr>A_MHo</vt:lpstr>
      <vt:lpstr>A_MHs</vt:lpstr>
      <vt:lpstr>A_MI</vt:lpstr>
      <vt:lpstr>A_MIn</vt:lpstr>
      <vt:lpstr>A_MIr</vt:lpstr>
      <vt:lpstr>A_MK</vt:lpstr>
      <vt:lpstr>A_MKr</vt:lpstr>
      <vt:lpstr>A_MLa</vt:lpstr>
      <vt:lpstr>A_MLi</vt:lpstr>
      <vt:lpstr>A_MLr</vt:lpstr>
      <vt:lpstr>A_MLu</vt:lpstr>
      <vt:lpstr>A_MLv</vt:lpstr>
      <vt:lpstr>A_MMd</vt:lpstr>
      <vt:lpstr>A_MMg</vt:lpstr>
      <vt:lpstr>A_MMn</vt:lpstr>
      <vt:lpstr>A_MMo</vt:lpstr>
      <vt:lpstr>A_MMt</vt:lpstr>
      <vt:lpstr>A_MN</vt:lpstr>
      <vt:lpstr>A_MNa</vt:lpstr>
      <vt:lpstr>A_MNb</vt:lpstr>
      <vt:lpstr>A_MNd</vt:lpstr>
      <vt:lpstr>A_MNe</vt:lpstr>
      <vt:lpstr>A_MNi</vt:lpstr>
      <vt:lpstr>A_MNo</vt:lpstr>
      <vt:lpstr>A_MNp</vt:lpstr>
      <vt:lpstr>A_MO</vt:lpstr>
      <vt:lpstr>A_MOs</vt:lpstr>
      <vt:lpstr>A_MP</vt:lpstr>
      <vt:lpstr>A_MPa</vt:lpstr>
      <vt:lpstr>A_MPb</vt:lpstr>
      <vt:lpstr>A_MPd</vt:lpstr>
      <vt:lpstr>A_MPm</vt:lpstr>
      <vt:lpstr>A_MPo</vt:lpstr>
      <vt:lpstr>A_MPr</vt:lpstr>
      <vt:lpstr>A_MPt</vt:lpstr>
      <vt:lpstr>A_MPu</vt:lpstr>
      <vt:lpstr>A_MRa</vt:lpstr>
      <vt:lpstr>A_MRb</vt:lpstr>
      <vt:lpstr>A_MRe</vt:lpstr>
      <vt:lpstr>A_MRf</vt:lpstr>
      <vt:lpstr>A_MRg</vt:lpstr>
      <vt:lpstr>A_MRh</vt:lpstr>
      <vt:lpstr>A_MRn</vt:lpstr>
      <vt:lpstr>A_MRu</vt:lpstr>
      <vt:lpstr>A_MS</vt:lpstr>
      <vt:lpstr>A_MSb</vt:lpstr>
      <vt:lpstr>A_MSc</vt:lpstr>
      <vt:lpstr>A_MSe</vt:lpstr>
      <vt:lpstr>A_MSg</vt:lpstr>
      <vt:lpstr>A_MSi</vt:lpstr>
      <vt:lpstr>A_MSm</vt:lpstr>
      <vt:lpstr>A_MSn</vt:lpstr>
      <vt:lpstr>A_MSr</vt:lpstr>
      <vt:lpstr>A_MTa</vt:lpstr>
      <vt:lpstr>A_MTb</vt:lpstr>
      <vt:lpstr>A_MTc</vt:lpstr>
      <vt:lpstr>A_MTe</vt:lpstr>
      <vt:lpstr>A_MTh</vt:lpstr>
      <vt:lpstr>A_MTi</vt:lpstr>
      <vt:lpstr>A_MTl</vt:lpstr>
      <vt:lpstr>A_MTm</vt:lpstr>
      <vt:lpstr>A_MU</vt:lpstr>
      <vt:lpstr>A_MUuo</vt:lpstr>
      <vt:lpstr>A_MUup</vt:lpstr>
      <vt:lpstr>A_MUus</vt:lpstr>
      <vt:lpstr>A_MUut</vt:lpstr>
      <vt:lpstr>A_MV</vt:lpstr>
      <vt:lpstr>A_MW</vt:lpstr>
      <vt:lpstr>A_MXe</vt:lpstr>
      <vt:lpstr>A_MY</vt:lpstr>
      <vt:lpstr>A_MYb</vt:lpstr>
      <vt:lpstr>A_MZn</vt:lpstr>
      <vt:lpstr>A_MZr</vt:lpstr>
      <vt:lpstr>A_UR</vt:lpstr>
      <vt:lpstr>b_A</vt:lpstr>
      <vt:lpstr>b_H</vt:lpstr>
      <vt:lpstr>B_H2O</vt:lpstr>
      <vt:lpstr>c_cm_m</vt:lpstr>
      <vt:lpstr>c_cm2_m2</vt:lpstr>
      <vt:lpstr>c_cm3_m3</vt:lpstr>
      <vt:lpstr>c_g_kg</vt:lpstr>
      <vt:lpstr>c_h_d</vt:lpstr>
      <vt:lpstr>C_H2O</vt:lpstr>
      <vt:lpstr>c_kJ_MJ</vt:lpstr>
      <vt:lpstr>c_L_m3</vt:lpstr>
      <vt:lpstr>c_mg_g</vt:lpstr>
      <vt:lpstr>c_min_h</vt:lpstr>
      <vt:lpstr>c_ms_d</vt:lpstr>
      <vt:lpstr>c_ms_h</vt:lpstr>
      <vt:lpstr>c_ms_min</vt:lpstr>
      <vt:lpstr>c_ms_s</vt:lpstr>
      <vt:lpstr>c_p_water</vt:lpstr>
      <vt:lpstr>c_Pa_bar</vt:lpstr>
      <vt:lpstr>c_Pa_Hgmm</vt:lpstr>
      <vt:lpstr>c_percent_fraction</vt:lpstr>
      <vt:lpstr>c_percent_Vconc</vt:lpstr>
      <vt:lpstr>c_ppm_Vconc</vt:lpstr>
      <vt:lpstr>c_s_d</vt:lpstr>
      <vt:lpstr>c_s_h</vt:lpstr>
      <vt:lpstr>conc_Hp_Ieq</vt:lpstr>
      <vt:lpstr>D_CB</vt:lpstr>
      <vt:lpstr>D_CU</vt:lpstr>
      <vt:lpstr>D_GCH4_25</vt:lpstr>
      <vt:lpstr>D_GCO2_25</vt:lpstr>
      <vt:lpstr>D_GH2_25</vt:lpstr>
      <vt:lpstr>D_GH2S_25</vt:lpstr>
      <vt:lpstr>D_GN2_25</vt:lpstr>
      <vt:lpstr>D_GN2O_25</vt:lpstr>
      <vt:lpstr>D_GNH3_25</vt:lpstr>
      <vt:lpstr>D_GNO_25</vt:lpstr>
      <vt:lpstr>D_GO2_25</vt:lpstr>
      <vt:lpstr>d_HCaCO3</vt:lpstr>
      <vt:lpstr>d_HCaH2PO4p</vt:lpstr>
      <vt:lpstr>d_HCaHCO3p</vt:lpstr>
      <vt:lpstr>d_HCaHPO4</vt:lpstr>
      <vt:lpstr>d_HCaOHp</vt:lpstr>
      <vt:lpstr>d_HCaPO4m</vt:lpstr>
      <vt:lpstr>d_Hdiss_CO2_1</vt:lpstr>
      <vt:lpstr>d_Hdiss_CO2_2</vt:lpstr>
      <vt:lpstr>d_Hdiss_H2O</vt:lpstr>
      <vt:lpstr>d_Hdiss_NO2</vt:lpstr>
      <vt:lpstr>d_Hdiss_PO4_1</vt:lpstr>
      <vt:lpstr>d_Hdiss_PO4_2</vt:lpstr>
      <vt:lpstr>d_Hdiss_PO4_3</vt:lpstr>
      <vt:lpstr>d_Hdiss_S_1</vt:lpstr>
      <vt:lpstr>d_Hdiss_S_2</vt:lpstr>
      <vt:lpstr>d_Hdiss_SO4_1</vt:lpstr>
      <vt:lpstr>d_Hdiss_SO4_2</vt:lpstr>
      <vt:lpstr>d_Hdiss_VFA</vt:lpstr>
      <vt:lpstr>d_Hion_amm</vt:lpstr>
      <vt:lpstr>d_HMgCO3</vt:lpstr>
      <vt:lpstr>d_HMgH2PO4p</vt:lpstr>
      <vt:lpstr>d_HMgHCO3p</vt:lpstr>
      <vt:lpstr>d_HMgHPO4</vt:lpstr>
      <vt:lpstr>d_HMgOHp</vt:lpstr>
      <vt:lpstr>d_HMgPO4m</vt:lpstr>
      <vt:lpstr>d_HNaHPO4m</vt:lpstr>
      <vt:lpstr>D_NBS</vt:lpstr>
      <vt:lpstr>D_NH3</vt:lpstr>
      <vt:lpstr>D_NO3</vt:lpstr>
      <vt:lpstr>D_NUS</vt:lpstr>
      <vt:lpstr>D_PO4</vt:lpstr>
      <vt:lpstr>D_SA</vt:lpstr>
      <vt:lpstr>D_SALK</vt:lpstr>
      <vt:lpstr>D_SAN</vt:lpstr>
      <vt:lpstr>D_SB</vt:lpstr>
      <vt:lpstr>D_SB_mono</vt:lpstr>
      <vt:lpstr>D_SB_poly</vt:lpstr>
      <vt:lpstr>D_SBSA</vt:lpstr>
      <vt:lpstr>D_SBSC</vt:lpstr>
      <vt:lpstr>D_SCa</vt:lpstr>
      <vt:lpstr>D_SCAT</vt:lpstr>
      <vt:lpstr>D_SCH4</vt:lpstr>
      <vt:lpstr>D_SCO2</vt:lpstr>
      <vt:lpstr>D_SF</vt:lpstr>
      <vt:lpstr>D_SFe2</vt:lpstr>
      <vt:lpstr>D_SH2</vt:lpstr>
      <vt:lpstr>D_SH2S</vt:lpstr>
      <vt:lpstr>D_SI</vt:lpstr>
      <vt:lpstr>D_SK</vt:lpstr>
      <vt:lpstr>D_SMEOL</vt:lpstr>
      <vt:lpstr>D_SMg</vt:lpstr>
      <vt:lpstr>D_SMM_index</vt:lpstr>
      <vt:lpstr>D_SN_B</vt:lpstr>
      <vt:lpstr>D_SN2</vt:lpstr>
      <vt:lpstr>D_SND</vt:lpstr>
      <vt:lpstr>D_SNH</vt:lpstr>
      <vt:lpstr>D_SNH4</vt:lpstr>
      <vt:lpstr>D_SNHx</vt:lpstr>
      <vt:lpstr>D_SNO2</vt:lpstr>
      <vt:lpstr>D_SNO3</vt:lpstr>
      <vt:lpstr>D_SNOx</vt:lpstr>
      <vt:lpstr>D_SO2</vt:lpstr>
      <vt:lpstr>D_SP_B</vt:lpstr>
      <vt:lpstr>D_SPO</vt:lpstr>
      <vt:lpstr>D_SPO4</vt:lpstr>
      <vt:lpstr>D_SS</vt:lpstr>
      <vt:lpstr>D_SSO4</vt:lpstr>
      <vt:lpstr>D_SU</vt:lpstr>
      <vt:lpstr>D_SUS</vt:lpstr>
      <vt:lpstr>D_SVFA</vt:lpstr>
      <vt:lpstr>E_EQFe2</vt:lpstr>
      <vt:lpstr>E_EQH2S</vt:lpstr>
      <vt:lpstr>E_EQN2</vt:lpstr>
      <vt:lpstr>E_EQN2_N2O</vt:lpstr>
      <vt:lpstr>E_EQN2_NO2</vt:lpstr>
      <vt:lpstr>E_EQN2_NO3</vt:lpstr>
      <vt:lpstr>E_EQN2O</vt:lpstr>
      <vt:lpstr>E_EQN2O_NO</vt:lpstr>
      <vt:lpstr>E_EQNO</vt:lpstr>
      <vt:lpstr>E_EQNO_NO2</vt:lpstr>
      <vt:lpstr>E_EQNO2</vt:lpstr>
      <vt:lpstr>E_EQNO2_NO3</vt:lpstr>
      <vt:lpstr>E_EQNO3</vt:lpstr>
      <vt:lpstr>E_EQS</vt:lpstr>
      <vt:lpstr>F__</vt:lpstr>
      <vt:lpstr>f_Ar_air</vt:lpstr>
      <vt:lpstr>f_BOD5_BODult</vt:lpstr>
      <vt:lpstr>f_CO2_air</vt:lpstr>
      <vt:lpstr>f_di_IS_an</vt:lpstr>
      <vt:lpstr>f_di_IS_cat</vt:lpstr>
      <vt:lpstr>f_GLY_max</vt:lpstr>
      <vt:lpstr>f_mono_IS_an</vt:lpstr>
      <vt:lpstr>f_mono_IS_cat</vt:lpstr>
      <vt:lpstr>f_N2_air</vt:lpstr>
      <vt:lpstr>f_O2_air</vt:lpstr>
      <vt:lpstr>f_PP_max</vt:lpstr>
      <vt:lpstr>f_SI</vt:lpstr>
      <vt:lpstr>f_tri_IS_an</vt:lpstr>
      <vt:lpstr>f_tri_IS_cat</vt:lpstr>
      <vt:lpstr>f_XI_A</vt:lpstr>
      <vt:lpstr>f_XI_H</vt:lpstr>
      <vt:lpstr>G_CH4_atm</vt:lpstr>
      <vt:lpstr>G_CO2_atm</vt:lpstr>
      <vt:lpstr>g_grav</vt:lpstr>
      <vt:lpstr>G_H2_atm</vt:lpstr>
      <vt:lpstr>G_H2S_atm</vt:lpstr>
      <vt:lpstr>G_N2_atm</vt:lpstr>
      <vt:lpstr>G_NH3_atm</vt:lpstr>
      <vt:lpstr>G_O2_atm</vt:lpstr>
      <vt:lpstr>g_PP</vt:lpstr>
      <vt:lpstr>H_Acm</vt:lpstr>
      <vt:lpstr>H_Ca2p</vt:lpstr>
      <vt:lpstr>H_CO32m</vt:lpstr>
      <vt:lpstr>H_enryGCH4_25</vt:lpstr>
      <vt:lpstr>H_enryGCH4_dt</vt:lpstr>
      <vt:lpstr>H_enryGCO2_25</vt:lpstr>
      <vt:lpstr>H_enryGCO2_dt</vt:lpstr>
      <vt:lpstr>H_enryGH2_25</vt:lpstr>
      <vt:lpstr>H_enryGH2_dt</vt:lpstr>
      <vt:lpstr>H_enryGH2S_25</vt:lpstr>
      <vt:lpstr>H_enryGH2S_dt</vt:lpstr>
      <vt:lpstr>H_enryGN2_25</vt:lpstr>
      <vt:lpstr>H_enryGN2_dt</vt:lpstr>
      <vt:lpstr>H_enryGN2O_25</vt:lpstr>
      <vt:lpstr>H_enryGN2O_dt</vt:lpstr>
      <vt:lpstr>H_enryGNH3_25</vt:lpstr>
      <vt:lpstr>H_enryGNH3_dt</vt:lpstr>
      <vt:lpstr>H_enryGNO_25</vt:lpstr>
      <vt:lpstr>H_enryGNO_dt</vt:lpstr>
      <vt:lpstr>H_enryGO2_25</vt:lpstr>
      <vt:lpstr>H_enryGO2_dt</vt:lpstr>
      <vt:lpstr>H_H2CO3</vt:lpstr>
      <vt:lpstr>H_H2O</vt:lpstr>
      <vt:lpstr>H_H2PO4m</vt:lpstr>
      <vt:lpstr>H_H2S</vt:lpstr>
      <vt:lpstr>H_H2SO4</vt:lpstr>
      <vt:lpstr>H_H3Op</vt:lpstr>
      <vt:lpstr>H_H3PO4</vt:lpstr>
      <vt:lpstr>H_HAc</vt:lpstr>
      <vt:lpstr>H_HCO3m</vt:lpstr>
      <vt:lpstr>H_HNO2</vt:lpstr>
      <vt:lpstr>H_Hp</vt:lpstr>
      <vt:lpstr>H_HPO42m</vt:lpstr>
      <vt:lpstr>H_HSm</vt:lpstr>
      <vt:lpstr>H_HSO4m</vt:lpstr>
      <vt:lpstr>H_Mg2p</vt:lpstr>
      <vt:lpstr>H_Nap</vt:lpstr>
      <vt:lpstr>H_NH3</vt:lpstr>
      <vt:lpstr>H_NH4p</vt:lpstr>
      <vt:lpstr>H_NO2m</vt:lpstr>
      <vt:lpstr>H_NO3m</vt:lpstr>
      <vt:lpstr>H_null</vt:lpstr>
      <vt:lpstr>H_OHm</vt:lpstr>
      <vt:lpstr>H_PO43m</vt:lpstr>
      <vt:lpstr>H_S2m</vt:lpstr>
      <vt:lpstr>H_SO42m</vt:lpstr>
      <vt:lpstr>H_STP</vt:lpstr>
      <vt:lpstr>i_Charge_SNHx</vt:lpstr>
      <vt:lpstr>i_Charge_SNOx</vt:lpstr>
      <vt:lpstr>i_Charge_SPO4</vt:lpstr>
      <vt:lpstr>i_Charge_SVFA</vt:lpstr>
      <vt:lpstr>i_Charge_XPAO_PP</vt:lpstr>
      <vt:lpstr>i_COD_N2</vt:lpstr>
      <vt:lpstr>i_COD_NO3</vt:lpstr>
      <vt:lpstr>i_CV</vt:lpstr>
      <vt:lpstr>i_CV_SA</vt:lpstr>
      <vt:lpstr>i_CV_SF</vt:lpstr>
      <vt:lpstr>i_CV_SI</vt:lpstr>
      <vt:lpstr>i_N_BM</vt:lpstr>
      <vt:lpstr>i_N_SF</vt:lpstr>
      <vt:lpstr>i_N_SI</vt:lpstr>
      <vt:lpstr>i_N_XI</vt:lpstr>
      <vt:lpstr>i_N_XS</vt:lpstr>
      <vt:lpstr>i_NO3_N2</vt:lpstr>
      <vt:lpstr>i_P_BM</vt:lpstr>
      <vt:lpstr>i_P_SF</vt:lpstr>
      <vt:lpstr>i_P_SI</vt:lpstr>
      <vt:lpstr>i_P_XI</vt:lpstr>
      <vt:lpstr>i_P_XS</vt:lpstr>
      <vt:lpstr>i_TSS_BM</vt:lpstr>
      <vt:lpstr>i_TSS_GLY</vt:lpstr>
      <vt:lpstr>i_TSS_PHA</vt:lpstr>
      <vt:lpstr>i_TSS_PP</vt:lpstr>
      <vt:lpstr>i_TSS_XI</vt:lpstr>
      <vt:lpstr>i_TSS_XS</vt:lpstr>
      <vt:lpstr>K_ac</vt:lpstr>
      <vt:lpstr>K_Ac_param</vt:lpstr>
      <vt:lpstr>K_C1_param</vt:lpstr>
      <vt:lpstr>K_C2_param</vt:lpstr>
      <vt:lpstr>K_F</vt:lpstr>
      <vt:lpstr>K_fe</vt:lpstr>
      <vt:lpstr>K_fGLY</vt:lpstr>
      <vt:lpstr>K_fPHA</vt:lpstr>
      <vt:lpstr>K_fPP</vt:lpstr>
      <vt:lpstr>K_GLY</vt:lpstr>
      <vt:lpstr>K_H2S_param</vt:lpstr>
      <vt:lpstr>K_HCO_A</vt:lpstr>
      <vt:lpstr>K_HCO_H</vt:lpstr>
      <vt:lpstr>K_HCO_PAO</vt:lpstr>
      <vt:lpstr>K_N_H</vt:lpstr>
      <vt:lpstr>K_N_PAO</vt:lpstr>
      <vt:lpstr>K_NH_A</vt:lpstr>
      <vt:lpstr>K_NH3_param</vt:lpstr>
      <vt:lpstr>K_NO_H</vt:lpstr>
      <vt:lpstr>K_NO_HYD</vt:lpstr>
      <vt:lpstr>K_NO_PAO</vt:lpstr>
      <vt:lpstr>K_NO2_param</vt:lpstr>
      <vt:lpstr>K_O_A</vt:lpstr>
      <vt:lpstr>K_O_H</vt:lpstr>
      <vt:lpstr>K_O_HYD</vt:lpstr>
      <vt:lpstr>K_O_PAO</vt:lpstr>
      <vt:lpstr>K_P_A</vt:lpstr>
      <vt:lpstr>K_P_H</vt:lpstr>
      <vt:lpstr>K_P_PAO</vt:lpstr>
      <vt:lpstr>K_P1_param</vt:lpstr>
      <vt:lpstr>K_P2_param</vt:lpstr>
      <vt:lpstr>K_P3_param</vt:lpstr>
      <vt:lpstr>K_PHA</vt:lpstr>
      <vt:lpstr>K_PP</vt:lpstr>
      <vt:lpstr>K_S1_param</vt:lpstr>
      <vt:lpstr>K_S2_param</vt:lpstr>
      <vt:lpstr>K_SO41_param</vt:lpstr>
      <vt:lpstr>K_SO42_param</vt:lpstr>
      <vt:lpstr>K_sp_ACP_param</vt:lpstr>
      <vt:lpstr>K_sp_CaCO3_param</vt:lpstr>
      <vt:lpstr>K_sp_FeS_param</vt:lpstr>
      <vt:lpstr>K_sp_HDP_param</vt:lpstr>
      <vt:lpstr>K_sp_MKP_param</vt:lpstr>
      <vt:lpstr>K_sp_STR_param</vt:lpstr>
      <vt:lpstr>K_sp_Vivi_param</vt:lpstr>
      <vt:lpstr>K_W_param</vt:lpstr>
      <vt:lpstr>K_X</vt:lpstr>
      <vt:lpstr>m_AN</vt:lpstr>
      <vt:lpstr>M_inhSNO_KNO_H</vt:lpstr>
      <vt:lpstr>M_inhSNO_KNO_HYD</vt:lpstr>
      <vt:lpstr>M_inhSNO_KNO_PAO</vt:lpstr>
      <vt:lpstr>M_inhSO_KO_H</vt:lpstr>
      <vt:lpstr>M_inhSO_KO_HYD</vt:lpstr>
      <vt:lpstr>M_inhSO_KO_PAO</vt:lpstr>
      <vt:lpstr>M_MACP</vt:lpstr>
      <vt:lpstr>M_Mair</vt:lpstr>
      <vt:lpstr>M_MAlOH3</vt:lpstr>
      <vt:lpstr>M_MAlPO4</vt:lpstr>
      <vt:lpstr>M_MCaCO3</vt:lpstr>
      <vt:lpstr>M_MCaH2PO4</vt:lpstr>
      <vt:lpstr>M_MCaHCO3</vt:lpstr>
      <vt:lpstr>M_MCaHPO4</vt:lpstr>
      <vt:lpstr>M_MCaOH</vt:lpstr>
      <vt:lpstr>M_MCaPO4</vt:lpstr>
      <vt:lpstr>M_MCH3COOH</vt:lpstr>
      <vt:lpstr>M_MCH3OH</vt:lpstr>
      <vt:lpstr>M_MCO2</vt:lpstr>
      <vt:lpstr>M_MCO3</vt:lpstr>
      <vt:lpstr>M_MEQ_GCH4</vt:lpstr>
      <vt:lpstr>M_MEQ_GCO2</vt:lpstr>
      <vt:lpstr>M_MEQ_GH2</vt:lpstr>
      <vt:lpstr>M_MEQ_GH2S</vt:lpstr>
      <vt:lpstr>M_MEQ_GN2</vt:lpstr>
      <vt:lpstr>M_MEQ_GN2O</vt:lpstr>
      <vt:lpstr>M_MEQ_GNH3</vt:lpstr>
      <vt:lpstr>M_MEQ_GNO</vt:lpstr>
      <vt:lpstr>M_MEQ_GO2</vt:lpstr>
      <vt:lpstr>M_MFe2O3</vt:lpstr>
      <vt:lpstr>M_MFeCl2</vt:lpstr>
      <vt:lpstr>M_MFeCl3</vt:lpstr>
      <vt:lpstr>M_MFeOH3</vt:lpstr>
      <vt:lpstr>M_MFeS</vt:lpstr>
      <vt:lpstr>M_MFeSO4</vt:lpstr>
      <vt:lpstr>M_MGCH4</vt:lpstr>
      <vt:lpstr>M_MGCO2</vt:lpstr>
      <vt:lpstr>M_MGH2</vt:lpstr>
      <vt:lpstr>M_MGH2S</vt:lpstr>
      <vt:lpstr>M_MGN2</vt:lpstr>
      <vt:lpstr>M_MGN2O</vt:lpstr>
      <vt:lpstr>M_MGNH3</vt:lpstr>
      <vt:lpstr>M_MGNO</vt:lpstr>
      <vt:lpstr>M_MGO2</vt:lpstr>
      <vt:lpstr>M_MH2CO3</vt:lpstr>
      <vt:lpstr>M_MH2O</vt:lpstr>
      <vt:lpstr>M_MH2S</vt:lpstr>
      <vt:lpstr>M_MH2SO4</vt:lpstr>
      <vt:lpstr>M_MHAP</vt:lpstr>
      <vt:lpstr>M_MHCl</vt:lpstr>
      <vt:lpstr>M_MHCO3</vt:lpstr>
      <vt:lpstr>M_MHDP</vt:lpstr>
      <vt:lpstr>M_MHSO4</vt:lpstr>
      <vt:lpstr>M_MMgCO3</vt:lpstr>
      <vt:lpstr>M_MMgH2PO4</vt:lpstr>
      <vt:lpstr>M_MMgHCO3</vt:lpstr>
      <vt:lpstr>M_MMgHPO4</vt:lpstr>
      <vt:lpstr>M_MMgOH</vt:lpstr>
      <vt:lpstr>M_MMgOH2</vt:lpstr>
      <vt:lpstr>M_MMgPO4</vt:lpstr>
      <vt:lpstr>M_MMKP</vt:lpstr>
      <vt:lpstr>M_MMMC</vt:lpstr>
      <vt:lpstr>M_MN2</vt:lpstr>
      <vt:lpstr>M_MNa2CO3</vt:lpstr>
      <vt:lpstr>M_MNaCl</vt:lpstr>
      <vt:lpstr>M_MNaHCO3</vt:lpstr>
      <vt:lpstr>M_MNaHPO4</vt:lpstr>
      <vt:lpstr>M_MNaOH</vt:lpstr>
      <vt:lpstr>M_MNH3</vt:lpstr>
      <vt:lpstr>M_MNH4</vt:lpstr>
      <vt:lpstr>M_MNO2</vt:lpstr>
      <vt:lpstr>M_MNO3</vt:lpstr>
      <vt:lpstr>M_MO2</vt:lpstr>
      <vt:lpstr>M_MPO4</vt:lpstr>
      <vt:lpstr>M_MSiO2</vt:lpstr>
      <vt:lpstr>M_MSO4</vt:lpstr>
      <vt:lpstr>M_MSTR</vt:lpstr>
      <vt:lpstr>M_MVivi</vt:lpstr>
      <vt:lpstr>m_NO</vt:lpstr>
      <vt:lpstr>m_O</vt:lpstr>
      <vt:lpstr>M_RsatXGLY_XPAO_KfGLY</vt:lpstr>
      <vt:lpstr>M_RsatXPHA_XPAO_KfPHA</vt:lpstr>
      <vt:lpstr>M_RsatXPP_XPAO_KfPP</vt:lpstr>
      <vt:lpstr>M_RsatXS_XH_XPAO_KX</vt:lpstr>
      <vt:lpstr>M_satSA_KAc</vt:lpstr>
      <vt:lpstr>M_satSF_KF</vt:lpstr>
      <vt:lpstr>M_satSF_Kfe</vt:lpstr>
      <vt:lpstr>M_satSHCO_KHCO_A</vt:lpstr>
      <vt:lpstr>M_satSHCO_KHCO_H</vt:lpstr>
      <vt:lpstr>M_satSHCO_KHCO_PAO</vt:lpstr>
      <vt:lpstr>M_satSNH_KN_H</vt:lpstr>
      <vt:lpstr>M_satSNH_KN_PAO</vt:lpstr>
      <vt:lpstr>M_satSNH_KNH_A</vt:lpstr>
      <vt:lpstr>M_satSNO_gPP_KNO_PAO</vt:lpstr>
      <vt:lpstr>M_satSNO_KNO_H</vt:lpstr>
      <vt:lpstr>M_satSNO_KNO_HYD</vt:lpstr>
      <vt:lpstr>M_satSNO_KNO_PAO</vt:lpstr>
      <vt:lpstr>M_satSO_gPP_KO_PAO</vt:lpstr>
      <vt:lpstr>M_satSO_KO_A</vt:lpstr>
      <vt:lpstr>M_satSO_KO_H</vt:lpstr>
      <vt:lpstr>M_satSO_KO_HYD</vt:lpstr>
      <vt:lpstr>M_satSO_KO_PAO</vt:lpstr>
      <vt:lpstr>M_satSPO_KP_A</vt:lpstr>
      <vt:lpstr>M_satSPO_KP_H</vt:lpstr>
      <vt:lpstr>M_satSPO_KP_PAO</vt:lpstr>
      <vt:lpstr>M_satXGLY_KGLY</vt:lpstr>
      <vt:lpstr>M_satXPHA_KPHA</vt:lpstr>
      <vt:lpstr>M_satXPP_KPP</vt:lpstr>
      <vt:lpstr>N_UR</vt:lpstr>
      <vt:lpstr>O_UR</vt:lpstr>
      <vt:lpstr>p_i</vt:lpstr>
      <vt:lpstr>p_N</vt:lpstr>
      <vt:lpstr>p_St</vt:lpstr>
      <vt:lpstr>p_STP</vt:lpstr>
      <vt:lpstr>q_Ac</vt:lpstr>
      <vt:lpstr>q_Ac_NO</vt:lpstr>
      <vt:lpstr>q_fe</vt:lpstr>
      <vt:lpstr>q_GLY</vt:lpstr>
      <vt:lpstr>q_h</vt:lpstr>
      <vt:lpstr>q_PHA</vt:lpstr>
      <vt:lpstr>q_PP</vt:lpstr>
      <vt:lpstr>R__</vt:lpstr>
      <vt:lpstr>r_1</vt:lpstr>
      <vt:lpstr>r_10</vt:lpstr>
      <vt:lpstr>r_11</vt:lpstr>
      <vt:lpstr>r_12</vt:lpstr>
      <vt:lpstr>r_13</vt:lpstr>
      <vt:lpstr>r_14</vt:lpstr>
      <vt:lpstr>r_15</vt:lpstr>
      <vt:lpstr>r_16</vt:lpstr>
      <vt:lpstr>r_17</vt:lpstr>
      <vt:lpstr>r_18</vt:lpstr>
      <vt:lpstr>r_19</vt:lpstr>
      <vt:lpstr>r_2</vt:lpstr>
      <vt:lpstr>r_20</vt:lpstr>
      <vt:lpstr>r_21</vt:lpstr>
      <vt:lpstr>r_22</vt:lpstr>
      <vt:lpstr>r_3</vt:lpstr>
      <vt:lpstr>r_4</vt:lpstr>
      <vt:lpstr>r_5</vt:lpstr>
      <vt:lpstr>r_6</vt:lpstr>
      <vt:lpstr>r_7</vt:lpstr>
      <vt:lpstr>r_8</vt:lpstr>
      <vt:lpstr>r_9</vt:lpstr>
      <vt:lpstr>R_air</vt:lpstr>
      <vt:lpstr>S_A</vt:lpstr>
      <vt:lpstr>S_BOD_5</vt:lpstr>
      <vt:lpstr>S_BOD_ult</vt:lpstr>
      <vt:lpstr>S_COD</vt:lpstr>
      <vt:lpstr>S_F</vt:lpstr>
      <vt:lpstr>S_HCO</vt:lpstr>
      <vt:lpstr>S_I</vt:lpstr>
      <vt:lpstr>S_N2</vt:lpstr>
      <vt:lpstr>S_NH</vt:lpstr>
      <vt:lpstr>S_NO</vt:lpstr>
      <vt:lpstr>S_O</vt:lpstr>
      <vt:lpstr>S_PO</vt:lpstr>
      <vt:lpstr>S_umo__pHEffects</vt:lpstr>
      <vt:lpstr>T_BOD_5</vt:lpstr>
      <vt:lpstr>T_BOD_ult</vt:lpstr>
      <vt:lpstr>T_COD</vt:lpstr>
      <vt:lpstr>T_KN</vt:lpstr>
      <vt:lpstr>T_N</vt:lpstr>
      <vt:lpstr>T_NTP_K</vt:lpstr>
      <vt:lpstr>T_null</vt:lpstr>
      <vt:lpstr>T_st_K</vt:lpstr>
      <vt:lpstr>T_STP_K</vt:lpstr>
      <vt:lpstr>v_1_SA</vt:lpstr>
      <vt:lpstr>v_1_SF</vt:lpstr>
      <vt:lpstr>v_1_SHCO</vt:lpstr>
      <vt:lpstr>v_1_SI</vt:lpstr>
      <vt:lpstr>v_1_SN2</vt:lpstr>
      <vt:lpstr>v_1_SNH</vt:lpstr>
      <vt:lpstr>v_1_SNO</vt:lpstr>
      <vt:lpstr>v_1_SO</vt:lpstr>
      <vt:lpstr>v_1_SPO</vt:lpstr>
      <vt:lpstr>v_1_XA</vt:lpstr>
      <vt:lpstr>v_1_XGLY</vt:lpstr>
      <vt:lpstr>v_1_XH</vt:lpstr>
      <vt:lpstr>v_1_XI</vt:lpstr>
      <vt:lpstr>v_1_XPAO</vt:lpstr>
      <vt:lpstr>v_1_XPHA</vt:lpstr>
      <vt:lpstr>v_1_XPP</vt:lpstr>
      <vt:lpstr>v_1_XS</vt:lpstr>
      <vt:lpstr>v_1_XTSS</vt:lpstr>
      <vt:lpstr>v_10_SA</vt:lpstr>
      <vt:lpstr>v_10_SF</vt:lpstr>
      <vt:lpstr>v_10_SHCO</vt:lpstr>
      <vt:lpstr>v_10_SI</vt:lpstr>
      <vt:lpstr>v_10_SN2</vt:lpstr>
      <vt:lpstr>v_10_SNH</vt:lpstr>
      <vt:lpstr>v_10_SNO</vt:lpstr>
      <vt:lpstr>v_10_SO</vt:lpstr>
      <vt:lpstr>v_10_SPO</vt:lpstr>
      <vt:lpstr>v_10_XA</vt:lpstr>
      <vt:lpstr>v_10_XGLY</vt:lpstr>
      <vt:lpstr>v_10_XH</vt:lpstr>
      <vt:lpstr>v_10_XI</vt:lpstr>
      <vt:lpstr>v_10_XPAO</vt:lpstr>
      <vt:lpstr>v_10_XPHA</vt:lpstr>
      <vt:lpstr>v_10_XPP</vt:lpstr>
      <vt:lpstr>v_10_XS</vt:lpstr>
      <vt:lpstr>v_10_XTSS</vt:lpstr>
      <vt:lpstr>v_11_SA</vt:lpstr>
      <vt:lpstr>v_11_SF</vt:lpstr>
      <vt:lpstr>v_11_SHCO</vt:lpstr>
      <vt:lpstr>v_11_SI</vt:lpstr>
      <vt:lpstr>v_11_SN2</vt:lpstr>
      <vt:lpstr>v_11_SNH</vt:lpstr>
      <vt:lpstr>v_11_SNO</vt:lpstr>
      <vt:lpstr>v_11_SO</vt:lpstr>
      <vt:lpstr>v_11_SPO</vt:lpstr>
      <vt:lpstr>v_11_XA</vt:lpstr>
      <vt:lpstr>v_11_XGLY</vt:lpstr>
      <vt:lpstr>v_11_XH</vt:lpstr>
      <vt:lpstr>v_11_XI</vt:lpstr>
      <vt:lpstr>v_11_XPAO</vt:lpstr>
      <vt:lpstr>v_11_XPHA</vt:lpstr>
      <vt:lpstr>v_11_XPP</vt:lpstr>
      <vt:lpstr>v_11_XS</vt:lpstr>
      <vt:lpstr>v_11_XTSS</vt:lpstr>
      <vt:lpstr>v_12_SA</vt:lpstr>
      <vt:lpstr>v_12_SF</vt:lpstr>
      <vt:lpstr>v_12_SHCO</vt:lpstr>
      <vt:lpstr>v_12_SI</vt:lpstr>
      <vt:lpstr>v_12_SN2</vt:lpstr>
      <vt:lpstr>v_12_SNH</vt:lpstr>
      <vt:lpstr>v_12_SNO</vt:lpstr>
      <vt:lpstr>v_12_SO</vt:lpstr>
      <vt:lpstr>v_12_SPO</vt:lpstr>
      <vt:lpstr>v_12_XA</vt:lpstr>
      <vt:lpstr>v_12_XGLY</vt:lpstr>
      <vt:lpstr>v_12_XH</vt:lpstr>
      <vt:lpstr>v_12_XI</vt:lpstr>
      <vt:lpstr>v_12_XPAO</vt:lpstr>
      <vt:lpstr>v_12_XPHA</vt:lpstr>
      <vt:lpstr>v_12_XPP</vt:lpstr>
      <vt:lpstr>v_12_XS</vt:lpstr>
      <vt:lpstr>v_12_XTSS</vt:lpstr>
      <vt:lpstr>v_13_SA</vt:lpstr>
      <vt:lpstr>v_13_SF</vt:lpstr>
      <vt:lpstr>v_13_SHCO</vt:lpstr>
      <vt:lpstr>v_13_SI</vt:lpstr>
      <vt:lpstr>v_13_SN2</vt:lpstr>
      <vt:lpstr>v_13_SNH</vt:lpstr>
      <vt:lpstr>v_13_SNO</vt:lpstr>
      <vt:lpstr>v_13_SO</vt:lpstr>
      <vt:lpstr>v_13_SPO</vt:lpstr>
      <vt:lpstr>v_13_XA</vt:lpstr>
      <vt:lpstr>v_13_XGLY</vt:lpstr>
      <vt:lpstr>v_13_XH</vt:lpstr>
      <vt:lpstr>v_13_XI</vt:lpstr>
      <vt:lpstr>v_13_XPAO</vt:lpstr>
      <vt:lpstr>v_13_XPHA</vt:lpstr>
      <vt:lpstr>v_13_XPP</vt:lpstr>
      <vt:lpstr>v_13_XS</vt:lpstr>
      <vt:lpstr>v_13_XTSS</vt:lpstr>
      <vt:lpstr>v_14_SA</vt:lpstr>
      <vt:lpstr>v_14_SF</vt:lpstr>
      <vt:lpstr>v_14_SHCO</vt:lpstr>
      <vt:lpstr>v_14_SI</vt:lpstr>
      <vt:lpstr>v_14_SN2</vt:lpstr>
      <vt:lpstr>v_14_SNH</vt:lpstr>
      <vt:lpstr>v_14_SNO</vt:lpstr>
      <vt:lpstr>v_14_SO</vt:lpstr>
      <vt:lpstr>v_14_SPO</vt:lpstr>
      <vt:lpstr>v_14_XA</vt:lpstr>
      <vt:lpstr>v_14_XGLY</vt:lpstr>
      <vt:lpstr>v_14_XH</vt:lpstr>
      <vt:lpstr>v_14_XI</vt:lpstr>
      <vt:lpstr>v_14_XPAO</vt:lpstr>
      <vt:lpstr>v_14_XPHA</vt:lpstr>
      <vt:lpstr>v_14_XPP</vt:lpstr>
      <vt:lpstr>v_14_XS</vt:lpstr>
      <vt:lpstr>v_14_XTSS</vt:lpstr>
      <vt:lpstr>v_15_SA</vt:lpstr>
      <vt:lpstr>v_15_SF</vt:lpstr>
      <vt:lpstr>v_15_SHCO</vt:lpstr>
      <vt:lpstr>v_15_SI</vt:lpstr>
      <vt:lpstr>v_15_SN2</vt:lpstr>
      <vt:lpstr>v_15_SNH</vt:lpstr>
      <vt:lpstr>v_15_SNO</vt:lpstr>
      <vt:lpstr>v_15_SO</vt:lpstr>
      <vt:lpstr>v_15_SPO</vt:lpstr>
      <vt:lpstr>v_15_XA</vt:lpstr>
      <vt:lpstr>v_15_XGLY</vt:lpstr>
      <vt:lpstr>v_15_XH</vt:lpstr>
      <vt:lpstr>v_15_XI</vt:lpstr>
      <vt:lpstr>v_15_XPAO</vt:lpstr>
      <vt:lpstr>v_15_XPHA</vt:lpstr>
      <vt:lpstr>v_15_XPP</vt:lpstr>
      <vt:lpstr>v_15_XS</vt:lpstr>
      <vt:lpstr>v_15_XTSS</vt:lpstr>
      <vt:lpstr>v_16_SA</vt:lpstr>
      <vt:lpstr>v_16_SF</vt:lpstr>
      <vt:lpstr>v_16_SHCO</vt:lpstr>
      <vt:lpstr>v_16_SI</vt:lpstr>
      <vt:lpstr>v_16_SN2</vt:lpstr>
      <vt:lpstr>v_16_SNH</vt:lpstr>
      <vt:lpstr>v_16_SNO</vt:lpstr>
      <vt:lpstr>v_16_SO</vt:lpstr>
      <vt:lpstr>v_16_SPO</vt:lpstr>
      <vt:lpstr>v_16_XA</vt:lpstr>
      <vt:lpstr>v_16_XGLY</vt:lpstr>
      <vt:lpstr>v_16_XH</vt:lpstr>
      <vt:lpstr>v_16_XI</vt:lpstr>
      <vt:lpstr>v_16_XPAO</vt:lpstr>
      <vt:lpstr>v_16_XPHA</vt:lpstr>
      <vt:lpstr>v_16_XPP</vt:lpstr>
      <vt:lpstr>v_16_XS</vt:lpstr>
      <vt:lpstr>v_16_XTSS</vt:lpstr>
      <vt:lpstr>v_17_SA</vt:lpstr>
      <vt:lpstr>v_17_SF</vt:lpstr>
      <vt:lpstr>v_17_SHCO</vt:lpstr>
      <vt:lpstr>v_17_SI</vt:lpstr>
      <vt:lpstr>v_17_SN2</vt:lpstr>
      <vt:lpstr>v_17_SNH</vt:lpstr>
      <vt:lpstr>v_17_SNO</vt:lpstr>
      <vt:lpstr>v_17_SO</vt:lpstr>
      <vt:lpstr>v_17_SPO</vt:lpstr>
      <vt:lpstr>v_17_XA</vt:lpstr>
      <vt:lpstr>v_17_XGLY</vt:lpstr>
      <vt:lpstr>v_17_XH</vt:lpstr>
      <vt:lpstr>v_17_XI</vt:lpstr>
      <vt:lpstr>v_17_XPAO</vt:lpstr>
      <vt:lpstr>v_17_XPHA</vt:lpstr>
      <vt:lpstr>v_17_XPP</vt:lpstr>
      <vt:lpstr>v_17_XS</vt:lpstr>
      <vt:lpstr>v_17_XTSS</vt:lpstr>
      <vt:lpstr>v_18_SA</vt:lpstr>
      <vt:lpstr>v_18_SF</vt:lpstr>
      <vt:lpstr>v_18_SHCO</vt:lpstr>
      <vt:lpstr>v_18_SI</vt:lpstr>
      <vt:lpstr>v_18_SN2</vt:lpstr>
      <vt:lpstr>v_18_SNH</vt:lpstr>
      <vt:lpstr>v_18_SNO</vt:lpstr>
      <vt:lpstr>v_18_SO</vt:lpstr>
      <vt:lpstr>v_18_SPO</vt:lpstr>
      <vt:lpstr>v_18_XA</vt:lpstr>
      <vt:lpstr>v_18_XGLY</vt:lpstr>
      <vt:lpstr>v_18_XH</vt:lpstr>
      <vt:lpstr>v_18_XI</vt:lpstr>
      <vt:lpstr>v_18_XPAO</vt:lpstr>
      <vt:lpstr>v_18_XPHA</vt:lpstr>
      <vt:lpstr>v_18_XPP</vt:lpstr>
      <vt:lpstr>v_18_XS</vt:lpstr>
      <vt:lpstr>v_18_XTSS</vt:lpstr>
      <vt:lpstr>v_19_SA</vt:lpstr>
      <vt:lpstr>v_19_SF</vt:lpstr>
      <vt:lpstr>v_19_SHCO</vt:lpstr>
      <vt:lpstr>v_19_SI</vt:lpstr>
      <vt:lpstr>v_19_SN2</vt:lpstr>
      <vt:lpstr>v_19_SNH</vt:lpstr>
      <vt:lpstr>v_19_SNO</vt:lpstr>
      <vt:lpstr>v_19_SO</vt:lpstr>
      <vt:lpstr>v_19_SPO</vt:lpstr>
      <vt:lpstr>v_19_XA</vt:lpstr>
      <vt:lpstr>v_19_XGLY</vt:lpstr>
      <vt:lpstr>v_19_XH</vt:lpstr>
      <vt:lpstr>v_19_XI</vt:lpstr>
      <vt:lpstr>v_19_XPAO</vt:lpstr>
      <vt:lpstr>v_19_XPHA</vt:lpstr>
      <vt:lpstr>v_19_XPP</vt:lpstr>
      <vt:lpstr>v_19_XS</vt:lpstr>
      <vt:lpstr>v_19_XTSS</vt:lpstr>
      <vt:lpstr>v_2_SA</vt:lpstr>
      <vt:lpstr>v_2_SF</vt:lpstr>
      <vt:lpstr>v_2_SHCO</vt:lpstr>
      <vt:lpstr>v_2_SI</vt:lpstr>
      <vt:lpstr>v_2_SN2</vt:lpstr>
      <vt:lpstr>v_2_SNH</vt:lpstr>
      <vt:lpstr>v_2_SNO</vt:lpstr>
      <vt:lpstr>v_2_SO</vt:lpstr>
      <vt:lpstr>v_2_SPO</vt:lpstr>
      <vt:lpstr>v_2_XA</vt:lpstr>
      <vt:lpstr>v_2_XGLY</vt:lpstr>
      <vt:lpstr>v_2_XH</vt:lpstr>
      <vt:lpstr>v_2_XI</vt:lpstr>
      <vt:lpstr>v_2_XPAO</vt:lpstr>
      <vt:lpstr>v_2_XPHA</vt:lpstr>
      <vt:lpstr>v_2_XPP</vt:lpstr>
      <vt:lpstr>v_2_XS</vt:lpstr>
      <vt:lpstr>v_2_XTSS</vt:lpstr>
      <vt:lpstr>v_20_SA</vt:lpstr>
      <vt:lpstr>v_20_SF</vt:lpstr>
      <vt:lpstr>v_20_SHCO</vt:lpstr>
      <vt:lpstr>v_20_SI</vt:lpstr>
      <vt:lpstr>v_20_SN2</vt:lpstr>
      <vt:lpstr>v_20_SNH</vt:lpstr>
      <vt:lpstr>v_20_SNO</vt:lpstr>
      <vt:lpstr>v_20_SO</vt:lpstr>
      <vt:lpstr>v_20_SPO</vt:lpstr>
      <vt:lpstr>v_20_XA</vt:lpstr>
      <vt:lpstr>v_20_XGLY</vt:lpstr>
      <vt:lpstr>v_20_XH</vt:lpstr>
      <vt:lpstr>v_20_XI</vt:lpstr>
      <vt:lpstr>v_20_XPAO</vt:lpstr>
      <vt:lpstr>v_20_XPHA</vt:lpstr>
      <vt:lpstr>v_20_XPP</vt:lpstr>
      <vt:lpstr>v_20_XS</vt:lpstr>
      <vt:lpstr>v_20_XTSS</vt:lpstr>
      <vt:lpstr>v_21_SA</vt:lpstr>
      <vt:lpstr>v_21_SF</vt:lpstr>
      <vt:lpstr>v_21_SHCO</vt:lpstr>
      <vt:lpstr>v_21_SI</vt:lpstr>
      <vt:lpstr>v_21_SN2</vt:lpstr>
      <vt:lpstr>v_21_SNH</vt:lpstr>
      <vt:lpstr>v_21_SNO</vt:lpstr>
      <vt:lpstr>v_21_SO</vt:lpstr>
      <vt:lpstr>v_21_SPO</vt:lpstr>
      <vt:lpstr>v_21_XA</vt:lpstr>
      <vt:lpstr>v_21_XGLY</vt:lpstr>
      <vt:lpstr>v_21_XH</vt:lpstr>
      <vt:lpstr>v_21_XI</vt:lpstr>
      <vt:lpstr>v_21_XPAO</vt:lpstr>
      <vt:lpstr>v_21_XPHA</vt:lpstr>
      <vt:lpstr>v_21_XPP</vt:lpstr>
      <vt:lpstr>v_21_XS</vt:lpstr>
      <vt:lpstr>v_21_XTSS</vt:lpstr>
      <vt:lpstr>v_22_SA</vt:lpstr>
      <vt:lpstr>v_22_SF</vt:lpstr>
      <vt:lpstr>v_22_SHCO</vt:lpstr>
      <vt:lpstr>v_22_SI</vt:lpstr>
      <vt:lpstr>v_22_SN2</vt:lpstr>
      <vt:lpstr>v_22_SNH</vt:lpstr>
      <vt:lpstr>v_22_SNO</vt:lpstr>
      <vt:lpstr>v_22_SO</vt:lpstr>
      <vt:lpstr>v_22_SPO</vt:lpstr>
      <vt:lpstr>v_22_XA</vt:lpstr>
      <vt:lpstr>v_22_XGLY</vt:lpstr>
      <vt:lpstr>v_22_XH</vt:lpstr>
      <vt:lpstr>v_22_XI</vt:lpstr>
      <vt:lpstr>v_22_XPAO</vt:lpstr>
      <vt:lpstr>v_22_XPHA</vt:lpstr>
      <vt:lpstr>v_22_XPP</vt:lpstr>
      <vt:lpstr>v_22_XS</vt:lpstr>
      <vt:lpstr>v_22_XTSS</vt:lpstr>
      <vt:lpstr>v_3_SA</vt:lpstr>
      <vt:lpstr>v_3_SF</vt:lpstr>
      <vt:lpstr>v_3_SHCO</vt:lpstr>
      <vt:lpstr>v_3_SI</vt:lpstr>
      <vt:lpstr>v_3_SN2</vt:lpstr>
      <vt:lpstr>v_3_SNH</vt:lpstr>
      <vt:lpstr>v_3_SNO</vt:lpstr>
      <vt:lpstr>v_3_SO</vt:lpstr>
      <vt:lpstr>v_3_SPO</vt:lpstr>
      <vt:lpstr>v_3_XA</vt:lpstr>
      <vt:lpstr>v_3_XGLY</vt:lpstr>
      <vt:lpstr>v_3_XH</vt:lpstr>
      <vt:lpstr>v_3_XI</vt:lpstr>
      <vt:lpstr>v_3_XPAO</vt:lpstr>
      <vt:lpstr>v_3_XPHA</vt:lpstr>
      <vt:lpstr>v_3_XPP</vt:lpstr>
      <vt:lpstr>v_3_XS</vt:lpstr>
      <vt:lpstr>v_3_XTSS</vt:lpstr>
      <vt:lpstr>v_4_SA</vt:lpstr>
      <vt:lpstr>v_4_SF</vt:lpstr>
      <vt:lpstr>v_4_SHCO</vt:lpstr>
      <vt:lpstr>v_4_SI</vt:lpstr>
      <vt:lpstr>v_4_SN2</vt:lpstr>
      <vt:lpstr>v_4_SNH</vt:lpstr>
      <vt:lpstr>v_4_SNO</vt:lpstr>
      <vt:lpstr>v_4_SO</vt:lpstr>
      <vt:lpstr>v_4_SPO</vt:lpstr>
      <vt:lpstr>v_4_XA</vt:lpstr>
      <vt:lpstr>v_4_XGLY</vt:lpstr>
      <vt:lpstr>v_4_XH</vt:lpstr>
      <vt:lpstr>v_4_XI</vt:lpstr>
      <vt:lpstr>v_4_XPAO</vt:lpstr>
      <vt:lpstr>v_4_XPHA</vt:lpstr>
      <vt:lpstr>v_4_XPP</vt:lpstr>
      <vt:lpstr>v_4_XS</vt:lpstr>
      <vt:lpstr>v_4_XTSS</vt:lpstr>
      <vt:lpstr>v_5_SA</vt:lpstr>
      <vt:lpstr>v_5_SF</vt:lpstr>
      <vt:lpstr>v_5_SHCO</vt:lpstr>
      <vt:lpstr>v_5_SI</vt:lpstr>
      <vt:lpstr>v_5_SN2</vt:lpstr>
      <vt:lpstr>v_5_SNH</vt:lpstr>
      <vt:lpstr>v_5_SNO</vt:lpstr>
      <vt:lpstr>v_5_SO</vt:lpstr>
      <vt:lpstr>v_5_SPO</vt:lpstr>
      <vt:lpstr>v_5_XA</vt:lpstr>
      <vt:lpstr>v_5_XGLY</vt:lpstr>
      <vt:lpstr>v_5_XH</vt:lpstr>
      <vt:lpstr>v_5_XI</vt:lpstr>
      <vt:lpstr>v_5_XPAO</vt:lpstr>
      <vt:lpstr>v_5_XPHA</vt:lpstr>
      <vt:lpstr>v_5_XPP</vt:lpstr>
      <vt:lpstr>v_5_XS</vt:lpstr>
      <vt:lpstr>v_5_XTSS</vt:lpstr>
      <vt:lpstr>v_6_SA</vt:lpstr>
      <vt:lpstr>v_6_SF</vt:lpstr>
      <vt:lpstr>v_6_SHCO</vt:lpstr>
      <vt:lpstr>v_6_SI</vt:lpstr>
      <vt:lpstr>v_6_SN2</vt:lpstr>
      <vt:lpstr>v_6_SNH</vt:lpstr>
      <vt:lpstr>v_6_SNO</vt:lpstr>
      <vt:lpstr>v_6_SO</vt:lpstr>
      <vt:lpstr>v_6_SPO</vt:lpstr>
      <vt:lpstr>v_6_XA</vt:lpstr>
      <vt:lpstr>v_6_XGLY</vt:lpstr>
      <vt:lpstr>v_6_XH</vt:lpstr>
      <vt:lpstr>v_6_XI</vt:lpstr>
      <vt:lpstr>v_6_XPAO</vt:lpstr>
      <vt:lpstr>v_6_XPHA</vt:lpstr>
      <vt:lpstr>v_6_XPP</vt:lpstr>
      <vt:lpstr>v_6_XS</vt:lpstr>
      <vt:lpstr>v_6_XTSS</vt:lpstr>
      <vt:lpstr>v_7_SA</vt:lpstr>
      <vt:lpstr>v_7_SF</vt:lpstr>
      <vt:lpstr>v_7_SHCO</vt:lpstr>
      <vt:lpstr>v_7_SI</vt:lpstr>
      <vt:lpstr>v_7_SN2</vt:lpstr>
      <vt:lpstr>v_7_SNH</vt:lpstr>
      <vt:lpstr>v_7_SNO</vt:lpstr>
      <vt:lpstr>v_7_SO</vt:lpstr>
      <vt:lpstr>v_7_SPO</vt:lpstr>
      <vt:lpstr>v_7_XA</vt:lpstr>
      <vt:lpstr>v_7_XGLY</vt:lpstr>
      <vt:lpstr>v_7_XH</vt:lpstr>
      <vt:lpstr>v_7_XI</vt:lpstr>
      <vt:lpstr>v_7_XPAO</vt:lpstr>
      <vt:lpstr>v_7_XPHA</vt:lpstr>
      <vt:lpstr>v_7_XPP</vt:lpstr>
      <vt:lpstr>v_7_XS</vt:lpstr>
      <vt:lpstr>v_7_XTSS</vt:lpstr>
      <vt:lpstr>v_8_SA</vt:lpstr>
      <vt:lpstr>v_8_SF</vt:lpstr>
      <vt:lpstr>v_8_SHCO</vt:lpstr>
      <vt:lpstr>v_8_SI</vt:lpstr>
      <vt:lpstr>v_8_SN2</vt:lpstr>
      <vt:lpstr>v_8_SNH</vt:lpstr>
      <vt:lpstr>v_8_SNO</vt:lpstr>
      <vt:lpstr>v_8_SO</vt:lpstr>
      <vt:lpstr>v_8_SPO</vt:lpstr>
      <vt:lpstr>v_8_XA</vt:lpstr>
      <vt:lpstr>v_8_XGLY</vt:lpstr>
      <vt:lpstr>v_8_XH</vt:lpstr>
      <vt:lpstr>v_8_XI</vt:lpstr>
      <vt:lpstr>v_8_XPAO</vt:lpstr>
      <vt:lpstr>v_8_XPHA</vt:lpstr>
      <vt:lpstr>v_8_XPP</vt:lpstr>
      <vt:lpstr>v_8_XS</vt:lpstr>
      <vt:lpstr>v_8_XTSS</vt:lpstr>
      <vt:lpstr>v_9_SA</vt:lpstr>
      <vt:lpstr>v_9_SF</vt:lpstr>
      <vt:lpstr>v_9_SHCO</vt:lpstr>
      <vt:lpstr>v_9_SI</vt:lpstr>
      <vt:lpstr>v_9_SN2</vt:lpstr>
      <vt:lpstr>v_9_SNH</vt:lpstr>
      <vt:lpstr>v_9_SNO</vt:lpstr>
      <vt:lpstr>v_9_SO</vt:lpstr>
      <vt:lpstr>v_9_SPO</vt:lpstr>
      <vt:lpstr>v_9_XA</vt:lpstr>
      <vt:lpstr>v_9_XGLY</vt:lpstr>
      <vt:lpstr>v_9_XH</vt:lpstr>
      <vt:lpstr>v_9_XI</vt:lpstr>
      <vt:lpstr>v_9_XPAO</vt:lpstr>
      <vt:lpstr>v_9_XPHA</vt:lpstr>
      <vt:lpstr>v_9_XPP</vt:lpstr>
      <vt:lpstr>v_9_XS</vt:lpstr>
      <vt:lpstr>v_9_XTSS</vt:lpstr>
      <vt:lpstr>V_mol_N</vt:lpstr>
      <vt:lpstr>X_A</vt:lpstr>
      <vt:lpstr>X_BOD_5</vt:lpstr>
      <vt:lpstr>X_BOD_ult</vt:lpstr>
      <vt:lpstr>X_COD</vt:lpstr>
      <vt:lpstr>X_DM</vt:lpstr>
      <vt:lpstr>X_GLY</vt:lpstr>
      <vt:lpstr>X_H</vt:lpstr>
      <vt:lpstr>X_I</vt:lpstr>
      <vt:lpstr>X_ISS</vt:lpstr>
      <vt:lpstr>X_PAO</vt:lpstr>
      <vt:lpstr>X_PHA</vt:lpstr>
      <vt:lpstr>X_PP</vt:lpstr>
      <vt:lpstr>X_S</vt:lpstr>
      <vt:lpstr>X_TSS</vt:lpstr>
      <vt:lpstr>X_VSS</vt:lpstr>
      <vt:lpstr>Y_A</vt:lpstr>
      <vt:lpstr>Y_GLY_NO</vt:lpstr>
      <vt:lpstr>Y_GLY_O</vt:lpstr>
      <vt:lpstr>Y_H</vt:lpstr>
      <vt:lpstr>Y_PHA_NO</vt:lpstr>
      <vt:lpstr>Y_PHA_O</vt:lpstr>
      <vt:lpstr>Y_PO_AN</vt:lpstr>
      <vt:lpstr>Y_PO_NO</vt:lpstr>
      <vt:lpstr>Y_PP_NO</vt:lpstr>
      <vt:lpstr>Y_PP_O</vt:lpstr>
      <vt:lpstr>Y_SA_AN</vt:lpstr>
      <vt:lpstr>Y_SA_NO</vt:lpstr>
      <vt:lpstr>Δ_atm</vt:lpstr>
      <vt:lpstr>η_fe</vt:lpstr>
      <vt:lpstr>η_H2O</vt:lpstr>
      <vt:lpstr>η_NO_H</vt:lpstr>
      <vt:lpstr>η_NO_HYD</vt:lpstr>
      <vt:lpstr>η_NO_PAO</vt:lpstr>
      <vt:lpstr>κ__</vt:lpstr>
      <vt:lpstr>λ_H</vt:lpstr>
      <vt:lpstr>μ_A</vt:lpstr>
      <vt:lpstr>μ_H</vt:lpstr>
      <vt:lpstr>ρ_air</vt:lpstr>
      <vt:lpstr>ρ_H2O</vt:lpstr>
      <vt:lpstr>σ_H2O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Zsolt</dc:creator>
  <cp:lastModifiedBy>user</cp:lastModifiedBy>
  <dcterms:created xsi:type="dcterms:W3CDTF">2006-09-16T00:00:00Z</dcterms:created>
  <dcterms:modified xsi:type="dcterms:W3CDTF">2023-09-05T13:43:42Z</dcterms:modified>
</cp:coreProperties>
</file>