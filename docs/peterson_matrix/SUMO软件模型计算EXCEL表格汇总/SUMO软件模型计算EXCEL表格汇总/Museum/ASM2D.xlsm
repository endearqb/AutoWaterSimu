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_Dynamita\MODEL\trunk\Sumo\Process code\Model base\Museum\"/>
    </mc:Choice>
  </mc:AlternateContent>
  <bookViews>
    <workbookView xWindow="-120" yWindow="-120" windowWidth="29040" windowHeight="15840" tabRatio="815"/>
  </bookViews>
  <sheets>
    <sheet name="Help" sheetId="22" r:id="rId1"/>
    <sheet name="Parameters" sheetId="9" r:id="rId2"/>
    <sheet name="Model" sheetId="1" r:id="rId3"/>
    <sheet name="pH" sheetId="4" state="hidden" r:id="rId4"/>
    <sheet name="Tableau" sheetId="17" state="hidden" r:id="rId5"/>
    <sheet name="Components" sheetId="2" r:id="rId6"/>
    <sheet name="Algebraic model" sheetId="13" state="hidden" r:id="rId7"/>
    <sheet name="Expert knowledge" sheetId="14" state="hidden" r:id="rId8"/>
    <sheet name="Functions" sheetId="3" state="hidden" r:id="rId9"/>
    <sheet name="Calculated variables" sheetId="5" r:id="rId10"/>
    <sheet name="systemcode_constants" sheetId="25" state="hidden" r:id="rId11"/>
    <sheet name="systemcode_functions" sheetId="23" state="hidden" r:id="rId12"/>
    <sheet name="other parameters" sheetId="20" state="hidden" r:id="rId13"/>
    <sheet name="Code" sheetId="10" state="hidden" r:id="rId14"/>
    <sheet name="Alert" sheetId="15" state="veryHidden" r:id="rId15"/>
    <sheet name="Security" sheetId="16" state="veryHidden" r:id="rId16"/>
    <sheet name="Species" sheetId="21" state="hidden" r:id="rId17"/>
  </sheets>
  <functionGroups builtInGroupCount="18"/>
  <definedNames>
    <definedName name="A_H2O">systemcode_constants!$D$43</definedName>
    <definedName name="A_MAc">systemcode_constants!$D$179</definedName>
    <definedName name="A_MAg">systemcode_constants!$D$137</definedName>
    <definedName name="A_MAl">systemcode_constants!$D$103</definedName>
    <definedName name="A_MAm">systemcode_constants!$D$185</definedName>
    <definedName name="A_MAr">systemcode_constants!$D$108</definedName>
    <definedName name="A_MAs">systemcode_constants!$D$123</definedName>
    <definedName name="A_MAt">systemcode_constants!$D$175</definedName>
    <definedName name="A_MAu">systemcode_constants!$D$169</definedName>
    <definedName name="A_MB">systemcode_constants!$D$95</definedName>
    <definedName name="A_MBa">systemcode_constants!$D$146</definedName>
    <definedName name="A_MBe">systemcode_constants!$D$94</definedName>
    <definedName name="A_MBh">systemcode_constants!$D$197</definedName>
    <definedName name="A_MBi">systemcode_constants!$D$173</definedName>
    <definedName name="A_MBk">systemcode_constants!$D$187</definedName>
    <definedName name="A_MBr">systemcode_constants!$D$125</definedName>
    <definedName name="A_MC">systemcode_constants!$D$96</definedName>
    <definedName name="A_MCa">systemcode_constants!$D$110</definedName>
    <definedName name="A_MCd">systemcode_constants!$D$138</definedName>
    <definedName name="A_MCe">systemcode_constants!$D$148</definedName>
    <definedName name="A_MCf">systemcode_constants!$D$188</definedName>
    <definedName name="A_MCl">systemcode_constants!$D$107</definedName>
    <definedName name="A_MCm">systemcode_constants!$D$186</definedName>
    <definedName name="A_MCn">systemcode_constants!$D$202</definedName>
    <definedName name="A_MCo">systemcode_constants!$D$117</definedName>
    <definedName name="A_MCr">systemcode_constants!$D$114</definedName>
    <definedName name="A_MCu">systemcode_constants!$D$119</definedName>
    <definedName name="A_MCs">systemcode_constants!$D$145</definedName>
    <definedName name="A_MDb">systemcode_constants!$D$195</definedName>
    <definedName name="A_MDs">systemcode_constants!$D$200</definedName>
    <definedName name="A_MDy">systemcode_constants!$D$156</definedName>
    <definedName name="A_MEr">systemcode_constants!$D$158</definedName>
    <definedName name="A_MEs">systemcode_constants!$D$189</definedName>
    <definedName name="A_MEu">systemcode_constants!$D$153</definedName>
    <definedName name="A_MF">systemcode_constants!$D$99</definedName>
    <definedName name="A_MFe">systemcode_constants!$D$116</definedName>
    <definedName name="A_MFl">systemcode_constants!$D$204</definedName>
    <definedName name="A_MFm">systemcode_constants!$D$190</definedName>
    <definedName name="A_MFr">systemcode_constants!$D$177</definedName>
    <definedName name="A_MGa">systemcode_constants!$D$121</definedName>
    <definedName name="A_MGd">systemcode_constants!$D$154</definedName>
    <definedName name="A_MGe">systemcode_constants!$D$122</definedName>
    <definedName name="A_MH">systemcode_constants!$D$91</definedName>
    <definedName name="A_MHe">systemcode_constants!$D$92</definedName>
    <definedName name="A_MHf">systemcode_constants!$D$162</definedName>
    <definedName name="A_MHg">systemcode_constants!$D$170</definedName>
    <definedName name="A_MHo">systemcode_constants!$D$157</definedName>
    <definedName name="A_MHs">systemcode_constants!$D$198</definedName>
    <definedName name="A_MI">systemcode_constants!$D$143</definedName>
    <definedName name="A_MIn">systemcode_constants!$D$139</definedName>
    <definedName name="A_MIr">systemcode_constants!$D$167</definedName>
    <definedName name="A_MK">systemcode_constants!$D$109</definedName>
    <definedName name="A_MKr">systemcode_constants!$D$126</definedName>
    <definedName name="A_MLa">systemcode_constants!$D$147</definedName>
    <definedName name="A_MLi">systemcode_constants!$D$93</definedName>
    <definedName name="A_MLr">systemcode_constants!$D$193</definedName>
    <definedName name="A_MLu">systemcode_constants!$D$161</definedName>
    <definedName name="A_MLv">systemcode_constants!$D$206</definedName>
    <definedName name="A_MMd">systemcode_constants!$D$191</definedName>
    <definedName name="A_MMg">systemcode_constants!$D$102</definedName>
    <definedName name="A_MMn">systemcode_constants!$D$115</definedName>
    <definedName name="A_MMo">systemcode_constants!$D$132</definedName>
    <definedName name="A_MMt">systemcode_constants!$D$199</definedName>
    <definedName name="A_MN">systemcode_constants!$D$97</definedName>
    <definedName name="A_MNa">systemcode_constants!$D$101</definedName>
    <definedName name="A_MNb">systemcode_constants!$D$131</definedName>
    <definedName name="A_MNd">systemcode_constants!$D$150</definedName>
    <definedName name="A_MNe">systemcode_constants!$D$100</definedName>
    <definedName name="A_MNi">systemcode_constants!$D$118</definedName>
    <definedName name="A_MNo">systemcode_constants!$D$192</definedName>
    <definedName name="A_MNp">systemcode_constants!$D$183</definedName>
    <definedName name="A_MO">systemcode_constants!$D$98</definedName>
    <definedName name="A_MOs">systemcode_constants!$D$166</definedName>
    <definedName name="A_MP">systemcode_constants!$D$105</definedName>
    <definedName name="A_MPa">systemcode_constants!$D$181</definedName>
    <definedName name="A_MPb">systemcode_constants!$D$172</definedName>
    <definedName name="A_MPd">systemcode_constants!$D$136</definedName>
    <definedName name="A_MPm">systemcode_constants!$D$151</definedName>
    <definedName name="A_MPo">systemcode_constants!$D$174</definedName>
    <definedName name="A_MPr">systemcode_constants!$D$149</definedName>
    <definedName name="A_MPt">systemcode_constants!$D$168</definedName>
    <definedName name="A_MPu">systemcode_constants!$D$184</definedName>
    <definedName name="A_MRa">systemcode_constants!$D$178</definedName>
    <definedName name="A_MRb">systemcode_constants!$D$127</definedName>
    <definedName name="A_MRe">systemcode_constants!$D$165</definedName>
    <definedName name="A_MRf">systemcode_constants!$D$194</definedName>
    <definedName name="A_MRg">systemcode_constants!$D$201</definedName>
    <definedName name="A_MRh">systemcode_constants!$D$135</definedName>
    <definedName name="A_MRn">systemcode_constants!$D$176</definedName>
    <definedName name="A_MRu">systemcode_constants!$D$134</definedName>
    <definedName name="A_MS">systemcode_constants!$D$106</definedName>
    <definedName name="A_MSb">systemcode_constants!$D$141</definedName>
    <definedName name="A_MSc">systemcode_constants!$D$111</definedName>
    <definedName name="A_MSe">systemcode_constants!$D$124</definedName>
    <definedName name="A_MSg">systemcode_constants!$D$196</definedName>
    <definedName name="A_MSi">systemcode_constants!$D$104</definedName>
    <definedName name="A_MSm">systemcode_constants!$D$152</definedName>
    <definedName name="A_MSn">systemcode_constants!$D$140</definedName>
    <definedName name="A_MSr">systemcode_constants!$D$128</definedName>
    <definedName name="A_MTa">systemcode_constants!$D$163</definedName>
    <definedName name="A_MTb">systemcode_constants!$D$155</definedName>
    <definedName name="A_MTc">systemcode_constants!$D$133</definedName>
    <definedName name="A_MTe">systemcode_constants!$D$142</definedName>
    <definedName name="A_MTh">systemcode_constants!$D$180</definedName>
    <definedName name="A_MTi">systemcode_constants!$D$112</definedName>
    <definedName name="A_MTl">systemcode_constants!$D$171</definedName>
    <definedName name="A_MTm">systemcode_constants!$D$159</definedName>
    <definedName name="A_MU">systemcode_constants!$D$182</definedName>
    <definedName name="A_MUuo">systemcode_constants!$D$208</definedName>
    <definedName name="A_MUup">systemcode_constants!$D$205</definedName>
    <definedName name="A_MUus">systemcode_constants!$D$207</definedName>
    <definedName name="A_MUut">systemcode_constants!$D$203</definedName>
    <definedName name="A_MV">systemcode_constants!$D$113</definedName>
    <definedName name="A_MW">systemcode_constants!$D$164</definedName>
    <definedName name="A_MXe">systemcode_constants!$D$144</definedName>
    <definedName name="A_MY">systemcode_constants!$D$129</definedName>
    <definedName name="A_MYb">systemcode_constants!$D$160</definedName>
    <definedName name="A_MZn">systemcode_constants!$D$120</definedName>
    <definedName name="A_MZr">systemcode_constants!$D$130</definedName>
    <definedName name="A_UR">'Calculated variables'!$E$24</definedName>
    <definedName name="b_AUT">Parameters!$D$53</definedName>
    <definedName name="b_H">Parameters!$D$21</definedName>
    <definedName name="B_H2O">systemcode_constants!$D$44</definedName>
    <definedName name="b_PAO">Parameters!$D$39</definedName>
    <definedName name="b_PHA">Parameters!$D$41</definedName>
    <definedName name="b_PP">Parameters!$D$40</definedName>
    <definedName name="c_cm_m">systemcode_constants!$D$371</definedName>
    <definedName name="c_cm2_m2">systemcode_constants!$D$372</definedName>
    <definedName name="c_cm3_m3">systemcode_constants!$D$373</definedName>
    <definedName name="c_g_kg">systemcode_constants!$D$366</definedName>
    <definedName name="c_h_d">systemcode_constants!$D$360</definedName>
    <definedName name="C_H2O">systemcode_constants!$D$45</definedName>
    <definedName name="c_kJ_MJ">systemcode_constants!$D$368</definedName>
    <definedName name="c_L_m3">systemcode_constants!$D$367</definedName>
    <definedName name="c_mg_g">systemcode_constants!$D$365</definedName>
    <definedName name="c_min_h">systemcode_constants!$D$359</definedName>
    <definedName name="c_ms_d">systemcode_constants!$D$361</definedName>
    <definedName name="c_ms_h">systemcode_constants!$D$362</definedName>
    <definedName name="c_ms_min">systemcode_constants!$D$363</definedName>
    <definedName name="c_ms_s">systemcode_constants!$D$364</definedName>
    <definedName name="c_p_water">systemcode_constants!$D$79</definedName>
    <definedName name="c_Pa_bar">systemcode_constants!$D$370</definedName>
    <definedName name="c_Pa_Hgmm">systemcode_constants!$D$369</definedName>
    <definedName name="c_percent_fraction">systemcode_constants!$D$356</definedName>
    <definedName name="c_percent_Vconc">systemcode_constants!$D$355</definedName>
    <definedName name="c_ppm_Vconc">systemcode_constants!$D$354</definedName>
    <definedName name="c_s_d">systemcode_constants!$D$357</definedName>
    <definedName name="c_s_h">systemcode_constants!$D$358</definedName>
    <definedName name="conc_Hp_Ieq">systemcode_constants!$D$346</definedName>
    <definedName name="D_CB">systemcode_constants!$D$451</definedName>
    <definedName name="D_CU">systemcode_constants!$D$452</definedName>
    <definedName name="D_GCH4_25">systemcode_constants!$D$36</definedName>
    <definedName name="D_GCO2_25">systemcode_constants!$D$34</definedName>
    <definedName name="D_GH2_25">systemcode_constants!$D$35</definedName>
    <definedName name="D_GH2S_25">systemcode_constants!$D$39</definedName>
    <definedName name="D_GN2_25">systemcode_constants!$D$32</definedName>
    <definedName name="D_GN2O_25">systemcode_constants!$D$38</definedName>
    <definedName name="D_GNH3_25">systemcode_constants!$D$33</definedName>
    <definedName name="D_GNO_25">systemcode_constants!$D$37</definedName>
    <definedName name="D_GO2_25">systemcode_constants!$D$31</definedName>
    <definedName name="d_HCaCO3">systemcode_constants!$D$424</definedName>
    <definedName name="d_HCaH2PO4p">systemcode_constants!$D$428</definedName>
    <definedName name="d_HCaHCO3p">systemcode_constants!$D$425</definedName>
    <definedName name="d_HCaHPO4">systemcode_constants!$D$427</definedName>
    <definedName name="d_HCaOHp">systemcode_constants!$D$423</definedName>
    <definedName name="d_HCaPO4m">systemcode_constants!$D$426</definedName>
    <definedName name="d_Hdiss_CO2_1">systemcode_constants!$D$413</definedName>
    <definedName name="d_Hdiss_CO2_2">systemcode_constants!$D$414</definedName>
    <definedName name="d_Hdiss_H2O">systemcode_constants!$D$410</definedName>
    <definedName name="d_Hdiss_NO2">systemcode_constants!$D$412</definedName>
    <definedName name="d_Hdiss_PO4_1">systemcode_constants!$D$415</definedName>
    <definedName name="d_Hdiss_PO4_2">systemcode_constants!$D$416</definedName>
    <definedName name="d_Hdiss_PO4_3">systemcode_constants!$D$417</definedName>
    <definedName name="d_Hdiss_S_1">systemcode_constants!$D$419</definedName>
    <definedName name="d_Hdiss_S_2">systemcode_constants!$D$420</definedName>
    <definedName name="d_Hdiss_SO4_1">systemcode_constants!$D$421</definedName>
    <definedName name="d_Hdiss_SO4_2">systemcode_constants!$D$422</definedName>
    <definedName name="d_Hdiss_VFA">systemcode_constants!$D$418</definedName>
    <definedName name="d_Hion_amm">systemcode_constants!$D$411</definedName>
    <definedName name="d_HMgCO3">systemcode_constants!$D$430</definedName>
    <definedName name="d_HMgH2PO4p">systemcode_constants!$D$434</definedName>
    <definedName name="d_HMgHCO3p">systemcode_constants!$D$431</definedName>
    <definedName name="d_HMgHPO4">systemcode_constants!$D$432</definedName>
    <definedName name="d_HMgOHp">systemcode_constants!$D$429</definedName>
    <definedName name="d_HMgPO4m">systemcode_constants!$D$433</definedName>
    <definedName name="d_HNaHPO4m">systemcode_constants!$D$435</definedName>
    <definedName name="D_NBS">systemcode_constants!$D$461</definedName>
    <definedName name="D_NH3">systemcode_constants!$D$456</definedName>
    <definedName name="D_NO3">systemcode_constants!$D$457</definedName>
    <definedName name="D_NUS">systemcode_constants!$D$460</definedName>
    <definedName name="D_PO4">systemcode_constants!$D$458</definedName>
    <definedName name="D_SA">systemcode_constants!$D$440</definedName>
    <definedName name="D_SALK">systemcode_constants!$D$484</definedName>
    <definedName name="D_SAN">systemcode_constants!$D$480</definedName>
    <definedName name="D_SB">systemcode_constants!$D$442</definedName>
    <definedName name="D_SB_mono">systemcode_constants!$D$443</definedName>
    <definedName name="D_SB_poly">systemcode_constants!$D$444</definedName>
    <definedName name="D_SBSA">systemcode_constants!$D$441</definedName>
    <definedName name="D_SBSC">systemcode_constants!$D$447</definedName>
    <definedName name="D_SCa">systemcode_constants!$D$477</definedName>
    <definedName name="D_SCAT">systemcode_constants!$D$479</definedName>
    <definedName name="D_SCH4">systemcode_constants!$D$473</definedName>
    <definedName name="D_SCO2">systemcode_constants!$D$475</definedName>
    <definedName name="D_SF">systemcode_constants!$D$446</definedName>
    <definedName name="D_SFe2">systemcode_constants!$D$483</definedName>
    <definedName name="D_SH2">systemcode_constants!$D$474</definedName>
    <definedName name="D_SH2S">systemcode_constants!$D$481</definedName>
    <definedName name="D_SI">systemcode_constants!$D$450</definedName>
    <definedName name="D_SK">systemcode_constants!$D$476</definedName>
    <definedName name="D_SMEOL">systemcode_constants!$D$448</definedName>
    <definedName name="D_SMg">systemcode_constants!$D$478</definedName>
    <definedName name="D_SMM_index">systemcode_constants!$D$485</definedName>
    <definedName name="D_SN_B">systemcode_constants!$D$467</definedName>
    <definedName name="D_SN2">systemcode_constants!$D$459</definedName>
    <definedName name="D_SND">systemcode_constants!$D$468</definedName>
    <definedName name="D_SNH">systemcode_constants!$D$455</definedName>
    <definedName name="D_SNH4">systemcode_constants!$D$454</definedName>
    <definedName name="D_SNHx">systemcode_constants!$D$453</definedName>
    <definedName name="D_SNO2">systemcode_constants!$D$465</definedName>
    <definedName name="D_SNO3">systemcode_constants!$D$466</definedName>
    <definedName name="D_SNOx">systemcode_constants!$D$463</definedName>
    <definedName name="D_SO2">systemcode_constants!$D$472</definedName>
    <definedName name="D_SP_B">systemcode_constants!$D$471</definedName>
    <definedName name="D_SPO">systemcode_constants!$D$470</definedName>
    <definedName name="D_SPO4">systemcode_constants!$D$469</definedName>
    <definedName name="D_SS">systemcode_constants!$D$445</definedName>
    <definedName name="D_SSO4">systemcode_constants!$D$482</definedName>
    <definedName name="D_SU">systemcode_constants!$D$449</definedName>
    <definedName name="D_SUS">systemcode_constants!$D$462</definedName>
    <definedName name="D_SVFA">systemcode_constants!$D$439</definedName>
    <definedName name="E_EQFe2">systemcode_constants!$D$331</definedName>
    <definedName name="E_EQH2S">systemcode_constants!$D$333</definedName>
    <definedName name="E_EQN2">systemcode_constants!$D$320</definedName>
    <definedName name="E_EQN2_N2O">systemcode_constants!$D$329</definedName>
    <definedName name="E_EQN2_NO2">systemcode_constants!$D$326</definedName>
    <definedName name="E_EQN2_NO3">systemcode_constants!$D$330</definedName>
    <definedName name="E_EQN2O">systemcode_constants!$D$321</definedName>
    <definedName name="E_EQN2O_NO">systemcode_constants!$D$328</definedName>
    <definedName name="E_EQNO">systemcode_constants!$D$322</definedName>
    <definedName name="E_EQNO_NO2">systemcode_constants!$D$327</definedName>
    <definedName name="E_EQNO2">systemcode_constants!$D$323</definedName>
    <definedName name="E_EQNO2_NO3">systemcode_constants!$D$325</definedName>
    <definedName name="E_EQNO3">systemcode_constants!$D$324</definedName>
    <definedName name="E_EQS">systemcode_constants!$D$332</definedName>
    <definedName name="F__">systemcode_constants!$D$77</definedName>
    <definedName name="f_Ar_air">systemcode_constants!$D$54</definedName>
    <definedName name="f_BOD5_BODult">Parameters!$D$122</definedName>
    <definedName name="f_CO2_air">systemcode_constants!$D$55</definedName>
    <definedName name="f_di_IS_an">systemcode_constants!$D$340</definedName>
    <definedName name="f_di_IS_cat">systemcode_constants!$D$339</definedName>
    <definedName name="f_MeOH_PO4_MW">Parameters!$D$80</definedName>
    <definedName name="f_MeP_PO4_MW">Parameters!$D$81</definedName>
    <definedName name="f_mono_IS_an">systemcode_constants!$D$338</definedName>
    <definedName name="f_mono_IS_cat">systemcode_constants!$D$337</definedName>
    <definedName name="f_N2_air">systemcode_constants!$D$53</definedName>
    <definedName name="f_O2_air">systemcode_constants!$D$52</definedName>
    <definedName name="f_SI">Parameters!$D$75</definedName>
    <definedName name="f_tri_IS_an">systemcode_constants!$D$342</definedName>
    <definedName name="f_tri_IS_cat">systemcode_constants!$D$341</definedName>
    <definedName name="f_XI">Parameters!$D$76</definedName>
    <definedName name="G_CH4_atm">systemcode_constants!$D$63</definedName>
    <definedName name="G_CO2_atm">systemcode_constants!$D$62</definedName>
    <definedName name="g_grav">systemcode_constants!$D$78</definedName>
    <definedName name="G_H2_atm">systemcode_constants!$D$64</definedName>
    <definedName name="G_H2S_atm">systemcode_constants!$D$68</definedName>
    <definedName name="G_N2_atm">systemcode_constants!$D$67</definedName>
    <definedName name="G_NH3_atm">systemcode_constants!$D$66</definedName>
    <definedName name="G_O2_atm">systemcode_constants!$D$65</definedName>
    <definedName name="H_Acm">systemcode_constants!$D$393</definedName>
    <definedName name="H_Ca2p">systemcode_constants!$D$400</definedName>
    <definedName name="H_CO32m">systemcode_constants!$D$387</definedName>
    <definedName name="H_enryGCH4_25">systemcode_constants!$D$22</definedName>
    <definedName name="H_enryGCH4_dt">systemcode_constants!$D$23</definedName>
    <definedName name="H_enryGCO2_25">systemcode_constants!$D$12</definedName>
    <definedName name="H_enryGCO2_dt">systemcode_constants!$D$13</definedName>
    <definedName name="H_enryGH2_25">systemcode_constants!$D$20</definedName>
    <definedName name="H_enryGH2_dt">systemcode_constants!$D$21</definedName>
    <definedName name="H_enryGH2S_25">systemcode_constants!$D$26</definedName>
    <definedName name="H_enryGH2S_dt">systemcode_constants!$D$27</definedName>
    <definedName name="H_enryGN2_25">systemcode_constants!$D$18</definedName>
    <definedName name="H_enryGN2_dt">systemcode_constants!$D$19</definedName>
    <definedName name="H_enryGN2O_25">systemcode_constants!$D$16</definedName>
    <definedName name="H_enryGN2O_dt">systemcode_constants!$D$17</definedName>
    <definedName name="H_enryGNH3_25">systemcode_constants!$D$24</definedName>
    <definedName name="H_enryGNH3_dt">systemcode_constants!$D$25</definedName>
    <definedName name="H_enryGNO_25">systemcode_constants!$D$14</definedName>
    <definedName name="H_enryGNO_dt">systemcode_constants!$D$15</definedName>
    <definedName name="H_enryGO2_25">systemcode_constants!$D$10</definedName>
    <definedName name="H_enryGO2_dt">systemcode_constants!$D$11</definedName>
    <definedName name="H_H2CO3">systemcode_constants!$D$385</definedName>
    <definedName name="H_H2O">systemcode_constants!$D$406</definedName>
    <definedName name="H_H2PO4m">systemcode_constants!$D$389</definedName>
    <definedName name="H_H2S">systemcode_constants!$D$394</definedName>
    <definedName name="H_H2SO4">systemcode_constants!$D$397</definedName>
    <definedName name="H_H3Op">systemcode_constants!$D$378</definedName>
    <definedName name="H_H3PO4">systemcode_constants!$D$388</definedName>
    <definedName name="H_HAc">systemcode_constants!$D$392</definedName>
    <definedName name="H_HCO3m">systemcode_constants!$D$386</definedName>
    <definedName name="H_HNO2">systemcode_constants!$D$382</definedName>
    <definedName name="H_Hp">systemcode_constants!$D$377</definedName>
    <definedName name="H_HPO42m">systemcode_constants!$D$390</definedName>
    <definedName name="H_HSm">systemcode_constants!$D$395</definedName>
    <definedName name="H_HSO4m">systemcode_constants!$D$398</definedName>
    <definedName name="H_Mg2p">systemcode_constants!$D$401</definedName>
    <definedName name="H_Nap">systemcode_constants!$D$402</definedName>
    <definedName name="H_NH3">systemcode_constants!$D$380</definedName>
    <definedName name="H_NH4p">systemcode_constants!$D$381</definedName>
    <definedName name="H_NO2m">systemcode_constants!$D$383</definedName>
    <definedName name="H_NO3m">systemcode_constants!$D$384</definedName>
    <definedName name="H_null">systemcode_constants!$D$6</definedName>
    <definedName name="H_OHm">systemcode_constants!$D$379</definedName>
    <definedName name="H_PO43m">systemcode_constants!$D$391</definedName>
    <definedName name="H_S2m">systemcode_constants!$D$396</definedName>
    <definedName name="H_SO42m">systemcode_constants!$D$399</definedName>
    <definedName name="H_STP">systemcode_constants!$D$83</definedName>
    <definedName name="i_Charge_SNHx">Parameters!$D$89</definedName>
    <definedName name="i_Charge_SNOx">Parameters!$D$90</definedName>
    <definedName name="i_Charge_SPO4">Parameters!$D$91</definedName>
    <definedName name="i_Charge_SVFA">Parameters!$D$88</definedName>
    <definedName name="i_Charge_XPAO_PP">Parameters!$D$92</definedName>
    <definedName name="i_COD_N2">Parameters!$D$87</definedName>
    <definedName name="i_COD_NO3">Parameters!$D$86</definedName>
    <definedName name="i_CV">Parameters!$D$118</definedName>
    <definedName name="i_CV_SA">Parameters!$D$120</definedName>
    <definedName name="i_CV_SF">Parameters!$D$119</definedName>
    <definedName name="i_CV_SI">Parameters!$D$121</definedName>
    <definedName name="i_N_BM">Parameters!$D$100</definedName>
    <definedName name="i_N_SF">Parameters!$D$96</definedName>
    <definedName name="i_N_SI">Parameters!$D$97</definedName>
    <definedName name="i_N_XI">Parameters!$D$98</definedName>
    <definedName name="i_N_XS">Parameters!$D$99</definedName>
    <definedName name="i_NO3_N2">Parameters!$D$85</definedName>
    <definedName name="i_P_BM">Parameters!$D$105</definedName>
    <definedName name="i_P_MeP">Parameters!$D$106</definedName>
    <definedName name="i_P_SF">Parameters!$D$101</definedName>
    <definedName name="i_P_SI">Parameters!$D$102</definedName>
    <definedName name="i_P_XI">Parameters!$D$103</definedName>
    <definedName name="i_P_XS">Parameters!$D$104</definedName>
    <definedName name="i_TSS_BM">Parameters!$D$113</definedName>
    <definedName name="i_TSS_XI">Parameters!$D$110</definedName>
    <definedName name="i_TSS_XPHA">Parameters!$D$112</definedName>
    <definedName name="i_TSS_XPP">Parameters!$D$114</definedName>
    <definedName name="i_TSS_XS">Parameters!$D$111</definedName>
    <definedName name="K_A_H">Parameters!$D$20</definedName>
    <definedName name="K_A_PAO">Parameters!$D$42</definedName>
    <definedName name="K_Ac_param">systemcode_constants!$D$301</definedName>
    <definedName name="K_ALK_AUT">Parameters!$D$57</definedName>
    <definedName name="K_ALK_H">Parameters!$D$27</definedName>
    <definedName name="K_ALK_PAO">Parameters!$D$48</definedName>
    <definedName name="K_ALK_PRE">Parameters!$D$63</definedName>
    <definedName name="K_C1_param">systemcode_constants!$D$296</definedName>
    <definedName name="K_C2_param">systemcode_constants!$D$297</definedName>
    <definedName name="K_F">Parameters!$D$19</definedName>
    <definedName name="K_fe">Parameters!$D$22</definedName>
    <definedName name="K_h">Parameters!$D$7</definedName>
    <definedName name="K_H2S_param">systemcode_constants!$D$306</definedName>
    <definedName name="K_iPP">Parameters!$D$35</definedName>
    <definedName name="K_MAX">Parameters!$D$34</definedName>
    <definedName name="K_NH3_param">systemcode_constants!$D$294</definedName>
    <definedName name="K_NH4_AUT">Parameters!$D$55</definedName>
    <definedName name="K_NH4_H">Parameters!$D$25</definedName>
    <definedName name="K_NH4_PAO">Parameters!$D$45</definedName>
    <definedName name="K_NO2_param">systemcode_constants!$D$295</definedName>
    <definedName name="K_NO3_H">Parameters!$D$24</definedName>
    <definedName name="K_NO3_HYD">Parameters!$D$12</definedName>
    <definedName name="K_NO3_PAO">Parameters!$D$44</definedName>
    <definedName name="K_O2_AUT">Parameters!$D$54</definedName>
    <definedName name="K_O2_H">Parameters!$D$23</definedName>
    <definedName name="K_O2_HYD">Parameters!$D$11</definedName>
    <definedName name="K_O2_PAO">Parameters!$D$43</definedName>
    <definedName name="K_P_AUT">Parameters!$D$56</definedName>
    <definedName name="K_P_H">Parameters!$D$26</definedName>
    <definedName name="K_P_PAO">Parameters!$D$47</definedName>
    <definedName name="K_P1_param">systemcode_constants!$D$298</definedName>
    <definedName name="K_P2_param">systemcode_constants!$D$299</definedName>
    <definedName name="K_P3_param">systemcode_constants!$D$300</definedName>
    <definedName name="K_PHA">Parameters!$D$38</definedName>
    <definedName name="K_PP">Parameters!$D$33</definedName>
    <definedName name="k_PRE">Parameters!$D$61</definedName>
    <definedName name="K_PS">Parameters!$D$46</definedName>
    <definedName name="k_RED">Parameters!$D$62</definedName>
    <definedName name="K_S1_param">systemcode_constants!$D$302</definedName>
    <definedName name="K_S2_param">systemcode_constants!$D$303</definedName>
    <definedName name="K_SO41_param">systemcode_constants!$D$304</definedName>
    <definedName name="K_SO42_param">systemcode_constants!$D$305</definedName>
    <definedName name="K_sp_ACP_param">systemcode_constants!$D$312</definedName>
    <definedName name="K_sp_CaCO3_param">systemcode_constants!$D$310</definedName>
    <definedName name="K_sp_FeS_param">systemcode_constants!$D$314</definedName>
    <definedName name="K_sp_HDP_param">systemcode_constants!$D$315</definedName>
    <definedName name="K_sp_MKP_param">systemcode_constants!$D$316</definedName>
    <definedName name="K_sp_STR_param">systemcode_constants!$D$311</definedName>
    <definedName name="K_sp_Vivi_param">systemcode_constants!$D$313</definedName>
    <definedName name="K_W_param">systemcode_constants!$D$293</definedName>
    <definedName name="K_X">Parameters!$D$8</definedName>
    <definedName name="M_inhSNO3_KNO3_H">'Calculated variables'!$E$56</definedName>
    <definedName name="M_inhSNO3_KNO3_HYD">'Calculated variables'!$E$55</definedName>
    <definedName name="M_inhSO2_KO2_H">'Calculated variables'!$E$57</definedName>
    <definedName name="M_inhSO2_KO2_HYD">'Calculated variables'!$E$54</definedName>
    <definedName name="M_inhSO2_KO2_PAO">'Calculated variables'!$E$58</definedName>
    <definedName name="M_MACP">systemcode_constants!$D$249</definedName>
    <definedName name="M_Mair">systemcode_constants!$D$212</definedName>
    <definedName name="M_MAlOH3">systemcode_constants!$D$234</definedName>
    <definedName name="M_MAlPO4">systemcode_constants!$D$235</definedName>
    <definedName name="M_MCaCO3">systemcode_constants!$D$248</definedName>
    <definedName name="M_MCaH2PO4">systemcode_constants!$D$264</definedName>
    <definedName name="M_MCaHCO3">systemcode_constants!$D$261</definedName>
    <definedName name="M_MCaHPO4">systemcode_constants!$D$263</definedName>
    <definedName name="M_MCaOH">systemcode_constants!$D$260</definedName>
    <definedName name="M_MCaPO4">systemcode_constants!$D$262</definedName>
    <definedName name="M_MCH3COOH">systemcode_constants!$D$247</definedName>
    <definedName name="M_MCH3OH">systemcode_constants!$D$246</definedName>
    <definedName name="M_MCO2">systemcode_constants!$D$237</definedName>
    <definedName name="M_MCO3">systemcode_constants!$D$238</definedName>
    <definedName name="M_MEQ_GCH4">systemcode_constants!$D$287</definedName>
    <definedName name="M_MEQ_GCO2">systemcode_constants!$D$285</definedName>
    <definedName name="M_MEQ_GH2">systemcode_constants!$D$288</definedName>
    <definedName name="M_MEQ_GH2S">systemcode_constants!$D$289</definedName>
    <definedName name="M_MEQ_GN2">systemcode_constants!$D$281</definedName>
    <definedName name="M_MEQ_GN2O">systemcode_constants!$D$284</definedName>
    <definedName name="M_MEQ_GNH3">systemcode_constants!$D$282</definedName>
    <definedName name="M_MEQ_GNO">systemcode_constants!$D$283</definedName>
    <definedName name="M_MEQ_GO2">systemcode_constants!$D$286</definedName>
    <definedName name="M_MFe2O3">systemcode_constants!$D$232</definedName>
    <definedName name="M_MFeCl2">systemcode_constants!$D$255</definedName>
    <definedName name="M_MFeCl3">systemcode_constants!$D$254</definedName>
    <definedName name="M_MFeOH3">systemcode_constants!$D$233</definedName>
    <definedName name="M_MFeS">systemcode_constants!$D$253</definedName>
    <definedName name="M_MFeSO4">systemcode_constants!$D$256</definedName>
    <definedName name="M_MGCH4">systemcode_constants!$D$214</definedName>
    <definedName name="M_MGCO2">systemcode_constants!$D$215</definedName>
    <definedName name="M_MGH2">systemcode_constants!$D$213</definedName>
    <definedName name="M_MGH2S">systemcode_constants!$D$221</definedName>
    <definedName name="M_MGN2">systemcode_constants!$D$217</definedName>
    <definedName name="M_MGN2O">systemcode_constants!$D$220</definedName>
    <definedName name="M_MGNH3">systemcode_constants!$D$216</definedName>
    <definedName name="M_MGNO">systemcode_constants!$D$219</definedName>
    <definedName name="M_MGO2">systemcode_constants!$D$218</definedName>
    <definedName name="M_MH2CO3">systemcode_constants!$D$240</definedName>
    <definedName name="M_MH2O">systemcode_constants!$D$225</definedName>
    <definedName name="M_MH2S">systemcode_constants!$D$244</definedName>
    <definedName name="M_MH2SO4">systemcode_constants!$D$243</definedName>
    <definedName name="M_MHAP">systemcode_constants!$D$259</definedName>
    <definedName name="M_MHCl">systemcode_constants!$D$245</definedName>
    <definedName name="M_MHCO3">systemcode_constants!$D$239</definedName>
    <definedName name="M_MHDP">systemcode_constants!$D$258</definedName>
    <definedName name="M_MHSO4">systemcode_constants!$D$242</definedName>
    <definedName name="M_MMgCO3">systemcode_constants!$D$267</definedName>
    <definedName name="M_MMgH2PO4">systemcode_constants!$D$271</definedName>
    <definedName name="M_MMgHCO3">systemcode_constants!$D$268</definedName>
    <definedName name="M_MMgHPO4">systemcode_constants!$D$269</definedName>
    <definedName name="M_MMgOH">systemcode_constants!$D$265</definedName>
    <definedName name="M_MMgOH2">systemcode_constants!$D$266</definedName>
    <definedName name="M_MMgPO4">systemcode_constants!$D$270</definedName>
    <definedName name="M_MMKP">systemcode_constants!$D$251</definedName>
    <definedName name="M_MMMC">systemcode_constants!$D$277</definedName>
    <definedName name="M_MN2">systemcode_constants!$D$227</definedName>
    <definedName name="M_MNa2CO3">systemcode_constants!$D$275</definedName>
    <definedName name="M_MNaCl">systemcode_constants!$D$273</definedName>
    <definedName name="M_MNaHCO3">systemcode_constants!$D$276</definedName>
    <definedName name="M_MNaHPO4">systemcode_constants!$D$272</definedName>
    <definedName name="M_MNaOH">systemcode_constants!$D$274</definedName>
    <definedName name="M_MNH3">systemcode_constants!$D$228</definedName>
    <definedName name="M_MNH4">systemcode_constants!$D$229</definedName>
    <definedName name="M_MNO2">systemcode_constants!$D$230</definedName>
    <definedName name="M_MNO3">systemcode_constants!$D$231</definedName>
    <definedName name="M_MO2">systemcode_constants!$D$226</definedName>
    <definedName name="M_MPO4">systemcode_constants!$D$236</definedName>
    <definedName name="M_MSiO2">systemcode_constants!$D$257</definedName>
    <definedName name="M_MSO4">systemcode_constants!$D$241</definedName>
    <definedName name="M_MSTR">systemcode_constants!$D$250</definedName>
    <definedName name="M_MVivi">systemcode_constants!$D$252</definedName>
    <definedName name="M_RinhXPP_XPAO_KiPP">'Calculated variables'!$E$53</definedName>
    <definedName name="M_RsatXPHA_XPAO_KPHA">'Calculated variables'!$E$52</definedName>
    <definedName name="M_RsatXPP_XPAO_KPP">'Calculated variables'!$E$51</definedName>
    <definedName name="M_RsatXS_XH_KX">'Calculated variables'!$E$50</definedName>
    <definedName name="M_satSA_KA_H">'Calculated variables'!$E$36</definedName>
    <definedName name="M_satSA_KA_PAO">'Calculated variables'!$E$38</definedName>
    <definedName name="M_satSALK_KALK_AUT">'Calculated variables'!$E$48</definedName>
    <definedName name="M_satSALK_KALK_H">'Calculated variables'!$E$35</definedName>
    <definedName name="M_satSALK_KALK_PAO">'Calculated variables'!$E$39</definedName>
    <definedName name="M_satSALK_KALK_PRE">'Calculated variables'!$E$49</definedName>
    <definedName name="M_satSF_KF">'Calculated variables'!$E$32</definedName>
    <definedName name="M_satSF_Kfe">'Calculated variables'!$E$37</definedName>
    <definedName name="M_satSNH4_KNH4_AUT">'Calculated variables'!$E$46</definedName>
    <definedName name="M_satSNH4_KNH4_H">'Calculated variables'!$E$33</definedName>
    <definedName name="M_satSNH4_KNH4_PAO">'Calculated variables'!$E$43</definedName>
    <definedName name="M_satSNO3_KNO3_H">'Calculated variables'!$E$30</definedName>
    <definedName name="M_satSNO3_KNO3_HYD">'Calculated variables'!$E$29</definedName>
    <definedName name="M_satSNO3_KNO3_PAO">'Calculated variables'!$E$42</definedName>
    <definedName name="M_satSO2_KO2_AUT">'Calculated variables'!$E$45</definedName>
    <definedName name="M_satSO2_KO2_H">'Calculated variables'!$E$31</definedName>
    <definedName name="M_satSO2_KO2_HYD">'Calculated variables'!$E$28</definedName>
    <definedName name="M_satSO2_KO2_PAO">'Calculated variables'!$E$40</definedName>
    <definedName name="M_satSPO4_KP_AUT">'Calculated variables'!$E$47</definedName>
    <definedName name="M_satSPO4_KP_H">'Calculated variables'!$E$34</definedName>
    <definedName name="M_satSPO4_KP_PAO">'Calculated variables'!$E$44</definedName>
    <definedName name="M_satSPO4_KPS">'Calculated variables'!$E$41</definedName>
    <definedName name="N_UR">'Calculated variables'!$E$23</definedName>
    <definedName name="O_UR">'Calculated variables'!$E$22</definedName>
    <definedName name="p_i">systemcode_constants!$D$87</definedName>
    <definedName name="p_N">systemcode_constants!$D$58</definedName>
    <definedName name="p_St">systemcode_constants!$D$5</definedName>
    <definedName name="p_STP">systemcode_constants!$D$57</definedName>
    <definedName name="q_fe">Parameters!$D$18</definedName>
    <definedName name="q_PHA">Parameters!$D$31</definedName>
    <definedName name="q_PP">Parameters!$D$32</definedName>
    <definedName name="R__">systemcode_constants!$D$73</definedName>
    <definedName name="r_1">Model!$X$38</definedName>
    <definedName name="r_10">Model!$X$47</definedName>
    <definedName name="r_11">Model!$X$48</definedName>
    <definedName name="r_12">Model!$X$49</definedName>
    <definedName name="r_13">Model!$X$50</definedName>
    <definedName name="r_14">Model!$X$51</definedName>
    <definedName name="r_15">Model!$X$52</definedName>
    <definedName name="r_16">Model!$X$53</definedName>
    <definedName name="r_17">Model!$X$54</definedName>
    <definedName name="r_18">Model!$X$55</definedName>
    <definedName name="r_19">Model!$X$56</definedName>
    <definedName name="r_2">Model!$X$39</definedName>
    <definedName name="r_20">Model!$X$57</definedName>
    <definedName name="r_21">Model!$X$58</definedName>
    <definedName name="r_3">Model!$X$40</definedName>
    <definedName name="r_4">Model!$X$41</definedName>
    <definedName name="r_5">Model!$X$42</definedName>
    <definedName name="r_6">Model!$X$43</definedName>
    <definedName name="r_7">Model!$X$44</definedName>
    <definedName name="r_8">Model!$X$45</definedName>
    <definedName name="r_9">Model!$X$46</definedName>
    <definedName name="R_air">systemcode_constants!$D$74</definedName>
    <definedName name="S_A">Components!$E$6</definedName>
    <definedName name="S_ALK">Components!$E$11</definedName>
    <definedName name="S_BOD_5">'Calculated variables'!$E$8</definedName>
    <definedName name="S_BOD_ult">'Calculated variables'!$E$5</definedName>
    <definedName name="S_COD">'Calculated variables'!$E$11</definedName>
    <definedName name="S_F">Components!$E$5</definedName>
    <definedName name="S_I">Components!$E$10</definedName>
    <definedName name="S_N2">Components!$E$12</definedName>
    <definedName name="S_NH4">Components!$E$7</definedName>
    <definedName name="S_NO3">Components!$E$8</definedName>
    <definedName name="S_O2">Components!$E$4</definedName>
    <definedName name="S_PO4">Components!$E$9</definedName>
    <definedName name="S_umo__pHEffects">'other parameters'!$D$7</definedName>
    <definedName name="T_BOD_5">'Calculated variables'!$E$10</definedName>
    <definedName name="T_BOD_ult">'Calculated variables'!$E$7</definedName>
    <definedName name="T_COD">'Calculated variables'!$E$13</definedName>
    <definedName name="T_KN">'Calculated variables'!$E$14</definedName>
    <definedName name="T_N">'Calculated variables'!$E$15</definedName>
    <definedName name="T_NTP_K">systemcode_constants!$D$81</definedName>
    <definedName name="T_null">systemcode_constants!$D$4</definedName>
    <definedName name="T_st_K">systemcode_constants!$D$80</definedName>
    <definedName name="T_STP_K">systemcode_constants!$D$82</definedName>
    <definedName name="v_1_SA">Model!$G$38</definedName>
    <definedName name="v_1_SALK">Model!$L$38</definedName>
    <definedName name="v_1_SF">Model!$F$38</definedName>
    <definedName name="v_1_SI">Model!$K$38</definedName>
    <definedName name="v_1_SN2">Model!$M$38</definedName>
    <definedName name="v_1_SNH4">Model!$H$38</definedName>
    <definedName name="v_1_SNO3">Model!$I$38</definedName>
    <definedName name="v_1_SO2">Model!$E$38</definedName>
    <definedName name="v_1_SPO4">Model!$J$38</definedName>
    <definedName name="v_1_XAUT">Model!$T$38</definedName>
    <definedName name="v_1_XH">Model!$P$38</definedName>
    <definedName name="v_1_XI">Model!$N$38</definedName>
    <definedName name="v_1_XMeOH">Model!$V$38</definedName>
    <definedName name="v_1_XMeP">Model!$W$38</definedName>
    <definedName name="v_1_XPAO">Model!$Q$38</definedName>
    <definedName name="v_1_XPHA">Model!$S$38</definedName>
    <definedName name="v_1_XPP">Model!$R$38</definedName>
    <definedName name="v_1_XS">Model!$O$38</definedName>
    <definedName name="v_1_XTSS">Model!$U$38</definedName>
    <definedName name="v_10_SA">Model!$G$47</definedName>
    <definedName name="v_10_SALK">Model!$L$47</definedName>
    <definedName name="v_10_SF">Model!$F$47</definedName>
    <definedName name="v_10_SI">Model!$K$47</definedName>
    <definedName name="v_10_SN2">Model!$M$47</definedName>
    <definedName name="v_10_SNH4">Model!$H$47</definedName>
    <definedName name="v_10_SNO3">Model!$I$47</definedName>
    <definedName name="v_10_SO2">Model!$E$47</definedName>
    <definedName name="v_10_SPO4">Model!$J$47</definedName>
    <definedName name="v_10_XAUT">Model!$T$47</definedName>
    <definedName name="v_10_XH">Model!$P$47</definedName>
    <definedName name="v_10_XI">Model!$N$47</definedName>
    <definedName name="v_10_XMeOH">Model!$V$47</definedName>
    <definedName name="v_10_XMeP">Model!$W$47</definedName>
    <definedName name="v_10_XPAO">Model!$Q$47</definedName>
    <definedName name="v_10_XPHA">Model!$S$47</definedName>
    <definedName name="v_10_XPP">Model!$R$47</definedName>
    <definedName name="v_10_XS">Model!$O$47</definedName>
    <definedName name="v_10_XTSS">Model!$U$47</definedName>
    <definedName name="v_11_SA">Model!$G$48</definedName>
    <definedName name="v_11_SALK">Model!$L$48</definedName>
    <definedName name="v_11_SF">Model!$F$48</definedName>
    <definedName name="v_11_SI">Model!$K$48</definedName>
    <definedName name="v_11_SN2">Model!$M$48</definedName>
    <definedName name="v_11_SNH4">Model!$H$48</definedName>
    <definedName name="v_11_SNO3">Model!$I$48</definedName>
    <definedName name="v_11_SO2">Model!$E$48</definedName>
    <definedName name="v_11_SPO4">Model!$J$48</definedName>
    <definedName name="v_11_XAUT">Model!$T$48</definedName>
    <definedName name="v_11_XH">Model!$P$48</definedName>
    <definedName name="v_11_XI">Model!$N$48</definedName>
    <definedName name="v_11_XMeOH">Model!$V$48</definedName>
    <definedName name="v_11_XMeP">Model!$W$48</definedName>
    <definedName name="v_11_XPAO">Model!$Q$48</definedName>
    <definedName name="v_11_XPHA">Model!$S$48</definedName>
    <definedName name="v_11_XPP">Model!$R$48</definedName>
    <definedName name="v_11_XS">Model!$O$48</definedName>
    <definedName name="v_11_XTSS">Model!$U$48</definedName>
    <definedName name="v_12_SA">Model!$G$49</definedName>
    <definedName name="v_12_SALK">Model!$L$49</definedName>
    <definedName name="v_12_SF">Model!$F$49</definedName>
    <definedName name="v_12_SI">Model!$K$49</definedName>
    <definedName name="v_12_SN2">Model!$M$49</definedName>
    <definedName name="v_12_SNH4">Model!$H$49</definedName>
    <definedName name="v_12_SNO3">Model!$I$49</definedName>
    <definedName name="v_12_SO2">Model!$E$49</definedName>
    <definedName name="v_12_SPO4">Model!$J$49</definedName>
    <definedName name="v_12_XAUT">Model!$T$49</definedName>
    <definedName name="v_12_XH">Model!$P$49</definedName>
    <definedName name="v_12_XI">Model!$N$49</definedName>
    <definedName name="v_12_XMeOH">Model!$V$49</definedName>
    <definedName name="v_12_XMeP">Model!$W$49</definedName>
    <definedName name="v_12_XPAO">Model!$Q$49</definedName>
    <definedName name="v_12_XPHA">Model!$S$49</definedName>
    <definedName name="v_12_XPP">Model!$R$49</definedName>
    <definedName name="v_12_XS">Model!$O$49</definedName>
    <definedName name="v_12_XTSS">Model!$U$49</definedName>
    <definedName name="v_13_SA">Model!$G$50</definedName>
    <definedName name="v_13_SALK">Model!$L$50</definedName>
    <definedName name="v_13_SF">Model!$F$50</definedName>
    <definedName name="v_13_SI">Model!$K$50</definedName>
    <definedName name="v_13_SN2">Model!$M$50</definedName>
    <definedName name="v_13_SNH4">Model!$H$50</definedName>
    <definedName name="v_13_SNO3">Model!$I$50</definedName>
    <definedName name="v_13_SO2">Model!$E$50</definedName>
    <definedName name="v_13_SPO4">Model!$J$50</definedName>
    <definedName name="v_13_XAUT">Model!$T$50</definedName>
    <definedName name="v_13_XH">Model!$P$50</definedName>
    <definedName name="v_13_XI">Model!$N$50</definedName>
    <definedName name="v_13_XMeOH">Model!$V$50</definedName>
    <definedName name="v_13_XMeP">Model!$W$50</definedName>
    <definedName name="v_13_XPAO">Model!$Q$50</definedName>
    <definedName name="v_13_XPHA">Model!$S$50</definedName>
    <definedName name="v_13_XPP">Model!$R$50</definedName>
    <definedName name="v_13_XS">Model!$O$50</definedName>
    <definedName name="v_13_XTSS">Model!$U$50</definedName>
    <definedName name="v_14_SA">Model!$G$51</definedName>
    <definedName name="v_14_SALK">Model!$L$51</definedName>
    <definedName name="v_14_SF">Model!$F$51</definedName>
    <definedName name="v_14_SI">Model!$K$51</definedName>
    <definedName name="v_14_SN2">Model!$M$51</definedName>
    <definedName name="v_14_SNH4">Model!$H$51</definedName>
    <definedName name="v_14_SNO3">Model!$I$51</definedName>
    <definedName name="v_14_SO2">Model!$E$51</definedName>
    <definedName name="v_14_SPO4">Model!$J$51</definedName>
    <definedName name="v_14_XAUT">Model!$T$51</definedName>
    <definedName name="v_14_XH">Model!$P$51</definedName>
    <definedName name="v_14_XI">Model!$N$51</definedName>
    <definedName name="v_14_XMeOH">Model!$V$51</definedName>
    <definedName name="v_14_XMeP">Model!$W$51</definedName>
    <definedName name="v_14_XPAO">Model!$Q$51</definedName>
    <definedName name="v_14_XPHA">Model!$S$51</definedName>
    <definedName name="v_14_XPP">Model!$R$51</definedName>
    <definedName name="v_14_XS">Model!$O$51</definedName>
    <definedName name="v_14_XTSS">Model!$U$51</definedName>
    <definedName name="v_15_SA">Model!$G$52</definedName>
    <definedName name="v_15_SALK">Model!$L$52</definedName>
    <definedName name="v_15_SF">Model!$F$52</definedName>
    <definedName name="v_15_SI">Model!$K$52</definedName>
    <definedName name="v_15_SN2">Model!$M$52</definedName>
    <definedName name="v_15_SNH4">Model!$H$52</definedName>
    <definedName name="v_15_SNO3">Model!$I$52</definedName>
    <definedName name="v_15_SO2">Model!$E$52</definedName>
    <definedName name="v_15_SPO4">Model!$J$52</definedName>
    <definedName name="v_15_XAUT">Model!$T$52</definedName>
    <definedName name="v_15_XH">Model!$P$52</definedName>
    <definedName name="v_15_XI">Model!$N$52</definedName>
    <definedName name="v_15_XMeOH">Model!$V$52</definedName>
    <definedName name="v_15_XMeP">Model!$W$52</definedName>
    <definedName name="v_15_XPAO">Model!$Q$52</definedName>
    <definedName name="v_15_XPHA">Model!$S$52</definedName>
    <definedName name="v_15_XPP">Model!$R$52</definedName>
    <definedName name="v_15_XS">Model!$O$52</definedName>
    <definedName name="v_15_XTSS">Model!$U$52</definedName>
    <definedName name="v_16_SA">Model!$G$53</definedName>
    <definedName name="v_16_SALK">Model!$L$53</definedName>
    <definedName name="v_16_SF">Model!$F$53</definedName>
    <definedName name="v_16_SI">Model!$K$53</definedName>
    <definedName name="v_16_SN2">Model!$M$53</definedName>
    <definedName name="v_16_SNH4">Model!$H$53</definedName>
    <definedName name="v_16_SNO3">Model!$I$53</definedName>
    <definedName name="v_16_SO2">Model!$E$53</definedName>
    <definedName name="v_16_SPO4">Model!$J$53</definedName>
    <definedName name="v_16_XAUT">Model!$T$53</definedName>
    <definedName name="v_16_XH">Model!$P$53</definedName>
    <definedName name="v_16_XI">Model!$N$53</definedName>
    <definedName name="v_16_XMeOH">Model!$V$53</definedName>
    <definedName name="v_16_XMeP">Model!$W$53</definedName>
    <definedName name="v_16_XPAO">Model!$Q$53</definedName>
    <definedName name="v_16_XPHA">Model!$S$53</definedName>
    <definedName name="v_16_XPP">Model!$R$53</definedName>
    <definedName name="v_16_XS">Model!$O$53</definedName>
    <definedName name="v_16_XTSS">Model!$U$53</definedName>
    <definedName name="v_17_SA">Model!$G$54</definedName>
    <definedName name="v_17_SALK">Model!$L$54</definedName>
    <definedName name="v_17_SF">Model!$F$54</definedName>
    <definedName name="v_17_SI">Model!$K$54</definedName>
    <definedName name="v_17_SN2">Model!$M$54</definedName>
    <definedName name="v_17_SNH4">Model!$H$54</definedName>
    <definedName name="v_17_SNO3">Model!$I$54</definedName>
    <definedName name="v_17_SO2">Model!$E$54</definedName>
    <definedName name="v_17_SPO4">Model!$J$54</definedName>
    <definedName name="v_17_XAUT">Model!$T$54</definedName>
    <definedName name="v_17_XH">Model!$P$54</definedName>
    <definedName name="v_17_XI">Model!$N$54</definedName>
    <definedName name="v_17_XMeOH">Model!$V$54</definedName>
    <definedName name="v_17_XMeP">Model!$W$54</definedName>
    <definedName name="v_17_XPAO">Model!$Q$54</definedName>
    <definedName name="v_17_XPHA">Model!$S$54</definedName>
    <definedName name="v_17_XPP">Model!$R$54</definedName>
    <definedName name="v_17_XS">Model!$O$54</definedName>
    <definedName name="v_17_XTSS">Model!$U$54</definedName>
    <definedName name="v_18_SA">Model!$G$55</definedName>
    <definedName name="v_18_SALK">Model!$L$55</definedName>
    <definedName name="v_18_SF">Model!$F$55</definedName>
    <definedName name="v_18_SI">Model!$K$55</definedName>
    <definedName name="v_18_SN2">Model!$M$55</definedName>
    <definedName name="v_18_SNH4">Model!$H$55</definedName>
    <definedName name="v_18_SNO3">Model!$I$55</definedName>
    <definedName name="v_18_SO2">Model!$E$55</definedName>
    <definedName name="v_18_SPO4">Model!$J$55</definedName>
    <definedName name="v_18_XAUT">Model!$T$55</definedName>
    <definedName name="v_18_XH">Model!$P$55</definedName>
    <definedName name="v_18_XI">Model!$N$55</definedName>
    <definedName name="v_18_XMeOH">Model!$V$55</definedName>
    <definedName name="v_18_XMeP">Model!$W$55</definedName>
    <definedName name="v_18_XPAO">Model!$Q$55</definedName>
    <definedName name="v_18_XPHA">Model!$S$55</definedName>
    <definedName name="v_18_XPP">Model!$R$55</definedName>
    <definedName name="v_18_XS">Model!$O$55</definedName>
    <definedName name="v_18_XTSS">Model!$U$55</definedName>
    <definedName name="v_19_SA">Model!$G$56</definedName>
    <definedName name="v_19_SALK">Model!$L$56</definedName>
    <definedName name="v_19_SF">Model!$F$56</definedName>
    <definedName name="v_19_SI">Model!$K$56</definedName>
    <definedName name="v_19_SN2">Model!$M$56</definedName>
    <definedName name="v_19_SNH4">Model!$H$56</definedName>
    <definedName name="v_19_SNO3">Model!$I$56</definedName>
    <definedName name="v_19_SO2">Model!$E$56</definedName>
    <definedName name="v_19_SPO4">Model!$J$56</definedName>
    <definedName name="v_19_XAUT">Model!$T$56</definedName>
    <definedName name="v_19_XH">Model!$P$56</definedName>
    <definedName name="v_19_XI">Model!$N$56</definedName>
    <definedName name="v_19_XMeOH">Model!$V$56</definedName>
    <definedName name="v_19_XMeP">Model!$W$56</definedName>
    <definedName name="v_19_XPAO">Model!$Q$56</definedName>
    <definedName name="v_19_XPHA">Model!$S$56</definedName>
    <definedName name="v_19_XPP">Model!$R$56</definedName>
    <definedName name="v_19_XS">Model!$O$56</definedName>
    <definedName name="v_19_XTSS">Model!$U$56</definedName>
    <definedName name="v_2_SA">Model!$G$39</definedName>
    <definedName name="v_2_SALK">Model!$L$39</definedName>
    <definedName name="v_2_SF">Model!$F$39</definedName>
    <definedName name="v_2_SI">Model!$K$39</definedName>
    <definedName name="v_2_SN2">Model!$M$39</definedName>
    <definedName name="v_2_SNH4">Model!$H$39</definedName>
    <definedName name="v_2_SNO3">Model!$I$39</definedName>
    <definedName name="v_2_SO2">Model!$E$39</definedName>
    <definedName name="v_2_SPO4">Model!$J$39</definedName>
    <definedName name="v_2_XAUT">Model!$T$39</definedName>
    <definedName name="v_2_XH">Model!$P$39</definedName>
    <definedName name="v_2_XI">Model!$N$39</definedName>
    <definedName name="v_2_XMeOH">Model!$V$39</definedName>
    <definedName name="v_2_XMeP">Model!$W$39</definedName>
    <definedName name="v_2_XPAO">Model!$Q$39</definedName>
    <definedName name="v_2_XPHA">Model!$S$39</definedName>
    <definedName name="v_2_XPP">Model!$R$39</definedName>
    <definedName name="v_2_XS">Model!$O$39</definedName>
    <definedName name="v_2_XTSS">Model!$U$39</definedName>
    <definedName name="v_20_SA">Model!$G$57</definedName>
    <definedName name="v_20_SALK">Model!$L$57</definedName>
    <definedName name="v_20_SF">Model!$F$57</definedName>
    <definedName name="v_20_SI">Model!$K$57</definedName>
    <definedName name="v_20_SN2">Model!$M$57</definedName>
    <definedName name="v_20_SNH4">Model!$H$57</definedName>
    <definedName name="v_20_SNO3">Model!$I$57</definedName>
    <definedName name="v_20_SO2">Model!$E$57</definedName>
    <definedName name="v_20_SPO4">Model!$J$57</definedName>
    <definedName name="v_20_XAUT">Model!$T$57</definedName>
    <definedName name="v_20_XH">Model!$P$57</definedName>
    <definedName name="v_20_XI">Model!$N$57</definedName>
    <definedName name="v_20_XMeOH">Model!$V$57</definedName>
    <definedName name="v_20_XMeP">Model!$W$57</definedName>
    <definedName name="v_20_XPAO">Model!$Q$57</definedName>
    <definedName name="v_20_XPHA">Model!$S$57</definedName>
    <definedName name="v_20_XPP">Model!$R$57</definedName>
    <definedName name="v_20_XS">Model!$O$57</definedName>
    <definedName name="v_20_XTSS">Model!$U$57</definedName>
    <definedName name="v_21_SA">Model!$G$58</definedName>
    <definedName name="v_21_SALK">Model!$L$58</definedName>
    <definedName name="v_21_SF">Model!$F$58</definedName>
    <definedName name="v_21_SI">Model!$K$58</definedName>
    <definedName name="v_21_SN2">Model!$M$58</definedName>
    <definedName name="v_21_SNH4">Model!$H$58</definedName>
    <definedName name="v_21_SNO3">Model!$I$58</definedName>
    <definedName name="v_21_SO2">Model!$E$58</definedName>
    <definedName name="v_21_SPO4">Model!$J$58</definedName>
    <definedName name="v_21_XAUT">Model!$T$58</definedName>
    <definedName name="v_21_XH">Model!$P$58</definedName>
    <definedName name="v_21_XI">Model!$N$58</definedName>
    <definedName name="v_21_XMeOH">Model!$V$58</definedName>
    <definedName name="v_21_XMeP">Model!$W$58</definedName>
    <definedName name="v_21_XPAO">Model!$Q$58</definedName>
    <definedName name="v_21_XPHA">Model!$S$58</definedName>
    <definedName name="v_21_XPP">Model!$R$58</definedName>
    <definedName name="v_21_XS">Model!$O$58</definedName>
    <definedName name="v_21_XTSS">Model!$U$58</definedName>
    <definedName name="v_3_SA">Model!$G$40</definedName>
    <definedName name="v_3_SALK">Model!$L$40</definedName>
    <definedName name="v_3_SF">Model!$F$40</definedName>
    <definedName name="v_3_SI">Model!$K$40</definedName>
    <definedName name="v_3_SN2">Model!$M$40</definedName>
    <definedName name="v_3_SNH4">Model!$H$40</definedName>
    <definedName name="v_3_SNO3">Model!$I$40</definedName>
    <definedName name="v_3_SO2">Model!$E$40</definedName>
    <definedName name="v_3_SPO4">Model!$J$40</definedName>
    <definedName name="v_3_XAUT">Model!$T$40</definedName>
    <definedName name="v_3_XH">Model!$P$40</definedName>
    <definedName name="v_3_XI">Model!$N$40</definedName>
    <definedName name="v_3_XMeOH">Model!$V$40</definedName>
    <definedName name="v_3_XMeP">Model!$W$40</definedName>
    <definedName name="v_3_XPAO">Model!$Q$40</definedName>
    <definedName name="v_3_XPHA">Model!$S$40</definedName>
    <definedName name="v_3_XPP">Model!$R$40</definedName>
    <definedName name="v_3_XS">Model!$O$40</definedName>
    <definedName name="v_3_XTSS">Model!$U$40</definedName>
    <definedName name="v_4_SA">Model!$G$41</definedName>
    <definedName name="v_4_SALK">Model!$L$41</definedName>
    <definedName name="v_4_SF">Model!$F$41</definedName>
    <definedName name="v_4_SI">Model!$K$41</definedName>
    <definedName name="v_4_SN2">Model!$M$41</definedName>
    <definedName name="v_4_SNH4">Model!$H$41</definedName>
    <definedName name="v_4_SNO3">Model!$I$41</definedName>
    <definedName name="v_4_SO2">Model!$E$41</definedName>
    <definedName name="v_4_SPO4">Model!$J$41</definedName>
    <definedName name="v_4_XAUT">Model!$T$41</definedName>
    <definedName name="v_4_XH">Model!$P$41</definedName>
    <definedName name="v_4_XI">Model!$N$41</definedName>
    <definedName name="v_4_XMeOH">Model!$V$41</definedName>
    <definedName name="v_4_XMeP">Model!$W$41</definedName>
    <definedName name="v_4_XPAO">Model!$Q$41</definedName>
    <definedName name="v_4_XPHA">Model!$S$41</definedName>
    <definedName name="v_4_XPP">Model!$R$41</definedName>
    <definedName name="v_4_XS">Model!$O$41</definedName>
    <definedName name="v_4_XTSS">Model!$U$41</definedName>
    <definedName name="v_5_SA">Model!$G$42</definedName>
    <definedName name="v_5_SALK">Model!$L$42</definedName>
    <definedName name="v_5_SF">Model!$F$42</definedName>
    <definedName name="v_5_SI">Model!$K$42</definedName>
    <definedName name="v_5_SN2">Model!$M$42</definedName>
    <definedName name="v_5_SNH4">Model!$H$42</definedName>
    <definedName name="v_5_SNO3">Model!$I$42</definedName>
    <definedName name="v_5_SO2">Model!$E$42</definedName>
    <definedName name="v_5_SPO4">Model!$J$42</definedName>
    <definedName name="v_5_XAUT">Model!$T$42</definedName>
    <definedName name="v_5_XH">Model!$P$42</definedName>
    <definedName name="v_5_XI">Model!$N$42</definedName>
    <definedName name="v_5_XMeOH">Model!$V$42</definedName>
    <definedName name="v_5_XMeP">Model!$W$42</definedName>
    <definedName name="v_5_XPAO">Model!$Q$42</definedName>
    <definedName name="v_5_XPHA">Model!$S$42</definedName>
    <definedName name="v_5_XPP">Model!$R$42</definedName>
    <definedName name="v_5_XS">Model!$O$42</definedName>
    <definedName name="v_5_XTSS">Model!$U$42</definedName>
    <definedName name="v_6_SA">Model!$G$43</definedName>
    <definedName name="v_6_SALK">Model!$L$43</definedName>
    <definedName name="v_6_SF">Model!$F$43</definedName>
    <definedName name="v_6_SI">Model!$K$43</definedName>
    <definedName name="v_6_SN2">Model!$M$43</definedName>
    <definedName name="v_6_SNH4">Model!$H$43</definedName>
    <definedName name="v_6_SNO3">Model!$I$43</definedName>
    <definedName name="v_6_SO2">Model!$E$43</definedName>
    <definedName name="v_6_SPO4">Model!$J$43</definedName>
    <definedName name="v_6_XAUT">Model!$T$43</definedName>
    <definedName name="v_6_XH">Model!$P$43</definedName>
    <definedName name="v_6_XI">Model!$N$43</definedName>
    <definedName name="v_6_XMeOH">Model!$V$43</definedName>
    <definedName name="v_6_XMeP">Model!$W$43</definedName>
    <definedName name="v_6_XPAO">Model!$Q$43</definedName>
    <definedName name="v_6_XPHA">Model!$S$43</definedName>
    <definedName name="v_6_XPP">Model!$R$43</definedName>
    <definedName name="v_6_XS">Model!$O$43</definedName>
    <definedName name="v_6_XTSS">Model!$U$43</definedName>
    <definedName name="v_7_SA">Model!$G$44</definedName>
    <definedName name="v_7_SALK">Model!$L$44</definedName>
    <definedName name="v_7_SF">Model!$F$44</definedName>
    <definedName name="v_7_SI">Model!$K$44</definedName>
    <definedName name="v_7_SN2">Model!$M$44</definedName>
    <definedName name="v_7_SNH4">Model!$H$44</definedName>
    <definedName name="v_7_SNO3">Model!$I$44</definedName>
    <definedName name="v_7_SO2">Model!$E$44</definedName>
    <definedName name="v_7_SPO4">Model!$J$44</definedName>
    <definedName name="v_7_XAUT">Model!$T$44</definedName>
    <definedName name="v_7_XH">Model!$P$44</definedName>
    <definedName name="v_7_XI">Model!$N$44</definedName>
    <definedName name="v_7_XMeOH">Model!$V$44</definedName>
    <definedName name="v_7_XMeP">Model!$W$44</definedName>
    <definedName name="v_7_XPAO">Model!$Q$44</definedName>
    <definedName name="v_7_XPHA">Model!$S$44</definedName>
    <definedName name="v_7_XPP">Model!$R$44</definedName>
    <definedName name="v_7_XS">Model!$O$44</definedName>
    <definedName name="v_7_XTSS">Model!$U$44</definedName>
    <definedName name="v_8_SA">Model!$G$45</definedName>
    <definedName name="v_8_SALK">Model!$L$45</definedName>
    <definedName name="v_8_SF">Model!$F$45</definedName>
    <definedName name="v_8_SI">Model!$K$45</definedName>
    <definedName name="v_8_SN2">Model!$M$45</definedName>
    <definedName name="v_8_SNH4">Model!$H$45</definedName>
    <definedName name="v_8_SNO3">Model!$I$45</definedName>
    <definedName name="v_8_SO2">Model!$E$45</definedName>
    <definedName name="v_8_SPO4">Model!$J$45</definedName>
    <definedName name="v_8_XAUT">Model!$T$45</definedName>
    <definedName name="v_8_XH">Model!$P$45</definedName>
    <definedName name="v_8_XI">Model!$N$45</definedName>
    <definedName name="v_8_XMeOH">Model!$V$45</definedName>
    <definedName name="v_8_XMeP">Model!$W$45</definedName>
    <definedName name="v_8_XPAO">Model!$Q$45</definedName>
    <definedName name="v_8_XPHA">Model!$S$45</definedName>
    <definedName name="v_8_XPP">Model!$R$45</definedName>
    <definedName name="v_8_XS">Model!$O$45</definedName>
    <definedName name="v_8_XTSS">Model!$U$45</definedName>
    <definedName name="v_9_SA">Model!$G$46</definedName>
    <definedName name="v_9_SALK">Model!$L$46</definedName>
    <definedName name="v_9_SF">Model!$F$46</definedName>
    <definedName name="v_9_SI">Model!$K$46</definedName>
    <definedName name="v_9_SN2">Model!$M$46</definedName>
    <definedName name="v_9_SNH4">Model!$H$46</definedName>
    <definedName name="v_9_SNO3">Model!$I$46</definedName>
    <definedName name="v_9_SO2">Model!$E$46</definedName>
    <definedName name="v_9_SPO4">Model!$J$46</definedName>
    <definedName name="v_9_XAUT">Model!$T$46</definedName>
    <definedName name="v_9_XH">Model!$P$46</definedName>
    <definedName name="v_9_XI">Model!$N$46</definedName>
    <definedName name="v_9_XMeOH">Model!$V$46</definedName>
    <definedName name="v_9_XMeP">Model!$W$46</definedName>
    <definedName name="v_9_XPAO">Model!$Q$46</definedName>
    <definedName name="v_9_XPHA">Model!$S$46</definedName>
    <definedName name="v_9_XPP">Model!$R$46</definedName>
    <definedName name="v_9_XS">Model!$O$46</definedName>
    <definedName name="v_9_XTSS">Model!$U$46</definedName>
    <definedName name="V_mol_N">systemcode_constants!$D$75</definedName>
    <definedName name="X_AUT">Components!$E$19</definedName>
    <definedName name="X_BOD_5">'Calculated variables'!$E$9</definedName>
    <definedName name="X_BOD_ult">'Calculated variables'!$E$6</definedName>
    <definedName name="X_COD">'Calculated variables'!$E$12</definedName>
    <definedName name="X_DM">'Calculated variables'!$E$18</definedName>
    <definedName name="X_H">Components!$E$15</definedName>
    <definedName name="X_I">Components!$E$13</definedName>
    <definedName name="X_ISS">'Calculated variables'!$E$17</definedName>
    <definedName name="X_MeOH">Components!$E$21</definedName>
    <definedName name="X_MeP">Components!$E$22</definedName>
    <definedName name="X_PAO">Components!$E$16</definedName>
    <definedName name="X_PHA">Components!$E$18</definedName>
    <definedName name="X_PP">Components!$E$17</definedName>
    <definedName name="X_S">Components!$E$14</definedName>
    <definedName name="X_TSS">Components!$E$20</definedName>
    <definedName name="X_VSS">'Calculated variables'!$E$16</definedName>
    <definedName name="Y_AUT">Parameters!$D$71</definedName>
    <definedName name="Y_H">Parameters!$D$67</definedName>
    <definedName name="Y_PAO">Parameters!$D$68</definedName>
    <definedName name="Y_PHA">Parameters!$D$69</definedName>
    <definedName name="Y_PO4">Parameters!$D$70</definedName>
    <definedName name="Δ_atm">systemcode_constants!$D$69</definedName>
    <definedName name="η_fe">Parameters!$D$10</definedName>
    <definedName name="η_H2O">systemcode_constants!$D$48</definedName>
    <definedName name="η_NO3_H">Parameters!$D$17</definedName>
    <definedName name="η_NO3_HYD">Parameters!$D$9</definedName>
    <definedName name="η_NO3_PAO">Parameters!$D$37</definedName>
    <definedName name="κ__">systemcode_constants!$D$76</definedName>
    <definedName name="λ_H">systemcode_constants!$D$350</definedName>
    <definedName name="μ_AUT">Parameters!$D$52</definedName>
    <definedName name="μ_H">Parameters!$D$16</definedName>
    <definedName name="μ_PAO">Parameters!$D$36</definedName>
    <definedName name="ρ_air">systemcode_constants!$D$56</definedName>
    <definedName name="ρ_H2O">systemcode_constants!$D$47</definedName>
    <definedName name="σ_H2O">systemcode_constants!$D$46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58" i="5" l="1"/>
  <c r="E57" i="5"/>
  <c r="E56" i="5"/>
  <c r="E55" i="5"/>
  <c r="E54" i="5"/>
  <c r="X39" i="1" s="1"/>
  <c r="E53" i="5"/>
  <c r="E52" i="5"/>
  <c r="X48" i="1" s="1"/>
  <c r="E51" i="5"/>
  <c r="E50" i="5"/>
  <c r="E49" i="5"/>
  <c r="E48" i="5"/>
  <c r="E47" i="5"/>
  <c r="X55" i="1" s="1"/>
  <c r="E46" i="5"/>
  <c r="E45" i="5"/>
  <c r="E44" i="5"/>
  <c r="E43" i="5"/>
  <c r="E42" i="5"/>
  <c r="E41" i="5"/>
  <c r="E40" i="5"/>
  <c r="E39" i="5"/>
  <c r="X54" i="1" s="1"/>
  <c r="E38" i="5"/>
  <c r="E37" i="5"/>
  <c r="E36" i="5"/>
  <c r="E35" i="5"/>
  <c r="X42" i="1" s="1"/>
  <c r="E34" i="5"/>
  <c r="E33" i="5"/>
  <c r="E32" i="5"/>
  <c r="E31" i="5"/>
  <c r="E30" i="5"/>
  <c r="E29" i="5"/>
  <c r="E28" i="5"/>
  <c r="X38" i="1" s="1"/>
  <c r="E18" i="5"/>
  <c r="E17" i="5"/>
  <c r="E16" i="5"/>
  <c r="E15" i="5"/>
  <c r="E14" i="5"/>
  <c r="E13" i="5"/>
  <c r="E12" i="5"/>
  <c r="E11" i="5"/>
  <c r="E10" i="5"/>
  <c r="E9" i="5"/>
  <c r="E8" i="5"/>
  <c r="E7" i="5"/>
  <c r="E6" i="5"/>
  <c r="E5" i="5"/>
  <c r="AD58" i="1"/>
  <c r="AC58" i="1"/>
  <c r="AB58" i="1"/>
  <c r="AA58" i="1"/>
  <c r="Z58" i="1"/>
  <c r="AD57" i="1"/>
  <c r="AC57" i="1"/>
  <c r="AB57" i="1"/>
  <c r="AA57" i="1"/>
  <c r="Z57" i="1"/>
  <c r="AD56" i="1"/>
  <c r="AC56" i="1"/>
  <c r="AB56" i="1"/>
  <c r="AA56" i="1"/>
  <c r="Z56" i="1"/>
  <c r="AD55" i="1"/>
  <c r="AC55" i="1"/>
  <c r="AB55" i="1"/>
  <c r="AA55" i="1"/>
  <c r="Z55" i="1"/>
  <c r="AD54" i="1"/>
  <c r="AC54" i="1"/>
  <c r="AB54" i="1"/>
  <c r="AA54" i="1"/>
  <c r="Z54" i="1"/>
  <c r="AD53" i="1"/>
  <c r="AC53" i="1"/>
  <c r="AB53" i="1"/>
  <c r="AA53" i="1"/>
  <c r="Z53" i="1"/>
  <c r="AD52" i="1"/>
  <c r="AC52" i="1"/>
  <c r="AB52" i="1"/>
  <c r="AA52" i="1"/>
  <c r="Z52" i="1"/>
  <c r="AD51" i="1"/>
  <c r="AC51" i="1"/>
  <c r="AB51" i="1"/>
  <c r="AA51" i="1"/>
  <c r="Z51" i="1"/>
  <c r="AD50" i="1"/>
  <c r="AC50" i="1"/>
  <c r="AB50" i="1"/>
  <c r="AA50" i="1"/>
  <c r="Z50" i="1"/>
  <c r="AD49" i="1"/>
  <c r="AC49" i="1"/>
  <c r="AB49" i="1"/>
  <c r="AA49" i="1"/>
  <c r="Z49" i="1"/>
  <c r="AD48" i="1"/>
  <c r="AC48" i="1"/>
  <c r="AB48" i="1"/>
  <c r="AA48" i="1"/>
  <c r="Z48" i="1"/>
  <c r="AD47" i="1"/>
  <c r="AC47" i="1"/>
  <c r="AB47" i="1"/>
  <c r="AA47" i="1"/>
  <c r="Z47" i="1"/>
  <c r="AD46" i="1"/>
  <c r="AC46" i="1"/>
  <c r="AB46" i="1"/>
  <c r="AA46" i="1"/>
  <c r="Z46" i="1"/>
  <c r="AD45" i="1"/>
  <c r="AC45" i="1"/>
  <c r="AB45" i="1"/>
  <c r="AA45" i="1"/>
  <c r="Z45" i="1"/>
  <c r="AD44" i="1"/>
  <c r="AC44" i="1"/>
  <c r="AB44" i="1"/>
  <c r="AA44" i="1"/>
  <c r="Z44" i="1"/>
  <c r="AD43" i="1"/>
  <c r="AC43" i="1"/>
  <c r="AB43" i="1"/>
  <c r="AA43" i="1"/>
  <c r="Z43" i="1"/>
  <c r="AD42" i="1"/>
  <c r="AC42" i="1"/>
  <c r="AB42" i="1"/>
  <c r="AA42" i="1"/>
  <c r="Z42" i="1"/>
  <c r="AD41" i="1"/>
  <c r="AC41" i="1"/>
  <c r="AB41" i="1"/>
  <c r="AA41" i="1"/>
  <c r="Z41" i="1"/>
  <c r="AD40" i="1"/>
  <c r="AC40" i="1"/>
  <c r="AB40" i="1"/>
  <c r="AA40" i="1"/>
  <c r="Z40" i="1"/>
  <c r="AD39" i="1"/>
  <c r="AC39" i="1"/>
  <c r="AB39" i="1"/>
  <c r="AA39" i="1"/>
  <c r="Z39" i="1"/>
  <c r="AD38" i="1"/>
  <c r="AC38" i="1"/>
  <c r="AB38" i="1"/>
  <c r="AA38" i="1"/>
  <c r="Z38" i="1"/>
  <c r="T66" i="1"/>
  <c r="S66" i="1"/>
  <c r="R66" i="1"/>
  <c r="Q66" i="1"/>
  <c r="P66" i="1"/>
  <c r="O66" i="1"/>
  <c r="N66" i="1"/>
  <c r="R65" i="1"/>
  <c r="J65" i="1"/>
  <c r="I65" i="1"/>
  <c r="H65" i="1"/>
  <c r="G65" i="1"/>
  <c r="W64" i="1"/>
  <c r="T64" i="1"/>
  <c r="Q64" i="1"/>
  <c r="P64" i="1"/>
  <c r="O64" i="1"/>
  <c r="N64" i="1"/>
  <c r="K64" i="1"/>
  <c r="F64" i="1"/>
  <c r="T63" i="1"/>
  <c r="Q63" i="1"/>
  <c r="P63" i="1"/>
  <c r="O63" i="1"/>
  <c r="N63" i="1"/>
  <c r="K63" i="1"/>
  <c r="F63" i="1"/>
  <c r="M62" i="1"/>
  <c r="I62" i="1"/>
  <c r="X58" i="1"/>
  <c r="X57" i="1"/>
  <c r="X56" i="1"/>
  <c r="X52" i="1"/>
  <c r="X50" i="1"/>
  <c r="X46" i="1"/>
  <c r="W58" i="1"/>
  <c r="W57" i="1"/>
  <c r="W56" i="1"/>
  <c r="W55" i="1"/>
  <c r="W54" i="1"/>
  <c r="W53" i="1"/>
  <c r="W52" i="1"/>
  <c r="W51" i="1"/>
  <c r="W50" i="1"/>
  <c r="W49" i="1"/>
  <c r="W48" i="1"/>
  <c r="W47" i="1"/>
  <c r="W46" i="1"/>
  <c r="W45" i="1"/>
  <c r="W44" i="1"/>
  <c r="W43" i="1"/>
  <c r="W42" i="1"/>
  <c r="W41" i="1"/>
  <c r="W40" i="1"/>
  <c r="W39" i="1"/>
  <c r="W38" i="1"/>
  <c r="V58" i="1"/>
  <c r="V57" i="1"/>
  <c r="V56" i="1"/>
  <c r="V55" i="1"/>
  <c r="V54" i="1"/>
  <c r="V53" i="1"/>
  <c r="V52" i="1"/>
  <c r="V51" i="1"/>
  <c r="V50" i="1"/>
  <c r="V49" i="1"/>
  <c r="V48" i="1"/>
  <c r="V47" i="1"/>
  <c r="V46" i="1"/>
  <c r="V45" i="1"/>
  <c r="V44" i="1"/>
  <c r="V43" i="1"/>
  <c r="V42" i="1"/>
  <c r="V41" i="1"/>
  <c r="V40" i="1"/>
  <c r="V39" i="1"/>
  <c r="V38" i="1"/>
  <c r="U58" i="1"/>
  <c r="U57" i="1"/>
  <c r="U56" i="1"/>
  <c r="U55" i="1"/>
  <c r="U54" i="1"/>
  <c r="U53" i="1"/>
  <c r="U52" i="1"/>
  <c r="U51" i="1"/>
  <c r="U50" i="1"/>
  <c r="U49" i="1"/>
  <c r="U48" i="1"/>
  <c r="U47" i="1"/>
  <c r="U46" i="1"/>
  <c r="U45" i="1"/>
  <c r="U44" i="1"/>
  <c r="U43" i="1"/>
  <c r="U42" i="1"/>
  <c r="U41" i="1"/>
  <c r="U40" i="1"/>
  <c r="U39" i="1"/>
  <c r="U38" i="1"/>
  <c r="T58" i="1"/>
  <c r="T57" i="1"/>
  <c r="T56" i="1"/>
  <c r="T55" i="1"/>
  <c r="T54" i="1"/>
  <c r="T53" i="1"/>
  <c r="T52" i="1"/>
  <c r="T51" i="1"/>
  <c r="T50" i="1"/>
  <c r="T49" i="1"/>
  <c r="T48" i="1"/>
  <c r="T47" i="1"/>
  <c r="T46" i="1"/>
  <c r="T45" i="1"/>
  <c r="T44" i="1"/>
  <c r="T43" i="1"/>
  <c r="T42" i="1"/>
  <c r="T41" i="1"/>
  <c r="T40" i="1"/>
  <c r="T39" i="1"/>
  <c r="T38" i="1"/>
  <c r="S58" i="1"/>
  <c r="S57" i="1"/>
  <c r="S56" i="1"/>
  <c r="S55" i="1"/>
  <c r="S54" i="1"/>
  <c r="S53" i="1"/>
  <c r="S52" i="1"/>
  <c r="S51" i="1"/>
  <c r="S50" i="1"/>
  <c r="S49" i="1"/>
  <c r="S48" i="1"/>
  <c r="S47" i="1"/>
  <c r="S46" i="1"/>
  <c r="S45" i="1"/>
  <c r="S44" i="1"/>
  <c r="S43" i="1"/>
  <c r="S42" i="1"/>
  <c r="S41" i="1"/>
  <c r="S40" i="1"/>
  <c r="S39" i="1"/>
  <c r="S38" i="1"/>
  <c r="R58" i="1"/>
  <c r="R57" i="1"/>
  <c r="R56" i="1"/>
  <c r="R55" i="1"/>
  <c r="R54" i="1"/>
  <c r="R53" i="1"/>
  <c r="R52" i="1"/>
  <c r="R51" i="1"/>
  <c r="R50" i="1"/>
  <c r="R49" i="1"/>
  <c r="R48" i="1"/>
  <c r="R47" i="1"/>
  <c r="R46" i="1"/>
  <c r="R45" i="1"/>
  <c r="R44" i="1"/>
  <c r="R43" i="1"/>
  <c r="R42" i="1"/>
  <c r="R41" i="1"/>
  <c r="R40" i="1"/>
  <c r="R39" i="1"/>
  <c r="R38" i="1"/>
  <c r="Q58" i="1"/>
  <c r="Q57" i="1"/>
  <c r="Q56" i="1"/>
  <c r="Q55" i="1"/>
  <c r="Q54" i="1"/>
  <c r="Q53" i="1"/>
  <c r="Q52" i="1"/>
  <c r="Q51" i="1"/>
  <c r="Q50" i="1"/>
  <c r="Q49" i="1"/>
  <c r="Q48" i="1"/>
  <c r="Q47" i="1"/>
  <c r="Q46" i="1"/>
  <c r="Q45" i="1"/>
  <c r="Q44" i="1"/>
  <c r="Q43" i="1"/>
  <c r="Q42" i="1"/>
  <c r="Q41" i="1"/>
  <c r="Q40" i="1"/>
  <c r="Q39" i="1"/>
  <c r="Q38" i="1"/>
  <c r="P58" i="1"/>
  <c r="P57" i="1"/>
  <c r="P56" i="1"/>
  <c r="P55" i="1"/>
  <c r="P54" i="1"/>
  <c r="P53" i="1"/>
  <c r="P52" i="1"/>
  <c r="P51" i="1"/>
  <c r="P50" i="1"/>
  <c r="P49" i="1"/>
  <c r="P48" i="1"/>
  <c r="P47" i="1"/>
  <c r="P46" i="1"/>
  <c r="P45" i="1"/>
  <c r="P44" i="1"/>
  <c r="P43" i="1"/>
  <c r="P42" i="1"/>
  <c r="P41" i="1"/>
  <c r="P40" i="1"/>
  <c r="P39" i="1"/>
  <c r="P38" i="1"/>
  <c r="O58" i="1"/>
  <c r="O57" i="1"/>
  <c r="O56" i="1"/>
  <c r="O55" i="1"/>
  <c r="O54" i="1"/>
  <c r="O53" i="1"/>
  <c r="O52" i="1"/>
  <c r="O51" i="1"/>
  <c r="O50" i="1"/>
  <c r="O49" i="1"/>
  <c r="O48" i="1"/>
  <c r="O47" i="1"/>
  <c r="O46" i="1"/>
  <c r="O45" i="1"/>
  <c r="O44" i="1"/>
  <c r="O43" i="1"/>
  <c r="O42" i="1"/>
  <c r="O41" i="1"/>
  <c r="O40" i="1"/>
  <c r="O39" i="1"/>
  <c r="O38" i="1"/>
  <c r="N58" i="1"/>
  <c r="N57" i="1"/>
  <c r="N56" i="1"/>
  <c r="N55" i="1"/>
  <c r="N54" i="1"/>
  <c r="N53" i="1"/>
  <c r="N52" i="1"/>
  <c r="N51" i="1"/>
  <c r="N50" i="1"/>
  <c r="N49" i="1"/>
  <c r="N48" i="1"/>
  <c r="N47" i="1"/>
  <c r="N46" i="1"/>
  <c r="N45" i="1"/>
  <c r="N44" i="1"/>
  <c r="N43" i="1"/>
  <c r="N42" i="1"/>
  <c r="N41" i="1"/>
  <c r="N40" i="1"/>
  <c r="N39" i="1"/>
  <c r="N38" i="1"/>
  <c r="M58" i="1"/>
  <c r="M57" i="1"/>
  <c r="M56" i="1"/>
  <c r="M55" i="1"/>
  <c r="M54" i="1"/>
  <c r="M53" i="1"/>
  <c r="M52" i="1"/>
  <c r="M51" i="1"/>
  <c r="M50" i="1"/>
  <c r="M49" i="1"/>
  <c r="M48" i="1"/>
  <c r="M47" i="1"/>
  <c r="M46" i="1"/>
  <c r="M45" i="1"/>
  <c r="M44" i="1"/>
  <c r="M43" i="1"/>
  <c r="M42" i="1"/>
  <c r="M41" i="1"/>
  <c r="M40" i="1"/>
  <c r="M39" i="1"/>
  <c r="M38" i="1"/>
  <c r="L58" i="1"/>
  <c r="L57" i="1"/>
  <c r="L56" i="1"/>
  <c r="L55" i="1"/>
  <c r="L54" i="1"/>
  <c r="L53" i="1"/>
  <c r="L52" i="1"/>
  <c r="L51" i="1"/>
  <c r="L50" i="1"/>
  <c r="L49" i="1"/>
  <c r="L48" i="1"/>
  <c r="L47" i="1"/>
  <c r="L46" i="1"/>
  <c r="L45" i="1"/>
  <c r="L44" i="1"/>
  <c r="L43" i="1"/>
  <c r="L42" i="1"/>
  <c r="L41" i="1"/>
  <c r="L40" i="1"/>
  <c r="L39" i="1"/>
  <c r="L38" i="1"/>
  <c r="K58" i="1"/>
  <c r="K57" i="1"/>
  <c r="K56" i="1"/>
  <c r="K55" i="1"/>
  <c r="K54" i="1"/>
  <c r="K53" i="1"/>
  <c r="K52" i="1"/>
  <c r="K51" i="1"/>
  <c r="K50" i="1"/>
  <c r="K49" i="1"/>
  <c r="K48" i="1"/>
  <c r="K47" i="1"/>
  <c r="K46" i="1"/>
  <c r="K45" i="1"/>
  <c r="K44" i="1"/>
  <c r="K43" i="1"/>
  <c r="K42" i="1"/>
  <c r="K41" i="1"/>
  <c r="K40" i="1"/>
  <c r="K39" i="1"/>
  <c r="K38" i="1"/>
  <c r="J58" i="1"/>
  <c r="J57" i="1"/>
  <c r="J56" i="1"/>
  <c r="J55" i="1"/>
  <c r="J54" i="1"/>
  <c r="J53" i="1"/>
  <c r="J52" i="1"/>
  <c r="J51" i="1"/>
  <c r="J50" i="1"/>
  <c r="J49" i="1"/>
  <c r="J48" i="1"/>
  <c r="J47" i="1"/>
  <c r="J46" i="1"/>
  <c r="J45" i="1"/>
  <c r="J44" i="1"/>
  <c r="J43" i="1"/>
  <c r="J42" i="1"/>
  <c r="J41" i="1"/>
  <c r="J40" i="1"/>
  <c r="J39" i="1"/>
  <c r="J38" i="1"/>
  <c r="I58" i="1"/>
  <c r="I57" i="1"/>
  <c r="I56" i="1"/>
  <c r="I55" i="1"/>
  <c r="I54" i="1"/>
  <c r="I53" i="1"/>
  <c r="I52" i="1"/>
  <c r="I51" i="1"/>
  <c r="I50" i="1"/>
  <c r="I49" i="1"/>
  <c r="I48" i="1"/>
  <c r="I47" i="1"/>
  <c r="I46" i="1"/>
  <c r="I45" i="1"/>
  <c r="I44" i="1"/>
  <c r="I43" i="1"/>
  <c r="I42" i="1"/>
  <c r="I41" i="1"/>
  <c r="I40" i="1"/>
  <c r="I39" i="1"/>
  <c r="I38" i="1"/>
  <c r="H58" i="1"/>
  <c r="H57" i="1"/>
  <c r="H56" i="1"/>
  <c r="H55" i="1"/>
  <c r="H54" i="1"/>
  <c r="H53" i="1"/>
  <c r="H52" i="1"/>
  <c r="H51" i="1"/>
  <c r="H50" i="1"/>
  <c r="H49" i="1"/>
  <c r="H48" i="1"/>
  <c r="H47" i="1"/>
  <c r="H46" i="1"/>
  <c r="H45" i="1"/>
  <c r="H44" i="1"/>
  <c r="H43" i="1"/>
  <c r="H42" i="1"/>
  <c r="H41" i="1"/>
  <c r="H40" i="1"/>
  <c r="H39" i="1"/>
  <c r="H38" i="1"/>
  <c r="G58" i="1"/>
  <c r="G57" i="1"/>
  <c r="G56" i="1"/>
  <c r="G55" i="1"/>
  <c r="G54" i="1"/>
  <c r="G53" i="1"/>
  <c r="G52" i="1"/>
  <c r="G51" i="1"/>
  <c r="G50" i="1"/>
  <c r="G49" i="1"/>
  <c r="G48" i="1"/>
  <c r="G47" i="1"/>
  <c r="G46" i="1"/>
  <c r="G45" i="1"/>
  <c r="G44" i="1"/>
  <c r="G43" i="1"/>
  <c r="G42" i="1"/>
  <c r="G41" i="1"/>
  <c r="G40" i="1"/>
  <c r="G39" i="1"/>
  <c r="G38" i="1"/>
  <c r="F58" i="1"/>
  <c r="F57" i="1"/>
  <c r="F56" i="1"/>
  <c r="F55" i="1"/>
  <c r="F54" i="1"/>
  <c r="F53" i="1"/>
  <c r="F52" i="1"/>
  <c r="F51" i="1"/>
  <c r="F50" i="1"/>
  <c r="F49" i="1"/>
  <c r="F48" i="1"/>
  <c r="F47" i="1"/>
  <c r="F46" i="1"/>
  <c r="F45" i="1"/>
  <c r="F44" i="1"/>
  <c r="F43" i="1"/>
  <c r="F42" i="1"/>
  <c r="F41" i="1"/>
  <c r="F40" i="1"/>
  <c r="F39" i="1"/>
  <c r="F38" i="1"/>
  <c r="E58" i="1"/>
  <c r="E57" i="1"/>
  <c r="E56" i="1"/>
  <c r="E55" i="1"/>
  <c r="E54" i="1"/>
  <c r="E53" i="1"/>
  <c r="E52" i="1"/>
  <c r="E51" i="1"/>
  <c r="E50" i="1"/>
  <c r="E49" i="1"/>
  <c r="E48" i="1"/>
  <c r="E47" i="1"/>
  <c r="E46" i="1"/>
  <c r="E45" i="1"/>
  <c r="E44" i="1"/>
  <c r="E43" i="1"/>
  <c r="E42" i="1"/>
  <c r="E41" i="1"/>
  <c r="E40" i="1"/>
  <c r="E39" i="1"/>
  <c r="E38" i="1"/>
  <c r="X49" i="1" l="1"/>
  <c r="X45" i="1"/>
  <c r="X40" i="1"/>
  <c r="X47" i="1"/>
  <c r="X51" i="1"/>
  <c r="X53" i="1"/>
  <c r="X41" i="1"/>
  <c r="E22" i="5" s="1"/>
  <c r="X43" i="1"/>
  <c r="X44" i="1"/>
  <c r="L422" i="25"/>
  <c r="L421" i="25"/>
  <c r="L420" i="25"/>
  <c r="L419" i="25"/>
  <c r="L418" i="25"/>
  <c r="L417" i="25"/>
  <c r="L416" i="25"/>
  <c r="L415" i="25"/>
  <c r="L414" i="25"/>
  <c r="L413" i="25"/>
  <c r="L412" i="25"/>
  <c r="L411" i="25"/>
  <c r="L410" i="25"/>
  <c r="D333" i="25"/>
  <c r="D332" i="25"/>
  <c r="D331" i="25"/>
  <c r="D330" i="25"/>
  <c r="D329" i="25"/>
  <c r="D328" i="25"/>
  <c r="D327" i="25"/>
  <c r="D326" i="25"/>
  <c r="D325" i="25"/>
  <c r="D324" i="25"/>
  <c r="D323" i="25"/>
  <c r="D322" i="25"/>
  <c r="D321" i="25"/>
  <c r="D320" i="25"/>
  <c r="D316" i="25"/>
  <c r="D314" i="25"/>
  <c r="D310" i="25"/>
  <c r="D306" i="25"/>
  <c r="D305" i="25"/>
  <c r="D304" i="25"/>
  <c r="D303" i="25"/>
  <c r="D302" i="25"/>
  <c r="D301" i="25"/>
  <c r="D300" i="25"/>
  <c r="D299" i="25"/>
  <c r="D298" i="25"/>
  <c r="D297" i="25"/>
  <c r="D296" i="25"/>
  <c r="D295" i="25"/>
  <c r="D294" i="25"/>
  <c r="D293" i="25"/>
  <c r="D289" i="25"/>
  <c r="D288" i="25"/>
  <c r="D286" i="25"/>
  <c r="D284" i="25"/>
  <c r="D283" i="25"/>
  <c r="D282" i="25"/>
  <c r="D281" i="25"/>
  <c r="D277" i="25"/>
  <c r="D276" i="25"/>
  <c r="D275" i="25"/>
  <c r="D274" i="25"/>
  <c r="D273" i="25"/>
  <c r="D272" i="25"/>
  <c r="D271" i="25"/>
  <c r="D270" i="25"/>
  <c r="D269" i="25"/>
  <c r="D268" i="25"/>
  <c r="D267" i="25"/>
  <c r="D266" i="25"/>
  <c r="D265" i="25"/>
  <c r="D264" i="25"/>
  <c r="D263" i="25"/>
  <c r="D262" i="25"/>
  <c r="D261" i="25"/>
  <c r="D260" i="25"/>
  <c r="D259" i="25"/>
  <c r="D258" i="25"/>
  <c r="D257" i="25"/>
  <c r="D255" i="25"/>
  <c r="D254" i="25"/>
  <c r="D253" i="25"/>
  <c r="D251" i="25"/>
  <c r="D248" i="25"/>
  <c r="D247" i="25"/>
  <c r="D246" i="25"/>
  <c r="D245" i="25"/>
  <c r="D244" i="25"/>
  <c r="D221" i="25" s="1"/>
  <c r="D243" i="25"/>
  <c r="D242" i="25"/>
  <c r="D241" i="25"/>
  <c r="D256" i="25" s="1"/>
  <c r="D240" i="25"/>
  <c r="D239" i="25"/>
  <c r="D238" i="25"/>
  <c r="D237" i="25"/>
  <c r="D236" i="25"/>
  <c r="D235" i="25"/>
  <c r="D234" i="25"/>
  <c r="D233" i="25"/>
  <c r="D232" i="25"/>
  <c r="D231" i="25"/>
  <c r="D230" i="25"/>
  <c r="D229" i="25"/>
  <c r="D228" i="25"/>
  <c r="D227" i="25"/>
  <c r="D226" i="25"/>
  <c r="D225" i="25"/>
  <c r="D252" i="25" s="1"/>
  <c r="D220" i="25"/>
  <c r="D219" i="25"/>
  <c r="D218" i="25"/>
  <c r="D217" i="25"/>
  <c r="D216" i="25"/>
  <c r="D215" i="25"/>
  <c r="D214" i="25"/>
  <c r="D213" i="25"/>
  <c r="D75" i="25"/>
  <c r="D48" i="25"/>
  <c r="D33" i="25"/>
  <c r="E23" i="5" l="1"/>
  <c r="E24" i="5"/>
  <c r="D250" i="25"/>
  <c r="D249" i="25"/>
</calcChain>
</file>

<file path=xl/comments1.xml><?xml version="1.0" encoding="utf-8"?>
<comments xmlns="http://schemas.openxmlformats.org/spreadsheetml/2006/main">
  <authors>
    <author>Szerző</author>
  </authors>
  <commentList>
    <comment ref="D26" authorId="0" shapeId="0">
      <text>
        <r>
          <rPr>
            <sz val="9"/>
            <color indexed="81"/>
            <rFont val="Tahoma"/>
            <family val="2"/>
          </rPr>
          <t>COD, N, P, O, H, Charge, etc)</t>
        </r>
      </text>
    </comment>
    <comment ref="D61" authorId="0" shapeId="0">
      <text>
        <r>
          <rPr>
            <sz val="9"/>
            <color indexed="81"/>
            <rFont val="Tahoma"/>
            <family val="2"/>
          </rPr>
          <t>COD, N, P, O, H, Charge, etc)</t>
        </r>
      </text>
    </comment>
  </commentList>
</comments>
</file>

<file path=xl/sharedStrings.xml><?xml version="1.0" encoding="utf-8"?>
<sst xmlns="http://schemas.openxmlformats.org/spreadsheetml/2006/main" count="3392" uniqueCount="1867">
  <si>
    <t>Symbol</t>
  </si>
  <si>
    <t>Name</t>
  </si>
  <si>
    <t>Unit</t>
  </si>
  <si>
    <t>Handling</t>
  </si>
  <si>
    <t>Expression</t>
  </si>
  <si>
    <t>Elemental composition</t>
  </si>
  <si>
    <t>Chemical formula</t>
  </si>
  <si>
    <t>Equilibrium species</t>
  </si>
  <si>
    <t>Charge</t>
  </si>
  <si>
    <t>Reaction</t>
  </si>
  <si>
    <t>The elemental composition matrix should have as many columns as the kinetic matrix (minus Rate and Reaction)</t>
  </si>
  <si>
    <t>Influent</t>
  </si>
  <si>
    <t>Phase</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</si>
  <si>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</si>
  <si>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</si>
  <si>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</si>
  <si>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</si>
  <si>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</si>
  <si>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</si>
  <si>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</si>
  <si>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</si>
  <si>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</si>
  <si>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</si>
  <si>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</si>
  <si>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</si>
  <si>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</si>
  <si>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</si>
  <si>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</si>
  <si>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</si>
  <si>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</si>
  <si>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</si>
  <si>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</si>
  <si>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</si>
  <si>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</si>
  <si>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</si>
  <si>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</si>
  <si>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</si>
  <si>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</si>
  <si>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</si>
  <si>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</si>
  <si>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</si>
  <si>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</si>
  <si>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</si>
  <si>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</si>
  <si>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</si>
  <si>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</si>
  <si>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</si>
  <si>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</si>
  <si>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</si>
  <si>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</si>
  <si>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</si>
  <si>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</si>
  <si>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</si>
  <si>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</si>
  <si>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</si>
  <si>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</si>
  <si>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</si>
  <si>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</si>
  <si>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</si>
  <si>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</si>
  <si>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</si>
  <si>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</si>
  <si>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</si>
  <si>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</si>
  <si>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</si>
  <si>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</si>
  <si>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</si>
  <si>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</si>
  <si>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</si>
  <si>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</si>
  <si>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</si>
  <si>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</si>
  <si>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</si>
  <si>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</si>
  <si>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</si>
  <si>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</si>
  <si>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</si>
  <si>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</si>
  <si>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</si>
  <si>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</si>
  <si>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</si>
  <si>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</si>
  <si>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</si>
  <si>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</si>
  <si>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</si>
  <si>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</si>
  <si>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</si>
  <si>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</si>
  <si>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</si>
  <si>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</si>
  <si>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</si>
  <si>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</si>
  <si>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</si>
  <si>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</si>
  <si>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</si>
  <si>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</si>
  <si>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</si>
  <si>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</si>
  <si>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</si>
  <si>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</si>
  <si>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</si>
  <si>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</si>
  <si>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</si>
  <si>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</si>
  <si>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</si>
  <si>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</si>
  <si>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</si>
  <si>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</si>
  <si>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</si>
  <si>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</si>
  <si>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</si>
  <si>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</si>
  <si>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Code section</t>
  </si>
  <si>
    <t>Rule</t>
  </si>
  <si>
    <t>Principle/comment</t>
  </si>
  <si>
    <t>Codelocation(Algebraic blocksection #1)</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</si>
  <si>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</si>
  <si>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</si>
  <si>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</si>
  <si>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</si>
  <si>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</si>
  <si>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</si>
  <si>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</si>
  <si>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</si>
  <si>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</si>
  <si>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</si>
  <si>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</si>
  <si>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</si>
  <si>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</si>
  <si>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</si>
  <si>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</si>
  <si>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Tableau</t>
  </si>
  <si>
    <t>H</t>
  </si>
  <si>
    <t>NH3</t>
  </si>
  <si>
    <t>Cl-</t>
  </si>
  <si>
    <t>NO3-</t>
  </si>
  <si>
    <t>Cat</t>
  </si>
  <si>
    <t>An</t>
  </si>
  <si>
    <t>logK</t>
  </si>
  <si>
    <t>Cl</t>
  </si>
  <si>
    <t>NO3</t>
  </si>
  <si>
    <t>OH</t>
  </si>
  <si>
    <t>NH4</t>
  </si>
  <si>
    <t>Total Concentrations</t>
  </si>
  <si>
    <t>Initial Guesses</t>
  </si>
  <si>
    <t>COD</t>
  </si>
  <si>
    <t>Temperature sensitivity</t>
  </si>
  <si>
    <t>theta^(temp-tbase)</t>
  </si>
  <si>
    <t>Arrh(theta;temp;tbase)</t>
  </si>
  <si>
    <t>Value</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</si>
  <si>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</si>
  <si>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</si>
  <si>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</si>
  <si>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</si>
  <si>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</si>
  <si>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</si>
  <si>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</si>
  <si>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</si>
  <si>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</si>
  <si>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</si>
  <si>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</si>
  <si>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</si>
  <si>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</si>
  <si>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</si>
  <si>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</si>
  <si>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</si>
  <si>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</si>
  <si>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</si>
  <si>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</si>
  <si>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</si>
  <si>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</si>
  <si>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</si>
  <si>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</si>
  <si>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</si>
  <si>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</si>
  <si>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</si>
  <si>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</si>
  <si>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</si>
  <si>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</si>
  <si>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</si>
  <si>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</si>
  <si>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</si>
  <si>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</si>
  <si>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</si>
  <si>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</si>
  <si>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</si>
  <si>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</si>
  <si>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</si>
  <si>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</si>
  <si>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</si>
  <si>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</si>
  <si>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</si>
  <si>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</si>
  <si>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</si>
  <si>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</si>
  <si>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</si>
  <si>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</si>
  <si>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</si>
  <si>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</si>
  <si>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</si>
  <si>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</si>
  <si>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</si>
  <si>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</si>
  <si>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</si>
  <si>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</si>
  <si>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</si>
  <si>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</si>
  <si>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</si>
  <si>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</si>
  <si>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</si>
  <si>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</si>
  <si>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ASM2D</t>
  </si>
  <si>
    <t>Maximum specific hydrolysis rate</t>
  </si>
  <si>
    <t>Correction factor for hydrolysis under anoxic conditions</t>
  </si>
  <si>
    <t>-</t>
  </si>
  <si>
    <t>Correction factor for hydrolysis under anaerobic conditions</t>
  </si>
  <si>
    <t>Rate of fermentation</t>
  </si>
  <si>
    <t>Rate of P precipitation</t>
  </si>
  <si>
    <t>Rate of P redissolution</t>
  </si>
  <si>
    <t>Half-saturation of alkalinity</t>
  </si>
  <si>
    <r>
      <t>f</t>
    </r>
    <r>
      <rPr>
        <vertAlign val="subscript"/>
        <sz val="12"/>
        <rFont val="Arial"/>
        <family val="2"/>
      </rPr>
      <t>SI</t>
    </r>
  </si>
  <si>
    <t>Fraction of inert COD generated in hydrolysis</t>
  </si>
  <si>
    <r>
      <t>f</t>
    </r>
    <r>
      <rPr>
        <vertAlign val="subscript"/>
        <sz val="12"/>
        <rFont val="Arial"/>
        <family val="2"/>
      </rPr>
      <t>XI</t>
    </r>
  </si>
  <si>
    <r>
      <t>Y</t>
    </r>
    <r>
      <rPr>
        <vertAlign val="subscript"/>
        <sz val="12"/>
        <rFont val="Arial"/>
        <family val="2"/>
      </rPr>
      <t>PO4</t>
    </r>
  </si>
  <si>
    <r>
      <t>f</t>
    </r>
    <r>
      <rPr>
        <vertAlign val="subscript"/>
        <sz val="12"/>
        <rFont val="Arial"/>
        <family val="2"/>
      </rPr>
      <t>MeOH_PO4,MW</t>
    </r>
  </si>
  <si>
    <r>
      <t>f</t>
    </r>
    <r>
      <rPr>
        <vertAlign val="subscript"/>
        <sz val="12"/>
        <rFont val="Arial"/>
        <family val="2"/>
      </rPr>
      <t>MeP_PO4,MW</t>
    </r>
  </si>
  <si>
    <r>
      <t>i</t>
    </r>
    <r>
      <rPr>
        <vertAlign val="subscript"/>
        <sz val="12"/>
        <rFont val="Arial"/>
        <family val="2"/>
      </rPr>
      <t>COD_NO3</t>
    </r>
  </si>
  <si>
    <r>
      <t>i</t>
    </r>
    <r>
      <rPr>
        <vertAlign val="subscript"/>
        <sz val="12"/>
        <rFont val="Arial"/>
        <family val="2"/>
      </rPr>
      <t>COD_N2</t>
    </r>
  </si>
  <si>
    <r>
      <t>i</t>
    </r>
    <r>
      <rPr>
        <vertAlign val="subscript"/>
        <sz val="12"/>
        <rFont val="Arial"/>
        <family val="2"/>
      </rPr>
      <t>Charge_SVFA</t>
    </r>
  </si>
  <si>
    <r>
      <t>i</t>
    </r>
    <r>
      <rPr>
        <vertAlign val="subscript"/>
        <sz val="12"/>
        <rFont val="Arial"/>
        <family val="2"/>
      </rPr>
      <t>Charge_SNHx</t>
    </r>
  </si>
  <si>
    <r>
      <t>i</t>
    </r>
    <r>
      <rPr>
        <vertAlign val="subscript"/>
        <sz val="12"/>
        <rFont val="Arial"/>
        <family val="2"/>
      </rPr>
      <t>Charge_SNOx</t>
    </r>
  </si>
  <si>
    <r>
      <t>i</t>
    </r>
    <r>
      <rPr>
        <vertAlign val="subscript"/>
        <sz val="12"/>
        <rFont val="Arial"/>
        <family val="2"/>
      </rPr>
      <t>Charge_SPO4</t>
    </r>
  </si>
  <si>
    <r>
      <t>i</t>
    </r>
    <r>
      <rPr>
        <vertAlign val="subscript"/>
        <sz val="12"/>
        <rFont val="Arial"/>
        <family val="2"/>
      </rPr>
      <t>Charge_XPAO,PP</t>
    </r>
  </si>
  <si>
    <r>
      <t>i</t>
    </r>
    <r>
      <rPr>
        <vertAlign val="subscript"/>
        <sz val="12"/>
        <rFont val="Arial"/>
        <family val="2"/>
      </rPr>
      <t>N,SF</t>
    </r>
  </si>
  <si>
    <r>
      <t>i</t>
    </r>
    <r>
      <rPr>
        <vertAlign val="subscript"/>
        <sz val="12"/>
        <rFont val="Arial"/>
        <family val="2"/>
      </rPr>
      <t>N,SI</t>
    </r>
  </si>
  <si>
    <r>
      <t>i</t>
    </r>
    <r>
      <rPr>
        <vertAlign val="subscript"/>
        <sz val="12"/>
        <rFont val="Arial"/>
        <family val="2"/>
      </rPr>
      <t>N,XI</t>
    </r>
  </si>
  <si>
    <r>
      <t>i</t>
    </r>
    <r>
      <rPr>
        <vertAlign val="subscript"/>
        <sz val="12"/>
        <rFont val="Arial"/>
        <family val="2"/>
      </rPr>
      <t>N,XS</t>
    </r>
  </si>
  <si>
    <r>
      <t>i</t>
    </r>
    <r>
      <rPr>
        <vertAlign val="subscript"/>
        <sz val="12"/>
        <rFont val="Arial"/>
        <family val="2"/>
      </rPr>
      <t>N,BM</t>
    </r>
  </si>
  <si>
    <r>
      <t>i</t>
    </r>
    <r>
      <rPr>
        <vertAlign val="subscript"/>
        <sz val="12"/>
        <rFont val="Arial"/>
        <family val="2"/>
      </rPr>
      <t>P,SF</t>
    </r>
  </si>
  <si>
    <r>
      <t>i</t>
    </r>
    <r>
      <rPr>
        <vertAlign val="subscript"/>
        <sz val="12"/>
        <rFont val="Arial"/>
        <family val="2"/>
      </rPr>
      <t>P,SI</t>
    </r>
  </si>
  <si>
    <r>
      <t>i</t>
    </r>
    <r>
      <rPr>
        <vertAlign val="subscript"/>
        <sz val="12"/>
        <rFont val="Arial"/>
        <family val="2"/>
      </rPr>
      <t>P,XI</t>
    </r>
  </si>
  <si>
    <r>
      <t>i</t>
    </r>
    <r>
      <rPr>
        <vertAlign val="subscript"/>
        <sz val="12"/>
        <rFont val="Arial"/>
        <family val="2"/>
      </rPr>
      <t>P,XS</t>
    </r>
  </si>
  <si>
    <r>
      <t>i</t>
    </r>
    <r>
      <rPr>
        <vertAlign val="subscript"/>
        <sz val="12"/>
        <rFont val="Arial"/>
        <family val="2"/>
      </rPr>
      <t>P,BM</t>
    </r>
  </si>
  <si>
    <r>
      <t>i</t>
    </r>
    <r>
      <rPr>
        <vertAlign val="subscript"/>
        <sz val="12"/>
        <rFont val="Arial"/>
        <family val="2"/>
      </rPr>
      <t>P_MeP</t>
    </r>
  </si>
  <si>
    <r>
      <t>i</t>
    </r>
    <r>
      <rPr>
        <vertAlign val="subscript"/>
        <sz val="12"/>
        <rFont val="Arial"/>
        <family val="2"/>
      </rPr>
      <t>TSS,XI</t>
    </r>
  </si>
  <si>
    <r>
      <t>i</t>
    </r>
    <r>
      <rPr>
        <vertAlign val="subscript"/>
        <sz val="12"/>
        <rFont val="Arial"/>
        <family val="2"/>
      </rPr>
      <t>TSS,XS</t>
    </r>
  </si>
  <si>
    <r>
      <t>i</t>
    </r>
    <r>
      <rPr>
        <vertAlign val="subscript"/>
        <sz val="12"/>
        <rFont val="Arial"/>
        <family val="2"/>
      </rPr>
      <t>TSS,XPHA</t>
    </r>
  </si>
  <si>
    <r>
      <t>i</t>
    </r>
    <r>
      <rPr>
        <vertAlign val="subscript"/>
        <sz val="12"/>
        <rFont val="Arial"/>
        <family val="2"/>
      </rPr>
      <t>TSS,BM</t>
    </r>
  </si>
  <si>
    <t>Conversion factor biomass into TSS</t>
  </si>
  <si>
    <r>
      <t>i</t>
    </r>
    <r>
      <rPr>
        <vertAlign val="subscript"/>
        <sz val="12"/>
        <rFont val="Arial"/>
        <family val="2"/>
      </rPr>
      <t>TSS,XPP</t>
    </r>
  </si>
  <si>
    <t>Particulate COD to VSS ratio</t>
  </si>
  <si>
    <r>
      <t>S</t>
    </r>
    <r>
      <rPr>
        <b/>
        <vertAlign val="subscript"/>
        <sz val="12"/>
        <rFont val="Arial"/>
        <family val="2"/>
      </rPr>
      <t>O2</t>
    </r>
  </si>
  <si>
    <r>
      <t>S</t>
    </r>
    <r>
      <rPr>
        <b/>
        <vertAlign val="subscript"/>
        <sz val="12"/>
        <rFont val="Arial"/>
        <family val="2"/>
      </rPr>
      <t>F</t>
    </r>
  </si>
  <si>
    <r>
      <t>S</t>
    </r>
    <r>
      <rPr>
        <b/>
        <vertAlign val="subscript"/>
        <sz val="12"/>
        <rFont val="Arial"/>
        <family val="2"/>
      </rPr>
      <t>A</t>
    </r>
  </si>
  <si>
    <r>
      <t>S</t>
    </r>
    <r>
      <rPr>
        <b/>
        <vertAlign val="subscript"/>
        <sz val="12"/>
        <rFont val="Arial"/>
        <family val="2"/>
      </rPr>
      <t>NH4</t>
    </r>
  </si>
  <si>
    <r>
      <t>S</t>
    </r>
    <r>
      <rPr>
        <b/>
        <vertAlign val="subscript"/>
        <sz val="12"/>
        <rFont val="Arial"/>
        <family val="2"/>
      </rPr>
      <t>NO3</t>
    </r>
  </si>
  <si>
    <r>
      <t>S</t>
    </r>
    <r>
      <rPr>
        <b/>
        <vertAlign val="subscript"/>
        <sz val="12"/>
        <rFont val="Arial"/>
        <family val="2"/>
      </rPr>
      <t>PO4</t>
    </r>
  </si>
  <si>
    <r>
      <t>S</t>
    </r>
    <r>
      <rPr>
        <b/>
        <vertAlign val="subscript"/>
        <sz val="12"/>
        <rFont val="Arial"/>
        <family val="2"/>
      </rPr>
      <t>I</t>
    </r>
  </si>
  <si>
    <r>
      <t>S</t>
    </r>
    <r>
      <rPr>
        <b/>
        <vertAlign val="subscript"/>
        <sz val="12"/>
        <rFont val="Arial"/>
        <family val="2"/>
      </rPr>
      <t>ALK</t>
    </r>
  </si>
  <si>
    <r>
      <t>S</t>
    </r>
    <r>
      <rPr>
        <b/>
        <vertAlign val="subscript"/>
        <sz val="12"/>
        <rFont val="Arial"/>
        <family val="2"/>
      </rPr>
      <t>N2</t>
    </r>
  </si>
  <si>
    <r>
      <t>X</t>
    </r>
    <r>
      <rPr>
        <b/>
        <vertAlign val="subscript"/>
        <sz val="12"/>
        <rFont val="Arial"/>
        <family val="2"/>
      </rPr>
      <t>I</t>
    </r>
  </si>
  <si>
    <r>
      <t>X</t>
    </r>
    <r>
      <rPr>
        <b/>
        <vertAlign val="subscript"/>
        <sz val="12"/>
        <rFont val="Arial"/>
        <family val="2"/>
      </rPr>
      <t>S</t>
    </r>
  </si>
  <si>
    <r>
      <t>X</t>
    </r>
    <r>
      <rPr>
        <b/>
        <vertAlign val="subscript"/>
        <sz val="12"/>
        <rFont val="Arial"/>
        <family val="2"/>
      </rPr>
      <t>H</t>
    </r>
  </si>
  <si>
    <r>
      <t>X</t>
    </r>
    <r>
      <rPr>
        <b/>
        <vertAlign val="subscript"/>
        <sz val="12"/>
        <rFont val="Arial"/>
        <family val="2"/>
      </rPr>
      <t>PAO</t>
    </r>
  </si>
  <si>
    <r>
      <t>X</t>
    </r>
    <r>
      <rPr>
        <b/>
        <vertAlign val="subscript"/>
        <sz val="12"/>
        <rFont val="Arial"/>
        <family val="2"/>
      </rPr>
      <t>PP</t>
    </r>
  </si>
  <si>
    <r>
      <t>X</t>
    </r>
    <r>
      <rPr>
        <b/>
        <vertAlign val="subscript"/>
        <sz val="12"/>
        <rFont val="Arial"/>
        <family val="2"/>
      </rPr>
      <t>PHA</t>
    </r>
  </si>
  <si>
    <r>
      <t>X</t>
    </r>
    <r>
      <rPr>
        <b/>
        <vertAlign val="subscript"/>
        <sz val="12"/>
        <rFont val="Arial"/>
        <family val="2"/>
      </rPr>
      <t>AUT</t>
    </r>
  </si>
  <si>
    <r>
      <t>X</t>
    </r>
    <r>
      <rPr>
        <b/>
        <vertAlign val="subscript"/>
        <sz val="12"/>
        <rFont val="Arial"/>
        <family val="2"/>
      </rPr>
      <t>TSS</t>
    </r>
  </si>
  <si>
    <r>
      <t>X</t>
    </r>
    <r>
      <rPr>
        <b/>
        <vertAlign val="subscript"/>
        <sz val="12"/>
        <rFont val="Arial"/>
        <family val="2"/>
      </rPr>
      <t>MeOH</t>
    </r>
  </si>
  <si>
    <r>
      <t>X</t>
    </r>
    <r>
      <rPr>
        <b/>
        <vertAlign val="subscript"/>
        <sz val="12"/>
        <rFont val="Arial"/>
        <family val="2"/>
      </rPr>
      <t>MeP</t>
    </r>
  </si>
  <si>
    <t>r1</t>
  </si>
  <si>
    <t>Aerobic hydrolysis</t>
  </si>
  <si>
    <r>
      <t>1-</t>
    </r>
    <r>
      <rPr>
        <i/>
        <sz val="12"/>
        <rFont val="Arial"/>
        <family val="2"/>
      </rPr>
      <t>f</t>
    </r>
    <r>
      <rPr>
        <vertAlign val="subscript"/>
        <sz val="12"/>
        <rFont val="Arial"/>
        <family val="2"/>
      </rPr>
      <t>SI</t>
    </r>
  </si>
  <si>
    <r>
      <t>-((1-</t>
    </r>
    <r>
      <rPr>
        <i/>
        <sz val="12"/>
        <rFont val="Arial"/>
        <family val="2"/>
      </rPr>
      <t>f</t>
    </r>
    <r>
      <rPr>
        <vertAlign val="subscript"/>
        <sz val="12"/>
        <rFont val="Arial"/>
        <family val="2"/>
      </rPr>
      <t>SI</t>
    </r>
    <r>
      <rPr>
        <sz val="11"/>
        <rFont val="Arial"/>
        <family val="2"/>
      </rPr>
      <t>)*</t>
    </r>
    <r>
      <rPr>
        <i/>
        <sz val="12"/>
        <rFont val="Arial"/>
        <family val="2"/>
      </rPr>
      <t>i</t>
    </r>
    <r>
      <rPr>
        <vertAlign val="subscript"/>
        <sz val="12"/>
        <rFont val="Arial"/>
        <family val="2"/>
      </rPr>
      <t>N,SF</t>
    </r>
    <r>
      <rPr>
        <sz val="11"/>
        <rFont val="Arial"/>
        <family val="2"/>
      </rPr>
      <t>+</t>
    </r>
    <r>
      <rPr>
        <i/>
        <sz val="12"/>
        <rFont val="Arial"/>
        <family val="2"/>
      </rPr>
      <t>f</t>
    </r>
    <r>
      <rPr>
        <vertAlign val="subscript"/>
        <sz val="12"/>
        <rFont val="Arial"/>
        <family val="2"/>
      </rPr>
      <t>SI</t>
    </r>
    <r>
      <rPr>
        <sz val="11"/>
        <rFont val="Arial"/>
        <family val="2"/>
      </rPr>
      <t>*</t>
    </r>
    <r>
      <rPr>
        <i/>
        <sz val="12"/>
        <rFont val="Arial"/>
        <family val="2"/>
      </rPr>
      <t>i</t>
    </r>
    <r>
      <rPr>
        <vertAlign val="subscript"/>
        <sz val="12"/>
        <rFont val="Arial"/>
        <family val="2"/>
      </rPr>
      <t>N,SI</t>
    </r>
    <r>
      <rPr>
        <sz val="11"/>
        <rFont val="Arial"/>
        <family val="2"/>
      </rPr>
      <t>-</t>
    </r>
    <r>
      <rPr>
        <i/>
        <sz val="12"/>
        <rFont val="Arial"/>
        <family val="2"/>
      </rPr>
      <t>i</t>
    </r>
    <r>
      <rPr>
        <vertAlign val="subscript"/>
        <sz val="12"/>
        <rFont val="Arial"/>
        <family val="2"/>
      </rPr>
      <t>N,XS</t>
    </r>
    <r>
      <rPr>
        <sz val="11"/>
        <rFont val="Arial"/>
        <family val="2"/>
      </rPr>
      <t>)</t>
    </r>
  </si>
  <si>
    <r>
      <t>-((1-</t>
    </r>
    <r>
      <rPr>
        <i/>
        <sz val="12"/>
        <rFont val="Arial"/>
        <family val="2"/>
      </rPr>
      <t>f</t>
    </r>
    <r>
      <rPr>
        <vertAlign val="subscript"/>
        <sz val="12"/>
        <rFont val="Arial"/>
        <family val="2"/>
      </rPr>
      <t>SI</t>
    </r>
    <r>
      <rPr>
        <sz val="11"/>
        <rFont val="Arial"/>
        <family val="2"/>
      </rPr>
      <t>)*</t>
    </r>
    <r>
      <rPr>
        <i/>
        <sz val="12"/>
        <rFont val="Arial"/>
        <family val="2"/>
      </rPr>
      <t>i</t>
    </r>
    <r>
      <rPr>
        <vertAlign val="subscript"/>
        <sz val="12"/>
        <rFont val="Arial"/>
        <family val="2"/>
      </rPr>
      <t>P,SF</t>
    </r>
    <r>
      <rPr>
        <sz val="11"/>
        <rFont val="Arial"/>
        <family val="2"/>
      </rPr>
      <t>+</t>
    </r>
    <r>
      <rPr>
        <i/>
        <sz val="12"/>
        <rFont val="Arial"/>
        <family val="2"/>
      </rPr>
      <t>f</t>
    </r>
    <r>
      <rPr>
        <vertAlign val="subscript"/>
        <sz val="12"/>
        <rFont val="Arial"/>
        <family val="2"/>
      </rPr>
      <t>SI</t>
    </r>
    <r>
      <rPr>
        <sz val="11"/>
        <rFont val="Arial"/>
        <family val="2"/>
      </rPr>
      <t>*</t>
    </r>
    <r>
      <rPr>
        <i/>
        <sz val="12"/>
        <rFont val="Arial"/>
        <family val="2"/>
      </rPr>
      <t>i</t>
    </r>
    <r>
      <rPr>
        <vertAlign val="subscript"/>
        <sz val="12"/>
        <rFont val="Arial"/>
        <family val="2"/>
      </rPr>
      <t>P,SI</t>
    </r>
    <r>
      <rPr>
        <sz val="11"/>
        <rFont val="Arial"/>
        <family val="2"/>
      </rPr>
      <t>-</t>
    </r>
    <r>
      <rPr>
        <i/>
        <sz val="12"/>
        <rFont val="Arial"/>
        <family val="2"/>
      </rPr>
      <t>i</t>
    </r>
    <r>
      <rPr>
        <vertAlign val="subscript"/>
        <sz val="12"/>
        <rFont val="Arial"/>
        <family val="2"/>
      </rPr>
      <t>P,XS</t>
    </r>
    <r>
      <rPr>
        <sz val="11"/>
        <rFont val="Arial"/>
        <family val="2"/>
      </rPr>
      <t>)</t>
    </r>
  </si>
  <si>
    <r>
      <t>i</t>
    </r>
    <r>
      <rPr>
        <vertAlign val="subscript"/>
        <sz val="12"/>
        <rFont val="Arial"/>
        <family val="2"/>
      </rPr>
      <t>Charge_SNHx</t>
    </r>
    <r>
      <rPr>
        <sz val="11"/>
        <rFont val="Arial"/>
        <family val="2"/>
      </rPr>
      <t>*</t>
    </r>
    <r>
      <rPr>
        <i/>
        <sz val="12"/>
        <rFont val="Arial"/>
        <family val="2"/>
      </rPr>
      <t>v</t>
    </r>
    <r>
      <rPr>
        <vertAlign val="subscript"/>
        <sz val="12"/>
        <rFont val="Arial"/>
        <family val="2"/>
      </rPr>
      <t>1_SNH4</t>
    </r>
    <r>
      <rPr>
        <sz val="11"/>
        <rFont val="Arial"/>
        <family val="2"/>
      </rPr>
      <t>+</t>
    </r>
    <r>
      <rPr>
        <i/>
        <sz val="12"/>
        <rFont val="Arial"/>
        <family val="2"/>
      </rPr>
      <t>i</t>
    </r>
    <r>
      <rPr>
        <vertAlign val="subscript"/>
        <sz val="12"/>
        <rFont val="Arial"/>
        <family val="2"/>
      </rPr>
      <t>Charge_SPO4</t>
    </r>
    <r>
      <rPr>
        <sz val="11"/>
        <rFont val="Arial"/>
        <family val="2"/>
      </rPr>
      <t>*</t>
    </r>
    <r>
      <rPr>
        <i/>
        <sz val="12"/>
        <rFont val="Arial"/>
        <family val="2"/>
      </rPr>
      <t>v</t>
    </r>
    <r>
      <rPr>
        <vertAlign val="subscript"/>
        <sz val="12"/>
        <rFont val="Arial"/>
        <family val="2"/>
      </rPr>
      <t>1_SPO4</t>
    </r>
  </si>
  <si>
    <r>
      <t>-</t>
    </r>
    <r>
      <rPr>
        <i/>
        <sz val="12"/>
        <rFont val="Arial"/>
        <family val="2"/>
      </rPr>
      <t>i</t>
    </r>
    <r>
      <rPr>
        <vertAlign val="subscript"/>
        <sz val="12"/>
        <rFont val="Arial"/>
        <family val="2"/>
      </rPr>
      <t>TSS,XS</t>
    </r>
  </si>
  <si>
    <t>r2</t>
  </si>
  <si>
    <t>Anoxic hydrolysis</t>
  </si>
  <si>
    <r>
      <t>i</t>
    </r>
    <r>
      <rPr>
        <vertAlign val="subscript"/>
        <sz val="12"/>
        <rFont val="Arial"/>
        <family val="2"/>
      </rPr>
      <t>Charge_SNHx</t>
    </r>
    <r>
      <rPr>
        <sz val="11"/>
        <rFont val="Arial"/>
        <family val="2"/>
      </rPr>
      <t>*</t>
    </r>
    <r>
      <rPr>
        <i/>
        <sz val="12"/>
        <rFont val="Arial"/>
        <family val="2"/>
      </rPr>
      <t>v</t>
    </r>
    <r>
      <rPr>
        <vertAlign val="subscript"/>
        <sz val="12"/>
        <rFont val="Arial"/>
        <family val="2"/>
      </rPr>
      <t>2_SNH4</t>
    </r>
    <r>
      <rPr>
        <sz val="11"/>
        <rFont val="Arial"/>
        <family val="2"/>
      </rPr>
      <t>+</t>
    </r>
    <r>
      <rPr>
        <i/>
        <sz val="12"/>
        <rFont val="Arial"/>
        <family val="2"/>
      </rPr>
      <t>i</t>
    </r>
    <r>
      <rPr>
        <vertAlign val="subscript"/>
        <sz val="12"/>
        <rFont val="Arial"/>
        <family val="2"/>
      </rPr>
      <t>Charge_SPO4</t>
    </r>
    <r>
      <rPr>
        <sz val="11"/>
        <rFont val="Arial"/>
        <family val="2"/>
      </rPr>
      <t>*</t>
    </r>
    <r>
      <rPr>
        <i/>
        <sz val="12"/>
        <rFont val="Arial"/>
        <family val="2"/>
      </rPr>
      <t>v</t>
    </r>
    <r>
      <rPr>
        <vertAlign val="subscript"/>
        <sz val="12"/>
        <rFont val="Arial"/>
        <family val="2"/>
      </rPr>
      <t>2_SPO4</t>
    </r>
  </si>
  <si>
    <t>r3</t>
  </si>
  <si>
    <t>Anaerobic hydrolysis</t>
  </si>
  <si>
    <r>
      <t>i</t>
    </r>
    <r>
      <rPr>
        <vertAlign val="subscript"/>
        <sz val="12"/>
        <rFont val="Arial"/>
        <family val="2"/>
      </rPr>
      <t>Charge_SNHx</t>
    </r>
    <r>
      <rPr>
        <sz val="11"/>
        <rFont val="Arial"/>
        <family val="2"/>
      </rPr>
      <t>*</t>
    </r>
    <r>
      <rPr>
        <i/>
        <sz val="12"/>
        <rFont val="Arial"/>
        <family val="2"/>
      </rPr>
      <t>v</t>
    </r>
    <r>
      <rPr>
        <vertAlign val="subscript"/>
        <sz val="12"/>
        <rFont val="Arial"/>
        <family val="2"/>
      </rPr>
      <t>3_SNH4</t>
    </r>
    <r>
      <rPr>
        <sz val="11"/>
        <rFont val="Arial"/>
        <family val="2"/>
      </rPr>
      <t>+</t>
    </r>
    <r>
      <rPr>
        <i/>
        <sz val="12"/>
        <rFont val="Arial"/>
        <family val="2"/>
      </rPr>
      <t>i</t>
    </r>
    <r>
      <rPr>
        <vertAlign val="subscript"/>
        <sz val="12"/>
        <rFont val="Arial"/>
        <family val="2"/>
      </rPr>
      <t>Charge_SPO4</t>
    </r>
    <r>
      <rPr>
        <sz val="11"/>
        <rFont val="Arial"/>
        <family val="2"/>
      </rPr>
      <t>*</t>
    </r>
    <r>
      <rPr>
        <i/>
        <sz val="12"/>
        <rFont val="Arial"/>
        <family val="2"/>
      </rPr>
      <t>v</t>
    </r>
    <r>
      <rPr>
        <vertAlign val="subscript"/>
        <sz val="12"/>
        <rFont val="Arial"/>
        <family val="2"/>
      </rPr>
      <t>3_SPO4</t>
    </r>
  </si>
  <si>
    <t>r4</t>
  </si>
  <si>
    <r>
      <t>Aerobic growth on S</t>
    </r>
    <r>
      <rPr>
        <b/>
        <vertAlign val="subscript"/>
        <sz val="11"/>
        <rFont val="Arial"/>
        <family val="2"/>
      </rPr>
      <t>F</t>
    </r>
  </si>
  <si>
    <r>
      <t>-(1-</t>
    </r>
    <r>
      <rPr>
        <i/>
        <sz val="12"/>
        <rFont val="Arial"/>
        <family val="2"/>
      </rPr>
      <t>Y</t>
    </r>
    <r>
      <rPr>
        <vertAlign val="subscript"/>
        <sz val="12"/>
        <rFont val="Arial"/>
        <family val="2"/>
      </rPr>
      <t>H</t>
    </r>
    <r>
      <rPr>
        <sz val="11"/>
        <rFont val="Arial"/>
        <family val="2"/>
      </rPr>
      <t>)/</t>
    </r>
    <r>
      <rPr>
        <i/>
        <sz val="12"/>
        <rFont val="Arial"/>
        <family val="2"/>
      </rPr>
      <t>Y</t>
    </r>
    <r>
      <rPr>
        <vertAlign val="subscript"/>
        <sz val="12"/>
        <rFont val="Arial"/>
        <family val="2"/>
      </rPr>
      <t>H</t>
    </r>
  </si>
  <si>
    <r>
      <t>-1/</t>
    </r>
    <r>
      <rPr>
        <i/>
        <sz val="12"/>
        <rFont val="Arial"/>
        <family val="2"/>
      </rPr>
      <t>Y</t>
    </r>
    <r>
      <rPr>
        <vertAlign val="subscript"/>
        <sz val="12"/>
        <rFont val="Arial"/>
        <family val="2"/>
      </rPr>
      <t>H</t>
    </r>
  </si>
  <si>
    <r>
      <t>-(-1/</t>
    </r>
    <r>
      <rPr>
        <i/>
        <sz val="12"/>
        <rFont val="Arial"/>
        <family val="2"/>
      </rPr>
      <t>Y</t>
    </r>
    <r>
      <rPr>
        <vertAlign val="subscript"/>
        <sz val="12"/>
        <rFont val="Arial"/>
        <family val="2"/>
      </rPr>
      <t>H</t>
    </r>
    <r>
      <rPr>
        <sz val="11"/>
        <rFont val="Arial"/>
        <family val="2"/>
      </rPr>
      <t>*</t>
    </r>
    <r>
      <rPr>
        <i/>
        <sz val="12"/>
        <rFont val="Arial"/>
        <family val="2"/>
      </rPr>
      <t>i</t>
    </r>
    <r>
      <rPr>
        <vertAlign val="subscript"/>
        <sz val="12"/>
        <rFont val="Arial"/>
        <family val="2"/>
      </rPr>
      <t>N,SF</t>
    </r>
    <r>
      <rPr>
        <sz val="11"/>
        <rFont val="Arial"/>
        <family val="2"/>
      </rPr>
      <t>+</t>
    </r>
    <r>
      <rPr>
        <i/>
        <sz val="12"/>
        <rFont val="Arial"/>
        <family val="2"/>
      </rPr>
      <t>i</t>
    </r>
    <r>
      <rPr>
        <vertAlign val="subscript"/>
        <sz val="12"/>
        <rFont val="Arial"/>
        <family val="2"/>
      </rPr>
      <t>N,BM</t>
    </r>
    <r>
      <rPr>
        <sz val="11"/>
        <rFont val="Arial"/>
        <family val="2"/>
      </rPr>
      <t>)</t>
    </r>
  </si>
  <si>
    <r>
      <t>-(-1/</t>
    </r>
    <r>
      <rPr>
        <i/>
        <sz val="12"/>
        <rFont val="Arial"/>
        <family val="2"/>
      </rPr>
      <t>Y</t>
    </r>
    <r>
      <rPr>
        <vertAlign val="subscript"/>
        <sz val="12"/>
        <rFont val="Arial"/>
        <family val="2"/>
      </rPr>
      <t>H</t>
    </r>
    <r>
      <rPr>
        <sz val="11"/>
        <rFont val="Arial"/>
        <family val="2"/>
      </rPr>
      <t>*</t>
    </r>
    <r>
      <rPr>
        <i/>
        <sz val="12"/>
        <rFont val="Arial"/>
        <family val="2"/>
      </rPr>
      <t>i</t>
    </r>
    <r>
      <rPr>
        <vertAlign val="subscript"/>
        <sz val="12"/>
        <rFont val="Arial"/>
        <family val="2"/>
      </rPr>
      <t>P,SF</t>
    </r>
    <r>
      <rPr>
        <sz val="11"/>
        <rFont val="Arial"/>
        <family val="2"/>
      </rPr>
      <t>+</t>
    </r>
    <r>
      <rPr>
        <i/>
        <sz val="12"/>
        <rFont val="Arial"/>
        <family val="2"/>
      </rPr>
      <t>i</t>
    </r>
    <r>
      <rPr>
        <vertAlign val="subscript"/>
        <sz val="12"/>
        <rFont val="Arial"/>
        <family val="2"/>
      </rPr>
      <t>P,BM</t>
    </r>
    <r>
      <rPr>
        <sz val="11"/>
        <rFont val="Arial"/>
        <family val="2"/>
      </rPr>
      <t>)</t>
    </r>
  </si>
  <si>
    <r>
      <t>i</t>
    </r>
    <r>
      <rPr>
        <vertAlign val="subscript"/>
        <sz val="12"/>
        <rFont val="Arial"/>
        <family val="2"/>
      </rPr>
      <t>Charge_SNHx</t>
    </r>
    <r>
      <rPr>
        <sz val="11"/>
        <rFont val="Arial"/>
        <family val="2"/>
      </rPr>
      <t>*</t>
    </r>
    <r>
      <rPr>
        <i/>
        <sz val="12"/>
        <rFont val="Arial"/>
        <family val="2"/>
      </rPr>
      <t>v</t>
    </r>
    <r>
      <rPr>
        <vertAlign val="subscript"/>
        <sz val="12"/>
        <rFont val="Arial"/>
        <family val="2"/>
      </rPr>
      <t>4_SNH4</t>
    </r>
    <r>
      <rPr>
        <sz val="11"/>
        <rFont val="Arial"/>
        <family val="2"/>
      </rPr>
      <t>+</t>
    </r>
    <r>
      <rPr>
        <i/>
        <sz val="12"/>
        <rFont val="Arial"/>
        <family val="2"/>
      </rPr>
      <t>i</t>
    </r>
    <r>
      <rPr>
        <vertAlign val="subscript"/>
        <sz val="12"/>
        <rFont val="Arial"/>
        <family val="2"/>
      </rPr>
      <t>Charge_SPO4</t>
    </r>
    <r>
      <rPr>
        <sz val="11"/>
        <rFont val="Arial"/>
        <family val="2"/>
      </rPr>
      <t>*</t>
    </r>
    <r>
      <rPr>
        <i/>
        <sz val="12"/>
        <rFont val="Arial"/>
        <family val="2"/>
      </rPr>
      <t>v</t>
    </r>
    <r>
      <rPr>
        <vertAlign val="subscript"/>
        <sz val="12"/>
        <rFont val="Arial"/>
        <family val="2"/>
      </rPr>
      <t>4_SPO4</t>
    </r>
  </si>
  <si>
    <t>r5</t>
  </si>
  <si>
    <r>
      <t>Aerobic growth on S</t>
    </r>
    <r>
      <rPr>
        <b/>
        <vertAlign val="subscript"/>
        <sz val="11"/>
        <rFont val="Arial"/>
        <family val="2"/>
      </rPr>
      <t>A</t>
    </r>
  </si>
  <si>
    <r>
      <t>-</t>
    </r>
    <r>
      <rPr>
        <i/>
        <sz val="12"/>
        <rFont val="Arial"/>
        <family val="2"/>
      </rPr>
      <t>i</t>
    </r>
    <r>
      <rPr>
        <vertAlign val="subscript"/>
        <sz val="12"/>
        <rFont val="Arial"/>
        <family val="2"/>
      </rPr>
      <t>N,BM</t>
    </r>
  </si>
  <si>
    <r>
      <t>-</t>
    </r>
    <r>
      <rPr>
        <i/>
        <sz val="12"/>
        <rFont val="Arial"/>
        <family val="2"/>
      </rPr>
      <t>i</t>
    </r>
    <r>
      <rPr>
        <vertAlign val="subscript"/>
        <sz val="12"/>
        <rFont val="Arial"/>
        <family val="2"/>
      </rPr>
      <t>P,BM</t>
    </r>
  </si>
  <si>
    <r>
      <t>i</t>
    </r>
    <r>
      <rPr>
        <vertAlign val="subscript"/>
        <sz val="12"/>
        <rFont val="Arial"/>
        <family val="2"/>
      </rPr>
      <t>Charge_SNHx</t>
    </r>
    <r>
      <rPr>
        <sz val="11"/>
        <rFont val="Arial"/>
        <family val="2"/>
      </rPr>
      <t>*</t>
    </r>
    <r>
      <rPr>
        <i/>
        <sz val="12"/>
        <rFont val="Arial"/>
        <family val="2"/>
      </rPr>
      <t>v</t>
    </r>
    <r>
      <rPr>
        <vertAlign val="subscript"/>
        <sz val="12"/>
        <rFont val="Arial"/>
        <family val="2"/>
      </rPr>
      <t>5_SNH4</t>
    </r>
    <r>
      <rPr>
        <sz val="11"/>
        <rFont val="Arial"/>
        <family val="2"/>
      </rPr>
      <t>+</t>
    </r>
    <r>
      <rPr>
        <i/>
        <sz val="12"/>
        <rFont val="Arial"/>
        <family val="2"/>
      </rPr>
      <t>i</t>
    </r>
    <r>
      <rPr>
        <vertAlign val="subscript"/>
        <sz val="12"/>
        <rFont val="Arial"/>
        <family val="2"/>
      </rPr>
      <t>Charge_SPO4</t>
    </r>
    <r>
      <rPr>
        <sz val="11"/>
        <rFont val="Arial"/>
        <family val="2"/>
      </rPr>
      <t>*</t>
    </r>
    <r>
      <rPr>
        <i/>
        <sz val="12"/>
        <rFont val="Arial"/>
        <family val="2"/>
      </rPr>
      <t>v</t>
    </r>
    <r>
      <rPr>
        <vertAlign val="subscript"/>
        <sz val="12"/>
        <rFont val="Arial"/>
        <family val="2"/>
      </rPr>
      <t>5_SPO4</t>
    </r>
    <r>
      <rPr>
        <sz val="11"/>
        <rFont val="Arial"/>
        <family val="2"/>
      </rPr>
      <t>+</t>
    </r>
    <r>
      <rPr>
        <i/>
        <sz val="12"/>
        <rFont val="Arial"/>
        <family val="2"/>
      </rPr>
      <t>i</t>
    </r>
    <r>
      <rPr>
        <vertAlign val="subscript"/>
        <sz val="12"/>
        <rFont val="Arial"/>
        <family val="2"/>
      </rPr>
      <t>Charge_SVFA</t>
    </r>
    <r>
      <rPr>
        <sz val="11"/>
        <rFont val="Arial"/>
        <family val="2"/>
      </rPr>
      <t>*</t>
    </r>
    <r>
      <rPr>
        <i/>
        <sz val="12"/>
        <rFont val="Arial"/>
        <family val="2"/>
      </rPr>
      <t>v</t>
    </r>
    <r>
      <rPr>
        <vertAlign val="subscript"/>
        <sz val="12"/>
        <rFont val="Arial"/>
        <family val="2"/>
      </rPr>
      <t>5_SA</t>
    </r>
  </si>
  <si>
    <t>r6</t>
  </si>
  <si>
    <r>
      <t>Anoxic growth on S</t>
    </r>
    <r>
      <rPr>
        <b/>
        <vertAlign val="subscript"/>
        <sz val="11"/>
        <rFont val="Arial"/>
        <family val="2"/>
      </rPr>
      <t>F</t>
    </r>
  </si>
  <si>
    <r>
      <t>-(1-</t>
    </r>
    <r>
      <rPr>
        <i/>
        <sz val="12"/>
        <rFont val="Arial"/>
        <family val="2"/>
      </rPr>
      <t>Y</t>
    </r>
    <r>
      <rPr>
        <vertAlign val="subscript"/>
        <sz val="12"/>
        <rFont val="Arial"/>
        <family val="2"/>
      </rPr>
      <t>H</t>
    </r>
    <r>
      <rPr>
        <sz val="11"/>
        <rFont val="Arial"/>
        <family val="2"/>
      </rPr>
      <t>)/(</t>
    </r>
    <r>
      <rPr>
        <i/>
        <sz val="12"/>
        <rFont val="Arial"/>
        <family val="2"/>
      </rPr>
      <t>i</t>
    </r>
    <r>
      <rPr>
        <vertAlign val="subscript"/>
        <sz val="12"/>
        <rFont val="Arial"/>
        <family val="2"/>
      </rPr>
      <t>NO3,N2</t>
    </r>
    <r>
      <rPr>
        <sz val="11"/>
        <rFont val="Arial"/>
        <family val="2"/>
      </rPr>
      <t>*</t>
    </r>
    <r>
      <rPr>
        <i/>
        <sz val="12"/>
        <rFont val="Arial"/>
        <family val="2"/>
      </rPr>
      <t>Y</t>
    </r>
    <r>
      <rPr>
        <vertAlign val="subscript"/>
        <sz val="12"/>
        <rFont val="Arial"/>
        <family val="2"/>
      </rPr>
      <t>H</t>
    </r>
    <r>
      <rPr>
        <sz val="11"/>
        <rFont val="Arial"/>
        <family val="2"/>
      </rPr>
      <t>)</t>
    </r>
  </si>
  <si>
    <r>
      <t>i</t>
    </r>
    <r>
      <rPr>
        <vertAlign val="subscript"/>
        <sz val="12"/>
        <rFont val="Arial"/>
        <family val="2"/>
      </rPr>
      <t>Charge_SNHx</t>
    </r>
    <r>
      <rPr>
        <sz val="12"/>
        <rFont val="Arial"/>
        <family val="2"/>
      </rPr>
      <t>*</t>
    </r>
    <r>
      <rPr>
        <i/>
        <sz val="12"/>
        <rFont val="Arial"/>
        <family val="2"/>
      </rPr>
      <t>v</t>
    </r>
    <r>
      <rPr>
        <vertAlign val="subscript"/>
        <sz val="12"/>
        <rFont val="Arial"/>
        <family val="2"/>
      </rPr>
      <t>6_SNH4</t>
    </r>
    <r>
      <rPr>
        <sz val="12"/>
        <rFont val="Arial"/>
        <family val="2"/>
      </rPr>
      <t>+</t>
    </r>
    <r>
      <rPr>
        <i/>
        <sz val="12"/>
        <rFont val="Arial"/>
        <family val="2"/>
      </rPr>
      <t>i</t>
    </r>
    <r>
      <rPr>
        <vertAlign val="subscript"/>
        <sz val="12"/>
        <rFont val="Arial"/>
        <family val="2"/>
      </rPr>
      <t>Charge_SPO4</t>
    </r>
    <r>
      <rPr>
        <sz val="12"/>
        <rFont val="Arial"/>
        <family val="2"/>
      </rPr>
      <t>*</t>
    </r>
    <r>
      <rPr>
        <i/>
        <sz val="12"/>
        <rFont val="Arial"/>
        <family val="2"/>
      </rPr>
      <t>v</t>
    </r>
    <r>
      <rPr>
        <vertAlign val="subscript"/>
        <sz val="12"/>
        <rFont val="Arial"/>
        <family val="2"/>
      </rPr>
      <t>6_SPO4</t>
    </r>
    <r>
      <rPr>
        <sz val="12"/>
        <rFont val="Arial"/>
        <family val="2"/>
      </rPr>
      <t>+</t>
    </r>
    <r>
      <rPr>
        <i/>
        <sz val="12"/>
        <rFont val="Arial"/>
        <family val="2"/>
      </rPr>
      <t>i</t>
    </r>
    <r>
      <rPr>
        <vertAlign val="subscript"/>
        <sz val="12"/>
        <rFont val="Arial"/>
        <family val="2"/>
      </rPr>
      <t>Charge_SNOx</t>
    </r>
    <r>
      <rPr>
        <sz val="12"/>
        <rFont val="Arial"/>
        <family val="2"/>
      </rPr>
      <t>*</t>
    </r>
    <r>
      <rPr>
        <i/>
        <sz val="12"/>
        <rFont val="Arial"/>
        <family val="2"/>
      </rPr>
      <t>v</t>
    </r>
    <r>
      <rPr>
        <vertAlign val="subscript"/>
        <sz val="12"/>
        <rFont val="Arial"/>
        <family val="2"/>
      </rPr>
      <t>6_SNO3</t>
    </r>
  </si>
  <si>
    <r>
      <t>(1-</t>
    </r>
    <r>
      <rPr>
        <i/>
        <sz val="12"/>
        <rFont val="Arial"/>
        <family val="2"/>
      </rPr>
      <t>Y</t>
    </r>
    <r>
      <rPr>
        <vertAlign val="subscript"/>
        <sz val="12"/>
        <rFont val="Arial"/>
        <family val="2"/>
      </rPr>
      <t>H</t>
    </r>
    <r>
      <rPr>
        <sz val="11"/>
        <rFont val="Arial"/>
        <family val="2"/>
      </rPr>
      <t>)/(</t>
    </r>
    <r>
      <rPr>
        <i/>
        <sz val="12"/>
        <rFont val="Arial"/>
        <family val="2"/>
      </rPr>
      <t>i</t>
    </r>
    <r>
      <rPr>
        <vertAlign val="subscript"/>
        <sz val="12"/>
        <rFont val="Arial"/>
        <family val="2"/>
      </rPr>
      <t>NO3,N2</t>
    </r>
    <r>
      <rPr>
        <sz val="11"/>
        <rFont val="Arial"/>
        <family val="2"/>
      </rPr>
      <t>*</t>
    </r>
    <r>
      <rPr>
        <i/>
        <sz val="12"/>
        <rFont val="Arial"/>
        <family val="2"/>
      </rPr>
      <t>Y</t>
    </r>
    <r>
      <rPr>
        <vertAlign val="subscript"/>
        <sz val="12"/>
        <rFont val="Arial"/>
        <family val="2"/>
      </rPr>
      <t>H</t>
    </r>
    <r>
      <rPr>
        <sz val="11"/>
        <rFont val="Arial"/>
        <family val="2"/>
      </rPr>
      <t>)</t>
    </r>
  </si>
  <si>
    <t>r7</t>
  </si>
  <si>
    <r>
      <t>Anoxic growth on S</t>
    </r>
    <r>
      <rPr>
        <b/>
        <vertAlign val="subscript"/>
        <sz val="11"/>
        <rFont val="Arial"/>
        <family val="2"/>
      </rPr>
      <t>A</t>
    </r>
  </si>
  <si>
    <r>
      <t>i</t>
    </r>
    <r>
      <rPr>
        <vertAlign val="subscript"/>
        <sz val="12"/>
        <rFont val="Arial"/>
        <family val="2"/>
      </rPr>
      <t>Charge_SNHx</t>
    </r>
    <r>
      <rPr>
        <sz val="12"/>
        <rFont val="Arial"/>
        <family val="2"/>
      </rPr>
      <t>*</t>
    </r>
    <r>
      <rPr>
        <i/>
        <sz val="12"/>
        <rFont val="Arial"/>
        <family val="2"/>
      </rPr>
      <t>v</t>
    </r>
    <r>
      <rPr>
        <vertAlign val="subscript"/>
        <sz val="12"/>
        <rFont val="Arial"/>
        <family val="2"/>
      </rPr>
      <t>7_SNH4</t>
    </r>
    <r>
      <rPr>
        <sz val="12"/>
        <rFont val="Arial"/>
        <family val="2"/>
      </rPr>
      <t>+</t>
    </r>
    <r>
      <rPr>
        <i/>
        <sz val="12"/>
        <rFont val="Arial"/>
        <family val="2"/>
      </rPr>
      <t>i</t>
    </r>
    <r>
      <rPr>
        <vertAlign val="subscript"/>
        <sz val="12"/>
        <rFont val="Arial"/>
        <family val="2"/>
      </rPr>
      <t>Charge_SPO4</t>
    </r>
    <r>
      <rPr>
        <sz val="12"/>
        <rFont val="Arial"/>
        <family val="2"/>
      </rPr>
      <t>*</t>
    </r>
    <r>
      <rPr>
        <i/>
        <sz val="12"/>
        <rFont val="Arial"/>
        <family val="2"/>
      </rPr>
      <t>v</t>
    </r>
    <r>
      <rPr>
        <vertAlign val="subscript"/>
        <sz val="12"/>
        <rFont val="Arial"/>
        <family val="2"/>
      </rPr>
      <t>7_SPO4</t>
    </r>
    <r>
      <rPr>
        <sz val="12"/>
        <rFont val="Arial"/>
        <family val="2"/>
      </rPr>
      <t>+</t>
    </r>
    <r>
      <rPr>
        <i/>
        <sz val="12"/>
        <rFont val="Arial"/>
        <family val="2"/>
      </rPr>
      <t>i</t>
    </r>
    <r>
      <rPr>
        <vertAlign val="subscript"/>
        <sz val="12"/>
        <rFont val="Arial"/>
        <family val="2"/>
      </rPr>
      <t>Charge_SNOx</t>
    </r>
    <r>
      <rPr>
        <sz val="12"/>
        <rFont val="Arial"/>
        <family val="2"/>
      </rPr>
      <t>*</t>
    </r>
    <r>
      <rPr>
        <i/>
        <sz val="12"/>
        <rFont val="Arial"/>
        <family val="2"/>
      </rPr>
      <t>v</t>
    </r>
    <r>
      <rPr>
        <vertAlign val="subscript"/>
        <sz val="12"/>
        <rFont val="Arial"/>
        <family val="2"/>
      </rPr>
      <t>7_SNO3</t>
    </r>
    <r>
      <rPr>
        <sz val="12"/>
        <rFont val="Arial"/>
        <family val="2"/>
      </rPr>
      <t>+</t>
    </r>
    <r>
      <rPr>
        <i/>
        <sz val="12"/>
        <rFont val="Arial"/>
        <family val="2"/>
      </rPr>
      <t>i</t>
    </r>
    <r>
      <rPr>
        <vertAlign val="subscript"/>
        <sz val="12"/>
        <rFont val="Arial"/>
        <family val="2"/>
      </rPr>
      <t>Charge_SVFA</t>
    </r>
    <r>
      <rPr>
        <sz val="12"/>
        <rFont val="Arial"/>
        <family val="2"/>
      </rPr>
      <t>*</t>
    </r>
    <r>
      <rPr>
        <i/>
        <sz val="12"/>
        <rFont val="Arial"/>
        <family val="2"/>
      </rPr>
      <t>v</t>
    </r>
    <r>
      <rPr>
        <vertAlign val="subscript"/>
        <sz val="12"/>
        <rFont val="Arial"/>
        <family val="2"/>
      </rPr>
      <t>7_SA</t>
    </r>
  </si>
  <si>
    <t>r8</t>
  </si>
  <si>
    <t>Fermentation</t>
  </si>
  <si>
    <t>-1</t>
  </si>
  <si>
    <t>1</t>
  </si>
  <si>
    <r>
      <t>i</t>
    </r>
    <r>
      <rPr>
        <vertAlign val="subscript"/>
        <sz val="12"/>
        <rFont val="Arial"/>
        <family val="2"/>
      </rPr>
      <t>Charge_SNHx</t>
    </r>
    <r>
      <rPr>
        <sz val="11"/>
        <rFont val="Arial"/>
        <family val="2"/>
      </rPr>
      <t>*</t>
    </r>
    <r>
      <rPr>
        <i/>
        <sz val="12"/>
        <rFont val="Arial"/>
        <family val="2"/>
      </rPr>
      <t>v</t>
    </r>
    <r>
      <rPr>
        <vertAlign val="subscript"/>
        <sz val="12"/>
        <rFont val="Arial"/>
        <family val="2"/>
      </rPr>
      <t>8_SNH4</t>
    </r>
    <r>
      <rPr>
        <sz val="11"/>
        <rFont val="Arial"/>
        <family val="2"/>
      </rPr>
      <t>+</t>
    </r>
    <r>
      <rPr>
        <i/>
        <sz val="12"/>
        <rFont val="Arial"/>
        <family val="2"/>
      </rPr>
      <t>i</t>
    </r>
    <r>
      <rPr>
        <vertAlign val="subscript"/>
        <sz val="12"/>
        <rFont val="Arial"/>
        <family val="2"/>
      </rPr>
      <t>Charge_SPO4</t>
    </r>
    <r>
      <rPr>
        <sz val="11"/>
        <rFont val="Arial"/>
        <family val="2"/>
      </rPr>
      <t>*</t>
    </r>
    <r>
      <rPr>
        <i/>
        <sz val="12"/>
        <rFont val="Arial"/>
        <family val="2"/>
      </rPr>
      <t>v</t>
    </r>
    <r>
      <rPr>
        <vertAlign val="subscript"/>
        <sz val="12"/>
        <rFont val="Arial"/>
        <family val="2"/>
      </rPr>
      <t>8_SPO4</t>
    </r>
    <r>
      <rPr>
        <sz val="11"/>
        <rFont val="Arial"/>
        <family val="2"/>
      </rPr>
      <t>+</t>
    </r>
    <r>
      <rPr>
        <i/>
        <sz val="12"/>
        <rFont val="Arial"/>
        <family val="2"/>
      </rPr>
      <t>i</t>
    </r>
    <r>
      <rPr>
        <vertAlign val="subscript"/>
        <sz val="12"/>
        <rFont val="Arial"/>
        <family val="2"/>
      </rPr>
      <t>Charge_SVFA</t>
    </r>
  </si>
  <si>
    <t>r9</t>
  </si>
  <si>
    <t>Lysis</t>
  </si>
  <si>
    <r>
      <t>-(</t>
    </r>
    <r>
      <rPr>
        <i/>
        <sz val="12"/>
        <rFont val="Arial"/>
        <family val="2"/>
      </rPr>
      <t>f</t>
    </r>
    <r>
      <rPr>
        <vertAlign val="subscript"/>
        <sz val="12"/>
        <rFont val="Arial"/>
        <family val="2"/>
      </rPr>
      <t>XI</t>
    </r>
    <r>
      <rPr>
        <sz val="11"/>
        <rFont val="Arial"/>
        <family val="2"/>
      </rPr>
      <t>*</t>
    </r>
    <r>
      <rPr>
        <i/>
        <sz val="12"/>
        <rFont val="Arial"/>
        <family val="2"/>
      </rPr>
      <t>i</t>
    </r>
    <r>
      <rPr>
        <vertAlign val="subscript"/>
        <sz val="12"/>
        <rFont val="Arial"/>
        <family val="2"/>
      </rPr>
      <t>N,XI</t>
    </r>
    <r>
      <rPr>
        <sz val="11"/>
        <rFont val="Arial"/>
        <family val="2"/>
      </rPr>
      <t>+(1-</t>
    </r>
    <r>
      <rPr>
        <i/>
        <sz val="12"/>
        <rFont val="Arial"/>
        <family val="2"/>
      </rPr>
      <t>f</t>
    </r>
    <r>
      <rPr>
        <vertAlign val="subscript"/>
        <sz val="12"/>
        <rFont val="Arial"/>
        <family val="2"/>
      </rPr>
      <t>XI</t>
    </r>
    <r>
      <rPr>
        <sz val="11"/>
        <rFont val="Arial"/>
        <family val="2"/>
      </rPr>
      <t>)*</t>
    </r>
    <r>
      <rPr>
        <i/>
        <sz val="12"/>
        <rFont val="Arial"/>
        <family val="2"/>
      </rPr>
      <t>i</t>
    </r>
    <r>
      <rPr>
        <vertAlign val="subscript"/>
        <sz val="12"/>
        <rFont val="Arial"/>
        <family val="2"/>
      </rPr>
      <t>N,XS</t>
    </r>
    <r>
      <rPr>
        <sz val="11"/>
        <rFont val="Arial"/>
        <family val="2"/>
      </rPr>
      <t>-</t>
    </r>
    <r>
      <rPr>
        <i/>
        <sz val="12"/>
        <rFont val="Arial"/>
        <family val="2"/>
      </rPr>
      <t>i</t>
    </r>
    <r>
      <rPr>
        <vertAlign val="subscript"/>
        <sz val="12"/>
        <rFont val="Arial"/>
        <family val="2"/>
      </rPr>
      <t>N,BM</t>
    </r>
    <r>
      <rPr>
        <sz val="11"/>
        <rFont val="Arial"/>
        <family val="2"/>
      </rPr>
      <t>)</t>
    </r>
  </si>
  <si>
    <r>
      <t>-(</t>
    </r>
    <r>
      <rPr>
        <i/>
        <sz val="12"/>
        <rFont val="Arial"/>
        <family val="2"/>
      </rPr>
      <t>f</t>
    </r>
    <r>
      <rPr>
        <vertAlign val="subscript"/>
        <sz val="12"/>
        <rFont val="Arial"/>
        <family val="2"/>
      </rPr>
      <t>XI</t>
    </r>
    <r>
      <rPr>
        <sz val="12"/>
        <rFont val="Arial"/>
        <family val="2"/>
      </rPr>
      <t>*</t>
    </r>
    <r>
      <rPr>
        <i/>
        <sz val="12"/>
        <rFont val="Arial"/>
        <family val="2"/>
      </rPr>
      <t>i</t>
    </r>
    <r>
      <rPr>
        <vertAlign val="subscript"/>
        <sz val="12"/>
        <rFont val="Arial"/>
        <family val="2"/>
      </rPr>
      <t>P,XI</t>
    </r>
    <r>
      <rPr>
        <sz val="11"/>
        <rFont val="Arial"/>
        <family val="2"/>
      </rPr>
      <t>+(1-</t>
    </r>
    <r>
      <rPr>
        <i/>
        <sz val="12"/>
        <rFont val="Arial"/>
        <family val="2"/>
      </rPr>
      <t>f</t>
    </r>
    <r>
      <rPr>
        <vertAlign val="subscript"/>
        <sz val="12"/>
        <rFont val="Arial"/>
        <family val="2"/>
      </rPr>
      <t>XI</t>
    </r>
    <r>
      <rPr>
        <sz val="12"/>
        <rFont val="Arial"/>
        <family val="2"/>
      </rPr>
      <t>)</t>
    </r>
    <r>
      <rPr>
        <sz val="11"/>
        <rFont val="Arial"/>
        <family val="2"/>
      </rPr>
      <t>*</t>
    </r>
    <r>
      <rPr>
        <i/>
        <sz val="12"/>
        <rFont val="Arial"/>
        <family val="2"/>
      </rPr>
      <t>i</t>
    </r>
    <r>
      <rPr>
        <vertAlign val="subscript"/>
        <sz val="12"/>
        <rFont val="Arial"/>
        <family val="2"/>
      </rPr>
      <t>P,XS</t>
    </r>
    <r>
      <rPr>
        <sz val="11"/>
        <rFont val="Arial"/>
        <family val="2"/>
      </rPr>
      <t>-</t>
    </r>
    <r>
      <rPr>
        <i/>
        <sz val="12"/>
        <rFont val="Arial"/>
        <family val="2"/>
      </rPr>
      <t>i</t>
    </r>
    <r>
      <rPr>
        <vertAlign val="subscript"/>
        <sz val="12"/>
        <rFont val="Arial"/>
        <family val="2"/>
      </rPr>
      <t>P,BM</t>
    </r>
    <r>
      <rPr>
        <sz val="11"/>
        <rFont val="Arial"/>
        <family val="2"/>
      </rPr>
      <t>)</t>
    </r>
  </si>
  <si>
    <r>
      <t>i</t>
    </r>
    <r>
      <rPr>
        <vertAlign val="subscript"/>
        <sz val="12"/>
        <rFont val="Arial"/>
        <family val="2"/>
      </rPr>
      <t>Charge_SNHx</t>
    </r>
    <r>
      <rPr>
        <sz val="11"/>
        <rFont val="Arial"/>
        <family val="2"/>
      </rPr>
      <t>*</t>
    </r>
    <r>
      <rPr>
        <i/>
        <sz val="12"/>
        <rFont val="Arial"/>
        <family val="2"/>
      </rPr>
      <t>v</t>
    </r>
    <r>
      <rPr>
        <vertAlign val="subscript"/>
        <sz val="12"/>
        <rFont val="Arial"/>
        <family val="2"/>
      </rPr>
      <t>9_SNH4</t>
    </r>
    <r>
      <rPr>
        <sz val="11"/>
        <rFont val="Arial"/>
        <family val="2"/>
      </rPr>
      <t>+</t>
    </r>
    <r>
      <rPr>
        <i/>
        <sz val="12"/>
        <rFont val="Arial"/>
        <family val="2"/>
      </rPr>
      <t>i</t>
    </r>
    <r>
      <rPr>
        <vertAlign val="subscript"/>
        <sz val="12"/>
        <rFont val="Arial"/>
        <family val="2"/>
      </rPr>
      <t>Charge_SPO4</t>
    </r>
    <r>
      <rPr>
        <sz val="11"/>
        <rFont val="Arial"/>
        <family val="2"/>
      </rPr>
      <t>*</t>
    </r>
    <r>
      <rPr>
        <i/>
        <sz val="12"/>
        <rFont val="Arial"/>
        <family val="2"/>
      </rPr>
      <t>v</t>
    </r>
    <r>
      <rPr>
        <vertAlign val="subscript"/>
        <sz val="12"/>
        <rFont val="Arial"/>
        <family val="2"/>
      </rPr>
      <t>9_SPO4</t>
    </r>
  </si>
  <si>
    <r>
      <t>1-</t>
    </r>
    <r>
      <rPr>
        <i/>
        <sz val="12"/>
        <rFont val="Arial"/>
        <family val="2"/>
      </rPr>
      <t>f</t>
    </r>
    <r>
      <rPr>
        <vertAlign val="subscript"/>
        <sz val="12"/>
        <rFont val="Arial"/>
        <family val="2"/>
      </rPr>
      <t>XI</t>
    </r>
  </si>
  <si>
    <r>
      <t>f</t>
    </r>
    <r>
      <rPr>
        <vertAlign val="subscript"/>
        <sz val="12"/>
        <rFont val="Arial"/>
        <family val="2"/>
      </rPr>
      <t>XI</t>
    </r>
    <r>
      <rPr>
        <sz val="11"/>
        <rFont val="Arial"/>
        <family val="2"/>
      </rPr>
      <t>*</t>
    </r>
    <r>
      <rPr>
        <i/>
        <sz val="12"/>
        <rFont val="Arial"/>
        <family val="2"/>
      </rPr>
      <t>i</t>
    </r>
    <r>
      <rPr>
        <vertAlign val="subscript"/>
        <sz val="12"/>
        <rFont val="Arial"/>
        <family val="2"/>
      </rPr>
      <t>TSS,XI</t>
    </r>
    <r>
      <rPr>
        <sz val="11"/>
        <rFont val="Arial"/>
        <family val="2"/>
      </rPr>
      <t>+(1-</t>
    </r>
    <r>
      <rPr>
        <i/>
        <sz val="12"/>
        <rFont val="Arial"/>
        <family val="2"/>
      </rPr>
      <t>f</t>
    </r>
    <r>
      <rPr>
        <vertAlign val="subscript"/>
        <sz val="12"/>
        <rFont val="Arial"/>
        <family val="2"/>
      </rPr>
      <t>XI</t>
    </r>
    <r>
      <rPr>
        <sz val="11"/>
        <rFont val="Arial"/>
        <family val="2"/>
      </rPr>
      <t>)*</t>
    </r>
    <r>
      <rPr>
        <i/>
        <sz val="12"/>
        <rFont val="Arial"/>
        <family val="2"/>
      </rPr>
      <t>i</t>
    </r>
    <r>
      <rPr>
        <vertAlign val="subscript"/>
        <sz val="12"/>
        <rFont val="Arial"/>
        <family val="2"/>
      </rPr>
      <t>TSS,XS</t>
    </r>
    <r>
      <rPr>
        <sz val="11"/>
        <rFont val="Arial"/>
        <family val="2"/>
      </rPr>
      <t>-</t>
    </r>
    <r>
      <rPr>
        <i/>
        <sz val="12"/>
        <rFont val="Arial"/>
        <family val="2"/>
      </rPr>
      <t>i</t>
    </r>
    <r>
      <rPr>
        <vertAlign val="subscript"/>
        <sz val="12"/>
        <rFont val="Arial"/>
        <family val="2"/>
      </rPr>
      <t>TSS,BM</t>
    </r>
  </si>
  <si>
    <t>r10</t>
  </si>
  <si>
    <r>
      <t>Storage of X</t>
    </r>
    <r>
      <rPr>
        <b/>
        <vertAlign val="subscript"/>
        <sz val="11"/>
        <rFont val="Arial"/>
        <family val="2"/>
      </rPr>
      <t>PHA</t>
    </r>
  </si>
  <si>
    <r>
      <t>-</t>
    </r>
    <r>
      <rPr>
        <i/>
        <sz val="12"/>
        <rFont val="Arial"/>
        <family val="2"/>
      </rPr>
      <t>i</t>
    </r>
    <r>
      <rPr>
        <vertAlign val="subscript"/>
        <sz val="12"/>
        <rFont val="Arial"/>
        <family val="2"/>
      </rPr>
      <t>Charge_SVFA</t>
    </r>
    <r>
      <rPr>
        <sz val="11"/>
        <rFont val="Arial"/>
        <family val="2"/>
      </rPr>
      <t>+</t>
    </r>
    <r>
      <rPr>
        <i/>
        <sz val="12"/>
        <rFont val="Arial"/>
        <family val="2"/>
      </rPr>
      <t>i</t>
    </r>
    <r>
      <rPr>
        <vertAlign val="subscript"/>
        <sz val="12"/>
        <rFont val="Arial"/>
        <family val="2"/>
      </rPr>
      <t>Charge_SPO4</t>
    </r>
    <r>
      <rPr>
        <sz val="11"/>
        <rFont val="Arial"/>
        <family val="2"/>
      </rPr>
      <t>*</t>
    </r>
    <r>
      <rPr>
        <i/>
        <sz val="12"/>
        <rFont val="Arial"/>
        <family val="2"/>
      </rPr>
      <t>Y</t>
    </r>
    <r>
      <rPr>
        <vertAlign val="subscript"/>
        <sz val="12"/>
        <rFont val="Arial"/>
        <family val="2"/>
      </rPr>
      <t>PO4</t>
    </r>
    <r>
      <rPr>
        <sz val="11"/>
        <rFont val="Arial"/>
        <family val="2"/>
      </rPr>
      <t>-</t>
    </r>
    <r>
      <rPr>
        <i/>
        <sz val="12"/>
        <rFont val="Arial"/>
        <family val="2"/>
      </rPr>
      <t>i</t>
    </r>
    <r>
      <rPr>
        <vertAlign val="subscript"/>
        <sz val="12"/>
        <rFont val="Arial"/>
        <family val="2"/>
      </rPr>
      <t>Charge_XPAO,PP</t>
    </r>
    <r>
      <rPr>
        <sz val="11"/>
        <rFont val="Arial"/>
        <family val="2"/>
      </rPr>
      <t>*</t>
    </r>
    <r>
      <rPr>
        <i/>
        <sz val="12"/>
        <rFont val="Arial"/>
        <family val="2"/>
      </rPr>
      <t>Y</t>
    </r>
    <r>
      <rPr>
        <vertAlign val="subscript"/>
        <sz val="12"/>
        <rFont val="Arial"/>
        <family val="2"/>
      </rPr>
      <t>PO4</t>
    </r>
  </si>
  <si>
    <r>
      <t>-</t>
    </r>
    <r>
      <rPr>
        <i/>
        <sz val="12"/>
        <rFont val="Arial"/>
        <family val="2"/>
      </rPr>
      <t>Y</t>
    </r>
    <r>
      <rPr>
        <vertAlign val="subscript"/>
        <sz val="12"/>
        <rFont val="Arial"/>
        <family val="2"/>
      </rPr>
      <t>PO4</t>
    </r>
  </si>
  <si>
    <r>
      <t>-</t>
    </r>
    <r>
      <rPr>
        <i/>
        <sz val="12"/>
        <rFont val="Arial"/>
        <family val="2"/>
      </rPr>
      <t>Y</t>
    </r>
    <r>
      <rPr>
        <vertAlign val="subscript"/>
        <sz val="12"/>
        <rFont val="Arial"/>
        <family val="2"/>
      </rPr>
      <t>PO4</t>
    </r>
    <r>
      <rPr>
        <sz val="11"/>
        <rFont val="Arial"/>
        <family val="2"/>
      </rPr>
      <t>*</t>
    </r>
    <r>
      <rPr>
        <i/>
        <sz val="12"/>
        <rFont val="Arial"/>
        <family val="2"/>
      </rPr>
      <t>i</t>
    </r>
    <r>
      <rPr>
        <vertAlign val="subscript"/>
        <sz val="12"/>
        <rFont val="Arial"/>
        <family val="2"/>
      </rPr>
      <t>TSS,XPP</t>
    </r>
    <r>
      <rPr>
        <sz val="11"/>
        <rFont val="Arial"/>
        <family val="2"/>
      </rPr>
      <t>+</t>
    </r>
    <r>
      <rPr>
        <i/>
        <sz val="12"/>
        <rFont val="Arial"/>
        <family val="2"/>
      </rPr>
      <t>i</t>
    </r>
    <r>
      <rPr>
        <vertAlign val="subscript"/>
        <sz val="12"/>
        <rFont val="Arial"/>
        <family val="2"/>
      </rPr>
      <t>TSS,XPHA</t>
    </r>
  </si>
  <si>
    <t>r11</t>
  </si>
  <si>
    <t>Aerobic storage of XPP</t>
  </si>
  <si>
    <r>
      <t>-</t>
    </r>
    <r>
      <rPr>
        <i/>
        <sz val="12"/>
        <rFont val="Arial"/>
        <family val="2"/>
      </rPr>
      <t>Y</t>
    </r>
    <r>
      <rPr>
        <vertAlign val="subscript"/>
        <sz val="12"/>
        <rFont val="Arial"/>
        <family val="2"/>
      </rPr>
      <t>PHA</t>
    </r>
  </si>
  <si>
    <r>
      <t>-</t>
    </r>
    <r>
      <rPr>
        <i/>
        <sz val="12"/>
        <rFont val="Arial"/>
        <family val="2"/>
      </rPr>
      <t>i</t>
    </r>
    <r>
      <rPr>
        <vertAlign val="subscript"/>
        <sz val="12"/>
        <rFont val="Arial"/>
        <family val="2"/>
      </rPr>
      <t>Charge_SPO4</t>
    </r>
    <r>
      <rPr>
        <sz val="11"/>
        <rFont val="Arial"/>
        <family val="2"/>
      </rPr>
      <t>+</t>
    </r>
    <r>
      <rPr>
        <i/>
        <sz val="12"/>
        <rFont val="Arial"/>
        <family val="2"/>
      </rPr>
      <t>i</t>
    </r>
    <r>
      <rPr>
        <vertAlign val="subscript"/>
        <sz val="12"/>
        <rFont val="Arial"/>
        <family val="2"/>
      </rPr>
      <t>Charge_XPAO,PP</t>
    </r>
  </si>
  <si>
    <r>
      <t>i</t>
    </r>
    <r>
      <rPr>
        <vertAlign val="subscript"/>
        <sz val="12"/>
        <rFont val="Arial"/>
        <family val="2"/>
      </rPr>
      <t>TSS,XPP</t>
    </r>
    <r>
      <rPr>
        <sz val="11"/>
        <rFont val="Arial"/>
        <family val="2"/>
      </rPr>
      <t>-</t>
    </r>
    <r>
      <rPr>
        <i/>
        <sz val="12"/>
        <rFont val="Arial"/>
        <family val="2"/>
      </rPr>
      <t>Y</t>
    </r>
    <r>
      <rPr>
        <vertAlign val="subscript"/>
        <sz val="12"/>
        <rFont val="Arial"/>
        <family val="2"/>
      </rPr>
      <t>PHA</t>
    </r>
    <r>
      <rPr>
        <sz val="11"/>
        <rFont val="Arial"/>
        <family val="2"/>
      </rPr>
      <t>*</t>
    </r>
    <r>
      <rPr>
        <i/>
        <sz val="12"/>
        <rFont val="Arial"/>
        <family val="2"/>
      </rPr>
      <t>i</t>
    </r>
    <r>
      <rPr>
        <vertAlign val="subscript"/>
        <sz val="12"/>
        <rFont val="Arial"/>
        <family val="2"/>
      </rPr>
      <t>TSS,XPHA</t>
    </r>
  </si>
  <si>
    <t>r12</t>
  </si>
  <si>
    <t>Anoxic storage of XPP</t>
  </si>
  <si>
    <r>
      <t>-</t>
    </r>
    <r>
      <rPr>
        <i/>
        <sz val="12"/>
        <rFont val="Arial"/>
        <family val="2"/>
      </rPr>
      <t>Y</t>
    </r>
    <r>
      <rPr>
        <vertAlign val="subscript"/>
        <sz val="12"/>
        <rFont val="Arial"/>
        <family val="2"/>
      </rPr>
      <t>PHA</t>
    </r>
    <r>
      <rPr>
        <sz val="11"/>
        <rFont val="Arial"/>
        <family val="2"/>
      </rPr>
      <t>*(1/</t>
    </r>
    <r>
      <rPr>
        <i/>
        <sz val="12"/>
        <rFont val="Arial"/>
        <family val="2"/>
      </rPr>
      <t>i</t>
    </r>
    <r>
      <rPr>
        <vertAlign val="subscript"/>
        <sz val="12"/>
        <rFont val="Arial"/>
        <family val="2"/>
      </rPr>
      <t>NO3,N2</t>
    </r>
    <r>
      <rPr>
        <sz val="11"/>
        <rFont val="Arial"/>
        <family val="2"/>
      </rPr>
      <t>)</t>
    </r>
  </si>
  <si>
    <r>
      <t>-</t>
    </r>
    <r>
      <rPr>
        <i/>
        <sz val="12"/>
        <rFont val="Arial"/>
        <family val="2"/>
      </rPr>
      <t>i</t>
    </r>
    <r>
      <rPr>
        <vertAlign val="subscript"/>
        <sz val="12"/>
        <rFont val="Arial"/>
        <family val="2"/>
      </rPr>
      <t>Charge_SPO4</t>
    </r>
    <r>
      <rPr>
        <sz val="11"/>
        <rFont val="Arial"/>
        <family val="2"/>
      </rPr>
      <t>+</t>
    </r>
    <r>
      <rPr>
        <i/>
        <sz val="12"/>
        <rFont val="Arial"/>
        <family val="2"/>
      </rPr>
      <t>i</t>
    </r>
    <r>
      <rPr>
        <vertAlign val="subscript"/>
        <sz val="12"/>
        <rFont val="Arial"/>
        <family val="2"/>
      </rPr>
      <t>Charge_SNOx</t>
    </r>
    <r>
      <rPr>
        <sz val="11"/>
        <rFont val="Arial"/>
        <family val="2"/>
      </rPr>
      <t>*</t>
    </r>
    <r>
      <rPr>
        <i/>
        <sz val="12"/>
        <rFont val="Arial"/>
        <family val="2"/>
      </rPr>
      <t>v</t>
    </r>
    <r>
      <rPr>
        <vertAlign val="subscript"/>
        <sz val="12"/>
        <rFont val="Arial"/>
        <family val="2"/>
      </rPr>
      <t>12_SNO3</t>
    </r>
    <r>
      <rPr>
        <sz val="11"/>
        <rFont val="Arial"/>
        <family val="2"/>
      </rPr>
      <t>+</t>
    </r>
    <r>
      <rPr>
        <i/>
        <sz val="12"/>
        <rFont val="Arial"/>
        <family val="2"/>
      </rPr>
      <t>i</t>
    </r>
    <r>
      <rPr>
        <vertAlign val="subscript"/>
        <sz val="12"/>
        <rFont val="Arial"/>
        <family val="2"/>
      </rPr>
      <t>Charge_XPAO,PP</t>
    </r>
  </si>
  <si>
    <r>
      <t>Y</t>
    </r>
    <r>
      <rPr>
        <vertAlign val="subscript"/>
        <sz val="12"/>
        <rFont val="Arial"/>
        <family val="2"/>
      </rPr>
      <t>PHA</t>
    </r>
    <r>
      <rPr>
        <sz val="12"/>
        <rFont val="Arial"/>
        <family val="2"/>
      </rPr>
      <t>*(1/</t>
    </r>
    <r>
      <rPr>
        <i/>
        <sz val="12"/>
        <rFont val="Arial"/>
        <family val="2"/>
      </rPr>
      <t>i</t>
    </r>
    <r>
      <rPr>
        <vertAlign val="subscript"/>
        <sz val="12"/>
        <rFont val="Arial"/>
        <family val="2"/>
      </rPr>
      <t>NO3,N2</t>
    </r>
    <r>
      <rPr>
        <sz val="12"/>
        <rFont val="Arial"/>
        <family val="2"/>
      </rPr>
      <t>)</t>
    </r>
  </si>
  <si>
    <t>r13</t>
  </si>
  <si>
    <r>
      <t>Aerobic growth of X</t>
    </r>
    <r>
      <rPr>
        <b/>
        <vertAlign val="subscript"/>
        <sz val="11"/>
        <rFont val="Arial"/>
        <family val="2"/>
      </rPr>
      <t>PAO</t>
    </r>
  </si>
  <si>
    <r>
      <t>-(1-</t>
    </r>
    <r>
      <rPr>
        <i/>
        <sz val="12"/>
        <rFont val="Arial"/>
        <family val="2"/>
      </rPr>
      <t>Y</t>
    </r>
    <r>
      <rPr>
        <vertAlign val="subscript"/>
        <sz val="12"/>
        <rFont val="Arial"/>
        <family val="2"/>
      </rPr>
      <t>PAO</t>
    </r>
    <r>
      <rPr>
        <sz val="11"/>
        <rFont val="Arial"/>
        <family val="2"/>
      </rPr>
      <t>)/</t>
    </r>
    <r>
      <rPr>
        <i/>
        <sz val="12"/>
        <rFont val="Arial"/>
        <family val="2"/>
      </rPr>
      <t>Y</t>
    </r>
    <r>
      <rPr>
        <vertAlign val="subscript"/>
        <sz val="12"/>
        <rFont val="Arial"/>
        <family val="2"/>
      </rPr>
      <t>PAO</t>
    </r>
  </si>
  <si>
    <r>
      <t>i</t>
    </r>
    <r>
      <rPr>
        <vertAlign val="subscript"/>
        <sz val="12"/>
        <rFont val="Arial"/>
        <family val="2"/>
      </rPr>
      <t>Charge_SNHx</t>
    </r>
    <r>
      <rPr>
        <sz val="11"/>
        <rFont val="Arial"/>
        <family val="2"/>
      </rPr>
      <t>*</t>
    </r>
    <r>
      <rPr>
        <i/>
        <sz val="12"/>
        <rFont val="Arial"/>
        <family val="2"/>
      </rPr>
      <t>v</t>
    </r>
    <r>
      <rPr>
        <vertAlign val="subscript"/>
        <sz val="12"/>
        <rFont val="Arial"/>
        <family val="2"/>
      </rPr>
      <t>13_SNH4</t>
    </r>
    <r>
      <rPr>
        <sz val="11"/>
        <rFont val="Arial"/>
        <family val="2"/>
      </rPr>
      <t>-</t>
    </r>
    <r>
      <rPr>
        <i/>
        <sz val="12"/>
        <rFont val="Arial"/>
        <family val="2"/>
      </rPr>
      <t>i</t>
    </r>
    <r>
      <rPr>
        <vertAlign val="subscript"/>
        <sz val="12"/>
        <rFont val="Arial"/>
        <family val="2"/>
      </rPr>
      <t>P,BM</t>
    </r>
    <r>
      <rPr>
        <sz val="11"/>
        <rFont val="Arial"/>
        <family val="2"/>
      </rPr>
      <t>*</t>
    </r>
    <r>
      <rPr>
        <i/>
        <sz val="12"/>
        <rFont val="Arial"/>
        <family val="2"/>
      </rPr>
      <t>i</t>
    </r>
    <r>
      <rPr>
        <vertAlign val="subscript"/>
        <sz val="12"/>
        <rFont val="Arial"/>
        <family val="2"/>
      </rPr>
      <t>Charge_SPO4</t>
    </r>
  </si>
  <si>
    <r>
      <t>-1/</t>
    </r>
    <r>
      <rPr>
        <i/>
        <sz val="12"/>
        <rFont val="Arial"/>
        <family val="2"/>
      </rPr>
      <t>Y</t>
    </r>
    <r>
      <rPr>
        <vertAlign val="subscript"/>
        <sz val="12"/>
        <rFont val="Arial"/>
        <family val="2"/>
      </rPr>
      <t>PAO</t>
    </r>
  </si>
  <si>
    <r>
      <t>i</t>
    </r>
    <r>
      <rPr>
        <vertAlign val="subscript"/>
        <sz val="12"/>
        <rFont val="Arial"/>
        <family val="2"/>
      </rPr>
      <t>TSS,BM</t>
    </r>
    <r>
      <rPr>
        <sz val="11"/>
        <rFont val="Arial"/>
        <family val="2"/>
      </rPr>
      <t>-1/</t>
    </r>
    <r>
      <rPr>
        <i/>
        <sz val="12"/>
        <rFont val="Arial"/>
        <family val="2"/>
      </rPr>
      <t>Y</t>
    </r>
    <r>
      <rPr>
        <vertAlign val="subscript"/>
        <sz val="12"/>
        <rFont val="Arial"/>
        <family val="2"/>
      </rPr>
      <t>PAO</t>
    </r>
    <r>
      <rPr>
        <sz val="11"/>
        <rFont val="Arial"/>
        <family val="2"/>
      </rPr>
      <t>*</t>
    </r>
    <r>
      <rPr>
        <i/>
        <sz val="12"/>
        <rFont val="Arial"/>
        <family val="2"/>
      </rPr>
      <t>i</t>
    </r>
    <r>
      <rPr>
        <vertAlign val="subscript"/>
        <sz val="12"/>
        <rFont val="Arial"/>
        <family val="2"/>
      </rPr>
      <t>TSS,XPHA</t>
    </r>
  </si>
  <si>
    <t>r14</t>
  </si>
  <si>
    <r>
      <t>Anoxic growth of X</t>
    </r>
    <r>
      <rPr>
        <b/>
        <vertAlign val="subscript"/>
        <sz val="11"/>
        <rFont val="Arial"/>
        <family val="2"/>
      </rPr>
      <t>PAO</t>
    </r>
  </si>
  <si>
    <r>
      <t>-(1-</t>
    </r>
    <r>
      <rPr>
        <i/>
        <sz val="12"/>
        <rFont val="Arial"/>
        <family val="2"/>
      </rPr>
      <t>Y</t>
    </r>
    <r>
      <rPr>
        <vertAlign val="subscript"/>
        <sz val="12"/>
        <rFont val="Arial"/>
        <family val="2"/>
      </rPr>
      <t>PAO</t>
    </r>
    <r>
      <rPr>
        <sz val="11"/>
        <rFont val="Arial"/>
        <family val="2"/>
      </rPr>
      <t>)/</t>
    </r>
    <r>
      <rPr>
        <i/>
        <sz val="12"/>
        <rFont val="Arial"/>
        <family val="2"/>
      </rPr>
      <t>Y</t>
    </r>
    <r>
      <rPr>
        <vertAlign val="subscript"/>
        <sz val="12"/>
        <rFont val="Arial"/>
        <family val="2"/>
      </rPr>
      <t>PAO</t>
    </r>
    <r>
      <rPr>
        <sz val="11"/>
        <rFont val="Arial"/>
        <family val="2"/>
      </rPr>
      <t>*(1/</t>
    </r>
    <r>
      <rPr>
        <i/>
        <sz val="12"/>
        <rFont val="Arial"/>
        <family val="2"/>
      </rPr>
      <t>i</t>
    </r>
    <r>
      <rPr>
        <vertAlign val="subscript"/>
        <sz val="12"/>
        <rFont val="Arial"/>
        <family val="2"/>
      </rPr>
      <t>NO3,N2</t>
    </r>
    <r>
      <rPr>
        <sz val="11"/>
        <rFont val="Arial"/>
        <family val="2"/>
      </rPr>
      <t>)</t>
    </r>
  </si>
  <si>
    <r>
      <t>i</t>
    </r>
    <r>
      <rPr>
        <vertAlign val="subscript"/>
        <sz val="12"/>
        <rFont val="Arial"/>
        <family val="2"/>
      </rPr>
      <t>Charge_SNHx</t>
    </r>
    <r>
      <rPr>
        <sz val="12"/>
        <rFont val="Arial"/>
        <family val="2"/>
      </rPr>
      <t>*</t>
    </r>
    <r>
      <rPr>
        <i/>
        <sz val="12"/>
        <rFont val="Arial"/>
        <family val="2"/>
      </rPr>
      <t>v</t>
    </r>
    <r>
      <rPr>
        <vertAlign val="subscript"/>
        <sz val="12"/>
        <rFont val="Arial"/>
        <family val="2"/>
      </rPr>
      <t>14_SNH4</t>
    </r>
    <r>
      <rPr>
        <sz val="12"/>
        <rFont val="Arial"/>
        <family val="2"/>
      </rPr>
      <t>+</t>
    </r>
    <r>
      <rPr>
        <i/>
        <sz val="12"/>
        <rFont val="Arial"/>
        <family val="2"/>
      </rPr>
      <t>i</t>
    </r>
    <r>
      <rPr>
        <vertAlign val="subscript"/>
        <sz val="12"/>
        <rFont val="Arial"/>
        <family val="2"/>
      </rPr>
      <t>Charge_SNOx</t>
    </r>
    <r>
      <rPr>
        <sz val="12"/>
        <rFont val="Arial"/>
        <family val="2"/>
      </rPr>
      <t>*</t>
    </r>
    <r>
      <rPr>
        <i/>
        <sz val="12"/>
        <rFont val="Arial"/>
        <family val="2"/>
      </rPr>
      <t>v</t>
    </r>
    <r>
      <rPr>
        <vertAlign val="subscript"/>
        <sz val="12"/>
        <rFont val="Arial"/>
        <family val="2"/>
      </rPr>
      <t>14_SNO3</t>
    </r>
    <r>
      <rPr>
        <sz val="12"/>
        <rFont val="Arial"/>
        <family val="2"/>
      </rPr>
      <t>-</t>
    </r>
    <r>
      <rPr>
        <i/>
        <sz val="12"/>
        <rFont val="Arial"/>
        <family val="2"/>
      </rPr>
      <t>i</t>
    </r>
    <r>
      <rPr>
        <vertAlign val="subscript"/>
        <sz val="12"/>
        <rFont val="Arial"/>
        <family val="2"/>
      </rPr>
      <t>P,BM</t>
    </r>
    <r>
      <rPr>
        <sz val="12"/>
        <rFont val="Arial"/>
        <family val="2"/>
      </rPr>
      <t>*</t>
    </r>
    <r>
      <rPr>
        <i/>
        <sz val="12"/>
        <rFont val="Arial"/>
        <family val="2"/>
      </rPr>
      <t>i</t>
    </r>
    <r>
      <rPr>
        <vertAlign val="subscript"/>
        <sz val="12"/>
        <rFont val="Arial"/>
        <family val="2"/>
      </rPr>
      <t>Charge_SPO4</t>
    </r>
  </si>
  <si>
    <r>
      <t>(1-</t>
    </r>
    <r>
      <rPr>
        <i/>
        <sz val="12"/>
        <rFont val="Arial"/>
        <family val="2"/>
      </rPr>
      <t>Y</t>
    </r>
    <r>
      <rPr>
        <vertAlign val="subscript"/>
        <sz val="12"/>
        <rFont val="Arial"/>
        <family val="2"/>
      </rPr>
      <t>PAO</t>
    </r>
    <r>
      <rPr>
        <sz val="11"/>
        <rFont val="Arial"/>
        <family val="2"/>
      </rPr>
      <t>)/</t>
    </r>
    <r>
      <rPr>
        <i/>
        <sz val="12"/>
        <rFont val="Arial"/>
        <family val="2"/>
      </rPr>
      <t>Y</t>
    </r>
    <r>
      <rPr>
        <vertAlign val="subscript"/>
        <sz val="12"/>
        <rFont val="Arial"/>
        <family val="2"/>
      </rPr>
      <t>PAO</t>
    </r>
    <r>
      <rPr>
        <sz val="11"/>
        <rFont val="Arial"/>
        <family val="2"/>
      </rPr>
      <t>*(1/</t>
    </r>
    <r>
      <rPr>
        <i/>
        <sz val="12"/>
        <rFont val="Arial"/>
        <family val="2"/>
      </rPr>
      <t>i</t>
    </r>
    <r>
      <rPr>
        <vertAlign val="subscript"/>
        <sz val="12"/>
        <rFont val="Arial"/>
        <family val="2"/>
      </rPr>
      <t>NO3,N2</t>
    </r>
    <r>
      <rPr>
        <sz val="11"/>
        <rFont val="Arial"/>
        <family val="2"/>
      </rPr>
      <t>)</t>
    </r>
  </si>
  <si>
    <t>r15</t>
  </si>
  <si>
    <r>
      <t>Lysis of X</t>
    </r>
    <r>
      <rPr>
        <b/>
        <vertAlign val="subscript"/>
        <sz val="11"/>
        <rFont val="Arial"/>
        <family val="2"/>
      </rPr>
      <t>PAO</t>
    </r>
  </si>
  <si>
    <r>
      <t>-(</t>
    </r>
    <r>
      <rPr>
        <i/>
        <sz val="12"/>
        <rFont val="Arial"/>
        <family val="2"/>
      </rPr>
      <t>f</t>
    </r>
    <r>
      <rPr>
        <vertAlign val="subscript"/>
        <sz val="12"/>
        <rFont val="Arial"/>
        <family val="2"/>
      </rPr>
      <t>XI</t>
    </r>
    <r>
      <rPr>
        <sz val="11"/>
        <rFont val="Arial"/>
        <family val="2"/>
      </rPr>
      <t>*</t>
    </r>
    <r>
      <rPr>
        <i/>
        <sz val="12"/>
        <rFont val="Arial"/>
        <family val="2"/>
      </rPr>
      <t>i</t>
    </r>
    <r>
      <rPr>
        <vertAlign val="subscript"/>
        <sz val="12"/>
        <rFont val="Arial"/>
        <family val="2"/>
      </rPr>
      <t>P,XI</t>
    </r>
    <r>
      <rPr>
        <sz val="11"/>
        <rFont val="Arial"/>
        <family val="2"/>
      </rPr>
      <t>+(1-</t>
    </r>
    <r>
      <rPr>
        <i/>
        <sz val="12"/>
        <rFont val="Arial"/>
        <family val="2"/>
      </rPr>
      <t>f</t>
    </r>
    <r>
      <rPr>
        <vertAlign val="subscript"/>
        <sz val="12"/>
        <rFont val="Arial"/>
        <family val="2"/>
      </rPr>
      <t>XI</t>
    </r>
    <r>
      <rPr>
        <sz val="11"/>
        <rFont val="Arial"/>
        <family val="2"/>
      </rPr>
      <t>)*</t>
    </r>
    <r>
      <rPr>
        <i/>
        <sz val="12"/>
        <rFont val="Arial"/>
        <family val="2"/>
      </rPr>
      <t>i</t>
    </r>
    <r>
      <rPr>
        <vertAlign val="subscript"/>
        <sz val="12"/>
        <rFont val="Arial"/>
        <family val="2"/>
      </rPr>
      <t>P,XS</t>
    </r>
    <r>
      <rPr>
        <sz val="11"/>
        <rFont val="Arial"/>
        <family val="2"/>
      </rPr>
      <t>-</t>
    </r>
    <r>
      <rPr>
        <i/>
        <sz val="12"/>
        <rFont val="Arial"/>
        <family val="2"/>
      </rPr>
      <t>i</t>
    </r>
    <r>
      <rPr>
        <vertAlign val="subscript"/>
        <sz val="12"/>
        <rFont val="Arial"/>
        <family val="2"/>
      </rPr>
      <t>P,BM</t>
    </r>
    <r>
      <rPr>
        <sz val="11"/>
        <rFont val="Arial"/>
        <family val="2"/>
      </rPr>
      <t>)</t>
    </r>
  </si>
  <si>
    <r>
      <t>i</t>
    </r>
    <r>
      <rPr>
        <vertAlign val="subscript"/>
        <sz val="12"/>
        <rFont val="Arial"/>
        <family val="2"/>
      </rPr>
      <t>Charge_SNHx</t>
    </r>
    <r>
      <rPr>
        <sz val="11"/>
        <rFont val="Arial"/>
        <family val="2"/>
      </rPr>
      <t>*</t>
    </r>
    <r>
      <rPr>
        <i/>
        <sz val="12"/>
        <rFont val="Arial"/>
        <family val="2"/>
      </rPr>
      <t>v</t>
    </r>
    <r>
      <rPr>
        <vertAlign val="subscript"/>
        <sz val="12"/>
        <rFont val="Arial"/>
        <family val="2"/>
      </rPr>
      <t>15_SNH4</t>
    </r>
    <r>
      <rPr>
        <sz val="11"/>
        <rFont val="Arial"/>
        <family val="2"/>
      </rPr>
      <t>+</t>
    </r>
    <r>
      <rPr>
        <i/>
        <sz val="12"/>
        <rFont val="Arial"/>
        <family val="2"/>
      </rPr>
      <t>i</t>
    </r>
    <r>
      <rPr>
        <vertAlign val="subscript"/>
        <sz val="12"/>
        <rFont val="Arial"/>
        <family val="2"/>
      </rPr>
      <t>Charge_SPO4</t>
    </r>
    <r>
      <rPr>
        <sz val="11"/>
        <rFont val="Arial"/>
        <family val="2"/>
      </rPr>
      <t>*</t>
    </r>
    <r>
      <rPr>
        <i/>
        <sz val="12"/>
        <rFont val="Arial"/>
        <family val="2"/>
      </rPr>
      <t>v</t>
    </r>
    <r>
      <rPr>
        <vertAlign val="subscript"/>
        <sz val="12"/>
        <rFont val="Arial"/>
        <family val="2"/>
      </rPr>
      <t>15_SPO4</t>
    </r>
  </si>
  <si>
    <t>r16</t>
  </si>
  <si>
    <r>
      <t>Lysis of X</t>
    </r>
    <r>
      <rPr>
        <b/>
        <vertAlign val="subscript"/>
        <sz val="11"/>
        <rFont val="Arial"/>
        <family val="2"/>
      </rPr>
      <t>PP</t>
    </r>
  </si>
  <si>
    <r>
      <t>i</t>
    </r>
    <r>
      <rPr>
        <vertAlign val="subscript"/>
        <sz val="12"/>
        <rFont val="Arial"/>
        <family val="2"/>
      </rPr>
      <t>Charge_SPO4</t>
    </r>
    <r>
      <rPr>
        <sz val="12"/>
        <rFont val="Arial"/>
        <family val="2"/>
      </rPr>
      <t>-</t>
    </r>
    <r>
      <rPr>
        <i/>
        <sz val="12"/>
        <rFont val="Arial"/>
        <family val="2"/>
      </rPr>
      <t>i</t>
    </r>
    <r>
      <rPr>
        <vertAlign val="subscript"/>
        <sz val="12"/>
        <rFont val="Arial"/>
        <family val="2"/>
      </rPr>
      <t>Charge_XPAO,PP</t>
    </r>
  </si>
  <si>
    <r>
      <t>-</t>
    </r>
    <r>
      <rPr>
        <i/>
        <sz val="12"/>
        <rFont val="Arial"/>
        <family val="2"/>
      </rPr>
      <t>i</t>
    </r>
    <r>
      <rPr>
        <vertAlign val="subscript"/>
        <sz val="12"/>
        <rFont val="Arial"/>
        <family val="2"/>
      </rPr>
      <t>TSS,XPP</t>
    </r>
  </si>
  <si>
    <t>r17</t>
  </si>
  <si>
    <r>
      <t>Lysis of X</t>
    </r>
    <r>
      <rPr>
        <b/>
        <vertAlign val="subscript"/>
        <sz val="11"/>
        <rFont val="Arial"/>
        <family val="2"/>
      </rPr>
      <t>PHA</t>
    </r>
  </si>
  <si>
    <r>
      <t>-</t>
    </r>
    <r>
      <rPr>
        <i/>
        <sz val="12"/>
        <rFont val="Arial"/>
        <family val="2"/>
      </rPr>
      <t>i</t>
    </r>
    <r>
      <rPr>
        <vertAlign val="subscript"/>
        <sz val="12"/>
        <rFont val="Arial"/>
        <family val="2"/>
      </rPr>
      <t>TSS,XPHA</t>
    </r>
  </si>
  <si>
    <t>r18</t>
  </si>
  <si>
    <r>
      <t>Aerobic growth of X</t>
    </r>
    <r>
      <rPr>
        <b/>
        <vertAlign val="subscript"/>
        <sz val="11"/>
        <rFont val="Arial"/>
        <family val="2"/>
      </rPr>
      <t>AUT</t>
    </r>
  </si>
  <si>
    <t>r19</t>
  </si>
  <si>
    <r>
      <t>i</t>
    </r>
    <r>
      <rPr>
        <vertAlign val="subscript"/>
        <sz val="12"/>
        <rFont val="Arial"/>
        <family val="2"/>
      </rPr>
      <t>Charge_SNHx</t>
    </r>
    <r>
      <rPr>
        <sz val="11"/>
        <rFont val="Arial"/>
        <family val="2"/>
      </rPr>
      <t>*</t>
    </r>
    <r>
      <rPr>
        <i/>
        <sz val="12"/>
        <rFont val="Arial"/>
        <family val="2"/>
      </rPr>
      <t>v</t>
    </r>
    <r>
      <rPr>
        <vertAlign val="subscript"/>
        <sz val="12"/>
        <rFont val="Arial"/>
        <family val="2"/>
      </rPr>
      <t>19_SNH4</t>
    </r>
    <r>
      <rPr>
        <sz val="11"/>
        <rFont val="Arial"/>
        <family val="2"/>
      </rPr>
      <t>+</t>
    </r>
    <r>
      <rPr>
        <i/>
        <sz val="12"/>
        <rFont val="Arial"/>
        <family val="2"/>
      </rPr>
      <t>i</t>
    </r>
    <r>
      <rPr>
        <vertAlign val="subscript"/>
        <sz val="12"/>
        <rFont val="Arial"/>
        <family val="2"/>
      </rPr>
      <t>Charge_SPO4</t>
    </r>
    <r>
      <rPr>
        <sz val="11"/>
        <rFont val="Arial"/>
        <family val="2"/>
      </rPr>
      <t>*</t>
    </r>
    <r>
      <rPr>
        <i/>
        <sz val="12"/>
        <rFont val="Arial"/>
        <family val="2"/>
      </rPr>
      <t>v</t>
    </r>
    <r>
      <rPr>
        <vertAlign val="subscript"/>
        <sz val="12"/>
        <rFont val="Arial"/>
        <family val="2"/>
      </rPr>
      <t>19_SPO4</t>
    </r>
  </si>
  <si>
    <t>r20</t>
  </si>
  <si>
    <t>Precipitation</t>
  </si>
  <si>
    <r>
      <t>-</t>
    </r>
    <r>
      <rPr>
        <i/>
        <sz val="12"/>
        <rFont val="Arial"/>
        <family val="2"/>
      </rPr>
      <t>i</t>
    </r>
    <r>
      <rPr>
        <vertAlign val="subscript"/>
        <sz val="12"/>
        <rFont val="Arial"/>
        <family val="2"/>
      </rPr>
      <t>Charge_SPO4</t>
    </r>
  </si>
  <si>
    <r>
      <t>f</t>
    </r>
    <r>
      <rPr>
        <vertAlign val="subscript"/>
        <sz val="12"/>
        <rFont val="Arial"/>
        <family val="2"/>
      </rPr>
      <t>MeOH_PO4,MW</t>
    </r>
    <r>
      <rPr>
        <sz val="10"/>
        <rFont val="Arial"/>
        <family val="2"/>
      </rPr>
      <t>+</t>
    </r>
    <r>
      <rPr>
        <i/>
        <sz val="12"/>
        <rFont val="Arial"/>
        <family val="2"/>
      </rPr>
      <t>f</t>
    </r>
    <r>
      <rPr>
        <vertAlign val="subscript"/>
        <sz val="12"/>
        <rFont val="Arial"/>
        <family val="2"/>
      </rPr>
      <t>MeP_PO4,MW</t>
    </r>
  </si>
  <si>
    <t>r21</t>
  </si>
  <si>
    <t>Redissolution</t>
  </si>
  <si>
    <r>
      <t>-(</t>
    </r>
    <r>
      <rPr>
        <i/>
        <sz val="12"/>
        <rFont val="Arial"/>
        <family val="2"/>
      </rPr>
      <t>f</t>
    </r>
    <r>
      <rPr>
        <vertAlign val="subscript"/>
        <sz val="12"/>
        <rFont val="Arial"/>
        <family val="2"/>
      </rPr>
      <t>MeOH_PO4,MW</t>
    </r>
    <r>
      <rPr>
        <sz val="10"/>
        <rFont val="Arial"/>
        <family val="2"/>
      </rPr>
      <t>+</t>
    </r>
    <r>
      <rPr>
        <i/>
        <sz val="12"/>
        <rFont val="Arial"/>
        <family val="2"/>
      </rPr>
      <t>f</t>
    </r>
    <r>
      <rPr>
        <vertAlign val="subscript"/>
        <sz val="12"/>
        <rFont val="Arial"/>
        <family val="2"/>
      </rPr>
      <t>MeP_PO4,MW</t>
    </r>
    <r>
      <rPr>
        <sz val="10"/>
        <rFont val="Arial"/>
        <family val="2"/>
      </rPr>
      <t>)</t>
    </r>
  </si>
  <si>
    <r>
      <t>-</t>
    </r>
    <r>
      <rPr>
        <i/>
        <sz val="12"/>
        <rFont val="Arial"/>
        <family val="2"/>
      </rPr>
      <t>f</t>
    </r>
    <r>
      <rPr>
        <vertAlign val="subscript"/>
        <sz val="12"/>
        <rFont val="Arial"/>
        <family val="2"/>
      </rPr>
      <t>MeOH_PO4,MW</t>
    </r>
  </si>
  <si>
    <r>
      <t>-</t>
    </r>
    <r>
      <rPr>
        <i/>
        <sz val="12"/>
        <rFont val="Arial"/>
        <family val="2"/>
      </rPr>
      <t>f</t>
    </r>
    <r>
      <rPr>
        <vertAlign val="subscript"/>
        <sz val="12"/>
        <rFont val="Arial"/>
        <family val="2"/>
      </rPr>
      <t>MeP_PO4,MW</t>
    </r>
  </si>
  <si>
    <r>
      <t>b</t>
    </r>
    <r>
      <rPr>
        <vertAlign val="subscript"/>
        <sz val="12"/>
        <rFont val="Arial"/>
        <family val="2"/>
      </rPr>
      <t>H</t>
    </r>
    <r>
      <rPr>
        <sz val="11"/>
        <rFont val="Arial"/>
        <family val="2"/>
      </rPr>
      <t>*</t>
    </r>
    <r>
      <rPr>
        <i/>
        <sz val="12"/>
        <rFont val="Arial"/>
        <family val="2"/>
      </rPr>
      <t>X</t>
    </r>
    <r>
      <rPr>
        <vertAlign val="subscript"/>
        <sz val="12"/>
        <rFont val="Arial"/>
        <family val="2"/>
      </rPr>
      <t>H</t>
    </r>
  </si>
  <si>
    <r>
      <t>b</t>
    </r>
    <r>
      <rPr>
        <vertAlign val="subscript"/>
        <sz val="12"/>
        <rFont val="Arial"/>
        <family val="2"/>
      </rPr>
      <t>AUT</t>
    </r>
    <r>
      <rPr>
        <sz val="11"/>
        <rFont val="Arial"/>
        <family val="2"/>
      </rPr>
      <t>*</t>
    </r>
    <r>
      <rPr>
        <i/>
        <sz val="12"/>
        <rFont val="Arial"/>
        <family val="2"/>
      </rPr>
      <t>X</t>
    </r>
    <r>
      <rPr>
        <vertAlign val="subscript"/>
        <sz val="12"/>
        <rFont val="Arial"/>
        <family val="2"/>
      </rPr>
      <t>AUT</t>
    </r>
  </si>
  <si>
    <r>
      <t>k</t>
    </r>
    <r>
      <rPr>
        <vertAlign val="subscript"/>
        <sz val="12"/>
        <rFont val="Arial"/>
        <family val="2"/>
      </rPr>
      <t>PRE</t>
    </r>
    <r>
      <rPr>
        <sz val="11"/>
        <rFont val="Arial"/>
        <family val="2"/>
      </rPr>
      <t>*</t>
    </r>
    <r>
      <rPr>
        <i/>
        <sz val="12"/>
        <rFont val="Arial"/>
        <family val="2"/>
      </rPr>
      <t>S</t>
    </r>
    <r>
      <rPr>
        <vertAlign val="subscript"/>
        <sz val="12"/>
        <rFont val="Arial"/>
        <family val="2"/>
      </rPr>
      <t>PO4</t>
    </r>
    <r>
      <rPr>
        <sz val="11"/>
        <rFont val="Arial"/>
        <family val="2"/>
      </rPr>
      <t>*</t>
    </r>
    <r>
      <rPr>
        <i/>
        <sz val="12"/>
        <rFont val="Arial"/>
        <family val="2"/>
      </rPr>
      <t>X</t>
    </r>
    <r>
      <rPr>
        <vertAlign val="subscript"/>
        <sz val="12"/>
        <rFont val="Arial"/>
        <family val="2"/>
      </rPr>
      <t>MeOH</t>
    </r>
  </si>
  <si>
    <t>N</t>
  </si>
  <si>
    <t>P</t>
  </si>
  <si>
    <t>Total suspended solids (TSS)</t>
  </si>
  <si>
    <r>
      <t>Dissolved oxygen (O</t>
    </r>
    <r>
      <rPr>
        <vertAlign val="subscript"/>
        <sz val="11"/>
        <color rgb="FF000000"/>
        <rFont val="Calibri"/>
        <family val="2"/>
        <scheme val="minor"/>
      </rPr>
      <t>2</t>
    </r>
    <r>
      <rPr>
        <sz val="11"/>
        <color rgb="FF000000"/>
        <rFont val="Calibri"/>
        <family val="2"/>
        <charset val="238"/>
        <scheme val="minor"/>
      </rPr>
      <t>)</t>
    </r>
  </si>
  <si>
    <t>L</t>
  </si>
  <si>
    <t>S</t>
  </si>
  <si>
    <t>Fermentable organic matter</t>
  </si>
  <si>
    <t>Integrated</t>
  </si>
  <si>
    <t>Fermentation product (Volatile Fatty Acids)</t>
  </si>
  <si>
    <t xml:space="preserve">Soluble inorganic phosphorus </t>
  </si>
  <si>
    <t>Soluble undegradable organics</t>
  </si>
  <si>
    <r>
      <t>Dissolved nitrogen (N</t>
    </r>
    <r>
      <rPr>
        <vertAlign val="subscript"/>
        <sz val="11"/>
        <color rgb="FF000000"/>
        <rFont val="Calibri"/>
        <family val="2"/>
        <scheme val="minor"/>
      </rPr>
      <t>2</t>
    </r>
    <r>
      <rPr>
        <sz val="11"/>
        <color rgb="FF000000"/>
        <rFont val="Calibri"/>
        <family val="2"/>
        <charset val="238"/>
        <scheme val="minor"/>
      </rPr>
      <t>)</t>
    </r>
  </si>
  <si>
    <t>Particulate unbiodegradable organics</t>
  </si>
  <si>
    <t>X</t>
  </si>
  <si>
    <t>Particulate biodegradable organics</t>
  </si>
  <si>
    <t>Ordinary heterotrophic organisms (OHO)</t>
  </si>
  <si>
    <t>Phosphorus accumulating organisms (PAO)</t>
  </si>
  <si>
    <t>Stored polyphosphate (PP)</t>
  </si>
  <si>
    <t>Stored polyhydroxyalkanoates (PHA)</t>
  </si>
  <si>
    <r>
      <t>Autotrophic nitrifying organisms (NH4</t>
    </r>
    <r>
      <rPr>
        <vertAlign val="superscript"/>
        <sz val="11"/>
        <color rgb="FF000000"/>
        <rFont val="Calibri"/>
        <family val="2"/>
        <scheme val="minor"/>
      </rPr>
      <t>+</t>
    </r>
    <r>
      <rPr>
        <sz val="11"/>
        <color rgb="FF000000"/>
        <rFont val="Calibri"/>
        <family val="2"/>
        <charset val="238"/>
        <scheme val="minor"/>
      </rPr>
      <t xml:space="preserve"> to NO3</t>
    </r>
    <r>
      <rPr>
        <vertAlign val="superscript"/>
        <sz val="11"/>
        <color rgb="FF000000"/>
        <rFont val="Calibri"/>
        <family val="2"/>
        <scheme val="minor"/>
      </rPr>
      <t>-</t>
    </r>
    <r>
      <rPr>
        <sz val="11"/>
        <color rgb="FF000000"/>
        <rFont val="Calibri"/>
        <family val="2"/>
        <charset val="238"/>
        <scheme val="minor"/>
      </rPr>
      <t>)</t>
    </r>
  </si>
  <si>
    <t>Total suspended solids (TSS)</t>
  </si>
  <si>
    <t>Metal hydroxide compounds</t>
  </si>
  <si>
    <t>Metal phosphate compounds</t>
  </si>
  <si>
    <t>OUR</t>
  </si>
  <si>
    <t>Reactive</t>
  </si>
  <si>
    <r>
      <t>X</t>
    </r>
    <r>
      <rPr>
        <vertAlign val="subscript"/>
        <sz val="11"/>
        <rFont val="Calibri"/>
        <family val="2"/>
      </rPr>
      <t>COD</t>
    </r>
  </si>
  <si>
    <r>
      <t>X</t>
    </r>
    <r>
      <rPr>
        <vertAlign val="subscript"/>
        <sz val="11"/>
        <rFont val="Calibri"/>
        <family val="2"/>
      </rPr>
      <t>I</t>
    </r>
    <r>
      <rPr>
        <sz val="11"/>
        <rFont val="Calibri"/>
        <family val="2"/>
      </rPr>
      <t>+X</t>
    </r>
    <r>
      <rPr>
        <vertAlign val="subscript"/>
        <sz val="11"/>
        <rFont val="Calibri"/>
        <family val="2"/>
      </rPr>
      <t>S</t>
    </r>
    <r>
      <rPr>
        <sz val="11"/>
        <rFont val="Calibri"/>
        <family val="2"/>
      </rPr>
      <t>+X</t>
    </r>
    <r>
      <rPr>
        <vertAlign val="subscript"/>
        <sz val="11"/>
        <rFont val="Calibri"/>
        <family val="2"/>
      </rPr>
      <t>H</t>
    </r>
    <r>
      <rPr>
        <sz val="11"/>
        <rFont val="Calibri"/>
        <family val="2"/>
      </rPr>
      <t>+X</t>
    </r>
    <r>
      <rPr>
        <vertAlign val="subscript"/>
        <sz val="11"/>
        <rFont val="Calibri"/>
        <family val="2"/>
      </rPr>
      <t>PAO</t>
    </r>
    <r>
      <rPr>
        <sz val="11"/>
        <rFont val="Calibri"/>
        <family val="2"/>
      </rPr>
      <t>+X</t>
    </r>
    <r>
      <rPr>
        <vertAlign val="subscript"/>
        <sz val="11"/>
        <rFont val="Calibri"/>
        <family val="2"/>
      </rPr>
      <t>PHA</t>
    </r>
    <r>
      <rPr>
        <sz val="11"/>
        <rFont val="Calibri"/>
        <family val="2"/>
      </rPr>
      <t>+X</t>
    </r>
    <r>
      <rPr>
        <vertAlign val="subscript"/>
        <sz val="11"/>
        <rFont val="Calibri"/>
        <family val="2"/>
      </rPr>
      <t>AUT</t>
    </r>
  </si>
  <si>
    <r>
      <t>X</t>
    </r>
    <r>
      <rPr>
        <vertAlign val="subscript"/>
        <sz val="11"/>
        <rFont val="Calibri"/>
        <family val="2"/>
      </rPr>
      <t>VSS</t>
    </r>
  </si>
  <si>
    <r>
      <t>X</t>
    </r>
    <r>
      <rPr>
        <vertAlign val="subscript"/>
        <sz val="11"/>
        <rFont val="Calibri"/>
        <family val="2"/>
      </rPr>
      <t>COD</t>
    </r>
    <r>
      <rPr>
        <sz val="11"/>
        <rFont val="Calibri"/>
        <family val="2"/>
      </rPr>
      <t>/i</t>
    </r>
    <r>
      <rPr>
        <vertAlign val="subscript"/>
        <sz val="11"/>
        <rFont val="Calibri"/>
        <family val="2"/>
      </rPr>
      <t>CV</t>
    </r>
  </si>
  <si>
    <t>Balances per processes</t>
  </si>
  <si>
    <t xml:space="preserve"> </t>
  </si>
  <si>
    <t>Hydrolysis</t>
  </si>
  <si>
    <t>Half-saturation of oxygen</t>
  </si>
  <si>
    <t>Half-saturation of nitrate</t>
  </si>
  <si>
    <r>
      <t>Half-saturation of S</t>
    </r>
    <r>
      <rPr>
        <vertAlign val="subscript"/>
        <sz val="11"/>
        <color rgb="FF000000"/>
        <rFont val="Calibri"/>
        <family val="2"/>
        <scheme val="minor"/>
      </rPr>
      <t>F</t>
    </r>
  </si>
  <si>
    <t>Half-saturation of VFA</t>
  </si>
  <si>
    <t>Half-saturation of fermentation of SF</t>
  </si>
  <si>
    <t>Half-saturation of oxygen</t>
  </si>
  <si>
    <t>Half-saturation of nitrate</t>
  </si>
  <si>
    <t>Half-saturation of ammonia</t>
  </si>
  <si>
    <r>
      <t>Half-saturation coefficient for S</t>
    </r>
    <r>
      <rPr>
        <vertAlign val="subscript"/>
        <sz val="11"/>
        <rFont val="Calibri"/>
        <family val="2"/>
        <scheme val="minor"/>
      </rPr>
      <t>PO4</t>
    </r>
    <r>
      <rPr>
        <sz val="11"/>
        <rFont val="Calibri"/>
        <family val="2"/>
        <scheme val="minor"/>
      </rPr>
      <t xml:space="preserve"> </t>
    </r>
  </si>
  <si>
    <t>Half-saturation of alkalinity</t>
  </si>
  <si>
    <t>Maximum specific growth rate of PAOs</t>
  </si>
  <si>
    <t>Reduction factor for anoxic growth of PAOs</t>
  </si>
  <si>
    <r>
      <t>Endogenous respiration rate of X</t>
    </r>
    <r>
      <rPr>
        <vertAlign val="subscript"/>
        <sz val="11"/>
        <rFont val="Calibri"/>
        <family val="2"/>
        <scheme val="minor"/>
      </rPr>
      <t>PAO</t>
    </r>
  </si>
  <si>
    <r>
      <t>Half-saturation of PO</t>
    </r>
    <r>
      <rPr>
        <vertAlign val="subscript"/>
        <sz val="11"/>
        <color rgb="FF000000"/>
        <rFont val="Calibri"/>
        <family val="2"/>
        <scheme val="minor"/>
      </rPr>
      <t>4</t>
    </r>
    <r>
      <rPr>
        <sz val="11"/>
        <color rgb="FF000000"/>
        <rFont val="Calibri"/>
        <family val="2"/>
        <charset val="238"/>
        <scheme val="minor"/>
      </rPr>
      <t xml:space="preserve"> as nutrient (PAO growth)</t>
    </r>
  </si>
  <si>
    <t>Fraction of XU generated in biomass decay</t>
  </si>
  <si>
    <r>
      <t xml:space="preserve"> X</t>
    </r>
    <r>
      <rPr>
        <vertAlign val="subscript"/>
        <sz val="11"/>
        <rFont val="Calibri"/>
        <family val="2"/>
        <scheme val="minor"/>
      </rPr>
      <t>MeOH</t>
    </r>
    <r>
      <rPr>
        <sz val="11"/>
        <rFont val="Calibri"/>
        <family val="2"/>
        <scheme val="minor"/>
      </rPr>
      <t xml:space="preserve"> requirement per S</t>
    </r>
    <r>
      <rPr>
        <vertAlign val="subscript"/>
        <sz val="11"/>
        <rFont val="Calibri"/>
        <family val="2"/>
        <scheme val="minor"/>
      </rPr>
      <t>PO4</t>
    </r>
    <r>
      <rPr>
        <sz val="11"/>
        <rFont val="Calibri"/>
        <family val="2"/>
        <scheme val="minor"/>
      </rPr>
      <t xml:space="preserve"> utilized</t>
    </r>
  </si>
  <si>
    <r>
      <t xml:space="preserve"> X</t>
    </r>
    <r>
      <rPr>
        <vertAlign val="subscript"/>
        <sz val="11"/>
        <rFont val="Calibri"/>
        <family val="2"/>
        <scheme val="minor"/>
      </rPr>
      <t>MeP</t>
    </r>
    <r>
      <rPr>
        <sz val="11"/>
        <rFont val="Calibri"/>
        <family val="2"/>
        <scheme val="minor"/>
      </rPr>
      <t xml:space="preserve"> formation per S</t>
    </r>
    <r>
      <rPr>
        <vertAlign val="subscript"/>
        <sz val="11"/>
        <rFont val="Calibri"/>
        <family val="2"/>
        <scheme val="minor"/>
      </rPr>
      <t>PO4</t>
    </r>
    <r>
      <rPr>
        <sz val="11"/>
        <rFont val="Calibri"/>
        <family val="2"/>
        <scheme val="minor"/>
      </rPr>
      <t xml:space="preserve"> utilized</t>
    </r>
  </si>
  <si>
    <t>Conversion factor for NO3 reduction to N2</t>
  </si>
  <si>
    <t>Conversion factor for NO3 into COD</t>
  </si>
  <si>
    <t>Conversion factor for N2 into COD</t>
  </si>
  <si>
    <t>Conversion factor for SVFA (CH3COO-)into charge</t>
  </si>
  <si>
    <t>Conversion factor for NHx into charge</t>
  </si>
  <si>
    <t>Conversion factor for NO3 into charge</t>
  </si>
  <si>
    <t>Conversion factor for PO4 into charge</t>
  </si>
  <si>
    <r>
      <t>N content of S</t>
    </r>
    <r>
      <rPr>
        <vertAlign val="subscript"/>
        <sz val="11"/>
        <rFont val="Calibri"/>
        <family val="2"/>
        <scheme val="minor"/>
      </rPr>
      <t>F</t>
    </r>
  </si>
  <si>
    <t>N content of XS</t>
  </si>
  <si>
    <r>
      <t>P content of S</t>
    </r>
    <r>
      <rPr>
        <vertAlign val="subscript"/>
        <sz val="11"/>
        <rFont val="Calibri"/>
        <family val="2"/>
        <scheme val="minor"/>
      </rPr>
      <t>F</t>
    </r>
  </si>
  <si>
    <t>P content of XS</t>
  </si>
  <si>
    <t>Conversion factor for XMeP (FePO4) into P</t>
  </si>
  <si>
    <t>Conversion factor XI into TSS</t>
  </si>
  <si>
    <t>Conversion factor XS into TSS</t>
  </si>
  <si>
    <r>
      <t>g COD.g VSS</t>
    </r>
    <r>
      <rPr>
        <vertAlign val="superscript"/>
        <sz val="11"/>
        <rFont val="Calibri"/>
        <family val="2"/>
        <scheme val="minor"/>
      </rPr>
      <t>-1</t>
    </r>
  </si>
  <si>
    <r>
      <t>K</t>
    </r>
    <r>
      <rPr>
        <vertAlign val="subscript"/>
        <sz val="11"/>
        <rFont val="Calibri"/>
        <family val="2"/>
        <scheme val="minor"/>
      </rPr>
      <t>h</t>
    </r>
  </si>
  <si>
    <r>
      <t>K</t>
    </r>
    <r>
      <rPr>
        <vertAlign val="subscript"/>
        <sz val="11"/>
        <rFont val="Calibri"/>
        <family val="2"/>
        <scheme val="minor"/>
      </rPr>
      <t>X</t>
    </r>
  </si>
  <si>
    <r>
      <t>η</t>
    </r>
    <r>
      <rPr>
        <vertAlign val="subscript"/>
        <sz val="11"/>
        <rFont val="Calibri"/>
        <family val="2"/>
        <scheme val="minor"/>
      </rPr>
      <t>NO3,HYD</t>
    </r>
  </si>
  <si>
    <r>
      <t>η</t>
    </r>
    <r>
      <rPr>
        <vertAlign val="subscript"/>
        <sz val="11"/>
        <rFont val="Calibri"/>
        <family val="2"/>
        <scheme val="minor"/>
      </rPr>
      <t>fe</t>
    </r>
  </si>
  <si>
    <r>
      <t>K</t>
    </r>
    <r>
      <rPr>
        <vertAlign val="subscript"/>
        <sz val="11"/>
        <rFont val="Calibri"/>
        <family val="2"/>
        <scheme val="minor"/>
      </rPr>
      <t>O2,HYD</t>
    </r>
  </si>
  <si>
    <r>
      <t>K</t>
    </r>
    <r>
      <rPr>
        <vertAlign val="subscript"/>
        <sz val="11"/>
        <rFont val="Calibri"/>
        <family val="2"/>
        <scheme val="minor"/>
      </rPr>
      <t>NO3,HYD</t>
    </r>
  </si>
  <si>
    <r>
      <t>g N.m</t>
    </r>
    <r>
      <rPr>
        <vertAlign val="superscript"/>
        <sz val="11"/>
        <rFont val="Calibri"/>
        <family val="2"/>
        <scheme val="minor"/>
      </rPr>
      <t>-3</t>
    </r>
  </si>
  <si>
    <r>
      <t>μ</t>
    </r>
    <r>
      <rPr>
        <vertAlign val="subscript"/>
        <sz val="11"/>
        <rFont val="Calibri"/>
        <family val="2"/>
        <scheme val="minor"/>
      </rPr>
      <t>H</t>
    </r>
  </si>
  <si>
    <r>
      <t>d</t>
    </r>
    <r>
      <rPr>
        <vertAlign val="superscript"/>
        <sz val="11"/>
        <rFont val="Calibri"/>
        <family val="2"/>
        <scheme val="minor"/>
      </rPr>
      <t>-1</t>
    </r>
  </si>
  <si>
    <r>
      <t>η</t>
    </r>
    <r>
      <rPr>
        <vertAlign val="subscript"/>
        <sz val="11"/>
        <rFont val="Calibri"/>
        <family val="2"/>
        <scheme val="minor"/>
      </rPr>
      <t>NO3,H</t>
    </r>
  </si>
  <si>
    <r>
      <t>q</t>
    </r>
    <r>
      <rPr>
        <vertAlign val="subscript"/>
        <sz val="11"/>
        <rFont val="Calibri"/>
        <family val="2"/>
        <scheme val="minor"/>
      </rPr>
      <t>fe</t>
    </r>
  </si>
  <si>
    <r>
      <t>K</t>
    </r>
    <r>
      <rPr>
        <vertAlign val="subscript"/>
        <sz val="11"/>
        <rFont val="Calibri"/>
        <family val="2"/>
        <scheme val="minor"/>
      </rPr>
      <t>F</t>
    </r>
  </si>
  <si>
    <r>
      <t>K</t>
    </r>
    <r>
      <rPr>
        <vertAlign val="subscript"/>
        <sz val="11"/>
        <rFont val="Calibri"/>
        <family val="2"/>
        <scheme val="minor"/>
      </rPr>
      <t>A,H</t>
    </r>
  </si>
  <si>
    <r>
      <t>b</t>
    </r>
    <r>
      <rPr>
        <vertAlign val="subscript"/>
        <sz val="11"/>
        <rFont val="Calibri"/>
        <family val="2"/>
        <scheme val="minor"/>
      </rPr>
      <t>H</t>
    </r>
  </si>
  <si>
    <r>
      <t>K</t>
    </r>
    <r>
      <rPr>
        <vertAlign val="subscript"/>
        <sz val="11"/>
        <rFont val="Calibri"/>
        <family val="2"/>
        <scheme val="minor"/>
      </rPr>
      <t>fe</t>
    </r>
  </si>
  <si>
    <r>
      <t>K</t>
    </r>
    <r>
      <rPr>
        <vertAlign val="subscript"/>
        <sz val="11"/>
        <rFont val="Calibri"/>
        <family val="2"/>
        <scheme val="minor"/>
      </rPr>
      <t>O2,H</t>
    </r>
  </si>
  <si>
    <r>
      <t>K</t>
    </r>
    <r>
      <rPr>
        <vertAlign val="subscript"/>
        <sz val="11"/>
        <rFont val="Calibri"/>
        <family val="2"/>
        <scheme val="minor"/>
      </rPr>
      <t>NO3,H</t>
    </r>
  </si>
  <si>
    <r>
      <t>K</t>
    </r>
    <r>
      <rPr>
        <vertAlign val="subscript"/>
        <sz val="11"/>
        <rFont val="Calibri"/>
        <family val="2"/>
        <scheme val="minor"/>
      </rPr>
      <t>NH4,H</t>
    </r>
  </si>
  <si>
    <r>
      <t>K</t>
    </r>
    <r>
      <rPr>
        <vertAlign val="subscript"/>
        <sz val="11"/>
        <rFont val="Calibri"/>
        <family val="2"/>
        <scheme val="minor"/>
      </rPr>
      <t>P,H</t>
    </r>
  </si>
  <si>
    <r>
      <t>K</t>
    </r>
    <r>
      <rPr>
        <vertAlign val="subscript"/>
        <sz val="11"/>
        <rFont val="Calibri"/>
        <family val="2"/>
        <scheme val="minor"/>
      </rPr>
      <t>ALK,H</t>
    </r>
  </si>
  <si>
    <r>
      <t>kmol HCO</t>
    </r>
    <r>
      <rPr>
        <vertAlign val="subscript"/>
        <sz val="11"/>
        <rFont val="Calibri"/>
        <family val="2"/>
        <scheme val="minor"/>
      </rPr>
      <t>3</t>
    </r>
    <r>
      <rPr>
        <vertAlign val="superscript"/>
        <sz val="11"/>
        <rFont val="Calibri"/>
        <family val="2"/>
        <scheme val="minor"/>
      </rPr>
      <t>-</t>
    </r>
    <r>
      <rPr>
        <sz val="11"/>
        <rFont val="Calibri"/>
        <family val="2"/>
        <scheme val="minor"/>
      </rPr>
      <t>.m</t>
    </r>
    <r>
      <rPr>
        <vertAlign val="superscript"/>
        <sz val="11"/>
        <rFont val="Calibri"/>
        <family val="2"/>
        <scheme val="minor"/>
      </rPr>
      <t>-3</t>
    </r>
  </si>
  <si>
    <r>
      <t>q</t>
    </r>
    <r>
      <rPr>
        <vertAlign val="subscript"/>
        <sz val="11"/>
        <rFont val="Calibri"/>
        <family val="2"/>
        <scheme val="minor"/>
      </rPr>
      <t>PHA</t>
    </r>
  </si>
  <si>
    <r>
      <t>q</t>
    </r>
    <r>
      <rPr>
        <vertAlign val="subscript"/>
        <sz val="11"/>
        <rFont val="Calibri"/>
        <family val="2"/>
        <scheme val="minor"/>
      </rPr>
      <t>PP</t>
    </r>
  </si>
  <si>
    <r>
      <t>K</t>
    </r>
    <r>
      <rPr>
        <vertAlign val="subscript"/>
        <sz val="11"/>
        <rFont val="Calibri"/>
        <family val="2"/>
        <scheme val="minor"/>
      </rPr>
      <t>PP</t>
    </r>
  </si>
  <si>
    <r>
      <t>g X</t>
    </r>
    <r>
      <rPr>
        <vertAlign val="subscript"/>
        <sz val="11"/>
        <rFont val="Calibri"/>
        <family val="2"/>
        <scheme val="minor"/>
      </rPr>
      <t>PP</t>
    </r>
    <r>
      <rPr>
        <sz val="11"/>
        <rFont val="Calibri"/>
        <family val="2"/>
        <scheme val="minor"/>
      </rPr>
      <t>.g X</t>
    </r>
    <r>
      <rPr>
        <vertAlign val="subscript"/>
        <sz val="11"/>
        <rFont val="Calibri"/>
        <family val="2"/>
        <scheme val="minor"/>
      </rPr>
      <t>PAO</t>
    </r>
    <r>
      <rPr>
        <vertAlign val="superscript"/>
        <sz val="11"/>
        <rFont val="Calibri"/>
        <family val="2"/>
        <scheme val="minor"/>
      </rPr>
      <t>-1</t>
    </r>
  </si>
  <si>
    <r>
      <t>K</t>
    </r>
    <r>
      <rPr>
        <vertAlign val="subscript"/>
        <sz val="11"/>
        <rFont val="Calibri"/>
        <family val="2"/>
        <scheme val="minor"/>
      </rPr>
      <t>MAX</t>
    </r>
  </si>
  <si>
    <r>
      <t>K</t>
    </r>
    <r>
      <rPr>
        <vertAlign val="subscript"/>
        <sz val="11"/>
        <rFont val="Calibri"/>
        <family val="2"/>
        <scheme val="minor"/>
      </rPr>
      <t>iPP</t>
    </r>
  </si>
  <si>
    <r>
      <t>μ</t>
    </r>
    <r>
      <rPr>
        <vertAlign val="subscript"/>
        <sz val="11"/>
        <rFont val="Calibri"/>
        <family val="2"/>
        <scheme val="minor"/>
      </rPr>
      <t>PAO</t>
    </r>
  </si>
  <si>
    <r>
      <t>η</t>
    </r>
    <r>
      <rPr>
        <vertAlign val="subscript"/>
        <sz val="11"/>
        <rFont val="Calibri"/>
        <family val="2"/>
        <scheme val="minor"/>
      </rPr>
      <t>NO3,PAO</t>
    </r>
  </si>
  <si>
    <r>
      <t>K</t>
    </r>
    <r>
      <rPr>
        <vertAlign val="subscript"/>
        <sz val="11"/>
        <rFont val="Calibri"/>
        <family val="2"/>
        <scheme val="minor"/>
      </rPr>
      <t>PHA</t>
    </r>
  </si>
  <si>
    <r>
      <t>b</t>
    </r>
    <r>
      <rPr>
        <vertAlign val="subscript"/>
        <sz val="11"/>
        <rFont val="Calibri"/>
        <family val="2"/>
        <scheme val="minor"/>
      </rPr>
      <t>PAO</t>
    </r>
  </si>
  <si>
    <r>
      <t>b</t>
    </r>
    <r>
      <rPr>
        <vertAlign val="subscript"/>
        <sz val="11"/>
        <rFont val="Calibri"/>
        <family val="2"/>
        <scheme val="minor"/>
      </rPr>
      <t>PP</t>
    </r>
  </si>
  <si>
    <r>
      <t>b</t>
    </r>
    <r>
      <rPr>
        <vertAlign val="subscript"/>
        <sz val="11"/>
        <rFont val="Calibri"/>
        <family val="2"/>
        <scheme val="minor"/>
      </rPr>
      <t>PHA</t>
    </r>
  </si>
  <si>
    <r>
      <t>K</t>
    </r>
    <r>
      <rPr>
        <vertAlign val="subscript"/>
        <sz val="11"/>
        <rFont val="Calibri"/>
        <family val="2"/>
        <scheme val="minor"/>
      </rPr>
      <t>A,PAO</t>
    </r>
  </si>
  <si>
    <r>
      <t>K</t>
    </r>
    <r>
      <rPr>
        <vertAlign val="subscript"/>
        <sz val="11"/>
        <rFont val="Calibri"/>
        <family val="2"/>
        <scheme val="minor"/>
      </rPr>
      <t>O2,PAO</t>
    </r>
  </si>
  <si>
    <r>
      <t>K</t>
    </r>
    <r>
      <rPr>
        <vertAlign val="subscript"/>
        <sz val="11"/>
        <rFont val="Calibri"/>
        <family val="2"/>
        <scheme val="minor"/>
      </rPr>
      <t>NO3,PAO</t>
    </r>
  </si>
  <si>
    <r>
      <t>K</t>
    </r>
    <r>
      <rPr>
        <vertAlign val="subscript"/>
        <sz val="11"/>
        <rFont val="Calibri"/>
        <family val="2"/>
        <scheme val="minor"/>
      </rPr>
      <t>NH4,PAO</t>
    </r>
  </si>
  <si>
    <r>
      <t>K</t>
    </r>
    <r>
      <rPr>
        <vertAlign val="subscript"/>
        <sz val="11"/>
        <rFont val="Calibri"/>
        <family val="2"/>
        <scheme val="minor"/>
      </rPr>
      <t>PS</t>
    </r>
  </si>
  <si>
    <r>
      <t>K</t>
    </r>
    <r>
      <rPr>
        <vertAlign val="subscript"/>
        <sz val="11"/>
        <rFont val="Calibri"/>
        <family val="2"/>
        <scheme val="minor"/>
      </rPr>
      <t>P,PAO</t>
    </r>
  </si>
  <si>
    <r>
      <t>K</t>
    </r>
    <r>
      <rPr>
        <vertAlign val="subscript"/>
        <sz val="11"/>
        <rFont val="Calibri"/>
        <family val="2"/>
        <scheme val="minor"/>
      </rPr>
      <t>ALK,PAO</t>
    </r>
  </si>
  <si>
    <r>
      <t>μ</t>
    </r>
    <r>
      <rPr>
        <vertAlign val="subscript"/>
        <sz val="11"/>
        <rFont val="Calibri"/>
        <family val="2"/>
        <scheme val="minor"/>
      </rPr>
      <t>AUT</t>
    </r>
  </si>
  <si>
    <r>
      <t>b</t>
    </r>
    <r>
      <rPr>
        <vertAlign val="subscript"/>
        <sz val="11"/>
        <rFont val="Calibri"/>
        <family val="2"/>
        <scheme val="minor"/>
      </rPr>
      <t>AUT</t>
    </r>
  </si>
  <si>
    <r>
      <t>k</t>
    </r>
    <r>
      <rPr>
        <vertAlign val="subscript"/>
        <sz val="11"/>
        <rFont val="Calibri"/>
        <family val="2"/>
        <scheme val="minor"/>
      </rPr>
      <t>PRE</t>
    </r>
  </si>
  <si>
    <r>
      <t>m</t>
    </r>
    <r>
      <rPr>
        <vertAlign val="superscript"/>
        <sz val="11"/>
        <rFont val="Calibri"/>
        <family val="2"/>
        <scheme val="minor"/>
      </rPr>
      <t>3</t>
    </r>
    <r>
      <rPr>
        <sz val="11"/>
        <rFont val="Calibri"/>
        <family val="2"/>
        <scheme val="minor"/>
      </rPr>
      <t>.g Fe(OH)</t>
    </r>
    <r>
      <rPr>
        <vertAlign val="subscript"/>
        <sz val="11"/>
        <rFont val="Calibri"/>
        <family val="2"/>
        <scheme val="minor"/>
      </rPr>
      <t>3</t>
    </r>
    <r>
      <rPr>
        <vertAlign val="superscript"/>
        <sz val="11"/>
        <rFont val="Calibri"/>
        <family val="2"/>
        <scheme val="minor"/>
      </rPr>
      <t>-1</t>
    </r>
    <r>
      <rPr>
        <sz val="11"/>
        <rFont val="Calibri"/>
        <family val="2"/>
        <scheme val="minor"/>
      </rPr>
      <t>.d</t>
    </r>
    <r>
      <rPr>
        <vertAlign val="superscript"/>
        <sz val="11"/>
        <rFont val="Calibri"/>
        <family val="2"/>
        <scheme val="minor"/>
      </rPr>
      <t>-1</t>
    </r>
  </si>
  <si>
    <r>
      <t>k</t>
    </r>
    <r>
      <rPr>
        <vertAlign val="subscript"/>
        <sz val="11"/>
        <rFont val="Calibri"/>
        <family val="2"/>
        <scheme val="minor"/>
      </rPr>
      <t>RED</t>
    </r>
  </si>
  <si>
    <r>
      <t>kmol HCO3</t>
    </r>
    <r>
      <rPr>
        <vertAlign val="superscript"/>
        <sz val="11"/>
        <rFont val="Calibri"/>
        <family val="2"/>
        <scheme val="minor"/>
      </rPr>
      <t>-</t>
    </r>
    <r>
      <rPr>
        <sz val="11"/>
        <rFont val="Calibri"/>
        <family val="2"/>
        <scheme val="minor"/>
      </rPr>
      <t>.m</t>
    </r>
    <r>
      <rPr>
        <vertAlign val="superscript"/>
        <sz val="11"/>
        <rFont val="Calibri"/>
        <family val="2"/>
        <scheme val="minor"/>
      </rPr>
      <t>-3</t>
    </r>
  </si>
  <si>
    <r>
      <t>f</t>
    </r>
    <r>
      <rPr>
        <vertAlign val="subscript"/>
        <sz val="11"/>
        <rFont val="Calibri"/>
        <family val="2"/>
        <scheme val="minor"/>
      </rPr>
      <t>SI</t>
    </r>
  </si>
  <si>
    <r>
      <t>Y</t>
    </r>
    <r>
      <rPr>
        <vertAlign val="subscript"/>
        <sz val="11"/>
        <rFont val="Calibri"/>
        <family val="2"/>
        <scheme val="minor"/>
      </rPr>
      <t>H</t>
    </r>
  </si>
  <si>
    <r>
      <t>f</t>
    </r>
    <r>
      <rPr>
        <vertAlign val="subscript"/>
        <sz val="11"/>
        <rFont val="Calibri"/>
        <family val="2"/>
        <scheme val="minor"/>
      </rPr>
      <t>XI</t>
    </r>
  </si>
  <si>
    <r>
      <t>Y</t>
    </r>
    <r>
      <rPr>
        <vertAlign val="subscript"/>
        <sz val="11"/>
        <rFont val="Calibri"/>
        <family val="2"/>
        <scheme val="minor"/>
      </rPr>
      <t>PAO</t>
    </r>
  </si>
  <si>
    <r>
      <t>Y</t>
    </r>
    <r>
      <rPr>
        <vertAlign val="subscript"/>
        <sz val="11"/>
        <rFont val="Calibri"/>
        <family val="2"/>
        <scheme val="minor"/>
      </rPr>
      <t>PHA</t>
    </r>
  </si>
  <si>
    <r>
      <t>Y</t>
    </r>
    <r>
      <rPr>
        <vertAlign val="subscript"/>
        <sz val="11"/>
        <rFont val="Calibri"/>
        <family val="2"/>
        <scheme val="minor"/>
      </rPr>
      <t>PO4</t>
    </r>
  </si>
  <si>
    <r>
      <t>f</t>
    </r>
    <r>
      <rPr>
        <vertAlign val="subscript"/>
        <sz val="11"/>
        <rFont val="Calibri"/>
        <family val="2"/>
        <scheme val="minor"/>
      </rPr>
      <t>MeOH_PO4,MW</t>
    </r>
  </si>
  <si>
    <r>
      <t>f</t>
    </r>
    <r>
      <rPr>
        <vertAlign val="subscript"/>
        <sz val="11"/>
        <rFont val="Calibri"/>
        <family val="2"/>
        <scheme val="minor"/>
      </rPr>
      <t>MeP_PO4,MW</t>
    </r>
  </si>
  <si>
    <r>
      <t>i</t>
    </r>
    <r>
      <rPr>
        <vertAlign val="subscript"/>
        <sz val="11"/>
        <rFont val="Calibri"/>
        <family val="2"/>
        <scheme val="minor"/>
      </rPr>
      <t>NO3,N2</t>
    </r>
  </si>
  <si>
    <r>
      <t>g COD.g N</t>
    </r>
    <r>
      <rPr>
        <vertAlign val="superscript"/>
        <sz val="11"/>
        <rFont val="Calibri"/>
        <family val="2"/>
        <scheme val="minor"/>
      </rPr>
      <t>-1</t>
    </r>
  </si>
  <si>
    <r>
      <t>i</t>
    </r>
    <r>
      <rPr>
        <vertAlign val="subscript"/>
        <sz val="11"/>
        <rFont val="Calibri"/>
        <family val="2"/>
        <scheme val="minor"/>
      </rPr>
      <t>COD_NO3</t>
    </r>
  </si>
  <si>
    <r>
      <t>i</t>
    </r>
    <r>
      <rPr>
        <vertAlign val="subscript"/>
        <sz val="11"/>
        <rFont val="Calibri"/>
        <family val="2"/>
        <scheme val="minor"/>
      </rPr>
      <t>COD_N2</t>
    </r>
  </si>
  <si>
    <r>
      <t>i</t>
    </r>
    <r>
      <rPr>
        <vertAlign val="subscript"/>
        <sz val="11"/>
        <rFont val="Calibri"/>
        <family val="2"/>
        <scheme val="minor"/>
      </rPr>
      <t>Charge_SVFA</t>
    </r>
  </si>
  <si>
    <r>
      <t>kCharge.g COD</t>
    </r>
    <r>
      <rPr>
        <vertAlign val="superscript"/>
        <sz val="11"/>
        <rFont val="Calibri"/>
        <family val="2"/>
        <scheme val="minor"/>
      </rPr>
      <t>-1</t>
    </r>
  </si>
  <si>
    <r>
      <t>i</t>
    </r>
    <r>
      <rPr>
        <vertAlign val="subscript"/>
        <sz val="11"/>
        <rFont val="Calibri"/>
        <family val="2"/>
        <scheme val="minor"/>
      </rPr>
      <t>Charge_SNHx</t>
    </r>
  </si>
  <si>
    <r>
      <t>kCharge.g N</t>
    </r>
    <r>
      <rPr>
        <vertAlign val="superscript"/>
        <sz val="11"/>
        <rFont val="Calibri"/>
        <family val="2"/>
        <scheme val="minor"/>
      </rPr>
      <t>-1</t>
    </r>
  </si>
  <si>
    <r>
      <t>i</t>
    </r>
    <r>
      <rPr>
        <vertAlign val="subscript"/>
        <sz val="11"/>
        <rFont val="Calibri"/>
        <family val="2"/>
        <scheme val="minor"/>
      </rPr>
      <t>Charge_SNOx</t>
    </r>
  </si>
  <si>
    <r>
      <t>i</t>
    </r>
    <r>
      <rPr>
        <vertAlign val="subscript"/>
        <sz val="11"/>
        <rFont val="Calibri"/>
        <family val="2"/>
        <scheme val="minor"/>
      </rPr>
      <t>Charge_SPO4</t>
    </r>
  </si>
  <si>
    <r>
      <t>kCharge.g P</t>
    </r>
    <r>
      <rPr>
        <vertAlign val="superscript"/>
        <sz val="11"/>
        <rFont val="Calibri"/>
        <family val="2"/>
        <scheme val="minor"/>
      </rPr>
      <t>-1</t>
    </r>
  </si>
  <si>
    <r>
      <t>i</t>
    </r>
    <r>
      <rPr>
        <vertAlign val="subscript"/>
        <sz val="11"/>
        <rFont val="Calibri"/>
        <family val="2"/>
        <scheme val="minor"/>
      </rPr>
      <t>Charge_XPAO,PP</t>
    </r>
  </si>
  <si>
    <r>
      <t>i</t>
    </r>
    <r>
      <rPr>
        <vertAlign val="subscript"/>
        <sz val="11"/>
        <rFont val="Calibri"/>
        <family val="2"/>
        <scheme val="minor"/>
      </rPr>
      <t>N,SF</t>
    </r>
  </si>
  <si>
    <r>
      <t>i</t>
    </r>
    <r>
      <rPr>
        <vertAlign val="subscript"/>
        <sz val="11"/>
        <rFont val="Calibri"/>
        <family val="2"/>
        <scheme val="minor"/>
      </rPr>
      <t>N,SI</t>
    </r>
  </si>
  <si>
    <r>
      <t>i</t>
    </r>
    <r>
      <rPr>
        <vertAlign val="subscript"/>
        <sz val="11"/>
        <rFont val="Calibri"/>
        <family val="2"/>
        <scheme val="minor"/>
      </rPr>
      <t>N,XI</t>
    </r>
  </si>
  <si>
    <r>
      <t>i</t>
    </r>
    <r>
      <rPr>
        <vertAlign val="subscript"/>
        <sz val="11"/>
        <rFont val="Calibri"/>
        <family val="2"/>
        <scheme val="minor"/>
      </rPr>
      <t>N,XS</t>
    </r>
  </si>
  <si>
    <r>
      <t>i</t>
    </r>
    <r>
      <rPr>
        <vertAlign val="subscript"/>
        <sz val="11"/>
        <rFont val="Calibri"/>
        <family val="2"/>
        <scheme val="minor"/>
      </rPr>
      <t>N,BM</t>
    </r>
  </si>
  <si>
    <r>
      <t>i</t>
    </r>
    <r>
      <rPr>
        <vertAlign val="subscript"/>
        <sz val="11"/>
        <rFont val="Calibri"/>
        <family val="2"/>
        <scheme val="minor"/>
      </rPr>
      <t>P,SF</t>
    </r>
  </si>
  <si>
    <r>
      <t>i</t>
    </r>
    <r>
      <rPr>
        <vertAlign val="subscript"/>
        <sz val="11"/>
        <rFont val="Calibri"/>
        <family val="2"/>
        <scheme val="minor"/>
      </rPr>
      <t>P,SI</t>
    </r>
  </si>
  <si>
    <r>
      <t>i</t>
    </r>
    <r>
      <rPr>
        <vertAlign val="subscript"/>
        <sz val="11"/>
        <rFont val="Calibri"/>
        <family val="2"/>
        <scheme val="minor"/>
      </rPr>
      <t>P,XI</t>
    </r>
  </si>
  <si>
    <r>
      <t>i</t>
    </r>
    <r>
      <rPr>
        <vertAlign val="subscript"/>
        <sz val="11"/>
        <rFont val="Calibri"/>
        <family val="2"/>
        <scheme val="minor"/>
      </rPr>
      <t>P,XS</t>
    </r>
  </si>
  <si>
    <r>
      <t>i</t>
    </r>
    <r>
      <rPr>
        <vertAlign val="subscript"/>
        <sz val="11"/>
        <rFont val="Calibri"/>
        <family val="2"/>
        <scheme val="minor"/>
      </rPr>
      <t>P,BM</t>
    </r>
  </si>
  <si>
    <r>
      <t>i</t>
    </r>
    <r>
      <rPr>
        <vertAlign val="subscript"/>
        <sz val="11"/>
        <rFont val="Calibri"/>
        <family val="2"/>
        <scheme val="minor"/>
      </rPr>
      <t>P_MeP</t>
    </r>
  </si>
  <si>
    <r>
      <t>g P.g X</t>
    </r>
    <r>
      <rPr>
        <vertAlign val="subscript"/>
        <sz val="11"/>
        <rFont val="Calibri"/>
        <family val="2"/>
        <scheme val="minor"/>
      </rPr>
      <t>MeP</t>
    </r>
    <r>
      <rPr>
        <vertAlign val="superscript"/>
        <sz val="11"/>
        <rFont val="Calibri"/>
        <family val="2"/>
        <scheme val="minor"/>
      </rPr>
      <t>-1</t>
    </r>
  </si>
  <si>
    <r>
      <t>i</t>
    </r>
    <r>
      <rPr>
        <vertAlign val="subscript"/>
        <sz val="11"/>
        <rFont val="Calibri"/>
        <family val="2"/>
        <scheme val="minor"/>
      </rPr>
      <t>TSS,XI</t>
    </r>
  </si>
  <si>
    <r>
      <t>i</t>
    </r>
    <r>
      <rPr>
        <vertAlign val="subscript"/>
        <sz val="11"/>
        <rFont val="Calibri"/>
        <family val="2"/>
        <scheme val="minor"/>
      </rPr>
      <t>TSS,XS</t>
    </r>
  </si>
  <si>
    <r>
      <t>i</t>
    </r>
    <r>
      <rPr>
        <vertAlign val="subscript"/>
        <sz val="11"/>
        <rFont val="Calibri"/>
        <family val="2"/>
        <scheme val="minor"/>
      </rPr>
      <t>TSS,XPHA</t>
    </r>
  </si>
  <si>
    <r>
      <t>i</t>
    </r>
    <r>
      <rPr>
        <vertAlign val="subscript"/>
        <sz val="11"/>
        <rFont val="Calibri"/>
        <family val="2"/>
        <scheme val="minor"/>
      </rPr>
      <t>TSS,BM</t>
    </r>
  </si>
  <si>
    <r>
      <t>i</t>
    </r>
    <r>
      <rPr>
        <vertAlign val="subscript"/>
        <sz val="11"/>
        <rFont val="Calibri"/>
        <family val="2"/>
        <scheme val="minor"/>
      </rPr>
      <t>TSS,XPP</t>
    </r>
  </si>
  <si>
    <r>
      <t>i</t>
    </r>
    <r>
      <rPr>
        <i/>
        <vertAlign val="subscript"/>
        <sz val="11"/>
        <rFont val="Calibri"/>
        <family val="2"/>
        <scheme val="minor"/>
      </rPr>
      <t>CV</t>
    </r>
  </si>
  <si>
    <t>Growth and decay of phosphorus accumulating organisms</t>
  </si>
  <si>
    <t>Precipitation and redissolution</t>
  </si>
  <si>
    <t>Type(Stoichiometric)</t>
  </si>
  <si>
    <t>Type(Kinetic)</t>
  </si>
  <si>
    <t>Yields</t>
  </si>
  <si>
    <t>Inert fractions</t>
  </si>
  <si>
    <t>Precipitation stoichiometry</t>
  </si>
  <si>
    <r>
      <t>Conversion factors - COD, NO</t>
    </r>
    <r>
      <rPr>
        <b/>
        <vertAlign val="subscript"/>
        <sz val="11"/>
        <color indexed="8"/>
        <rFont val="Calibri"/>
        <family val="2"/>
        <scheme val="minor"/>
      </rPr>
      <t>3</t>
    </r>
    <r>
      <rPr>
        <b/>
        <sz val="11"/>
        <color indexed="8"/>
        <rFont val="Calibri"/>
        <family val="2"/>
        <scheme val="minor"/>
      </rPr>
      <t xml:space="preserve"> and charge</t>
    </r>
  </si>
  <si>
    <t>Nitrogen and phosphorus contents</t>
  </si>
  <si>
    <t>Conversion factors - TSS</t>
  </si>
  <si>
    <t>Calculated variable ratios</t>
  </si>
  <si>
    <r>
      <t>S</t>
    </r>
    <r>
      <rPr>
        <vertAlign val="subscript"/>
        <sz val="11"/>
        <rFont val="Calibri"/>
        <family val="2"/>
        <scheme val="minor"/>
      </rPr>
      <t>BOD,5</t>
    </r>
  </si>
  <si>
    <r>
      <t>X</t>
    </r>
    <r>
      <rPr>
        <vertAlign val="subscript"/>
        <sz val="11"/>
        <rFont val="Calibri"/>
        <family val="2"/>
        <scheme val="minor"/>
      </rPr>
      <t>BOD,5</t>
    </r>
  </si>
  <si>
    <r>
      <t>T</t>
    </r>
    <r>
      <rPr>
        <vertAlign val="subscript"/>
        <sz val="11"/>
        <rFont val="Calibri"/>
        <family val="2"/>
        <scheme val="minor"/>
      </rPr>
      <t>BOD,5</t>
    </r>
  </si>
  <si>
    <r>
      <t>S</t>
    </r>
    <r>
      <rPr>
        <vertAlign val="subscript"/>
        <sz val="11"/>
        <rFont val="Calibri"/>
        <family val="2"/>
        <scheme val="minor"/>
      </rPr>
      <t>COD</t>
    </r>
  </si>
  <si>
    <r>
      <t>T</t>
    </r>
    <r>
      <rPr>
        <vertAlign val="subscript"/>
        <sz val="11"/>
        <rFont val="Calibri"/>
        <family val="2"/>
      </rPr>
      <t>COD</t>
    </r>
  </si>
  <si>
    <r>
      <t>T</t>
    </r>
    <r>
      <rPr>
        <vertAlign val="subscript"/>
        <sz val="11"/>
        <rFont val="Calibri"/>
        <family val="2"/>
      </rPr>
      <t>KN</t>
    </r>
  </si>
  <si>
    <r>
      <t>T</t>
    </r>
    <r>
      <rPr>
        <vertAlign val="subscript"/>
        <sz val="11"/>
        <rFont val="Calibri"/>
        <family val="2"/>
      </rPr>
      <t>N</t>
    </r>
  </si>
  <si>
    <t>Filtered ultimate biochemical oxygen demand</t>
  </si>
  <si>
    <t>Particulate ultimate biochemical oxygen demand</t>
  </si>
  <si>
    <t>Filtered flocculated chemical oxygen demand</t>
  </si>
  <si>
    <t>COD of particulates</t>
  </si>
  <si>
    <t>Total chemical oxygen demand</t>
  </si>
  <si>
    <t>Total Kjeldahl nitrogen (TKN)</t>
  </si>
  <si>
    <t>Total nitrogen</t>
  </si>
  <si>
    <t>Volatile suspended solids (VSS)</t>
  </si>
  <si>
    <r>
      <t>S</t>
    </r>
    <r>
      <rPr>
        <vertAlign val="subscript"/>
        <sz val="11"/>
        <rFont val="Calibri"/>
        <family val="2"/>
        <scheme val="minor"/>
      </rPr>
      <t>F</t>
    </r>
    <r>
      <rPr>
        <sz val="11"/>
        <rFont val="Calibri"/>
        <family val="2"/>
        <scheme val="minor"/>
      </rPr>
      <t>+S</t>
    </r>
    <r>
      <rPr>
        <vertAlign val="subscript"/>
        <sz val="11"/>
        <rFont val="Calibri"/>
        <family val="2"/>
        <scheme val="minor"/>
      </rPr>
      <t>A</t>
    </r>
  </si>
  <si>
    <r>
      <t>X</t>
    </r>
    <r>
      <rPr>
        <vertAlign val="subscript"/>
        <sz val="11"/>
        <rFont val="Calibri"/>
        <family val="2"/>
      </rPr>
      <t>S</t>
    </r>
    <r>
      <rPr>
        <sz val="11"/>
        <rFont val="Calibri"/>
        <family val="2"/>
      </rPr>
      <t>+X</t>
    </r>
    <r>
      <rPr>
        <vertAlign val="subscript"/>
        <sz val="11"/>
        <rFont val="Calibri"/>
        <family val="2"/>
      </rPr>
      <t>H</t>
    </r>
    <r>
      <rPr>
        <sz val="11"/>
        <rFont val="Calibri"/>
        <family val="2"/>
      </rPr>
      <t>+X</t>
    </r>
    <r>
      <rPr>
        <vertAlign val="subscript"/>
        <sz val="11"/>
        <rFont val="Calibri"/>
        <family val="2"/>
      </rPr>
      <t>PAO</t>
    </r>
    <r>
      <rPr>
        <sz val="11"/>
        <rFont val="Calibri"/>
        <family val="2"/>
      </rPr>
      <t>+X</t>
    </r>
    <r>
      <rPr>
        <vertAlign val="subscript"/>
        <sz val="11"/>
        <rFont val="Calibri"/>
        <family val="2"/>
      </rPr>
      <t>PHA</t>
    </r>
    <r>
      <rPr>
        <sz val="11"/>
        <rFont val="Calibri"/>
        <family val="2"/>
      </rPr>
      <t>+X</t>
    </r>
    <r>
      <rPr>
        <vertAlign val="subscript"/>
        <sz val="11"/>
        <rFont val="Calibri"/>
        <family val="2"/>
      </rPr>
      <t>AUT</t>
    </r>
  </si>
  <si>
    <r>
      <t>BOD</t>
    </r>
    <r>
      <rPr>
        <vertAlign val="subscript"/>
        <sz val="11"/>
        <rFont val="Calibri"/>
        <family val="2"/>
        <scheme val="minor"/>
      </rPr>
      <t>5</t>
    </r>
    <r>
      <rPr>
        <sz val="11"/>
        <rFont val="Calibri"/>
        <family val="2"/>
        <scheme val="minor"/>
      </rPr>
      <t xml:space="preserve"> to ultimate BOD ratio</t>
    </r>
  </si>
  <si>
    <t>Decimals</t>
  </si>
  <si>
    <r>
      <t>S</t>
    </r>
    <r>
      <rPr>
        <vertAlign val="subscript"/>
        <sz val="11"/>
        <rFont val="Calibri"/>
        <family val="2"/>
        <scheme val="minor"/>
      </rPr>
      <t>NH4</t>
    </r>
    <r>
      <rPr>
        <sz val="11"/>
        <rFont val="Calibri"/>
        <family val="2"/>
        <scheme val="minor"/>
      </rPr>
      <t xml:space="preserve"> + i</t>
    </r>
    <r>
      <rPr>
        <vertAlign val="subscript"/>
        <sz val="11"/>
        <rFont val="Calibri"/>
        <family val="2"/>
        <scheme val="minor"/>
      </rPr>
      <t>N,SF</t>
    </r>
    <r>
      <rPr>
        <sz val="11"/>
        <rFont val="Calibri"/>
        <family val="2"/>
        <scheme val="minor"/>
      </rPr>
      <t>*S</t>
    </r>
    <r>
      <rPr>
        <vertAlign val="subscript"/>
        <sz val="11"/>
        <rFont val="Calibri"/>
        <family val="2"/>
        <scheme val="minor"/>
      </rPr>
      <t>F</t>
    </r>
    <r>
      <rPr>
        <sz val="11"/>
        <rFont val="Calibri"/>
        <family val="2"/>
        <scheme val="minor"/>
      </rPr>
      <t xml:space="preserve"> + i</t>
    </r>
    <r>
      <rPr>
        <vertAlign val="subscript"/>
        <sz val="11"/>
        <rFont val="Calibri"/>
        <family val="2"/>
        <scheme val="minor"/>
      </rPr>
      <t>N,SI</t>
    </r>
    <r>
      <rPr>
        <sz val="11"/>
        <rFont val="Calibri"/>
        <family val="2"/>
        <scheme val="minor"/>
      </rPr>
      <t>*S</t>
    </r>
    <r>
      <rPr>
        <vertAlign val="subscript"/>
        <sz val="11"/>
        <rFont val="Calibri"/>
        <family val="2"/>
        <scheme val="minor"/>
      </rPr>
      <t>I</t>
    </r>
    <r>
      <rPr>
        <sz val="11"/>
        <rFont val="Calibri"/>
        <family val="2"/>
        <scheme val="minor"/>
      </rPr>
      <t xml:space="preserve"> + i</t>
    </r>
    <r>
      <rPr>
        <vertAlign val="subscript"/>
        <sz val="11"/>
        <rFont val="Calibri"/>
        <family val="2"/>
        <scheme val="minor"/>
      </rPr>
      <t>N,XI</t>
    </r>
    <r>
      <rPr>
        <sz val="11"/>
        <rFont val="Calibri"/>
        <family val="2"/>
        <scheme val="minor"/>
      </rPr>
      <t>*X</t>
    </r>
    <r>
      <rPr>
        <vertAlign val="subscript"/>
        <sz val="11"/>
        <rFont val="Calibri"/>
        <family val="2"/>
        <scheme val="minor"/>
      </rPr>
      <t>I</t>
    </r>
    <r>
      <rPr>
        <sz val="11"/>
        <rFont val="Calibri"/>
        <family val="2"/>
        <scheme val="minor"/>
      </rPr>
      <t xml:space="preserve"> + i</t>
    </r>
    <r>
      <rPr>
        <vertAlign val="subscript"/>
        <sz val="11"/>
        <rFont val="Calibri"/>
        <family val="2"/>
        <scheme val="minor"/>
      </rPr>
      <t>N,XS</t>
    </r>
    <r>
      <rPr>
        <sz val="11"/>
        <rFont val="Calibri"/>
        <family val="2"/>
        <scheme val="minor"/>
      </rPr>
      <t>*X</t>
    </r>
    <r>
      <rPr>
        <vertAlign val="subscript"/>
        <sz val="11"/>
        <rFont val="Calibri"/>
        <family val="2"/>
        <scheme val="minor"/>
      </rPr>
      <t>S</t>
    </r>
    <r>
      <rPr>
        <sz val="11"/>
        <rFont val="Calibri"/>
        <family val="2"/>
        <scheme val="minor"/>
      </rPr>
      <t xml:space="preserve"> + i</t>
    </r>
    <r>
      <rPr>
        <vertAlign val="subscript"/>
        <sz val="11"/>
        <rFont val="Calibri"/>
        <family val="2"/>
        <scheme val="minor"/>
      </rPr>
      <t>N,BM</t>
    </r>
    <r>
      <rPr>
        <sz val="11"/>
        <rFont val="Calibri"/>
        <family val="2"/>
        <scheme val="minor"/>
      </rPr>
      <t>*(X</t>
    </r>
    <r>
      <rPr>
        <vertAlign val="subscript"/>
        <sz val="11"/>
        <rFont val="Calibri"/>
        <family val="2"/>
        <scheme val="minor"/>
      </rPr>
      <t>H</t>
    </r>
    <r>
      <rPr>
        <sz val="11"/>
        <rFont val="Calibri"/>
        <family val="2"/>
        <scheme val="minor"/>
      </rPr>
      <t xml:space="preserve"> + X</t>
    </r>
    <r>
      <rPr>
        <vertAlign val="subscript"/>
        <sz val="11"/>
        <rFont val="Calibri"/>
        <family val="2"/>
        <scheme val="minor"/>
      </rPr>
      <t>AUT</t>
    </r>
    <r>
      <rPr>
        <sz val="11"/>
        <rFont val="Calibri"/>
        <family val="2"/>
        <scheme val="minor"/>
      </rPr>
      <t xml:space="preserve"> + X</t>
    </r>
    <r>
      <rPr>
        <vertAlign val="subscript"/>
        <sz val="11"/>
        <rFont val="Calibri"/>
        <family val="2"/>
        <scheme val="minor"/>
      </rPr>
      <t>PAO</t>
    </r>
    <r>
      <rPr>
        <sz val="11"/>
        <rFont val="Calibri"/>
        <family val="2"/>
        <scheme val="minor"/>
      </rPr>
      <t>)</t>
    </r>
  </si>
  <si>
    <r>
      <t>g COD.m</t>
    </r>
    <r>
      <rPr>
        <vertAlign val="superscript"/>
        <sz val="11"/>
        <rFont val="Calibri"/>
        <family val="2"/>
      </rPr>
      <t>-3</t>
    </r>
  </si>
  <si>
    <r>
      <t>g N.m</t>
    </r>
    <r>
      <rPr>
        <vertAlign val="superscript"/>
        <sz val="11"/>
        <rFont val="Calibri"/>
        <family val="2"/>
      </rPr>
      <t>-3</t>
    </r>
  </si>
  <si>
    <r>
      <t>g.m</t>
    </r>
    <r>
      <rPr>
        <vertAlign val="superscript"/>
        <sz val="11"/>
        <rFont val="Calibri"/>
        <family val="2"/>
      </rPr>
      <t>-3</t>
    </r>
  </si>
  <si>
    <t>AUR</t>
  </si>
  <si>
    <t>Oxygen uptake rate (OUR)</t>
  </si>
  <si>
    <t>Ammonia uptake rate (AUR)</t>
  </si>
  <si>
    <t>Uptake rates</t>
  </si>
  <si>
    <t>SUMO functions</t>
  </si>
  <si>
    <t>Sumo functions used both by Excel and C++</t>
  </si>
  <si>
    <t>Monod saturation with check for pH availability</t>
  </si>
  <si>
    <t>Monod inhibition with check for pH availability</t>
  </si>
  <si>
    <t>MRsat(s;x;k)</t>
  </si>
  <si>
    <t>Monod ratio saturation</t>
  </si>
  <si>
    <t>(s/x)/(s/x+k)</t>
  </si>
  <si>
    <t>MRinh(s;x;k)</t>
  </si>
  <si>
    <t>Monod ratio inhibition</t>
  </si>
  <si>
    <t>BellinhpH(var; Klo; Khi)</t>
  </si>
  <si>
    <t>Bell-shaped inhibition with check for pH availability</t>
  </si>
  <si>
    <t>Max(lolim;Min(hilim;var))</t>
  </si>
  <si>
    <t>Sign(x)</t>
  </si>
  <si>
    <t>Sign</t>
  </si>
  <si>
    <t>If(x&gt;0;1;If(x&lt;0;-1;0))</t>
  </si>
  <si>
    <t>this can be used in Excel from FuncEngine 1.5.2</t>
  </si>
  <si>
    <r>
      <t>Temperature dependent Henry coefficient for O</t>
    </r>
    <r>
      <rPr>
        <vertAlign val="subscript"/>
        <sz val="11"/>
        <rFont val="Calibri"/>
        <family val="2"/>
        <scheme val="minor"/>
      </rPr>
      <t>2</t>
    </r>
  </si>
  <si>
    <r>
      <t>Temperature dependent Henry coefficient for CO</t>
    </r>
    <r>
      <rPr>
        <vertAlign val="subscript"/>
        <sz val="11"/>
        <rFont val="Calibri"/>
        <family val="2"/>
        <scheme val="minor"/>
      </rPr>
      <t>2</t>
    </r>
  </si>
  <si>
    <t>Temperature dependent Henry coefficient for NO</t>
  </si>
  <si>
    <r>
      <t>Temperature dependent Henry coefficient for N</t>
    </r>
    <r>
      <rPr>
        <vertAlign val="subscript"/>
        <sz val="11"/>
        <rFont val="Calibri"/>
        <family val="2"/>
        <scheme val="minor"/>
      </rPr>
      <t>2</t>
    </r>
    <r>
      <rPr>
        <sz val="11"/>
        <rFont val="Calibri"/>
        <family val="2"/>
        <scheme val="minor"/>
      </rPr>
      <t>O</t>
    </r>
  </si>
  <si>
    <r>
      <t>Temperature dependent Henry coefficient for N</t>
    </r>
    <r>
      <rPr>
        <vertAlign val="subscript"/>
        <sz val="11"/>
        <rFont val="Calibri"/>
        <family val="2"/>
        <scheme val="minor"/>
      </rPr>
      <t>2</t>
    </r>
  </si>
  <si>
    <r>
      <t>Temperature dependent Henry coefficient for H</t>
    </r>
    <r>
      <rPr>
        <vertAlign val="subscript"/>
        <sz val="11"/>
        <rFont val="Calibri"/>
        <family val="2"/>
        <scheme val="minor"/>
      </rPr>
      <t>2</t>
    </r>
  </si>
  <si>
    <r>
      <t>Temperature dependent Henry coefficient for CH</t>
    </r>
    <r>
      <rPr>
        <vertAlign val="subscript"/>
        <sz val="11"/>
        <rFont val="Calibri"/>
        <family val="2"/>
        <scheme val="minor"/>
      </rPr>
      <t>4</t>
    </r>
  </si>
  <si>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</si>
  <si>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</si>
  <si>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</si>
  <si>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</si>
  <si>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</si>
  <si>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</si>
  <si>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</si>
  <si>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</si>
  <si>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O Henry coefficient</t>
    </r>
  </si>
  <si>
    <t>Henry coefficient for NO @25°C</t>
  </si>
  <si>
    <t>Temperature dependency factor for NO Henry coefficient</t>
  </si>
  <si>
    <r>
      <t>Henry coefficient for N</t>
    </r>
    <r>
      <rPr>
        <vertAlign val="subscript"/>
        <sz val="11"/>
        <rFont val="Calibri"/>
        <family val="2"/>
        <scheme val="minor"/>
      </rPr>
      <t>2</t>
    </r>
    <r>
      <rPr>
        <sz val="11"/>
        <rFont val="Calibri"/>
        <family val="2"/>
        <scheme val="minor"/>
      </rPr>
      <t>O @25°C</t>
    </r>
  </si>
  <si>
    <r>
      <t>Henry coefficient for N</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</si>
  <si>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 xml:space="preserve"> Henry coefficient</t>
    </r>
  </si>
  <si>
    <r>
      <t>Henry coefficient for H</t>
    </r>
    <r>
      <rPr>
        <vertAlign val="subscript"/>
        <sz val="11"/>
        <rFont val="Calibri"/>
        <family val="2"/>
        <scheme val="minor"/>
      </rPr>
      <t xml:space="preserve">2 </t>
    </r>
    <r>
      <rPr>
        <sz val="11"/>
        <rFont val="Calibri"/>
        <family val="2"/>
        <scheme val="minor"/>
      </rPr>
      <t>@25°C</t>
    </r>
  </si>
  <si>
    <r>
      <t>Temperature dependency factor for H</t>
    </r>
    <r>
      <rPr>
        <vertAlign val="subscript"/>
        <sz val="11"/>
        <rFont val="Calibri"/>
        <family val="2"/>
        <scheme val="minor"/>
      </rPr>
      <t>2</t>
    </r>
    <r>
      <rPr>
        <sz val="11"/>
        <rFont val="Calibri"/>
        <family val="2"/>
        <scheme val="minor"/>
      </rPr>
      <t xml:space="preserve"> Henry coefficient</t>
    </r>
  </si>
  <si>
    <r>
      <t>Henry coefficient for CH</t>
    </r>
    <r>
      <rPr>
        <vertAlign val="subscript"/>
        <sz val="11"/>
        <rFont val="Calibri"/>
        <family val="2"/>
        <scheme val="minor"/>
      </rPr>
      <t xml:space="preserve">4 </t>
    </r>
    <r>
      <rPr>
        <sz val="11"/>
        <rFont val="Calibri"/>
        <family val="2"/>
        <scheme val="minor"/>
      </rPr>
      <t>@25°C</t>
    </r>
  </si>
  <si>
    <r>
      <t>Temperature dependency factor for CH</t>
    </r>
    <r>
      <rPr>
        <vertAlign val="subscript"/>
        <sz val="11"/>
        <rFont val="Calibri"/>
        <family val="2"/>
        <scheme val="minor"/>
      </rPr>
      <t>4</t>
    </r>
    <r>
      <rPr>
        <sz val="11"/>
        <rFont val="Calibri"/>
        <family val="2"/>
        <scheme val="minor"/>
      </rPr>
      <t xml:space="preserve"> Henry coefficient</t>
    </r>
  </si>
  <si>
    <t>Diffusion coefficient of oxygen in water</t>
  </si>
  <si>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</si>
  <si>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t>Diffusion coefficient of nitrogen in water</t>
  </si>
  <si>
    <t>Diffusion coefficient of carbon dioxide in water</t>
  </si>
  <si>
    <t>Diffusion coefficient of hydrogen in water @ 25°C</t>
  </si>
  <si>
    <r>
      <t>m</t>
    </r>
    <r>
      <rPr>
        <vertAlign val="superscript"/>
        <sz val="11"/>
        <rFont val="Calibri"/>
        <family val="2"/>
      </rPr>
      <t>2</t>
    </r>
    <r>
      <rPr>
        <sz val="11"/>
        <rFont val="Calibri"/>
        <family val="2"/>
      </rPr>
      <t>.d</t>
    </r>
    <r>
      <rPr>
        <vertAlign val="superscript"/>
        <sz val="11"/>
        <rFont val="Calibri"/>
        <family val="2"/>
      </rPr>
      <t>-1</t>
    </r>
  </si>
  <si>
    <t>Diffusion coefficient of methane in water @ 25°C</t>
  </si>
  <si>
    <t>Diffusion coefficient of NO in water @ 25°C</t>
  </si>
  <si>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</si>
  <si>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</si>
  <si>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</si>
  <si>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</si>
  <si>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</si>
  <si>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</si>
  <si>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</si>
  <si>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</si>
  <si>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r>
      <t>g.m</t>
    </r>
    <r>
      <rPr>
        <vertAlign val="superscript"/>
        <sz val="11"/>
        <rFont val="Calibri"/>
        <family val="2"/>
        <scheme val="minor"/>
      </rPr>
      <t>-3</t>
    </r>
  </si>
  <si>
    <t>Physical constants - air</t>
  </si>
  <si>
    <r>
      <t>f</t>
    </r>
    <r>
      <rPr>
        <vertAlign val="subscript"/>
        <sz val="11"/>
        <rFont val="Calibri"/>
        <family val="2"/>
      </rPr>
      <t>O2,air</t>
    </r>
  </si>
  <si>
    <t>Oxygen content of air</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</si>
  <si>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</si>
  <si>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</si>
  <si>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</si>
  <si>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</si>
  <si>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</si>
  <si>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</si>
  <si>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</si>
  <si>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r>
      <t>p</t>
    </r>
    <r>
      <rPr>
        <vertAlign val="subscript"/>
        <sz val="11"/>
        <rFont val="Calibri"/>
        <family val="2"/>
      </rPr>
      <t>St</t>
    </r>
  </si>
  <si>
    <t>Standard barometric pressure</t>
  </si>
  <si>
    <t>Pa</t>
  </si>
  <si>
    <t>Physical constants</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</si>
  <si>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</si>
  <si>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</si>
  <si>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</si>
  <si>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</si>
  <si>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</si>
  <si>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</si>
  <si>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</si>
  <si>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</si>
  <si>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</si>
  <si>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</si>
  <si>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</si>
  <si>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</si>
  <si>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</si>
  <si>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t>
    </r>
  </si>
  <si>
    <t>Atomic mass of hydrogen</t>
  </si>
  <si>
    <r>
      <t>g.mol</t>
    </r>
    <r>
      <rPr>
        <vertAlign val="superscript"/>
        <sz val="11"/>
        <rFont val="Calibri"/>
        <family val="2"/>
        <scheme val="minor"/>
      </rPr>
      <t>-1</t>
    </r>
  </si>
  <si>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</si>
  <si>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</si>
  <si>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</si>
  <si>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</si>
  <si>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</si>
  <si>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</si>
  <si>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</si>
  <si>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</si>
  <si>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C</t>
    </r>
  </si>
  <si>
    <t>Atomic mass of carbon</t>
  </si>
  <si>
    <r>
      <t>AM</t>
    </r>
    <r>
      <rPr>
        <vertAlign val="subscript"/>
        <sz val="11"/>
        <rFont val="Calibri"/>
        <family val="2"/>
        <scheme val="minor"/>
      </rPr>
      <t>N</t>
    </r>
  </si>
  <si>
    <t>Atomic mass of nitrogen</t>
  </si>
  <si>
    <r>
      <t>AM</t>
    </r>
    <r>
      <rPr>
        <vertAlign val="subscript"/>
        <sz val="11"/>
        <rFont val="Calibri"/>
        <family val="2"/>
        <scheme val="minor"/>
      </rPr>
      <t>O</t>
    </r>
  </si>
  <si>
    <t>Atomic mass of oxygen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</si>
  <si>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</si>
  <si>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</si>
  <si>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</si>
  <si>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</si>
  <si>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Na</t>
    </r>
  </si>
  <si>
    <t>Atomic mass of sodium</t>
  </si>
  <si>
    <r>
      <t>AM</t>
    </r>
    <r>
      <rPr>
        <vertAlign val="subscript"/>
        <sz val="11"/>
        <rFont val="Calibri"/>
        <family val="2"/>
        <scheme val="minor"/>
      </rPr>
      <t>Mg</t>
    </r>
  </si>
  <si>
    <t>Atomic mass of magnesium</t>
  </si>
  <si>
    <r>
      <t>AM</t>
    </r>
    <r>
      <rPr>
        <vertAlign val="subscript"/>
        <sz val="11"/>
        <rFont val="Calibri"/>
        <family val="2"/>
        <scheme val="minor"/>
      </rPr>
      <t>Al</t>
    </r>
  </si>
  <si>
    <t>Atomic mass of aluminium</t>
  </si>
  <si>
    <r>
      <t>AM</t>
    </r>
    <r>
      <rPr>
        <vertAlign val="subscript"/>
        <sz val="11"/>
        <rFont val="Calibri"/>
        <family val="2"/>
        <scheme val="minor"/>
      </rPr>
      <t>Si</t>
    </r>
  </si>
  <si>
    <t>Atomic mass of silicon</t>
  </si>
  <si>
    <r>
      <t>AM</t>
    </r>
    <r>
      <rPr>
        <vertAlign val="subscript"/>
        <sz val="11"/>
        <rFont val="Calibri"/>
        <family val="2"/>
        <scheme val="minor"/>
      </rPr>
      <t>P</t>
    </r>
  </si>
  <si>
    <t>Atomic mass of phosphorus</t>
  </si>
  <si>
    <r>
      <t>AM</t>
    </r>
    <r>
      <rPr>
        <vertAlign val="subscript"/>
        <sz val="11"/>
        <rFont val="Calibri"/>
        <family val="2"/>
        <scheme val="minor"/>
      </rPr>
      <t>S</t>
    </r>
  </si>
  <si>
    <t>Atomic mass of sulphur</t>
  </si>
  <si>
    <r>
      <t>AM</t>
    </r>
    <r>
      <rPr>
        <vertAlign val="subscript"/>
        <sz val="11"/>
        <rFont val="Calibri"/>
        <family val="2"/>
        <scheme val="minor"/>
      </rPr>
      <t>Cl</t>
    </r>
  </si>
  <si>
    <t>Atomic mass of chlorine</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</si>
  <si>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</si>
  <si>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</si>
  <si>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</si>
  <si>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</si>
  <si>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Ca</t>
    </r>
  </si>
  <si>
    <t>Atomic mass of calcium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</si>
  <si>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</si>
  <si>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</si>
  <si>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</si>
  <si>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</si>
  <si>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</si>
  <si>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</si>
  <si>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</si>
  <si>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</si>
  <si>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</si>
  <si>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</si>
  <si>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rPr>
        <sz val="11"/>
        <rFont val="Calibri"/>
        <family val="2"/>
        <scheme val="minor"/>
      </rPr>
      <t>AM</t>
    </r>
    <r>
      <rPr>
        <vertAlign val="subscript"/>
        <sz val="11"/>
        <rFont val="Calibri"/>
        <family val="2"/>
        <scheme val="minor"/>
      </rPr>
      <t>Fe</t>
    </r>
  </si>
  <si>
    <t>Atomic mass of iron</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</si>
  <si>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</si>
  <si>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</si>
  <si>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</si>
  <si>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</si>
  <si>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</si>
  <si>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</si>
  <si>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</si>
  <si>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</si>
  <si>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</si>
  <si>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</si>
  <si>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</si>
  <si>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</si>
  <si>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</si>
  <si>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</si>
  <si>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</si>
  <si>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</si>
  <si>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</si>
  <si>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</si>
  <si>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</si>
  <si>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</si>
  <si>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</si>
  <si>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</si>
  <si>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</si>
  <si>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</si>
  <si>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</si>
  <si>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</si>
  <si>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</si>
  <si>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</si>
  <si>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</si>
  <si>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</si>
  <si>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</si>
  <si>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</si>
  <si>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</si>
  <si>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</si>
  <si>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</si>
  <si>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</si>
  <si>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</si>
  <si>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</si>
  <si>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</si>
  <si>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</si>
  <si>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</si>
  <si>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</si>
  <si>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</si>
  <si>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</si>
  <si>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</si>
  <si>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</si>
  <si>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</si>
  <si>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</si>
  <si>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</si>
  <si>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</si>
  <si>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</si>
  <si>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</si>
  <si>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</si>
  <si>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</si>
  <si>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</si>
  <si>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</si>
  <si>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</si>
  <si>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</si>
  <si>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</si>
  <si>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</si>
  <si>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</si>
  <si>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</si>
  <si>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</si>
  <si>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</si>
  <si>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</si>
  <si>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</si>
  <si>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</si>
  <si>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</si>
  <si>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</si>
  <si>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</si>
  <si>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</si>
  <si>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</si>
  <si>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</si>
  <si>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</si>
  <si>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</si>
  <si>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</si>
  <si>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</si>
  <si>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</si>
  <si>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</si>
  <si>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</si>
  <si>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</si>
  <si>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</si>
  <si>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</si>
  <si>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</si>
  <si>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</si>
  <si>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</si>
  <si>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</si>
  <si>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</si>
  <si>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</si>
  <si>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</si>
  <si>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</si>
  <si>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</si>
  <si>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</si>
  <si>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</si>
  <si>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</si>
  <si>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</si>
  <si>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</si>
  <si>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</si>
  <si>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</si>
  <si>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</si>
  <si>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</si>
  <si>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</si>
  <si>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</si>
  <si>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</si>
  <si>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</si>
  <si>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</si>
  <si>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</si>
  <si>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</si>
  <si>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</si>
  <si>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</si>
  <si>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</si>
  <si>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</si>
  <si>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</si>
  <si>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</si>
  <si>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</si>
  <si>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</si>
  <si>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</si>
  <si>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</si>
  <si>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</si>
  <si>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</si>
  <si>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</si>
  <si>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</si>
  <si>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</si>
  <si>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</si>
  <si>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</si>
  <si>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</si>
  <si>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</si>
  <si>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</si>
  <si>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</si>
  <si>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</si>
  <si>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</si>
  <si>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</si>
  <si>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</si>
  <si>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</si>
  <si>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</si>
  <si>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</si>
  <si>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</si>
  <si>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</si>
  <si>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</si>
  <si>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</si>
  <si>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</si>
  <si>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</si>
  <si>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</si>
  <si>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</si>
  <si>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</si>
  <si>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</si>
  <si>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</si>
  <si>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</si>
  <si>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</si>
  <si>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</si>
  <si>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</si>
  <si>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</si>
  <si>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</si>
  <si>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</si>
  <si>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</si>
  <si>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</si>
  <si>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</si>
  <si>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</si>
  <si>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</si>
  <si>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</si>
  <si>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</si>
  <si>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</si>
  <si>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</si>
  <si>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</si>
  <si>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</si>
  <si>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</si>
  <si>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</si>
  <si>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</si>
  <si>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</si>
  <si>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</si>
  <si>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</si>
  <si>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</si>
  <si>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</si>
  <si>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</si>
  <si>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</si>
  <si>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</si>
  <si>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</si>
  <si>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</si>
  <si>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</si>
  <si>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</si>
  <si>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</si>
  <si>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</si>
  <si>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</si>
  <si>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</si>
  <si>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</si>
  <si>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GH2</t>
    </r>
  </si>
  <si>
    <t>Molecular mass of hydrogen</t>
  </si>
  <si>
    <r>
      <t>MM</t>
    </r>
    <r>
      <rPr>
        <vertAlign val="subscript"/>
        <sz val="11"/>
        <rFont val="Calibri"/>
        <family val="2"/>
        <scheme val="minor"/>
      </rPr>
      <t>GCH4</t>
    </r>
  </si>
  <si>
    <t>Molecular mass of methane</t>
  </si>
  <si>
    <r>
      <t>MM</t>
    </r>
    <r>
      <rPr>
        <vertAlign val="subscript"/>
        <sz val="11"/>
        <rFont val="Calibri"/>
        <family val="2"/>
        <scheme val="minor"/>
      </rPr>
      <t>GCO2</t>
    </r>
  </si>
  <si>
    <t>Molecular mass of carbon dioxide</t>
  </si>
  <si>
    <r>
      <t>MM</t>
    </r>
    <r>
      <rPr>
        <vertAlign val="subscript"/>
        <sz val="11"/>
        <rFont val="Calibri"/>
        <family val="2"/>
        <scheme val="minor"/>
      </rPr>
      <t>GN2</t>
    </r>
  </si>
  <si>
    <t>Molecular mass of nitrogen</t>
  </si>
  <si>
    <r>
      <t>MM</t>
    </r>
    <r>
      <rPr>
        <vertAlign val="subscript"/>
        <sz val="11"/>
        <rFont val="Calibri"/>
        <family val="2"/>
        <scheme val="minor"/>
      </rPr>
      <t>GO2</t>
    </r>
  </si>
  <si>
    <t>Molecular mass of oxygen</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</si>
  <si>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</si>
  <si>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</si>
  <si>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</si>
  <si>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</si>
  <si>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</si>
  <si>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</si>
  <si>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</si>
  <si>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</si>
  <si>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O2</t>
    </r>
  </si>
  <si>
    <r>
      <t>MM</t>
    </r>
    <r>
      <rPr>
        <vertAlign val="subscript"/>
        <sz val="11"/>
        <rFont val="Calibri"/>
        <family val="2"/>
        <scheme val="minor"/>
      </rPr>
      <t>N2</t>
    </r>
  </si>
  <si>
    <r>
      <t>MM</t>
    </r>
    <r>
      <rPr>
        <vertAlign val="subscript"/>
        <sz val="11"/>
        <rFont val="Calibri"/>
        <family val="2"/>
        <scheme val="minor"/>
      </rPr>
      <t>NH3</t>
    </r>
  </si>
  <si>
    <t>Molecular mass of ammonia</t>
  </si>
  <si>
    <t>Molecular mass of phosphate</t>
  </si>
  <si>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</si>
  <si>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</si>
  <si>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</si>
  <si>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</si>
  <si>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t>Specific molecular masses</t>
  </si>
  <si>
    <r>
      <t>MM</t>
    </r>
    <r>
      <rPr>
        <vertAlign val="subscript"/>
        <sz val="11"/>
        <rFont val="Calibri"/>
        <family val="2"/>
        <scheme val="minor"/>
      </rPr>
      <t>EQ,GCH4</t>
    </r>
  </si>
  <si>
    <r>
      <t>MM</t>
    </r>
    <r>
      <rPr>
        <vertAlign val="subscript"/>
        <sz val="11"/>
        <rFont val="Calibri"/>
        <family val="2"/>
        <scheme val="minor"/>
      </rPr>
      <t>EQ,GH2</t>
    </r>
  </si>
  <si>
    <t>Dissociation constants</t>
  </si>
  <si>
    <t>Electron equivalences</t>
  </si>
  <si>
    <r>
      <t>EEQ</t>
    </r>
    <r>
      <rPr>
        <vertAlign val="subscript"/>
        <sz val="11"/>
        <rFont val="Calibri"/>
        <family val="2"/>
      </rPr>
      <t>N2</t>
    </r>
  </si>
  <si>
    <r>
      <t>Electron equivalence of N</t>
    </r>
    <r>
      <rPr>
        <vertAlign val="subscript"/>
        <sz val="11"/>
        <rFont val="Calibri"/>
        <family val="2"/>
      </rPr>
      <t>2</t>
    </r>
  </si>
  <si>
    <t>base is ammonia</t>
  </si>
  <si>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</si>
  <si>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</si>
  <si>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</si>
  <si>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</si>
  <si>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</si>
  <si>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</si>
  <si>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</si>
  <si>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</si>
  <si>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</si>
  <si>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</si>
  <si>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Electron equivalence of NO to NO</t>
    </r>
    <r>
      <rPr>
        <vertAlign val="subscript"/>
        <sz val="11"/>
        <rFont val="Calibri"/>
        <family val="2"/>
      </rPr>
      <t>2</t>
    </r>
  </si>
  <si>
    <r>
      <t>Electron equivalence of N</t>
    </r>
    <r>
      <rPr>
        <vertAlign val="subscript"/>
        <sz val="11"/>
        <rFont val="Calibri"/>
        <family val="2"/>
      </rPr>
      <t>2</t>
    </r>
    <r>
      <rPr>
        <sz val="11"/>
        <rFont val="Calibri"/>
        <family val="2"/>
      </rPr>
      <t>O to NO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</si>
  <si>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</si>
  <si>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</si>
  <si>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t>Other parameters</t>
  </si>
  <si>
    <t>pH effects on/not on from systemcode</t>
  </si>
  <si>
    <t>Boolean</t>
  </si>
  <si>
    <t>Maximum specific growth rate of heterotrophs</t>
  </si>
  <si>
    <t>Reduction factor for anoxic growth of heterotrophs</t>
  </si>
  <si>
    <t>Decay rate of heterotrophs</t>
  </si>
  <si>
    <r>
      <t xml:space="preserve">g </t>
    </r>
    <r>
      <rPr>
        <sz val="11"/>
        <rFont val="Calibri"/>
        <family val="2"/>
        <charset val="238"/>
        <scheme val="minor"/>
      </rPr>
      <t>O</t>
    </r>
    <r>
      <rPr>
        <vertAlign val="subscript"/>
        <sz val="11"/>
        <rFont val="Calibri"/>
        <family val="2"/>
        <scheme val="minor"/>
      </rPr>
      <t>2</t>
    </r>
    <r>
      <rPr>
        <sz val="11"/>
        <rFont val="Calibri"/>
        <family val="2"/>
        <scheme val="minor"/>
      </rPr>
      <t>.m</t>
    </r>
    <r>
      <rPr>
        <vertAlign val="superscript"/>
        <sz val="11"/>
        <rFont val="Calibri"/>
        <family val="2"/>
        <scheme val="minor"/>
      </rPr>
      <t>-3</t>
    </r>
  </si>
  <si>
    <r>
      <t>g O</t>
    </r>
    <r>
      <rPr>
        <vertAlign val="subscript"/>
        <sz val="11"/>
        <rFont val="Calibri"/>
        <family val="2"/>
        <scheme val="minor"/>
      </rPr>
      <t>2</t>
    </r>
    <r>
      <rPr>
        <sz val="11"/>
        <rFont val="Calibri"/>
        <family val="2"/>
        <scheme val="minor"/>
      </rPr>
      <t>.m</t>
    </r>
    <r>
      <rPr>
        <vertAlign val="superscript"/>
        <sz val="11"/>
        <rFont val="Calibri"/>
        <family val="2"/>
        <scheme val="minor"/>
      </rPr>
      <t>-3</t>
    </r>
  </si>
  <si>
    <r>
      <t>g N</t>
    </r>
    <r>
      <rPr>
        <sz val="11"/>
        <rFont val="Calibri"/>
        <family val="2"/>
        <scheme val="minor"/>
      </rPr>
      <t>.m</t>
    </r>
    <r>
      <rPr>
        <vertAlign val="superscript"/>
        <sz val="11"/>
        <rFont val="Calibri"/>
        <family val="2"/>
        <scheme val="minor"/>
      </rPr>
      <t>-3</t>
    </r>
  </si>
  <si>
    <t>Maximum specific growth rate of autotrophs</t>
  </si>
  <si>
    <t>Decay rate of autotrophs</t>
  </si>
  <si>
    <r>
      <t>g P.m</t>
    </r>
    <r>
      <rPr>
        <vertAlign val="superscript"/>
        <sz val="11"/>
        <rFont val="Calibri"/>
        <family val="2"/>
        <scheme val="minor"/>
      </rPr>
      <t>-3</t>
    </r>
  </si>
  <si>
    <r>
      <t>Yield for X</t>
    </r>
    <r>
      <rPr>
        <vertAlign val="subscript"/>
        <sz val="11"/>
        <rFont val="Calibri"/>
        <family val="2"/>
        <scheme val="minor"/>
      </rPr>
      <t>H</t>
    </r>
    <r>
      <rPr>
        <sz val="11"/>
        <rFont val="Calibri"/>
        <family val="2"/>
        <scheme val="minor"/>
      </rPr>
      <t xml:space="preserve"> growth</t>
    </r>
  </si>
  <si>
    <r>
      <t>Yield of X</t>
    </r>
    <r>
      <rPr>
        <vertAlign val="subscript"/>
        <sz val="11"/>
        <rFont val="Calibri"/>
        <family val="2"/>
        <scheme val="minor"/>
      </rPr>
      <t>AUT</t>
    </r>
    <r>
      <rPr>
        <sz val="11"/>
        <rFont val="Calibri"/>
        <family val="2"/>
        <scheme val="minor"/>
      </rPr>
      <t xml:space="preserve"> growth per S</t>
    </r>
    <r>
      <rPr>
        <vertAlign val="subscript"/>
        <sz val="11"/>
        <rFont val="Calibri"/>
        <family val="2"/>
        <scheme val="minor"/>
      </rPr>
      <t>NO3</t>
    </r>
  </si>
  <si>
    <t>N content of biomasses</t>
  </si>
  <si>
    <t>P content of biomasses</t>
  </si>
  <si>
    <r>
      <t>Half-saturation of X</t>
    </r>
    <r>
      <rPr>
        <vertAlign val="subscript"/>
        <sz val="11"/>
        <color rgb="FF000000"/>
        <rFont val="Calibri"/>
        <family val="2"/>
        <scheme val="minor"/>
      </rPr>
      <t>COD</t>
    </r>
    <r>
      <rPr>
        <sz val="11"/>
        <color rgb="FF000000"/>
        <rFont val="Calibri"/>
        <family val="2"/>
        <charset val="238"/>
        <scheme val="minor"/>
      </rPr>
      <t>/X</t>
    </r>
    <r>
      <rPr>
        <vertAlign val="subscript"/>
        <sz val="11"/>
        <color rgb="FF000000"/>
        <rFont val="Calibri"/>
        <family val="2"/>
        <scheme val="minor"/>
      </rPr>
      <t>OHO</t>
    </r>
  </si>
  <si>
    <r>
      <t>g COD.g COD</t>
    </r>
    <r>
      <rPr>
        <vertAlign val="superscript"/>
        <sz val="11"/>
        <rFont val="Calibri"/>
        <family val="2"/>
        <scheme val="minor"/>
      </rPr>
      <t>-1</t>
    </r>
  </si>
  <si>
    <t>Growth and decay of heterotrophic organisms</t>
  </si>
  <si>
    <r>
      <t>g COD.g COD</t>
    </r>
    <r>
      <rPr>
        <vertAlign val="superscript"/>
        <sz val="11"/>
        <rFont val="Calibri"/>
        <family val="2"/>
        <scheme val="minor"/>
      </rPr>
      <t>-1</t>
    </r>
    <r>
      <rPr>
        <sz val="11"/>
        <rFont val="Calibri"/>
        <family val="2"/>
        <scheme val="minor"/>
      </rPr>
      <t>.d</t>
    </r>
    <r>
      <rPr>
        <vertAlign val="superscript"/>
        <sz val="11"/>
        <rFont val="Calibri"/>
        <family val="2"/>
        <scheme val="minor"/>
      </rPr>
      <t>-1</t>
    </r>
  </si>
  <si>
    <r>
      <t>Rate constant for storage of PHA (X</t>
    </r>
    <r>
      <rPr>
        <vertAlign val="subscript"/>
        <sz val="11"/>
        <rFont val="Calibri"/>
        <family val="2"/>
        <scheme val="minor"/>
      </rPr>
      <t>PP</t>
    </r>
    <r>
      <rPr>
        <sz val="11"/>
        <rFont val="Calibri"/>
        <family val="2"/>
        <scheme val="minor"/>
      </rPr>
      <t xml:space="preserve"> base) </t>
    </r>
  </si>
  <si>
    <t>Rate of PP storage</t>
  </si>
  <si>
    <r>
      <t>Half-saturation of X</t>
    </r>
    <r>
      <rPr>
        <vertAlign val="subscript"/>
        <sz val="11"/>
        <color rgb="FF000000"/>
        <rFont val="Calibri"/>
        <family val="2"/>
        <scheme val="minor"/>
      </rPr>
      <t>PP</t>
    </r>
    <r>
      <rPr>
        <sz val="11"/>
        <color rgb="FF000000"/>
        <rFont val="Calibri"/>
        <family val="2"/>
        <charset val="238"/>
        <scheme val="minor"/>
      </rPr>
      <t>/X</t>
    </r>
    <r>
      <rPr>
        <vertAlign val="subscript"/>
        <sz val="11"/>
        <color rgb="FF000000"/>
        <rFont val="Calibri"/>
        <family val="2"/>
        <scheme val="minor"/>
      </rPr>
      <t>PAO</t>
    </r>
  </si>
  <si>
    <r>
      <t>Maximum ratio of X</t>
    </r>
    <r>
      <rPr>
        <vertAlign val="subscript"/>
        <sz val="11"/>
        <rFont val="Calibri"/>
        <family val="2"/>
        <scheme val="minor"/>
      </rPr>
      <t>PP</t>
    </r>
    <r>
      <rPr>
        <sz val="11"/>
        <rFont val="Calibri"/>
        <family val="2"/>
        <scheme val="minor"/>
      </rPr>
      <t>/X</t>
    </r>
    <r>
      <rPr>
        <vertAlign val="subscript"/>
        <sz val="11"/>
        <rFont val="Calibri"/>
        <family val="2"/>
        <scheme val="minor"/>
      </rPr>
      <t>PAO</t>
    </r>
  </si>
  <si>
    <t>Half-inhibition of XPP/XPAO</t>
  </si>
  <si>
    <t>Half-saturation of PHA for PAOs</t>
  </si>
  <si>
    <r>
      <t>g X</t>
    </r>
    <r>
      <rPr>
        <vertAlign val="subscript"/>
        <sz val="11"/>
        <rFont val="Calibri"/>
        <family val="2"/>
        <scheme val="minor"/>
      </rPr>
      <t>PHA</t>
    </r>
    <r>
      <rPr>
        <sz val="11"/>
        <rFont val="Calibri"/>
        <family val="2"/>
        <scheme val="minor"/>
      </rPr>
      <t>.g X</t>
    </r>
    <r>
      <rPr>
        <vertAlign val="subscript"/>
        <sz val="11"/>
        <rFont val="Calibri"/>
        <family val="2"/>
        <scheme val="minor"/>
      </rPr>
      <t>PAO</t>
    </r>
    <r>
      <rPr>
        <vertAlign val="superscript"/>
        <sz val="11"/>
        <rFont val="Calibri"/>
        <family val="2"/>
        <scheme val="minor"/>
      </rPr>
      <t>-1</t>
    </r>
  </si>
  <si>
    <t>Rate of PP lysis</t>
  </si>
  <si>
    <t>Rate of PHA respiration</t>
  </si>
  <si>
    <r>
      <t>Half-saturation of PO</t>
    </r>
    <r>
      <rPr>
        <vertAlign val="subscript"/>
        <sz val="11"/>
        <color rgb="FF000000"/>
        <rFont val="Calibri"/>
        <family val="2"/>
        <scheme val="minor"/>
      </rPr>
      <t>4</t>
    </r>
    <r>
      <rPr>
        <sz val="11"/>
        <color rgb="FF000000"/>
        <rFont val="Calibri"/>
        <family val="2"/>
        <charset val="238"/>
        <scheme val="minor"/>
      </rPr>
      <t xml:space="preserve"> uptake (PP storage)</t>
    </r>
  </si>
  <si>
    <t>Growth and decay of autotrophic nitrifying organisms</t>
  </si>
  <si>
    <r>
      <t>g COD</t>
    </r>
    <r>
      <rPr>
        <vertAlign val="subscript"/>
        <sz val="11"/>
        <rFont val="Calibri"/>
        <family val="2"/>
        <scheme val="minor"/>
      </rPr>
      <t>.</t>
    </r>
    <r>
      <rPr>
        <sz val="11"/>
        <rFont val="Calibri"/>
        <family val="2"/>
        <scheme val="minor"/>
      </rPr>
      <t>g COD</t>
    </r>
    <r>
      <rPr>
        <vertAlign val="superscript"/>
        <sz val="11"/>
        <rFont val="Calibri"/>
        <family val="2"/>
        <scheme val="minor"/>
      </rPr>
      <t>-1</t>
    </r>
  </si>
  <si>
    <r>
      <t>Yield for X</t>
    </r>
    <r>
      <rPr>
        <vertAlign val="subscript"/>
        <sz val="11"/>
        <rFont val="Calibri"/>
        <family val="2"/>
        <scheme val="minor"/>
      </rPr>
      <t>PAO</t>
    </r>
    <r>
      <rPr>
        <sz val="11"/>
        <rFont val="Calibri"/>
        <family val="2"/>
        <scheme val="minor"/>
      </rPr>
      <t xml:space="preserve"> growth per X</t>
    </r>
    <r>
      <rPr>
        <vertAlign val="subscript"/>
        <sz val="11"/>
        <rFont val="Calibri"/>
        <family val="2"/>
        <scheme val="minor"/>
      </rPr>
      <t>PHA</t>
    </r>
  </si>
  <si>
    <r>
      <t>Yield for X</t>
    </r>
    <r>
      <rPr>
        <vertAlign val="subscript"/>
        <sz val="11"/>
        <rFont val="Calibri"/>
        <family val="2"/>
        <scheme val="minor"/>
      </rPr>
      <t>PP</t>
    </r>
    <r>
      <rPr>
        <sz val="11"/>
        <rFont val="Calibri"/>
        <family val="2"/>
        <scheme val="minor"/>
      </rPr>
      <t xml:space="preserve"> storage (S</t>
    </r>
    <r>
      <rPr>
        <vertAlign val="subscript"/>
        <sz val="11"/>
        <rFont val="Calibri"/>
        <family val="2"/>
        <scheme val="minor"/>
      </rPr>
      <t>PO4</t>
    </r>
    <r>
      <rPr>
        <sz val="11"/>
        <rFont val="Calibri"/>
        <family val="2"/>
        <scheme val="minor"/>
      </rPr>
      <t xml:space="preserve"> uptake) per X</t>
    </r>
    <r>
      <rPr>
        <vertAlign val="subscript"/>
        <sz val="11"/>
        <rFont val="Calibri"/>
        <family val="2"/>
        <scheme val="minor"/>
      </rPr>
      <t>PHA</t>
    </r>
    <r>
      <rPr>
        <sz val="11"/>
        <rFont val="Calibri"/>
        <family val="2"/>
        <scheme val="minor"/>
      </rPr>
      <t xml:space="preserve"> utilized</t>
    </r>
  </si>
  <si>
    <r>
      <t>Yield for X</t>
    </r>
    <r>
      <rPr>
        <vertAlign val="subscript"/>
        <sz val="11"/>
        <rFont val="Calibri"/>
        <family val="2"/>
        <scheme val="minor"/>
      </rPr>
      <t>PP</t>
    </r>
    <r>
      <rPr>
        <sz val="11"/>
        <rFont val="Calibri"/>
        <family val="2"/>
        <scheme val="minor"/>
      </rPr>
      <t xml:space="preserve"> requirement (S</t>
    </r>
    <r>
      <rPr>
        <vertAlign val="subscript"/>
        <sz val="11"/>
        <rFont val="Calibri"/>
        <family val="2"/>
        <scheme val="minor"/>
      </rPr>
      <t>PO4</t>
    </r>
    <r>
      <rPr>
        <sz val="11"/>
        <rFont val="Calibri"/>
        <family val="2"/>
        <scheme val="minor"/>
      </rPr>
      <t xml:space="preserve"> release) per X</t>
    </r>
    <r>
      <rPr>
        <vertAlign val="subscript"/>
        <sz val="11"/>
        <rFont val="Calibri"/>
        <family val="2"/>
        <scheme val="minor"/>
      </rPr>
      <t>PHA</t>
    </r>
    <r>
      <rPr>
        <sz val="11"/>
        <rFont val="Calibri"/>
        <family val="2"/>
        <scheme val="minor"/>
      </rPr>
      <t xml:space="preserve"> stored (S</t>
    </r>
    <r>
      <rPr>
        <vertAlign val="subscript"/>
        <sz val="11"/>
        <rFont val="Calibri"/>
        <family val="2"/>
        <scheme val="minor"/>
      </rPr>
      <t>VFA</t>
    </r>
    <r>
      <rPr>
        <sz val="11"/>
        <rFont val="Calibri"/>
        <family val="2"/>
        <scheme val="minor"/>
      </rPr>
      <t xml:space="preserve"> utilized) </t>
    </r>
  </si>
  <si>
    <r>
      <t>g P</t>
    </r>
    <r>
      <rPr>
        <vertAlign val="subscript"/>
        <sz val="11"/>
        <rFont val="Calibri"/>
        <family val="2"/>
        <scheme val="minor"/>
      </rPr>
      <t>.</t>
    </r>
    <r>
      <rPr>
        <sz val="11"/>
        <rFont val="Calibri"/>
        <family val="2"/>
        <scheme val="minor"/>
      </rPr>
      <t>g COD</t>
    </r>
    <r>
      <rPr>
        <vertAlign val="superscript"/>
        <sz val="11"/>
        <rFont val="Calibri"/>
        <family val="2"/>
        <scheme val="minor"/>
      </rPr>
      <t>-1</t>
    </r>
    <r>
      <rPr>
        <vertAlign val="subscript"/>
        <sz val="11"/>
        <rFont val="Calibri"/>
        <family val="2"/>
        <scheme val="minor"/>
      </rPr>
      <t/>
    </r>
  </si>
  <si>
    <r>
      <t>Y</t>
    </r>
    <r>
      <rPr>
        <vertAlign val="subscript"/>
        <sz val="11"/>
        <rFont val="Calibri"/>
        <family val="2"/>
        <scheme val="minor"/>
      </rPr>
      <t>AUT</t>
    </r>
  </si>
  <si>
    <r>
      <t>1/</t>
    </r>
    <r>
      <rPr>
        <i/>
        <sz val="12"/>
        <rFont val="Arial"/>
        <family val="2"/>
      </rPr>
      <t>Y</t>
    </r>
    <r>
      <rPr>
        <vertAlign val="subscript"/>
        <sz val="12"/>
        <rFont val="Arial"/>
        <family val="2"/>
      </rPr>
      <t>AUT</t>
    </r>
  </si>
  <si>
    <r>
      <t>-i</t>
    </r>
    <r>
      <rPr>
        <vertAlign val="subscript"/>
        <sz val="11"/>
        <rFont val="Arial"/>
        <family val="2"/>
        <charset val="238"/>
      </rPr>
      <t>N,BM</t>
    </r>
    <r>
      <rPr>
        <sz val="11"/>
        <rFont val="Arial"/>
        <family val="2"/>
      </rPr>
      <t>-1/Y</t>
    </r>
    <r>
      <rPr>
        <vertAlign val="subscript"/>
        <sz val="11"/>
        <rFont val="Arial"/>
        <family val="2"/>
        <charset val="238"/>
      </rPr>
      <t>AUT</t>
    </r>
  </si>
  <si>
    <r>
      <t>-(-</t>
    </r>
    <r>
      <rPr>
        <i/>
        <sz val="12"/>
        <rFont val="Arial"/>
        <family val="2"/>
      </rPr>
      <t>i</t>
    </r>
    <r>
      <rPr>
        <vertAlign val="subscript"/>
        <sz val="12"/>
        <rFont val="Arial"/>
        <family val="2"/>
      </rPr>
      <t>COD_NO3</t>
    </r>
    <r>
      <rPr>
        <sz val="11"/>
        <rFont val="Arial"/>
        <family val="2"/>
      </rPr>
      <t>-</t>
    </r>
    <r>
      <rPr>
        <i/>
        <sz val="12"/>
        <rFont val="Arial"/>
        <family val="2"/>
      </rPr>
      <t>Y</t>
    </r>
    <r>
      <rPr>
        <vertAlign val="subscript"/>
        <sz val="12"/>
        <rFont val="Arial"/>
        <family val="2"/>
      </rPr>
      <t>AUT</t>
    </r>
    <r>
      <rPr>
        <sz val="11"/>
        <rFont val="Arial"/>
        <family val="2"/>
      </rPr>
      <t>)/</t>
    </r>
    <r>
      <rPr>
        <i/>
        <sz val="12"/>
        <rFont val="Arial"/>
        <family val="2"/>
      </rPr>
      <t>Y</t>
    </r>
    <r>
      <rPr>
        <vertAlign val="subscript"/>
        <sz val="12"/>
        <rFont val="Arial"/>
        <family val="2"/>
      </rPr>
      <t>AUT</t>
    </r>
  </si>
  <si>
    <t>Conversion factor for XPP (K0.33Mg0.33PO3)n into charge</t>
  </si>
  <si>
    <r>
      <t>N content of S</t>
    </r>
    <r>
      <rPr>
        <vertAlign val="subscript"/>
        <sz val="11"/>
        <rFont val="Calibri"/>
        <family val="2"/>
        <scheme val="minor"/>
      </rPr>
      <t>I</t>
    </r>
  </si>
  <si>
    <r>
      <t>N content of X</t>
    </r>
    <r>
      <rPr>
        <vertAlign val="subscript"/>
        <sz val="11"/>
        <rFont val="Calibri"/>
        <family val="2"/>
        <scheme val="minor"/>
      </rPr>
      <t>I</t>
    </r>
  </si>
  <si>
    <r>
      <t>P content of S</t>
    </r>
    <r>
      <rPr>
        <vertAlign val="subscript"/>
        <sz val="11"/>
        <rFont val="Calibri"/>
        <family val="2"/>
        <scheme val="minor"/>
      </rPr>
      <t>I</t>
    </r>
  </si>
  <si>
    <r>
      <t>P content of X</t>
    </r>
    <r>
      <rPr>
        <vertAlign val="subscript"/>
        <sz val="11"/>
        <rFont val="Calibri"/>
        <family val="2"/>
        <scheme val="minor"/>
      </rPr>
      <t>I</t>
    </r>
  </si>
  <si>
    <r>
      <t>g N.g COD</t>
    </r>
    <r>
      <rPr>
        <vertAlign val="superscript"/>
        <sz val="11"/>
        <rFont val="Calibri"/>
        <family val="2"/>
        <scheme val="minor"/>
      </rPr>
      <t>-1</t>
    </r>
  </si>
  <si>
    <r>
      <t>g P.g COD</t>
    </r>
    <r>
      <rPr>
        <vertAlign val="superscript"/>
        <sz val="11"/>
        <rFont val="Calibri"/>
        <family val="2"/>
        <scheme val="minor"/>
      </rPr>
      <t>-1</t>
    </r>
  </si>
  <si>
    <r>
      <t>g TSS.g COD</t>
    </r>
    <r>
      <rPr>
        <vertAlign val="superscript"/>
        <sz val="11"/>
        <rFont val="Calibri"/>
        <family val="2"/>
        <scheme val="minor"/>
      </rPr>
      <t>-1</t>
    </r>
  </si>
  <si>
    <r>
      <t>g TSS.g P</t>
    </r>
    <r>
      <rPr>
        <vertAlign val="superscript"/>
        <sz val="11"/>
        <rFont val="Calibri"/>
        <family val="2"/>
        <scheme val="minor"/>
      </rPr>
      <t>-1</t>
    </r>
  </si>
  <si>
    <t>Conversion factor XPP into TSS</t>
  </si>
  <si>
    <t>Conversion factor XPHA into TSS</t>
  </si>
  <si>
    <r>
      <t>(-</t>
    </r>
    <r>
      <rPr>
        <i/>
        <sz val="12"/>
        <rFont val="Arial"/>
        <family val="2"/>
      </rPr>
      <t>i</t>
    </r>
    <r>
      <rPr>
        <vertAlign val="subscript"/>
        <sz val="12"/>
        <rFont val="Arial"/>
        <family val="2"/>
      </rPr>
      <t>N,BM</t>
    </r>
    <r>
      <rPr>
        <sz val="11"/>
        <rFont val="Arial"/>
        <family val="2"/>
      </rPr>
      <t>-1/</t>
    </r>
    <r>
      <rPr>
        <i/>
        <sz val="12"/>
        <rFont val="Arial"/>
        <family val="2"/>
      </rPr>
      <t>Y</t>
    </r>
    <r>
      <rPr>
        <vertAlign val="subscript"/>
        <sz val="12"/>
        <rFont val="Arial"/>
        <family val="2"/>
      </rPr>
      <t>AUT</t>
    </r>
    <r>
      <rPr>
        <sz val="11"/>
        <rFont val="Arial"/>
        <family val="2"/>
      </rPr>
      <t>)*</t>
    </r>
    <r>
      <rPr>
        <i/>
        <sz val="12"/>
        <rFont val="Arial"/>
        <family val="2"/>
      </rPr>
      <t>i</t>
    </r>
    <r>
      <rPr>
        <vertAlign val="subscript"/>
        <sz val="12"/>
        <rFont val="Arial"/>
        <family val="2"/>
      </rPr>
      <t>Charge_SNHx</t>
    </r>
    <r>
      <rPr>
        <sz val="11"/>
        <rFont val="Arial"/>
        <family val="2"/>
      </rPr>
      <t>+1/</t>
    </r>
    <r>
      <rPr>
        <i/>
        <sz val="12"/>
        <rFont val="Arial"/>
        <family val="2"/>
      </rPr>
      <t>Y</t>
    </r>
    <r>
      <rPr>
        <vertAlign val="subscript"/>
        <sz val="12"/>
        <rFont val="Arial"/>
        <family val="2"/>
      </rPr>
      <t>AUT</t>
    </r>
    <r>
      <rPr>
        <sz val="11"/>
        <rFont val="Arial"/>
        <family val="2"/>
      </rPr>
      <t>*</t>
    </r>
    <r>
      <rPr>
        <i/>
        <sz val="12"/>
        <rFont val="Arial"/>
        <family val="2"/>
      </rPr>
      <t>i</t>
    </r>
    <r>
      <rPr>
        <vertAlign val="subscript"/>
        <sz val="12"/>
        <rFont val="Arial"/>
        <family val="2"/>
      </rPr>
      <t>Charge_SNOx</t>
    </r>
    <r>
      <rPr>
        <sz val="11"/>
        <rFont val="Arial"/>
        <family val="2"/>
      </rPr>
      <t>-</t>
    </r>
    <r>
      <rPr>
        <i/>
        <sz val="12"/>
        <rFont val="Arial"/>
        <family val="2"/>
      </rPr>
      <t>i</t>
    </r>
    <r>
      <rPr>
        <vertAlign val="subscript"/>
        <sz val="12"/>
        <rFont val="Arial"/>
        <family val="2"/>
      </rPr>
      <t>P,BM</t>
    </r>
    <r>
      <rPr>
        <sz val="11"/>
        <rFont val="Arial"/>
        <family val="2"/>
      </rPr>
      <t>*</t>
    </r>
    <r>
      <rPr>
        <i/>
        <sz val="12"/>
        <rFont val="Arial"/>
        <family val="2"/>
      </rPr>
      <t>i</t>
    </r>
    <r>
      <rPr>
        <vertAlign val="subscript"/>
        <sz val="12"/>
        <rFont val="Arial"/>
        <family val="2"/>
      </rPr>
      <t>Charge_SPO4</t>
    </r>
  </si>
  <si>
    <t>If(Sumo__pHEffects; (1 + 2 * 10^(0.5 * (Klo - Khi))) / (1 + 10^(var - Khi) + 10^(Klo - var)); 1)</t>
  </si>
  <si>
    <t>Sumo__pHEffects</t>
  </si>
  <si>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</si>
  <si>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</si>
  <si>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</si>
  <si>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</si>
  <si>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</si>
  <si>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</si>
  <si>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</si>
  <si>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t>Particle size</t>
  </si>
  <si>
    <t>Default</t>
  </si>
  <si>
    <t>Components</t>
  </si>
  <si>
    <r>
      <t>Msat</t>
    </r>
    <r>
      <rPr>
        <vertAlign val="subscript"/>
        <sz val="11"/>
        <rFont val="Calibri"/>
        <family val="2"/>
      </rPr>
      <t>SO2,KO2,H</t>
    </r>
  </si>
  <si>
    <t>Saturation term for dissolved oxygen (heterotrophs)</t>
  </si>
  <si>
    <t>Saturation term for fermentable organic matter (fermentation)</t>
  </si>
  <si>
    <t>Saturation term for ammonia (heterotrophs)</t>
  </si>
  <si>
    <r>
      <t>Saturation term for PO</t>
    </r>
    <r>
      <rPr>
        <vertAlign val="subscript"/>
        <sz val="11"/>
        <color rgb="FF000000"/>
        <rFont val="Calibri"/>
        <family val="2"/>
        <scheme val="minor"/>
      </rPr>
      <t>4</t>
    </r>
  </si>
  <si>
    <t>Saturation term for alkalinity (heterotrophs)</t>
  </si>
  <si>
    <t>Saturation term for dissolved oxygen (hydrolysis)</t>
  </si>
  <si>
    <t>Saturation term for particulate biodegradable organics (heterotrophs)</t>
  </si>
  <si>
    <t>Saturation term for nitrate and nitrite (hydrolysis)</t>
  </si>
  <si>
    <t>Inhibition term for dissolved oxygen (hydrolysis)</t>
  </si>
  <si>
    <t>Saturation term for fermentation products (heterotrophs)</t>
  </si>
  <si>
    <t>Inhibition term for dissolved oxygen (heterotrophs)</t>
  </si>
  <si>
    <t>Saturation term for nitrate and nitrite (heterotrophs)</t>
  </si>
  <si>
    <t>Saturation term for fermentable organic matter</t>
  </si>
  <si>
    <t>Inhibition term for nitrate and nitrite (heterotrophs)</t>
  </si>
  <si>
    <t>Saturation term for fermentation products (PAO)</t>
  </si>
  <si>
    <t>Saturation term for alkalinity (PAO)</t>
  </si>
  <si>
    <r>
      <t>Msat</t>
    </r>
    <r>
      <rPr>
        <vertAlign val="subscript"/>
        <sz val="11"/>
        <rFont val="Calibri"/>
        <family val="2"/>
        <scheme val="minor"/>
      </rPr>
      <t>SO2,KO2,HYD</t>
    </r>
  </si>
  <si>
    <r>
      <t>Msat</t>
    </r>
    <r>
      <rPr>
        <vertAlign val="subscript"/>
        <sz val="11"/>
        <rFont val="Calibri"/>
        <family val="2"/>
        <scheme val="minor"/>
      </rPr>
      <t>SNO3,KNO3,HYD</t>
    </r>
  </si>
  <si>
    <r>
      <t>Msat</t>
    </r>
    <r>
      <rPr>
        <vertAlign val="subscript"/>
        <sz val="11"/>
        <rFont val="Calibri"/>
        <family val="2"/>
        <scheme val="minor"/>
      </rPr>
      <t>SNO3,KNO3,H</t>
    </r>
  </si>
  <si>
    <r>
      <t>Msat</t>
    </r>
    <r>
      <rPr>
        <vertAlign val="subscript"/>
        <sz val="11"/>
        <rFont val="Calibri"/>
        <family val="2"/>
      </rPr>
      <t>SF,KF</t>
    </r>
  </si>
  <si>
    <r>
      <t>Msat</t>
    </r>
    <r>
      <rPr>
        <vertAlign val="subscript"/>
        <sz val="11"/>
        <rFont val="Calibri"/>
        <family val="2"/>
      </rPr>
      <t>SNH4,KNH4,H</t>
    </r>
  </si>
  <si>
    <r>
      <t>Msat</t>
    </r>
    <r>
      <rPr>
        <vertAlign val="subscript"/>
        <sz val="11"/>
        <rFont val="Calibri"/>
        <family val="2"/>
      </rPr>
      <t>SPO4,KP,H</t>
    </r>
  </si>
  <si>
    <r>
      <t>Msat</t>
    </r>
    <r>
      <rPr>
        <vertAlign val="subscript"/>
        <sz val="11"/>
        <rFont val="Calibri"/>
        <family val="2"/>
      </rPr>
      <t>SALK,KALK,H</t>
    </r>
  </si>
  <si>
    <r>
      <t>Msat</t>
    </r>
    <r>
      <rPr>
        <vertAlign val="subscript"/>
        <sz val="11"/>
        <rFont val="Calibri"/>
        <family val="2"/>
      </rPr>
      <t>SA,KA,H</t>
    </r>
  </si>
  <si>
    <r>
      <t>Msat</t>
    </r>
    <r>
      <rPr>
        <vertAlign val="subscript"/>
        <sz val="11"/>
        <rFont val="Calibri"/>
        <family val="2"/>
      </rPr>
      <t>SF,Kfe</t>
    </r>
  </si>
  <si>
    <r>
      <t>Msat</t>
    </r>
    <r>
      <rPr>
        <vertAlign val="subscript"/>
        <sz val="11"/>
        <rFont val="Calibri"/>
        <family val="2"/>
      </rPr>
      <t>SA,KA,PAO</t>
    </r>
  </si>
  <si>
    <r>
      <t>Msat</t>
    </r>
    <r>
      <rPr>
        <vertAlign val="subscript"/>
        <sz val="11"/>
        <rFont val="Calibri"/>
        <family val="2"/>
      </rPr>
      <t>SALK,KALK,PAO</t>
    </r>
  </si>
  <si>
    <r>
      <t>MRsat</t>
    </r>
    <r>
      <rPr>
        <vertAlign val="subscript"/>
        <sz val="11"/>
        <rFont val="Calibri"/>
        <family val="2"/>
      </rPr>
      <t>XS,XH,KX</t>
    </r>
  </si>
  <si>
    <r>
      <t>MRsat</t>
    </r>
    <r>
      <rPr>
        <vertAlign val="subscript"/>
        <sz val="11"/>
        <rFont val="Calibri"/>
        <family val="2"/>
      </rPr>
      <t>XPP,XPAO,KPP</t>
    </r>
  </si>
  <si>
    <r>
      <t>S</t>
    </r>
    <r>
      <rPr>
        <vertAlign val="subscript"/>
        <sz val="11"/>
        <rFont val="Calibri"/>
        <family val="2"/>
        <scheme val="minor"/>
      </rPr>
      <t>O2</t>
    </r>
    <r>
      <rPr>
        <sz val="11"/>
        <rFont val="Calibri"/>
        <family val="2"/>
        <scheme val="minor"/>
      </rPr>
      <t>/(K</t>
    </r>
    <r>
      <rPr>
        <vertAlign val="subscript"/>
        <sz val="11"/>
        <rFont val="Calibri"/>
        <family val="2"/>
        <scheme val="minor"/>
      </rPr>
      <t>O2,HYD</t>
    </r>
    <r>
      <rPr>
        <sz val="11"/>
        <rFont val="Calibri"/>
        <family val="2"/>
        <scheme val="minor"/>
      </rPr>
      <t>+S</t>
    </r>
    <r>
      <rPr>
        <vertAlign val="subscript"/>
        <sz val="11"/>
        <rFont val="Calibri"/>
        <family val="2"/>
        <scheme val="minor"/>
      </rPr>
      <t>O2</t>
    </r>
    <r>
      <rPr>
        <sz val="11"/>
        <rFont val="Calibri"/>
        <family val="2"/>
        <scheme val="minor"/>
      </rPr>
      <t>)</t>
    </r>
  </si>
  <si>
    <r>
      <t>S</t>
    </r>
    <r>
      <rPr>
        <vertAlign val="subscript"/>
        <sz val="11"/>
        <rFont val="Calibri"/>
        <family val="2"/>
        <scheme val="minor"/>
      </rPr>
      <t>NO3</t>
    </r>
    <r>
      <rPr>
        <sz val="11"/>
        <rFont val="Calibri"/>
        <family val="2"/>
        <scheme val="minor"/>
      </rPr>
      <t>/(K</t>
    </r>
    <r>
      <rPr>
        <vertAlign val="subscript"/>
        <sz val="11"/>
        <rFont val="Calibri"/>
        <family val="2"/>
        <scheme val="minor"/>
      </rPr>
      <t>NO3,HYD</t>
    </r>
    <r>
      <rPr>
        <sz val="11"/>
        <rFont val="Calibri"/>
        <family val="2"/>
        <scheme val="minor"/>
      </rPr>
      <t>+S</t>
    </r>
    <r>
      <rPr>
        <vertAlign val="subscript"/>
        <sz val="11"/>
        <rFont val="Calibri"/>
        <family val="2"/>
        <scheme val="minor"/>
      </rPr>
      <t>NO3</t>
    </r>
    <r>
      <rPr>
        <sz val="11"/>
        <rFont val="Calibri"/>
        <family val="2"/>
        <scheme val="minor"/>
      </rPr>
      <t>)</t>
    </r>
  </si>
  <si>
    <r>
      <t>S</t>
    </r>
    <r>
      <rPr>
        <vertAlign val="subscript"/>
        <sz val="11"/>
        <rFont val="Calibri"/>
        <family val="2"/>
        <scheme val="minor"/>
      </rPr>
      <t>NO3</t>
    </r>
    <r>
      <rPr>
        <sz val="11"/>
        <rFont val="Calibri"/>
        <family val="2"/>
        <scheme val="minor"/>
      </rPr>
      <t>/(K</t>
    </r>
    <r>
      <rPr>
        <vertAlign val="subscript"/>
        <sz val="11"/>
        <rFont val="Calibri"/>
        <family val="2"/>
        <scheme val="minor"/>
      </rPr>
      <t>NO3,H</t>
    </r>
    <r>
      <rPr>
        <sz val="11"/>
        <rFont val="Calibri"/>
        <family val="2"/>
        <scheme val="minor"/>
      </rPr>
      <t>+S</t>
    </r>
    <r>
      <rPr>
        <vertAlign val="subscript"/>
        <sz val="11"/>
        <rFont val="Calibri"/>
        <family val="2"/>
        <scheme val="minor"/>
      </rPr>
      <t>NO3</t>
    </r>
    <r>
      <rPr>
        <sz val="11"/>
        <rFont val="Calibri"/>
        <family val="2"/>
        <scheme val="minor"/>
      </rPr>
      <t>)</t>
    </r>
  </si>
  <si>
    <r>
      <t>S</t>
    </r>
    <r>
      <rPr>
        <vertAlign val="subscript"/>
        <sz val="11"/>
        <rFont val="Calibri"/>
        <family val="2"/>
      </rPr>
      <t>O2</t>
    </r>
    <r>
      <rPr>
        <sz val="11"/>
        <rFont val="Calibri"/>
        <family val="2"/>
      </rPr>
      <t>/(K</t>
    </r>
    <r>
      <rPr>
        <vertAlign val="subscript"/>
        <sz val="11"/>
        <rFont val="Calibri"/>
        <family val="2"/>
      </rPr>
      <t>O2,H</t>
    </r>
    <r>
      <rPr>
        <sz val="11"/>
        <rFont val="Calibri"/>
        <family val="2"/>
      </rPr>
      <t>+S</t>
    </r>
    <r>
      <rPr>
        <vertAlign val="subscript"/>
        <sz val="11"/>
        <rFont val="Calibri"/>
        <family val="2"/>
      </rPr>
      <t>O2</t>
    </r>
    <r>
      <rPr>
        <sz val="11"/>
        <rFont val="Calibri"/>
        <family val="2"/>
      </rPr>
      <t>)</t>
    </r>
  </si>
  <si>
    <r>
      <t>S</t>
    </r>
    <r>
      <rPr>
        <vertAlign val="subscript"/>
        <sz val="11"/>
        <rFont val="Calibri"/>
        <family val="2"/>
      </rPr>
      <t>F</t>
    </r>
    <r>
      <rPr>
        <sz val="11"/>
        <rFont val="Calibri"/>
        <family val="2"/>
      </rPr>
      <t>/(K</t>
    </r>
    <r>
      <rPr>
        <vertAlign val="subscript"/>
        <sz val="11"/>
        <rFont val="Calibri"/>
        <family val="2"/>
      </rPr>
      <t>F</t>
    </r>
    <r>
      <rPr>
        <sz val="11"/>
        <rFont val="Calibri"/>
        <family val="2"/>
      </rPr>
      <t>+S</t>
    </r>
    <r>
      <rPr>
        <vertAlign val="subscript"/>
        <sz val="11"/>
        <rFont val="Calibri"/>
        <family val="2"/>
      </rPr>
      <t>F</t>
    </r>
    <r>
      <rPr>
        <sz val="11"/>
        <rFont val="Calibri"/>
        <family val="2"/>
      </rPr>
      <t>)</t>
    </r>
  </si>
  <si>
    <r>
      <t>S</t>
    </r>
    <r>
      <rPr>
        <vertAlign val="subscript"/>
        <sz val="11"/>
        <rFont val="Calibri"/>
        <family val="2"/>
      </rPr>
      <t>NH4</t>
    </r>
    <r>
      <rPr>
        <sz val="11"/>
        <rFont val="Calibri"/>
        <family val="2"/>
      </rPr>
      <t>/(K</t>
    </r>
    <r>
      <rPr>
        <vertAlign val="subscript"/>
        <sz val="11"/>
        <rFont val="Calibri"/>
        <family val="2"/>
      </rPr>
      <t>NH4,H</t>
    </r>
    <r>
      <rPr>
        <sz val="11"/>
        <rFont val="Calibri"/>
        <family val="2"/>
      </rPr>
      <t>+S</t>
    </r>
    <r>
      <rPr>
        <vertAlign val="subscript"/>
        <sz val="11"/>
        <rFont val="Calibri"/>
        <family val="2"/>
      </rPr>
      <t>NH4</t>
    </r>
    <r>
      <rPr>
        <sz val="11"/>
        <rFont val="Calibri"/>
        <family val="2"/>
      </rPr>
      <t>)</t>
    </r>
  </si>
  <si>
    <r>
      <t>S</t>
    </r>
    <r>
      <rPr>
        <vertAlign val="subscript"/>
        <sz val="11"/>
        <rFont val="Calibri"/>
        <family val="2"/>
      </rPr>
      <t>PO4</t>
    </r>
    <r>
      <rPr>
        <sz val="11"/>
        <rFont val="Calibri"/>
        <family val="2"/>
      </rPr>
      <t>/(K</t>
    </r>
    <r>
      <rPr>
        <vertAlign val="subscript"/>
        <sz val="11"/>
        <rFont val="Calibri"/>
        <family val="2"/>
      </rPr>
      <t>P,H</t>
    </r>
    <r>
      <rPr>
        <sz val="11"/>
        <rFont val="Calibri"/>
        <family val="2"/>
      </rPr>
      <t>+S</t>
    </r>
    <r>
      <rPr>
        <vertAlign val="subscript"/>
        <sz val="11"/>
        <rFont val="Calibri"/>
        <family val="2"/>
      </rPr>
      <t>PO4</t>
    </r>
    <r>
      <rPr>
        <sz val="11"/>
        <rFont val="Calibri"/>
        <family val="2"/>
      </rPr>
      <t>)</t>
    </r>
  </si>
  <si>
    <r>
      <t>S</t>
    </r>
    <r>
      <rPr>
        <vertAlign val="subscript"/>
        <sz val="11"/>
        <rFont val="Calibri"/>
        <family val="2"/>
      </rPr>
      <t>ALK</t>
    </r>
    <r>
      <rPr>
        <sz val="11"/>
        <rFont val="Calibri"/>
        <family val="2"/>
      </rPr>
      <t>/(K</t>
    </r>
    <r>
      <rPr>
        <vertAlign val="subscript"/>
        <sz val="11"/>
        <rFont val="Calibri"/>
        <family val="2"/>
      </rPr>
      <t>ALK,H</t>
    </r>
    <r>
      <rPr>
        <sz val="11"/>
        <rFont val="Calibri"/>
        <family val="2"/>
      </rPr>
      <t>+S</t>
    </r>
    <r>
      <rPr>
        <vertAlign val="subscript"/>
        <sz val="11"/>
        <rFont val="Calibri"/>
        <family val="2"/>
      </rPr>
      <t>ALK</t>
    </r>
    <r>
      <rPr>
        <sz val="11"/>
        <rFont val="Calibri"/>
        <family val="2"/>
      </rPr>
      <t>)</t>
    </r>
  </si>
  <si>
    <r>
      <t>S</t>
    </r>
    <r>
      <rPr>
        <vertAlign val="subscript"/>
        <sz val="11"/>
        <rFont val="Calibri"/>
        <family val="2"/>
      </rPr>
      <t>A</t>
    </r>
    <r>
      <rPr>
        <sz val="11"/>
        <rFont val="Calibri"/>
        <family val="2"/>
      </rPr>
      <t>/(K</t>
    </r>
    <r>
      <rPr>
        <vertAlign val="subscript"/>
        <sz val="11"/>
        <rFont val="Calibri"/>
        <family val="2"/>
      </rPr>
      <t>A,H</t>
    </r>
    <r>
      <rPr>
        <sz val="11"/>
        <rFont val="Calibri"/>
        <family val="2"/>
      </rPr>
      <t>+S</t>
    </r>
    <r>
      <rPr>
        <vertAlign val="subscript"/>
        <sz val="11"/>
        <rFont val="Calibri"/>
        <family val="2"/>
      </rPr>
      <t>A</t>
    </r>
    <r>
      <rPr>
        <sz val="11"/>
        <rFont val="Calibri"/>
        <family val="2"/>
      </rPr>
      <t>)</t>
    </r>
  </si>
  <si>
    <r>
      <t>S</t>
    </r>
    <r>
      <rPr>
        <vertAlign val="subscript"/>
        <sz val="11"/>
        <rFont val="Calibri"/>
        <family val="2"/>
      </rPr>
      <t>F</t>
    </r>
    <r>
      <rPr>
        <sz val="11"/>
        <rFont val="Calibri"/>
        <family val="2"/>
      </rPr>
      <t>/(K</t>
    </r>
    <r>
      <rPr>
        <vertAlign val="subscript"/>
        <sz val="11"/>
        <rFont val="Calibri"/>
        <family val="2"/>
      </rPr>
      <t>fe</t>
    </r>
    <r>
      <rPr>
        <sz val="11"/>
        <rFont val="Calibri"/>
        <family val="2"/>
      </rPr>
      <t>+S</t>
    </r>
    <r>
      <rPr>
        <vertAlign val="subscript"/>
        <sz val="11"/>
        <rFont val="Calibri"/>
        <family val="2"/>
      </rPr>
      <t>F</t>
    </r>
    <r>
      <rPr>
        <sz val="11"/>
        <rFont val="Calibri"/>
        <family val="2"/>
      </rPr>
      <t>)</t>
    </r>
  </si>
  <si>
    <r>
      <t>S</t>
    </r>
    <r>
      <rPr>
        <vertAlign val="subscript"/>
        <sz val="11"/>
        <rFont val="Calibri"/>
        <family val="2"/>
      </rPr>
      <t>A</t>
    </r>
    <r>
      <rPr>
        <sz val="11"/>
        <rFont val="Calibri"/>
        <family val="2"/>
      </rPr>
      <t>/(K</t>
    </r>
    <r>
      <rPr>
        <vertAlign val="subscript"/>
        <sz val="11"/>
        <rFont val="Calibri"/>
        <family val="2"/>
      </rPr>
      <t>A,PAO</t>
    </r>
    <r>
      <rPr>
        <sz val="11"/>
        <rFont val="Calibri"/>
        <family val="2"/>
      </rPr>
      <t>+S</t>
    </r>
    <r>
      <rPr>
        <vertAlign val="subscript"/>
        <sz val="11"/>
        <rFont val="Calibri"/>
        <family val="2"/>
      </rPr>
      <t>A</t>
    </r>
    <r>
      <rPr>
        <sz val="11"/>
        <rFont val="Calibri"/>
        <family val="2"/>
      </rPr>
      <t>)</t>
    </r>
  </si>
  <si>
    <r>
      <t>S</t>
    </r>
    <r>
      <rPr>
        <vertAlign val="subscript"/>
        <sz val="11"/>
        <rFont val="Calibri"/>
        <family val="2"/>
      </rPr>
      <t>ALK</t>
    </r>
    <r>
      <rPr>
        <sz val="11"/>
        <rFont val="Calibri"/>
        <family val="2"/>
      </rPr>
      <t>/(K</t>
    </r>
    <r>
      <rPr>
        <vertAlign val="subscript"/>
        <sz val="11"/>
        <rFont val="Calibri"/>
        <family val="2"/>
      </rPr>
      <t>ALK,PAO</t>
    </r>
    <r>
      <rPr>
        <sz val="11"/>
        <rFont val="Calibri"/>
        <family val="2"/>
      </rPr>
      <t>+S</t>
    </r>
    <r>
      <rPr>
        <vertAlign val="subscript"/>
        <sz val="11"/>
        <rFont val="Calibri"/>
        <family val="2"/>
      </rPr>
      <t>ALK</t>
    </r>
    <r>
      <rPr>
        <sz val="11"/>
        <rFont val="Calibri"/>
        <family val="2"/>
      </rPr>
      <t>)</t>
    </r>
  </si>
  <si>
    <r>
      <t>(X</t>
    </r>
    <r>
      <rPr>
        <vertAlign val="subscript"/>
        <sz val="11"/>
        <rFont val="Calibri"/>
        <family val="2"/>
      </rPr>
      <t>S</t>
    </r>
    <r>
      <rPr>
        <sz val="11"/>
        <rFont val="Calibri"/>
        <family val="2"/>
      </rPr>
      <t>/X</t>
    </r>
    <r>
      <rPr>
        <vertAlign val="subscript"/>
        <sz val="11"/>
        <rFont val="Calibri"/>
        <family val="2"/>
      </rPr>
      <t>H</t>
    </r>
    <r>
      <rPr>
        <sz val="11"/>
        <rFont val="Calibri"/>
        <family val="2"/>
      </rPr>
      <t>)/(K</t>
    </r>
    <r>
      <rPr>
        <vertAlign val="subscript"/>
        <sz val="11"/>
        <rFont val="Calibri"/>
        <family val="2"/>
      </rPr>
      <t>X</t>
    </r>
    <r>
      <rPr>
        <sz val="11"/>
        <rFont val="Calibri"/>
        <family val="2"/>
      </rPr>
      <t>+(X</t>
    </r>
    <r>
      <rPr>
        <vertAlign val="subscript"/>
        <sz val="11"/>
        <rFont val="Calibri"/>
        <family val="2"/>
      </rPr>
      <t>S</t>
    </r>
    <r>
      <rPr>
        <sz val="11"/>
        <rFont val="Calibri"/>
        <family val="2"/>
      </rPr>
      <t>/X</t>
    </r>
    <r>
      <rPr>
        <vertAlign val="subscript"/>
        <sz val="11"/>
        <rFont val="Calibri"/>
        <family val="2"/>
      </rPr>
      <t>H</t>
    </r>
    <r>
      <rPr>
        <sz val="11"/>
        <rFont val="Calibri"/>
        <family val="2"/>
      </rPr>
      <t>))</t>
    </r>
  </si>
  <si>
    <t>Inhibition term for dissolved oxygen (PAO)</t>
  </si>
  <si>
    <r>
      <t>Msat</t>
    </r>
    <r>
      <rPr>
        <vertAlign val="subscript"/>
        <sz val="11"/>
        <rFont val="Calibri"/>
        <family val="2"/>
      </rPr>
      <t>SO2,KO2,PAO</t>
    </r>
  </si>
  <si>
    <t>Saturation term for dissolved oxygen (PAO)</t>
  </si>
  <si>
    <r>
      <t>S</t>
    </r>
    <r>
      <rPr>
        <vertAlign val="subscript"/>
        <sz val="11"/>
        <rFont val="Calibri"/>
        <family val="2"/>
      </rPr>
      <t>O2</t>
    </r>
    <r>
      <rPr>
        <sz val="11"/>
        <rFont val="Calibri"/>
        <family val="2"/>
      </rPr>
      <t>/(K</t>
    </r>
    <r>
      <rPr>
        <vertAlign val="subscript"/>
        <sz val="11"/>
        <rFont val="Calibri"/>
        <family val="2"/>
      </rPr>
      <t>O2,PAO</t>
    </r>
    <r>
      <rPr>
        <sz val="11"/>
        <rFont val="Calibri"/>
        <family val="2"/>
      </rPr>
      <t>+S</t>
    </r>
    <r>
      <rPr>
        <vertAlign val="subscript"/>
        <sz val="11"/>
        <rFont val="Calibri"/>
        <family val="2"/>
      </rPr>
      <t>O2</t>
    </r>
    <r>
      <rPr>
        <sz val="11"/>
        <rFont val="Calibri"/>
        <family val="2"/>
      </rPr>
      <t>)</t>
    </r>
  </si>
  <si>
    <r>
      <t>Msat</t>
    </r>
    <r>
      <rPr>
        <vertAlign val="subscript"/>
        <sz val="11"/>
        <rFont val="Calibri"/>
        <family val="2"/>
      </rPr>
      <t>SPO4,KPS</t>
    </r>
  </si>
  <si>
    <r>
      <t>Saturation term for PO</t>
    </r>
    <r>
      <rPr>
        <vertAlign val="subscript"/>
        <sz val="11"/>
        <color rgb="FF000000"/>
        <rFont val="Calibri"/>
        <family val="2"/>
        <scheme val="minor"/>
      </rPr>
      <t>4</t>
    </r>
    <r>
      <rPr>
        <sz val="11"/>
        <color rgb="FF000000"/>
        <rFont val="Calibri"/>
        <family val="2"/>
        <charset val="238"/>
        <scheme val="minor"/>
      </rPr>
      <t xml:space="preserve"> (PAO)</t>
    </r>
  </si>
  <si>
    <r>
      <t>S</t>
    </r>
    <r>
      <rPr>
        <vertAlign val="subscript"/>
        <sz val="11"/>
        <rFont val="Calibri"/>
        <family val="2"/>
      </rPr>
      <t>PO4</t>
    </r>
    <r>
      <rPr>
        <sz val="11"/>
        <rFont val="Calibri"/>
        <family val="2"/>
      </rPr>
      <t>/(K</t>
    </r>
    <r>
      <rPr>
        <vertAlign val="subscript"/>
        <sz val="11"/>
        <rFont val="Calibri"/>
        <family val="2"/>
      </rPr>
      <t>PS</t>
    </r>
    <r>
      <rPr>
        <sz val="11"/>
        <rFont val="Calibri"/>
        <family val="2"/>
      </rPr>
      <t>+S</t>
    </r>
    <r>
      <rPr>
        <vertAlign val="subscript"/>
        <sz val="11"/>
        <rFont val="Calibri"/>
        <family val="2"/>
      </rPr>
      <t>PO4</t>
    </r>
    <r>
      <rPr>
        <sz val="11"/>
        <rFont val="Calibri"/>
        <family val="2"/>
      </rPr>
      <t>)</t>
    </r>
  </si>
  <si>
    <r>
      <t>MRsat</t>
    </r>
    <r>
      <rPr>
        <vertAlign val="subscript"/>
        <sz val="11"/>
        <rFont val="Calibri"/>
        <family val="2"/>
      </rPr>
      <t>XPHA,XPAO,KPHA</t>
    </r>
  </si>
  <si>
    <r>
      <t>(X</t>
    </r>
    <r>
      <rPr>
        <vertAlign val="subscript"/>
        <sz val="11"/>
        <rFont val="Calibri"/>
        <family val="2"/>
      </rPr>
      <t>PHA</t>
    </r>
    <r>
      <rPr>
        <sz val="11"/>
        <rFont val="Calibri"/>
        <family val="2"/>
      </rPr>
      <t>/X</t>
    </r>
    <r>
      <rPr>
        <vertAlign val="subscript"/>
        <sz val="11"/>
        <rFont val="Calibri"/>
        <family val="2"/>
      </rPr>
      <t>PAO</t>
    </r>
    <r>
      <rPr>
        <sz val="11"/>
        <rFont val="Calibri"/>
        <family val="2"/>
      </rPr>
      <t>)/(K</t>
    </r>
    <r>
      <rPr>
        <vertAlign val="subscript"/>
        <sz val="11"/>
        <rFont val="Calibri"/>
        <family val="2"/>
      </rPr>
      <t>PHA</t>
    </r>
    <r>
      <rPr>
        <sz val="11"/>
        <rFont val="Calibri"/>
        <family val="2"/>
      </rPr>
      <t>+(X</t>
    </r>
    <r>
      <rPr>
        <vertAlign val="subscript"/>
        <sz val="11"/>
        <rFont val="Calibri"/>
        <family val="2"/>
      </rPr>
      <t>PHA</t>
    </r>
    <r>
      <rPr>
        <sz val="11"/>
        <rFont val="Calibri"/>
        <family val="2"/>
      </rPr>
      <t>/X</t>
    </r>
    <r>
      <rPr>
        <vertAlign val="subscript"/>
        <sz val="11"/>
        <rFont val="Calibri"/>
        <family val="2"/>
      </rPr>
      <t>PAO</t>
    </r>
    <r>
      <rPr>
        <sz val="11"/>
        <rFont val="Calibri"/>
        <family val="2"/>
      </rPr>
      <t>))</t>
    </r>
  </si>
  <si>
    <r>
      <t>MRinh</t>
    </r>
    <r>
      <rPr>
        <vertAlign val="subscript"/>
        <sz val="11"/>
        <rFont val="Calibri"/>
        <family val="2"/>
      </rPr>
      <t>XPP,XPAO,KiPP</t>
    </r>
  </si>
  <si>
    <r>
      <t>Msat</t>
    </r>
    <r>
      <rPr>
        <vertAlign val="subscript"/>
        <sz val="11"/>
        <rFont val="Calibri"/>
        <family val="2"/>
        <scheme val="minor"/>
      </rPr>
      <t>SNO3,KNO3,PAO</t>
    </r>
  </si>
  <si>
    <t>Saturation term for nitrate and nitrite (PAO)</t>
  </si>
  <si>
    <r>
      <t>S</t>
    </r>
    <r>
      <rPr>
        <vertAlign val="subscript"/>
        <sz val="11"/>
        <rFont val="Calibri"/>
        <family val="2"/>
        <scheme val="minor"/>
      </rPr>
      <t>NO3</t>
    </r>
    <r>
      <rPr>
        <sz val="11"/>
        <rFont val="Calibri"/>
        <family val="2"/>
        <scheme val="minor"/>
      </rPr>
      <t>/(K</t>
    </r>
    <r>
      <rPr>
        <vertAlign val="subscript"/>
        <sz val="11"/>
        <rFont val="Calibri"/>
        <family val="2"/>
        <scheme val="minor"/>
      </rPr>
      <t>NO3,PAO</t>
    </r>
    <r>
      <rPr>
        <sz val="11"/>
        <rFont val="Calibri"/>
        <family val="2"/>
        <scheme val="minor"/>
      </rPr>
      <t>+S</t>
    </r>
    <r>
      <rPr>
        <vertAlign val="subscript"/>
        <sz val="11"/>
        <rFont val="Calibri"/>
        <family val="2"/>
        <scheme val="minor"/>
      </rPr>
      <t>NO3</t>
    </r>
    <r>
      <rPr>
        <sz val="11"/>
        <rFont val="Calibri"/>
        <family val="2"/>
        <scheme val="minor"/>
      </rPr>
      <t>)</t>
    </r>
  </si>
  <si>
    <r>
      <t>Msat</t>
    </r>
    <r>
      <rPr>
        <vertAlign val="subscript"/>
        <sz val="11"/>
        <rFont val="Calibri"/>
        <family val="2"/>
      </rPr>
      <t>SNH4,KNH4,PAO</t>
    </r>
  </si>
  <si>
    <t>Saturation term for ammonia (PAO)</t>
  </si>
  <si>
    <r>
      <t>S</t>
    </r>
    <r>
      <rPr>
        <vertAlign val="subscript"/>
        <sz val="11"/>
        <rFont val="Calibri"/>
        <family val="2"/>
      </rPr>
      <t>NH4</t>
    </r>
    <r>
      <rPr>
        <sz val="11"/>
        <rFont val="Calibri"/>
        <family val="2"/>
      </rPr>
      <t>/(K</t>
    </r>
    <r>
      <rPr>
        <vertAlign val="subscript"/>
        <sz val="11"/>
        <rFont val="Calibri"/>
        <family val="2"/>
      </rPr>
      <t>NH4,PAO</t>
    </r>
    <r>
      <rPr>
        <sz val="11"/>
        <rFont val="Calibri"/>
        <family val="2"/>
      </rPr>
      <t>+S</t>
    </r>
    <r>
      <rPr>
        <vertAlign val="subscript"/>
        <sz val="11"/>
        <rFont val="Calibri"/>
        <family val="2"/>
      </rPr>
      <t>NH4</t>
    </r>
    <r>
      <rPr>
        <sz val="11"/>
        <rFont val="Calibri"/>
        <family val="2"/>
      </rPr>
      <t>)</t>
    </r>
  </si>
  <si>
    <r>
      <t>Msat</t>
    </r>
    <r>
      <rPr>
        <vertAlign val="subscript"/>
        <sz val="11"/>
        <rFont val="Calibri"/>
        <family val="2"/>
      </rPr>
      <t>SPO4,KP,PAO</t>
    </r>
  </si>
  <si>
    <r>
      <t>Saturation term for PO</t>
    </r>
    <r>
      <rPr>
        <vertAlign val="subscript"/>
        <sz val="11"/>
        <color rgb="FF000000"/>
        <rFont val="Calibri"/>
        <family val="2"/>
        <scheme val="minor"/>
      </rPr>
      <t>4</t>
    </r>
    <r>
      <rPr>
        <sz val="11"/>
        <color rgb="FF000000"/>
        <rFont val="Calibri"/>
        <family val="2"/>
        <charset val="238"/>
        <scheme val="minor"/>
      </rPr>
      <t xml:space="preserve"> (PAO)</t>
    </r>
  </si>
  <si>
    <r>
      <t>S</t>
    </r>
    <r>
      <rPr>
        <vertAlign val="subscript"/>
        <sz val="11"/>
        <rFont val="Calibri"/>
        <family val="2"/>
      </rPr>
      <t>PO4</t>
    </r>
    <r>
      <rPr>
        <sz val="11"/>
        <rFont val="Calibri"/>
        <family val="2"/>
      </rPr>
      <t>/(K</t>
    </r>
    <r>
      <rPr>
        <vertAlign val="subscript"/>
        <sz val="11"/>
        <rFont val="Calibri"/>
        <family val="2"/>
      </rPr>
      <t>P,PAO</t>
    </r>
    <r>
      <rPr>
        <sz val="11"/>
        <rFont val="Calibri"/>
        <family val="2"/>
      </rPr>
      <t>+S</t>
    </r>
    <r>
      <rPr>
        <vertAlign val="subscript"/>
        <sz val="11"/>
        <rFont val="Calibri"/>
        <family val="2"/>
      </rPr>
      <t>PO4</t>
    </r>
    <r>
      <rPr>
        <sz val="11"/>
        <rFont val="Calibri"/>
        <family val="2"/>
      </rPr>
      <t>)</t>
    </r>
  </si>
  <si>
    <r>
      <t>Msat</t>
    </r>
    <r>
      <rPr>
        <vertAlign val="subscript"/>
        <sz val="11"/>
        <rFont val="Calibri"/>
        <family val="2"/>
      </rPr>
      <t>SO2,KO2,AUT</t>
    </r>
  </si>
  <si>
    <t>Saturation term for dissolved oxygen (autotrophs)</t>
  </si>
  <si>
    <r>
      <t>S</t>
    </r>
    <r>
      <rPr>
        <vertAlign val="subscript"/>
        <sz val="11"/>
        <rFont val="Calibri"/>
        <family val="2"/>
      </rPr>
      <t>O2</t>
    </r>
    <r>
      <rPr>
        <sz val="11"/>
        <rFont val="Calibri"/>
        <family val="2"/>
      </rPr>
      <t>/(K</t>
    </r>
    <r>
      <rPr>
        <vertAlign val="subscript"/>
        <sz val="11"/>
        <rFont val="Calibri"/>
        <family val="2"/>
      </rPr>
      <t>O2,AUT</t>
    </r>
    <r>
      <rPr>
        <sz val="11"/>
        <rFont val="Calibri"/>
        <family val="2"/>
      </rPr>
      <t>+S</t>
    </r>
    <r>
      <rPr>
        <vertAlign val="subscript"/>
        <sz val="11"/>
        <rFont val="Calibri"/>
        <family val="2"/>
      </rPr>
      <t>O2</t>
    </r>
    <r>
      <rPr>
        <sz val="11"/>
        <rFont val="Calibri"/>
        <family val="2"/>
      </rPr>
      <t>)</t>
    </r>
  </si>
  <si>
    <r>
      <t>Msat</t>
    </r>
    <r>
      <rPr>
        <vertAlign val="subscript"/>
        <sz val="11"/>
        <rFont val="Calibri"/>
        <family val="2"/>
      </rPr>
      <t>SNH4,KNH4,AUT</t>
    </r>
  </si>
  <si>
    <t>Saturation term for ammonia (autotrophs)</t>
  </si>
  <si>
    <r>
      <t>S</t>
    </r>
    <r>
      <rPr>
        <vertAlign val="subscript"/>
        <sz val="11"/>
        <rFont val="Calibri"/>
        <family val="2"/>
      </rPr>
      <t>NH4</t>
    </r>
    <r>
      <rPr>
        <sz val="11"/>
        <rFont val="Calibri"/>
        <family val="2"/>
      </rPr>
      <t>/(K</t>
    </r>
    <r>
      <rPr>
        <vertAlign val="subscript"/>
        <sz val="11"/>
        <rFont val="Calibri"/>
        <family val="2"/>
      </rPr>
      <t>NH4,AUT</t>
    </r>
    <r>
      <rPr>
        <sz val="11"/>
        <rFont val="Calibri"/>
        <family val="2"/>
      </rPr>
      <t>+S</t>
    </r>
    <r>
      <rPr>
        <vertAlign val="subscript"/>
        <sz val="11"/>
        <rFont val="Calibri"/>
        <family val="2"/>
      </rPr>
      <t>NH4</t>
    </r>
    <r>
      <rPr>
        <sz val="11"/>
        <rFont val="Calibri"/>
        <family val="2"/>
      </rPr>
      <t>)</t>
    </r>
  </si>
  <si>
    <r>
      <t>Msat</t>
    </r>
    <r>
      <rPr>
        <vertAlign val="subscript"/>
        <sz val="11"/>
        <rFont val="Calibri"/>
        <family val="2"/>
      </rPr>
      <t>SPO4,KP,AUT</t>
    </r>
  </si>
  <si>
    <r>
      <t>Msat</t>
    </r>
    <r>
      <rPr>
        <vertAlign val="subscript"/>
        <sz val="11"/>
        <rFont val="Calibri"/>
        <family val="2"/>
      </rPr>
      <t>SALK,KALK,AUT</t>
    </r>
  </si>
  <si>
    <t>Saturation term for alkalinity (autotrophs)</t>
  </si>
  <si>
    <r>
      <t>S</t>
    </r>
    <r>
      <rPr>
        <vertAlign val="subscript"/>
        <sz val="11"/>
        <rFont val="Calibri"/>
        <family val="2"/>
      </rPr>
      <t>ALK</t>
    </r>
    <r>
      <rPr>
        <sz val="11"/>
        <rFont val="Calibri"/>
        <family val="2"/>
      </rPr>
      <t>/(K</t>
    </r>
    <r>
      <rPr>
        <vertAlign val="subscript"/>
        <sz val="11"/>
        <rFont val="Calibri"/>
        <family val="2"/>
      </rPr>
      <t>ALK,AUT</t>
    </r>
    <r>
      <rPr>
        <sz val="11"/>
        <rFont val="Calibri"/>
        <family val="2"/>
      </rPr>
      <t>+S</t>
    </r>
    <r>
      <rPr>
        <vertAlign val="subscript"/>
        <sz val="11"/>
        <rFont val="Calibri"/>
        <family val="2"/>
      </rPr>
      <t>ALK</t>
    </r>
    <r>
      <rPr>
        <sz val="11"/>
        <rFont val="Calibri"/>
        <family val="2"/>
      </rPr>
      <t>)</t>
    </r>
  </si>
  <si>
    <r>
      <t>Saturation term for PO</t>
    </r>
    <r>
      <rPr>
        <vertAlign val="subscript"/>
        <sz val="11"/>
        <color rgb="FF000000"/>
        <rFont val="Calibri"/>
        <family val="2"/>
        <scheme val="minor"/>
      </rPr>
      <t>4</t>
    </r>
    <r>
      <rPr>
        <sz val="11"/>
        <color rgb="FF000000"/>
        <rFont val="Calibri"/>
        <family val="2"/>
        <charset val="238"/>
        <scheme val="minor"/>
      </rPr>
      <t xml:space="preserve"> (autotrophs)</t>
    </r>
  </si>
  <si>
    <r>
      <t>S</t>
    </r>
    <r>
      <rPr>
        <vertAlign val="subscript"/>
        <sz val="11"/>
        <rFont val="Calibri"/>
        <family val="2"/>
      </rPr>
      <t>PO4</t>
    </r>
    <r>
      <rPr>
        <sz val="11"/>
        <rFont val="Calibri"/>
        <family val="2"/>
      </rPr>
      <t>/(K</t>
    </r>
    <r>
      <rPr>
        <vertAlign val="subscript"/>
        <sz val="11"/>
        <rFont val="Calibri"/>
        <family val="2"/>
      </rPr>
      <t>P,AUT</t>
    </r>
    <r>
      <rPr>
        <sz val="11"/>
        <rFont val="Calibri"/>
        <family val="2"/>
      </rPr>
      <t>+S</t>
    </r>
    <r>
      <rPr>
        <vertAlign val="subscript"/>
        <sz val="11"/>
        <rFont val="Calibri"/>
        <family val="2"/>
      </rPr>
      <t>PO4</t>
    </r>
    <r>
      <rPr>
        <sz val="11"/>
        <rFont val="Calibri"/>
        <family val="2"/>
      </rPr>
      <t>)</t>
    </r>
  </si>
  <si>
    <r>
      <t>Msat</t>
    </r>
    <r>
      <rPr>
        <vertAlign val="subscript"/>
        <sz val="11"/>
        <rFont val="Calibri"/>
        <family val="2"/>
      </rPr>
      <t>SALK,KALK,PRE</t>
    </r>
  </si>
  <si>
    <r>
      <t>S</t>
    </r>
    <r>
      <rPr>
        <vertAlign val="subscript"/>
        <sz val="11"/>
        <rFont val="Calibri"/>
        <family val="2"/>
      </rPr>
      <t>ALK</t>
    </r>
    <r>
      <rPr>
        <sz val="11"/>
        <rFont val="Calibri"/>
        <family val="2"/>
      </rPr>
      <t>/(K</t>
    </r>
    <r>
      <rPr>
        <vertAlign val="subscript"/>
        <sz val="11"/>
        <rFont val="Calibri"/>
        <family val="2"/>
      </rPr>
      <t>ALK,PRE</t>
    </r>
    <r>
      <rPr>
        <sz val="11"/>
        <rFont val="Calibri"/>
        <family val="2"/>
      </rPr>
      <t>+S</t>
    </r>
    <r>
      <rPr>
        <vertAlign val="subscript"/>
        <sz val="11"/>
        <rFont val="Calibri"/>
        <family val="2"/>
      </rPr>
      <t>ALK</t>
    </r>
    <r>
      <rPr>
        <sz val="11"/>
        <rFont val="Calibri"/>
        <family val="2"/>
      </rPr>
      <t>)</t>
    </r>
  </si>
  <si>
    <t>Saturation term for alkalinity (precipitation)</t>
  </si>
  <si>
    <r>
      <t>K</t>
    </r>
    <r>
      <rPr>
        <i/>
        <vertAlign val="subscript"/>
        <sz val="12"/>
        <rFont val="Arial"/>
        <family val="2"/>
      </rPr>
      <t>h</t>
    </r>
    <r>
      <rPr>
        <i/>
        <sz val="12"/>
        <rFont val="Arial"/>
        <family val="2"/>
      </rPr>
      <t>*Msat</t>
    </r>
    <r>
      <rPr>
        <i/>
        <vertAlign val="subscript"/>
        <sz val="12"/>
        <rFont val="Arial"/>
        <family val="2"/>
      </rPr>
      <t>SO2,KO2,HYD</t>
    </r>
    <r>
      <rPr>
        <i/>
        <sz val="12"/>
        <rFont val="Arial"/>
        <family val="2"/>
      </rPr>
      <t>*MRsat</t>
    </r>
    <r>
      <rPr>
        <i/>
        <vertAlign val="subscript"/>
        <sz val="12"/>
        <rFont val="Arial"/>
        <family val="2"/>
      </rPr>
      <t>XS,XH,KX</t>
    </r>
    <r>
      <rPr>
        <i/>
        <sz val="12"/>
        <rFont val="Arial"/>
        <family val="2"/>
      </rPr>
      <t>*X</t>
    </r>
    <r>
      <rPr>
        <i/>
        <vertAlign val="subscript"/>
        <sz val="12"/>
        <rFont val="Arial"/>
        <family val="2"/>
      </rPr>
      <t>H</t>
    </r>
  </si>
  <si>
    <r>
      <t>K</t>
    </r>
    <r>
      <rPr>
        <i/>
        <vertAlign val="subscript"/>
        <sz val="12"/>
        <rFont val="Arial"/>
        <family val="2"/>
      </rPr>
      <t>h</t>
    </r>
    <r>
      <rPr>
        <i/>
        <sz val="12"/>
        <rFont val="Arial"/>
        <family val="2"/>
      </rPr>
      <t>*η</t>
    </r>
    <r>
      <rPr>
        <i/>
        <vertAlign val="subscript"/>
        <sz val="12"/>
        <rFont val="Arial"/>
        <family val="2"/>
      </rPr>
      <t>NO3,HYD</t>
    </r>
    <r>
      <rPr>
        <i/>
        <sz val="12"/>
        <rFont val="Arial"/>
        <family val="2"/>
      </rPr>
      <t>*Minh</t>
    </r>
    <r>
      <rPr>
        <i/>
        <vertAlign val="subscript"/>
        <sz val="12"/>
        <rFont val="Arial"/>
        <family val="2"/>
      </rPr>
      <t>SO2,KO2,HYD</t>
    </r>
    <r>
      <rPr>
        <i/>
        <sz val="12"/>
        <rFont val="Arial"/>
        <family val="2"/>
      </rPr>
      <t>*Msat</t>
    </r>
    <r>
      <rPr>
        <i/>
        <vertAlign val="subscript"/>
        <sz val="12"/>
        <rFont val="Arial"/>
        <family val="2"/>
      </rPr>
      <t>SNO3,KNO3,HYD</t>
    </r>
    <r>
      <rPr>
        <i/>
        <sz val="12"/>
        <rFont val="Arial"/>
        <family val="2"/>
      </rPr>
      <t>*MRsat</t>
    </r>
    <r>
      <rPr>
        <i/>
        <vertAlign val="subscript"/>
        <sz val="12"/>
        <rFont val="Arial"/>
        <family val="2"/>
      </rPr>
      <t>XS,XH,KX</t>
    </r>
    <r>
      <rPr>
        <i/>
        <sz val="12"/>
        <rFont val="Arial"/>
        <family val="2"/>
      </rPr>
      <t>*X</t>
    </r>
    <r>
      <rPr>
        <i/>
        <vertAlign val="subscript"/>
        <sz val="12"/>
        <rFont val="Arial"/>
        <family val="2"/>
      </rPr>
      <t>H</t>
    </r>
  </si>
  <si>
    <r>
      <t>K</t>
    </r>
    <r>
      <rPr>
        <i/>
        <vertAlign val="subscript"/>
        <sz val="12"/>
        <rFont val="Arial"/>
        <family val="2"/>
      </rPr>
      <t>h</t>
    </r>
    <r>
      <rPr>
        <i/>
        <sz val="12"/>
        <rFont val="Arial"/>
        <family val="2"/>
      </rPr>
      <t>*η</t>
    </r>
    <r>
      <rPr>
        <i/>
        <vertAlign val="subscript"/>
        <sz val="12"/>
        <rFont val="Arial"/>
        <family val="2"/>
      </rPr>
      <t>fe</t>
    </r>
    <r>
      <rPr>
        <i/>
        <sz val="12"/>
        <rFont val="Arial"/>
        <family val="2"/>
      </rPr>
      <t>*Minh</t>
    </r>
    <r>
      <rPr>
        <i/>
        <vertAlign val="subscript"/>
        <sz val="12"/>
        <rFont val="Arial"/>
        <family val="2"/>
      </rPr>
      <t>SO2,KO2,HYD</t>
    </r>
    <r>
      <rPr>
        <i/>
        <sz val="12"/>
        <rFont val="Arial"/>
        <family val="2"/>
      </rPr>
      <t>*Minh</t>
    </r>
    <r>
      <rPr>
        <i/>
        <vertAlign val="subscript"/>
        <sz val="12"/>
        <rFont val="Arial"/>
        <family val="2"/>
      </rPr>
      <t>SNO3,KNO3,HYD</t>
    </r>
    <r>
      <rPr>
        <i/>
        <sz val="12"/>
        <rFont val="Arial"/>
        <family val="2"/>
      </rPr>
      <t>*MRsat</t>
    </r>
    <r>
      <rPr>
        <i/>
        <vertAlign val="subscript"/>
        <sz val="12"/>
        <rFont val="Arial"/>
        <family val="2"/>
      </rPr>
      <t>XS,XH,KX</t>
    </r>
    <r>
      <rPr>
        <i/>
        <sz val="12"/>
        <rFont val="Arial"/>
        <family val="2"/>
      </rPr>
      <t>*X</t>
    </r>
    <r>
      <rPr>
        <i/>
        <vertAlign val="subscript"/>
        <sz val="12"/>
        <rFont val="Arial"/>
        <family val="2"/>
      </rPr>
      <t>H</t>
    </r>
  </si>
  <si>
    <r>
      <t>q</t>
    </r>
    <r>
      <rPr>
        <i/>
        <vertAlign val="subscript"/>
        <sz val="12"/>
        <rFont val="Arial"/>
        <family val="2"/>
      </rPr>
      <t>fe</t>
    </r>
    <r>
      <rPr>
        <i/>
        <sz val="12"/>
        <rFont val="Arial"/>
        <family val="2"/>
      </rPr>
      <t>*Minh</t>
    </r>
    <r>
      <rPr>
        <i/>
        <vertAlign val="subscript"/>
        <sz val="12"/>
        <rFont val="Arial"/>
        <family val="2"/>
      </rPr>
      <t>SO2,KO2,H</t>
    </r>
    <r>
      <rPr>
        <i/>
        <sz val="12"/>
        <rFont val="Arial"/>
        <family val="2"/>
      </rPr>
      <t>*Minh</t>
    </r>
    <r>
      <rPr>
        <i/>
        <vertAlign val="subscript"/>
        <sz val="12"/>
        <rFont val="Arial"/>
        <family val="2"/>
      </rPr>
      <t>SNO3,KNO3,H</t>
    </r>
    <r>
      <rPr>
        <i/>
        <sz val="12"/>
        <rFont val="Arial"/>
        <family val="2"/>
      </rPr>
      <t>*Msat</t>
    </r>
    <r>
      <rPr>
        <i/>
        <vertAlign val="subscript"/>
        <sz val="12"/>
        <rFont val="Arial"/>
        <family val="2"/>
      </rPr>
      <t>SF,Kfe</t>
    </r>
    <r>
      <rPr>
        <i/>
        <sz val="12"/>
        <rFont val="Arial"/>
        <family val="2"/>
      </rPr>
      <t>*Msat</t>
    </r>
    <r>
      <rPr>
        <i/>
        <vertAlign val="subscript"/>
        <sz val="12"/>
        <rFont val="Arial"/>
        <family val="2"/>
      </rPr>
      <t>SALK,KALK,H</t>
    </r>
    <r>
      <rPr>
        <i/>
        <sz val="12"/>
        <rFont val="Arial"/>
        <family val="2"/>
      </rPr>
      <t>*X</t>
    </r>
    <r>
      <rPr>
        <i/>
        <vertAlign val="subscript"/>
        <sz val="12"/>
        <rFont val="Arial"/>
        <family val="2"/>
      </rPr>
      <t>H</t>
    </r>
  </si>
  <si>
    <r>
      <t>q</t>
    </r>
    <r>
      <rPr>
        <i/>
        <vertAlign val="subscript"/>
        <sz val="12"/>
        <rFont val="Arial"/>
        <family val="2"/>
      </rPr>
      <t>PHA</t>
    </r>
    <r>
      <rPr>
        <i/>
        <sz val="12"/>
        <rFont val="Arial"/>
        <family val="2"/>
      </rPr>
      <t>*Msat</t>
    </r>
    <r>
      <rPr>
        <i/>
        <vertAlign val="subscript"/>
        <sz val="12"/>
        <rFont val="Arial"/>
        <family val="2"/>
      </rPr>
      <t>SA,KA,PAO</t>
    </r>
    <r>
      <rPr>
        <i/>
        <sz val="12"/>
        <rFont val="Arial"/>
        <family val="2"/>
      </rPr>
      <t>*Msat</t>
    </r>
    <r>
      <rPr>
        <i/>
        <vertAlign val="subscript"/>
        <sz val="12"/>
        <rFont val="Arial"/>
        <family val="2"/>
      </rPr>
      <t>SALK,KALK,PAO</t>
    </r>
    <r>
      <rPr>
        <i/>
        <sz val="12"/>
        <rFont val="Arial"/>
        <family val="2"/>
      </rPr>
      <t>*MRsat</t>
    </r>
    <r>
      <rPr>
        <i/>
        <vertAlign val="subscript"/>
        <sz val="12"/>
        <rFont val="Arial"/>
        <family val="2"/>
      </rPr>
      <t>XPP,XPAO,KPP</t>
    </r>
    <r>
      <rPr>
        <i/>
        <sz val="12"/>
        <rFont val="Arial"/>
        <family val="2"/>
      </rPr>
      <t>*X</t>
    </r>
    <r>
      <rPr>
        <i/>
        <vertAlign val="subscript"/>
        <sz val="12"/>
        <rFont val="Arial"/>
        <family val="2"/>
      </rPr>
      <t>PAO</t>
    </r>
  </si>
  <si>
    <r>
      <t>q</t>
    </r>
    <r>
      <rPr>
        <i/>
        <vertAlign val="subscript"/>
        <sz val="12"/>
        <rFont val="Arial"/>
        <family val="2"/>
      </rPr>
      <t>PP</t>
    </r>
    <r>
      <rPr>
        <i/>
        <sz val="12"/>
        <rFont val="Arial"/>
        <family val="2"/>
      </rPr>
      <t>*Msat</t>
    </r>
    <r>
      <rPr>
        <i/>
        <vertAlign val="subscript"/>
        <sz val="12"/>
        <rFont val="Arial"/>
        <family val="2"/>
      </rPr>
      <t>SO2,KO2,PAO</t>
    </r>
    <r>
      <rPr>
        <i/>
        <sz val="12"/>
        <rFont val="Arial"/>
        <family val="2"/>
      </rPr>
      <t>*Msat</t>
    </r>
    <r>
      <rPr>
        <i/>
        <vertAlign val="subscript"/>
        <sz val="12"/>
        <rFont val="Arial"/>
        <family val="2"/>
      </rPr>
      <t>SPO4,KPS</t>
    </r>
    <r>
      <rPr>
        <i/>
        <sz val="12"/>
        <rFont val="Arial"/>
        <family val="2"/>
      </rPr>
      <t>*Msat</t>
    </r>
    <r>
      <rPr>
        <i/>
        <vertAlign val="subscript"/>
        <sz val="12"/>
        <rFont val="Arial"/>
        <family val="2"/>
      </rPr>
      <t>SALK,KALK,PAO</t>
    </r>
    <r>
      <rPr>
        <i/>
        <sz val="12"/>
        <rFont val="Arial"/>
        <family val="2"/>
      </rPr>
      <t>*MRsat</t>
    </r>
    <r>
      <rPr>
        <i/>
        <vertAlign val="subscript"/>
        <sz val="12"/>
        <rFont val="Arial"/>
        <family val="2"/>
      </rPr>
      <t>XPHA,XPAO,KPHA</t>
    </r>
    <r>
      <rPr>
        <i/>
        <sz val="12"/>
        <rFont val="Arial"/>
        <family val="2"/>
      </rPr>
      <t>*MRinh</t>
    </r>
    <r>
      <rPr>
        <i/>
        <vertAlign val="subscript"/>
        <sz val="12"/>
        <rFont val="Arial"/>
        <family val="2"/>
      </rPr>
      <t>XPP,XPAO,KiPP</t>
    </r>
    <r>
      <rPr>
        <i/>
        <sz val="12"/>
        <rFont val="Arial"/>
        <family val="2"/>
      </rPr>
      <t>*X</t>
    </r>
    <r>
      <rPr>
        <i/>
        <vertAlign val="subscript"/>
        <sz val="12"/>
        <rFont val="Arial"/>
        <family val="2"/>
      </rPr>
      <t>PAO</t>
    </r>
  </si>
  <si>
    <r>
      <t>q</t>
    </r>
    <r>
      <rPr>
        <i/>
        <vertAlign val="subscript"/>
        <sz val="12"/>
        <rFont val="Arial"/>
        <family val="2"/>
      </rPr>
      <t>PP</t>
    </r>
    <r>
      <rPr>
        <i/>
        <sz val="12"/>
        <rFont val="Arial"/>
        <family val="2"/>
      </rPr>
      <t>*η</t>
    </r>
    <r>
      <rPr>
        <i/>
        <vertAlign val="subscript"/>
        <sz val="12"/>
        <rFont val="Arial"/>
        <family val="2"/>
      </rPr>
      <t>NO3,PAO</t>
    </r>
    <r>
      <rPr>
        <i/>
        <sz val="12"/>
        <rFont val="Arial"/>
        <family val="2"/>
      </rPr>
      <t>*Msat</t>
    </r>
    <r>
      <rPr>
        <i/>
        <vertAlign val="subscript"/>
        <sz val="12"/>
        <rFont val="Arial"/>
        <family val="2"/>
      </rPr>
      <t>SNO3,KNO3,PAO</t>
    </r>
    <r>
      <rPr>
        <i/>
        <sz val="12"/>
        <rFont val="Arial"/>
        <family val="2"/>
      </rPr>
      <t>*Minh</t>
    </r>
    <r>
      <rPr>
        <i/>
        <vertAlign val="subscript"/>
        <sz val="12"/>
        <rFont val="Arial"/>
        <family val="2"/>
      </rPr>
      <t>SO2,KO2,PAO</t>
    </r>
    <r>
      <rPr>
        <i/>
        <sz val="12"/>
        <rFont val="Arial"/>
        <family val="2"/>
      </rPr>
      <t>*Msat</t>
    </r>
    <r>
      <rPr>
        <i/>
        <vertAlign val="subscript"/>
        <sz val="12"/>
        <rFont val="Arial"/>
        <family val="2"/>
      </rPr>
      <t>SPO4,KPS</t>
    </r>
    <r>
      <rPr>
        <i/>
        <sz val="12"/>
        <rFont val="Arial"/>
        <family val="2"/>
      </rPr>
      <t>*Msat</t>
    </r>
    <r>
      <rPr>
        <i/>
        <vertAlign val="subscript"/>
        <sz val="12"/>
        <rFont val="Arial"/>
        <family val="2"/>
      </rPr>
      <t>SALK,KALK,PAO</t>
    </r>
    <r>
      <rPr>
        <i/>
        <sz val="12"/>
        <rFont val="Arial"/>
        <family val="2"/>
      </rPr>
      <t>*MRsat</t>
    </r>
    <r>
      <rPr>
        <i/>
        <vertAlign val="subscript"/>
        <sz val="12"/>
        <rFont val="Arial"/>
        <family val="2"/>
      </rPr>
      <t>XPHA,XPAO,KPHA</t>
    </r>
    <r>
      <rPr>
        <i/>
        <sz val="12"/>
        <rFont val="Arial"/>
        <family val="2"/>
      </rPr>
      <t>*MRinh</t>
    </r>
    <r>
      <rPr>
        <i/>
        <vertAlign val="subscript"/>
        <sz val="12"/>
        <rFont val="Arial"/>
        <family val="2"/>
      </rPr>
      <t>XPP,XPAO,KiPP</t>
    </r>
    <r>
      <rPr>
        <i/>
        <sz val="12"/>
        <rFont val="Arial"/>
        <family val="2"/>
      </rPr>
      <t>*X</t>
    </r>
    <r>
      <rPr>
        <i/>
        <vertAlign val="subscript"/>
        <sz val="12"/>
        <rFont val="Arial"/>
        <family val="2"/>
      </rPr>
      <t>PAO</t>
    </r>
  </si>
  <si>
    <r>
      <t>μ</t>
    </r>
    <r>
      <rPr>
        <i/>
        <vertAlign val="subscript"/>
        <sz val="12"/>
        <rFont val="Arial"/>
        <family val="2"/>
      </rPr>
      <t>PAO</t>
    </r>
    <r>
      <rPr>
        <i/>
        <sz val="12"/>
        <rFont val="Arial"/>
        <family val="2"/>
      </rPr>
      <t>*Msat</t>
    </r>
    <r>
      <rPr>
        <i/>
        <vertAlign val="subscript"/>
        <sz val="12"/>
        <rFont val="Arial"/>
        <family val="2"/>
      </rPr>
      <t>SO2,KO2,PAO</t>
    </r>
    <r>
      <rPr>
        <i/>
        <sz val="12"/>
        <rFont val="Arial"/>
        <family val="2"/>
      </rPr>
      <t>*Msat</t>
    </r>
    <r>
      <rPr>
        <i/>
        <vertAlign val="subscript"/>
        <sz val="12"/>
        <rFont val="Arial"/>
        <family val="2"/>
      </rPr>
      <t>SNH4,KNH4,PAO</t>
    </r>
    <r>
      <rPr>
        <i/>
        <sz val="12"/>
        <rFont val="Arial"/>
        <family val="2"/>
      </rPr>
      <t>*Msat</t>
    </r>
    <r>
      <rPr>
        <i/>
        <vertAlign val="subscript"/>
        <sz val="12"/>
        <rFont val="Arial"/>
        <family val="2"/>
      </rPr>
      <t>SPO4,KP,PAO</t>
    </r>
    <r>
      <rPr>
        <i/>
        <sz val="12"/>
        <rFont val="Arial"/>
        <family val="2"/>
      </rPr>
      <t>*Msat</t>
    </r>
    <r>
      <rPr>
        <i/>
        <vertAlign val="subscript"/>
        <sz val="12"/>
        <rFont val="Arial"/>
        <family val="2"/>
      </rPr>
      <t>SALK,KALK,PAO</t>
    </r>
    <r>
      <rPr>
        <i/>
        <sz val="12"/>
        <rFont val="Arial"/>
        <family val="2"/>
      </rPr>
      <t>*MRsat</t>
    </r>
    <r>
      <rPr>
        <i/>
        <vertAlign val="subscript"/>
        <sz val="12"/>
        <rFont val="Arial"/>
        <family val="2"/>
      </rPr>
      <t>XPHA,XPAO,KPHA</t>
    </r>
    <r>
      <rPr>
        <i/>
        <sz val="12"/>
        <rFont val="Arial"/>
        <family val="2"/>
      </rPr>
      <t>*X</t>
    </r>
    <r>
      <rPr>
        <i/>
        <vertAlign val="subscript"/>
        <sz val="12"/>
        <rFont val="Arial"/>
        <family val="2"/>
      </rPr>
      <t>PAO</t>
    </r>
  </si>
  <si>
    <r>
      <t>μ</t>
    </r>
    <r>
      <rPr>
        <i/>
        <vertAlign val="subscript"/>
        <sz val="12"/>
        <rFont val="Arial"/>
        <family val="2"/>
      </rPr>
      <t>PAO</t>
    </r>
    <r>
      <rPr>
        <i/>
        <sz val="12"/>
        <rFont val="Arial"/>
        <family val="2"/>
      </rPr>
      <t>*η</t>
    </r>
    <r>
      <rPr>
        <i/>
        <vertAlign val="subscript"/>
        <sz val="12"/>
        <rFont val="Arial"/>
        <family val="2"/>
      </rPr>
      <t>NO3,PAO</t>
    </r>
    <r>
      <rPr>
        <i/>
        <sz val="12"/>
        <rFont val="Arial"/>
        <family val="2"/>
      </rPr>
      <t>*Minh</t>
    </r>
    <r>
      <rPr>
        <i/>
        <vertAlign val="subscript"/>
        <sz val="12"/>
        <rFont val="Arial"/>
        <family val="2"/>
      </rPr>
      <t>SO2,KO2,PAO</t>
    </r>
    <r>
      <rPr>
        <i/>
        <sz val="12"/>
        <rFont val="Arial"/>
        <family val="2"/>
      </rPr>
      <t>*Msat</t>
    </r>
    <r>
      <rPr>
        <i/>
        <vertAlign val="subscript"/>
        <sz val="12"/>
        <rFont val="Arial"/>
        <family val="2"/>
      </rPr>
      <t>SNO3,KNO3,PAO</t>
    </r>
    <r>
      <rPr>
        <i/>
        <sz val="12"/>
        <rFont val="Arial"/>
        <family val="2"/>
      </rPr>
      <t>*Msat</t>
    </r>
    <r>
      <rPr>
        <i/>
        <vertAlign val="subscript"/>
        <sz val="12"/>
        <rFont val="Arial"/>
        <family val="2"/>
      </rPr>
      <t>SNH4,KNH4,PAO</t>
    </r>
    <r>
      <rPr>
        <i/>
        <sz val="12"/>
        <rFont val="Arial"/>
        <family val="2"/>
      </rPr>
      <t>*Msat</t>
    </r>
    <r>
      <rPr>
        <i/>
        <vertAlign val="subscript"/>
        <sz val="12"/>
        <rFont val="Arial"/>
        <family val="2"/>
      </rPr>
      <t>SPO4,KP,PAO</t>
    </r>
    <r>
      <rPr>
        <i/>
        <sz val="12"/>
        <rFont val="Arial"/>
        <family val="2"/>
      </rPr>
      <t>*Msat</t>
    </r>
    <r>
      <rPr>
        <i/>
        <vertAlign val="subscript"/>
        <sz val="12"/>
        <rFont val="Arial"/>
        <family val="2"/>
      </rPr>
      <t>SALK,KALK,PAO</t>
    </r>
    <r>
      <rPr>
        <i/>
        <sz val="12"/>
        <rFont val="Arial"/>
        <family val="2"/>
      </rPr>
      <t>*MRsat</t>
    </r>
    <r>
      <rPr>
        <i/>
        <vertAlign val="subscript"/>
        <sz val="12"/>
        <rFont val="Arial"/>
        <family val="2"/>
      </rPr>
      <t>XPHA,XPAO,KPHA</t>
    </r>
    <r>
      <rPr>
        <i/>
        <sz val="12"/>
        <rFont val="Arial"/>
        <family val="2"/>
      </rPr>
      <t>*X</t>
    </r>
    <r>
      <rPr>
        <i/>
        <vertAlign val="subscript"/>
        <sz val="12"/>
        <rFont val="Arial"/>
        <family val="2"/>
      </rPr>
      <t>PAO</t>
    </r>
  </si>
  <si>
    <r>
      <t>b</t>
    </r>
    <r>
      <rPr>
        <i/>
        <vertAlign val="subscript"/>
        <sz val="12"/>
        <rFont val="Arial"/>
        <family val="2"/>
      </rPr>
      <t>PAO</t>
    </r>
    <r>
      <rPr>
        <i/>
        <sz val="12"/>
        <rFont val="Arial"/>
        <family val="2"/>
      </rPr>
      <t>*X</t>
    </r>
    <r>
      <rPr>
        <i/>
        <vertAlign val="subscript"/>
        <sz val="12"/>
        <rFont val="Arial"/>
        <family val="2"/>
      </rPr>
      <t>PAO</t>
    </r>
    <r>
      <rPr>
        <i/>
        <sz val="12"/>
        <rFont val="Arial"/>
        <family val="2"/>
      </rPr>
      <t>*Msat</t>
    </r>
    <r>
      <rPr>
        <i/>
        <vertAlign val="subscript"/>
        <sz val="12"/>
        <rFont val="Arial"/>
        <family val="2"/>
      </rPr>
      <t>SALK,KALK,PAO</t>
    </r>
  </si>
  <si>
    <r>
      <t>b</t>
    </r>
    <r>
      <rPr>
        <i/>
        <vertAlign val="subscript"/>
        <sz val="12"/>
        <rFont val="Arial"/>
        <family val="2"/>
      </rPr>
      <t>PP</t>
    </r>
    <r>
      <rPr>
        <i/>
        <sz val="12"/>
        <rFont val="Arial"/>
        <family val="2"/>
      </rPr>
      <t>*Msat</t>
    </r>
    <r>
      <rPr>
        <i/>
        <vertAlign val="subscript"/>
        <sz val="12"/>
        <rFont val="Arial"/>
        <family val="2"/>
      </rPr>
      <t>SALK,KALK,PAO</t>
    </r>
    <r>
      <rPr>
        <i/>
        <sz val="12"/>
        <rFont val="Arial"/>
        <family val="2"/>
      </rPr>
      <t>*(X</t>
    </r>
    <r>
      <rPr>
        <i/>
        <vertAlign val="subscript"/>
        <sz val="12"/>
        <rFont val="Arial"/>
        <family val="2"/>
      </rPr>
      <t>PP</t>
    </r>
    <r>
      <rPr>
        <i/>
        <sz val="12"/>
        <rFont val="Arial"/>
        <family val="2"/>
      </rPr>
      <t>/X</t>
    </r>
    <r>
      <rPr>
        <i/>
        <vertAlign val="subscript"/>
        <sz val="12"/>
        <rFont val="Arial"/>
        <family val="2"/>
      </rPr>
      <t>PAO</t>
    </r>
    <r>
      <rPr>
        <i/>
        <sz val="12"/>
        <rFont val="Arial"/>
        <family val="2"/>
      </rPr>
      <t>)*X</t>
    </r>
    <r>
      <rPr>
        <i/>
        <vertAlign val="subscript"/>
        <sz val="12"/>
        <rFont val="Arial"/>
        <family val="2"/>
      </rPr>
      <t>PAO</t>
    </r>
  </si>
  <si>
    <r>
      <t>b</t>
    </r>
    <r>
      <rPr>
        <i/>
        <vertAlign val="subscript"/>
        <sz val="12"/>
        <rFont val="Arial"/>
        <family val="2"/>
      </rPr>
      <t>PHA</t>
    </r>
    <r>
      <rPr>
        <i/>
        <sz val="12"/>
        <rFont val="Arial"/>
        <family val="2"/>
      </rPr>
      <t>*Msat</t>
    </r>
    <r>
      <rPr>
        <i/>
        <vertAlign val="subscript"/>
        <sz val="12"/>
        <rFont val="Arial"/>
        <family val="2"/>
      </rPr>
      <t>SALK,KALK,PAO</t>
    </r>
    <r>
      <rPr>
        <i/>
        <sz val="12"/>
        <rFont val="Arial"/>
        <family val="2"/>
      </rPr>
      <t>*(X</t>
    </r>
    <r>
      <rPr>
        <i/>
        <vertAlign val="subscript"/>
        <sz val="12"/>
        <rFont val="Arial"/>
        <family val="2"/>
      </rPr>
      <t>PHA</t>
    </r>
    <r>
      <rPr>
        <i/>
        <sz val="12"/>
        <rFont val="Arial"/>
        <family val="2"/>
      </rPr>
      <t>/X</t>
    </r>
    <r>
      <rPr>
        <i/>
        <vertAlign val="subscript"/>
        <sz val="12"/>
        <rFont val="Arial"/>
        <family val="2"/>
      </rPr>
      <t>PAO</t>
    </r>
    <r>
      <rPr>
        <i/>
        <sz val="12"/>
        <rFont val="Arial"/>
        <family val="2"/>
      </rPr>
      <t>)*X</t>
    </r>
    <r>
      <rPr>
        <i/>
        <vertAlign val="subscript"/>
        <sz val="12"/>
        <rFont val="Arial"/>
        <family val="2"/>
      </rPr>
      <t>PAO</t>
    </r>
  </si>
  <si>
    <r>
      <t>μ</t>
    </r>
    <r>
      <rPr>
        <i/>
        <vertAlign val="subscript"/>
        <sz val="12"/>
        <rFont val="Arial"/>
        <family val="2"/>
      </rPr>
      <t>AUT</t>
    </r>
    <r>
      <rPr>
        <i/>
        <sz val="12"/>
        <rFont val="Arial"/>
        <family val="2"/>
      </rPr>
      <t>*Msat</t>
    </r>
    <r>
      <rPr>
        <i/>
        <vertAlign val="subscript"/>
        <sz val="12"/>
        <rFont val="Arial"/>
        <family val="2"/>
      </rPr>
      <t>SO2,KO2,AUT</t>
    </r>
    <r>
      <rPr>
        <i/>
        <sz val="12"/>
        <rFont val="Arial"/>
        <family val="2"/>
      </rPr>
      <t>*Msat</t>
    </r>
    <r>
      <rPr>
        <i/>
        <vertAlign val="subscript"/>
        <sz val="12"/>
        <rFont val="Arial"/>
        <family val="2"/>
      </rPr>
      <t>SNH4,KNH4,AUT</t>
    </r>
    <r>
      <rPr>
        <i/>
        <sz val="12"/>
        <rFont val="Arial"/>
        <family val="2"/>
      </rPr>
      <t>*Msat</t>
    </r>
    <r>
      <rPr>
        <i/>
        <vertAlign val="subscript"/>
        <sz val="12"/>
        <rFont val="Arial"/>
        <family val="2"/>
      </rPr>
      <t>SPO4,KP,AUT</t>
    </r>
    <r>
      <rPr>
        <i/>
        <sz val="12"/>
        <rFont val="Arial"/>
        <family val="2"/>
      </rPr>
      <t>*Msat</t>
    </r>
    <r>
      <rPr>
        <i/>
        <vertAlign val="subscript"/>
        <sz val="12"/>
        <rFont val="Arial"/>
        <family val="2"/>
      </rPr>
      <t>SALK,KALK,AUT</t>
    </r>
    <r>
      <rPr>
        <i/>
        <sz val="12"/>
        <rFont val="Arial"/>
        <family val="2"/>
      </rPr>
      <t>*X</t>
    </r>
    <r>
      <rPr>
        <i/>
        <vertAlign val="subscript"/>
        <sz val="12"/>
        <rFont val="Arial"/>
        <family val="2"/>
      </rPr>
      <t>AUT</t>
    </r>
  </si>
  <si>
    <r>
      <t>k</t>
    </r>
    <r>
      <rPr>
        <i/>
        <vertAlign val="subscript"/>
        <sz val="12"/>
        <rFont val="Arial"/>
        <family val="2"/>
      </rPr>
      <t>RED</t>
    </r>
    <r>
      <rPr>
        <i/>
        <sz val="12"/>
        <rFont val="Arial"/>
        <family val="2"/>
      </rPr>
      <t>*X</t>
    </r>
    <r>
      <rPr>
        <i/>
        <vertAlign val="subscript"/>
        <sz val="12"/>
        <rFont val="Arial"/>
        <family val="2"/>
      </rPr>
      <t>MeP</t>
    </r>
    <r>
      <rPr>
        <i/>
        <sz val="12"/>
        <rFont val="Arial"/>
        <family val="2"/>
      </rPr>
      <t>*Msat</t>
    </r>
    <r>
      <rPr>
        <i/>
        <vertAlign val="subscript"/>
        <sz val="12"/>
        <rFont val="Arial"/>
        <family val="2"/>
      </rPr>
      <t>SALK,KALK,PRE</t>
    </r>
  </si>
  <si>
    <r>
      <t>(K</t>
    </r>
    <r>
      <rPr>
        <vertAlign val="subscript"/>
        <sz val="11"/>
        <rFont val="Calibri"/>
        <family val="2"/>
      </rPr>
      <t>MAX</t>
    </r>
    <r>
      <rPr>
        <sz val="11"/>
        <rFont val="Calibri"/>
        <family val="2"/>
      </rPr>
      <t>-(X</t>
    </r>
    <r>
      <rPr>
        <vertAlign val="subscript"/>
        <sz val="11"/>
        <rFont val="Calibri"/>
        <family val="2"/>
      </rPr>
      <t>PP</t>
    </r>
    <r>
      <rPr>
        <sz val="11"/>
        <rFont val="Calibri"/>
        <family val="2"/>
      </rPr>
      <t>/X</t>
    </r>
    <r>
      <rPr>
        <vertAlign val="subscript"/>
        <sz val="11"/>
        <rFont val="Calibri"/>
        <family val="2"/>
      </rPr>
      <t>PAO)</t>
    </r>
    <r>
      <rPr>
        <sz val="11"/>
        <rFont val="Calibri"/>
        <family val="2"/>
      </rPr>
      <t>)/(K</t>
    </r>
    <r>
      <rPr>
        <vertAlign val="subscript"/>
        <sz val="11"/>
        <rFont val="Calibri"/>
        <family val="2"/>
      </rPr>
      <t>iPP</t>
    </r>
    <r>
      <rPr>
        <sz val="11"/>
        <rFont val="Calibri"/>
        <family val="2"/>
      </rPr>
      <t>+K</t>
    </r>
    <r>
      <rPr>
        <vertAlign val="subscript"/>
        <sz val="11"/>
        <rFont val="Calibri"/>
        <family val="2"/>
      </rPr>
      <t>MAX</t>
    </r>
    <r>
      <rPr>
        <sz val="11"/>
        <rFont val="Calibri"/>
        <family val="2"/>
      </rPr>
      <t>-(X</t>
    </r>
    <r>
      <rPr>
        <vertAlign val="subscript"/>
        <sz val="11"/>
        <rFont val="Calibri"/>
        <family val="2"/>
      </rPr>
      <t>PP</t>
    </r>
    <r>
      <rPr>
        <sz val="11"/>
        <rFont val="Calibri"/>
        <family val="2"/>
      </rPr>
      <t>/X</t>
    </r>
    <r>
      <rPr>
        <vertAlign val="subscript"/>
        <sz val="11"/>
        <rFont val="Calibri"/>
        <family val="2"/>
      </rPr>
      <t>PAO</t>
    </r>
    <r>
      <rPr>
        <sz val="11"/>
        <rFont val="Calibri"/>
        <family val="2"/>
      </rPr>
      <t>))</t>
    </r>
  </si>
  <si>
    <t>Inhibition term for nitrate and nitrite (hydrolysis)</t>
  </si>
  <si>
    <t>MsatpH(var;k;varpH;kpH)</t>
  </si>
  <si>
    <t>If(Sumo__pHEffects; varpH/(kpH+varpH); var/(k+var))</t>
  </si>
  <si>
    <t>MinhpH(var;k;varpH;kpH)</t>
  </si>
  <si>
    <t>If(Sumo__pHEffects; kpH/(kpH+varpH); k/(k+var))</t>
  </si>
  <si>
    <t>LogsatpH(var; halfval; slope; varpH; halfvalpH; slopepH)</t>
  </si>
  <si>
    <t>Logistic saturation with check for pH availability</t>
  </si>
  <si>
    <t>If( Sumo__pHEffects; 1 / (1 + Exp((halfvalpH - varpH) * slopepH)); 1/((1 + Exp((halfval - var) * slope))))</t>
  </si>
  <si>
    <r>
      <t>Henry</t>
    </r>
    <r>
      <rPr>
        <vertAlign val="subscript"/>
        <sz val="11"/>
        <rFont val="Calibri"/>
        <family val="2"/>
        <scheme val="minor"/>
      </rPr>
      <t>GO2</t>
    </r>
    <r>
      <rPr>
        <sz val="11"/>
        <rFont val="Calibri"/>
        <family val="2"/>
        <scheme val="minor"/>
      </rPr>
      <t>(T)</t>
    </r>
  </si>
  <si>
    <r>
      <t>Henry</t>
    </r>
    <r>
      <rPr>
        <vertAlign val="subscript"/>
        <sz val="11"/>
        <rFont val="Calibri"/>
        <family val="2"/>
        <scheme val="minor"/>
      </rPr>
      <t>GCO2</t>
    </r>
    <r>
      <rPr>
        <sz val="11"/>
        <rFont val="Calibri"/>
        <family val="2"/>
        <scheme val="minor"/>
      </rPr>
      <t>(T)</t>
    </r>
  </si>
  <si>
    <r>
      <t>Henry</t>
    </r>
    <r>
      <rPr>
        <vertAlign val="subscript"/>
        <sz val="11"/>
        <rFont val="Calibri"/>
        <family val="2"/>
        <scheme val="minor"/>
      </rPr>
      <t>GNO</t>
    </r>
    <r>
      <rPr>
        <sz val="11"/>
        <rFont val="Calibri"/>
        <family val="2"/>
        <scheme val="minor"/>
      </rPr>
      <t>(T)</t>
    </r>
  </si>
  <si>
    <r>
      <t>Henry</t>
    </r>
    <r>
      <rPr>
        <vertAlign val="subscript"/>
        <sz val="11"/>
        <rFont val="Calibri"/>
        <family val="2"/>
        <scheme val="minor"/>
      </rPr>
      <t>GN2O</t>
    </r>
    <r>
      <rPr>
        <sz val="11"/>
        <rFont val="Calibri"/>
        <family val="2"/>
        <scheme val="minor"/>
      </rPr>
      <t>(T)</t>
    </r>
  </si>
  <si>
    <r>
      <t>Henry</t>
    </r>
    <r>
      <rPr>
        <vertAlign val="subscript"/>
        <sz val="11"/>
        <rFont val="Calibri"/>
        <family val="2"/>
        <scheme val="minor"/>
      </rPr>
      <t>GN2</t>
    </r>
    <r>
      <rPr>
        <sz val="11"/>
        <rFont val="Calibri"/>
        <family val="2"/>
        <scheme val="minor"/>
      </rPr>
      <t>(T)</t>
    </r>
  </si>
  <si>
    <r>
      <t>Henry</t>
    </r>
    <r>
      <rPr>
        <vertAlign val="subscript"/>
        <sz val="11"/>
        <rFont val="Calibri"/>
        <family val="2"/>
        <scheme val="minor"/>
      </rPr>
      <t>GH2</t>
    </r>
    <r>
      <rPr>
        <sz val="11"/>
        <rFont val="Calibri"/>
        <family val="2"/>
        <scheme val="minor"/>
      </rPr>
      <t>(T)</t>
    </r>
  </si>
  <si>
    <r>
      <t>Henry</t>
    </r>
    <r>
      <rPr>
        <vertAlign val="subscript"/>
        <sz val="11"/>
        <rFont val="Calibri"/>
        <family val="2"/>
        <scheme val="minor"/>
      </rPr>
      <t>GCH4</t>
    </r>
    <r>
      <rPr>
        <sz val="11"/>
        <rFont val="Calibri"/>
        <family val="2"/>
        <scheme val="minor"/>
      </rPr>
      <t>(T)</t>
    </r>
  </si>
  <si>
    <r>
      <t>Henry</t>
    </r>
    <r>
      <rPr>
        <vertAlign val="subscript"/>
        <sz val="11"/>
        <rFont val="Calibri"/>
        <family val="2"/>
        <scheme val="minor"/>
      </rPr>
      <t>GO2,25</t>
    </r>
  </si>
  <si>
    <t>http://webbook.nist.gov/cgi/cbook.cgi?ID=C7782447&amp;Mask=10</t>
  </si>
  <si>
    <r>
      <t>Henry</t>
    </r>
    <r>
      <rPr>
        <vertAlign val="subscript"/>
        <sz val="11"/>
        <rFont val="Calibri"/>
        <family val="2"/>
        <scheme val="minor"/>
      </rPr>
      <t>GO2,dt</t>
    </r>
  </si>
  <si>
    <r>
      <t>Henry</t>
    </r>
    <r>
      <rPr>
        <vertAlign val="subscript"/>
        <sz val="11"/>
        <rFont val="Calibri"/>
        <family val="2"/>
        <scheme val="minor"/>
      </rPr>
      <t>GCO2,25</t>
    </r>
  </si>
  <si>
    <t>http://webbook.nist.gov/cgi/cbook.cgi?ID=C124389&amp;Mask=10</t>
  </si>
  <si>
    <r>
      <t>Henry</t>
    </r>
    <r>
      <rPr>
        <vertAlign val="subscript"/>
        <sz val="11"/>
        <rFont val="Calibri"/>
        <family val="2"/>
        <scheme val="minor"/>
      </rPr>
      <t>GCO2,dt</t>
    </r>
  </si>
  <si>
    <r>
      <t>Henry</t>
    </r>
    <r>
      <rPr>
        <vertAlign val="subscript"/>
        <sz val="11"/>
        <rFont val="Calibri"/>
        <family val="2"/>
        <scheme val="minor"/>
      </rPr>
      <t>GNO,25</t>
    </r>
  </si>
  <si>
    <t>http://webbook.nist.gov/cgi/cbook.cgi?ID=C10102439&amp;Mask=10</t>
  </si>
  <si>
    <r>
      <t>Henry</t>
    </r>
    <r>
      <rPr>
        <vertAlign val="subscript"/>
        <sz val="11"/>
        <rFont val="Calibri"/>
        <family val="2"/>
        <scheme val="minor"/>
      </rPr>
      <t>GNO,dt</t>
    </r>
  </si>
  <si>
    <r>
      <t>Henry</t>
    </r>
    <r>
      <rPr>
        <vertAlign val="subscript"/>
        <sz val="11"/>
        <rFont val="Calibri"/>
        <family val="2"/>
        <scheme val="minor"/>
      </rPr>
      <t>GN2O,25</t>
    </r>
  </si>
  <si>
    <t>http://webbook.nist.gov/cgi/cbook.cgi?ID=C10024972&amp;Mask=10</t>
  </si>
  <si>
    <r>
      <t>Henry</t>
    </r>
    <r>
      <rPr>
        <vertAlign val="subscript"/>
        <sz val="11"/>
        <rFont val="Calibri"/>
        <family val="2"/>
        <scheme val="minor"/>
      </rPr>
      <t>GN2O,dt</t>
    </r>
  </si>
  <si>
    <r>
      <t>Henry</t>
    </r>
    <r>
      <rPr>
        <vertAlign val="subscript"/>
        <sz val="11"/>
        <rFont val="Calibri"/>
        <family val="2"/>
        <scheme val="minor"/>
      </rPr>
      <t>GN2,25</t>
    </r>
  </si>
  <si>
    <t>http://webbook.nist.gov/cgi/cbook.cgi?ID=C7727379&amp;Mask=10</t>
  </si>
  <si>
    <r>
      <t>Henry</t>
    </r>
    <r>
      <rPr>
        <vertAlign val="subscript"/>
        <sz val="11"/>
        <rFont val="Calibri"/>
        <family val="2"/>
        <scheme val="minor"/>
      </rPr>
      <t>GN2,dt</t>
    </r>
  </si>
  <si>
    <r>
      <t>Henry</t>
    </r>
    <r>
      <rPr>
        <vertAlign val="subscript"/>
        <sz val="11"/>
        <rFont val="Calibri"/>
        <family val="2"/>
        <scheme val="minor"/>
      </rPr>
      <t>GH2,25</t>
    </r>
  </si>
  <si>
    <r>
      <t>Henry</t>
    </r>
    <r>
      <rPr>
        <vertAlign val="subscript"/>
        <sz val="11"/>
        <rFont val="Calibri"/>
        <family val="2"/>
        <scheme val="minor"/>
      </rPr>
      <t>GH2,dt</t>
    </r>
  </si>
  <si>
    <r>
      <t>Henry</t>
    </r>
    <r>
      <rPr>
        <vertAlign val="subscript"/>
        <sz val="11"/>
        <rFont val="Calibri"/>
        <family val="2"/>
        <scheme val="minor"/>
      </rPr>
      <t>GCH4,25</t>
    </r>
  </si>
  <si>
    <r>
      <t>Henry</t>
    </r>
    <r>
      <rPr>
        <vertAlign val="subscript"/>
        <sz val="11"/>
        <rFont val="Calibri"/>
        <family val="2"/>
        <scheme val="minor"/>
      </rPr>
      <t>GCH4,dt</t>
    </r>
  </si>
  <si>
    <r>
      <t>c</t>
    </r>
    <r>
      <rPr>
        <vertAlign val="subscript"/>
        <sz val="11"/>
        <rFont val="Calibri"/>
        <family val="2"/>
        <scheme val="minor"/>
      </rPr>
      <t>p,water</t>
    </r>
  </si>
  <si>
    <t>Heat capacity of water at standard temperature (25°C)</t>
  </si>
  <si>
    <r>
      <t>T</t>
    </r>
    <r>
      <rPr>
        <vertAlign val="subscript"/>
        <sz val="11"/>
        <rFont val="Calibri"/>
        <family val="2"/>
        <scheme val="minor"/>
      </rPr>
      <t>null</t>
    </r>
  </si>
  <si>
    <t>0°C in Kelvin</t>
  </si>
  <si>
    <r>
      <t>MM</t>
    </r>
    <r>
      <rPr>
        <vertAlign val="subscript"/>
        <sz val="11"/>
        <rFont val="Calibri"/>
        <family val="2"/>
        <scheme val="minor"/>
      </rPr>
      <t>NH4</t>
    </r>
  </si>
  <si>
    <r>
      <t>MM</t>
    </r>
    <r>
      <rPr>
        <vertAlign val="subscript"/>
        <sz val="11"/>
        <rFont val="Calibri"/>
        <family val="2"/>
        <scheme val="minor"/>
      </rPr>
      <t>NO2</t>
    </r>
  </si>
  <si>
    <r>
      <t>MM</t>
    </r>
    <r>
      <rPr>
        <vertAlign val="subscript"/>
        <sz val="11"/>
        <rFont val="Calibri"/>
        <family val="2"/>
        <scheme val="minor"/>
      </rPr>
      <t>NO3</t>
    </r>
  </si>
  <si>
    <r>
      <t>MM</t>
    </r>
    <r>
      <rPr>
        <vertAlign val="subscript"/>
        <sz val="11"/>
        <rFont val="Calibri"/>
        <family val="2"/>
        <scheme val="minor"/>
      </rPr>
      <t>CO3</t>
    </r>
  </si>
  <si>
    <t>Molecular mass of carbonate</t>
  </si>
  <si>
    <r>
      <t>MM</t>
    </r>
    <r>
      <rPr>
        <vertAlign val="subscript"/>
        <sz val="11"/>
        <rFont val="Calibri"/>
        <family val="2"/>
        <scheme val="minor"/>
      </rPr>
      <t>HCO3</t>
    </r>
  </si>
  <si>
    <t>Molecular mass of hydrogen carbonate</t>
  </si>
  <si>
    <r>
      <t>MM</t>
    </r>
    <r>
      <rPr>
        <vertAlign val="subscript"/>
        <sz val="11"/>
        <rFont val="Calibri"/>
        <family val="2"/>
        <scheme val="minor"/>
      </rPr>
      <t>H2CO3</t>
    </r>
  </si>
  <si>
    <t>Molecular mass of carbonic acid</t>
  </si>
  <si>
    <t>Molecular mass of sulfuric acid</t>
  </si>
  <si>
    <r>
      <t>MM</t>
    </r>
    <r>
      <rPr>
        <vertAlign val="subscript"/>
        <sz val="11"/>
        <rFont val="Calibri"/>
        <family val="2"/>
        <scheme val="minor"/>
      </rPr>
      <t>HCl</t>
    </r>
  </si>
  <si>
    <t>Molecular mass of hydrogen sulfide</t>
  </si>
  <si>
    <t>Molecular mass of calcium carbonate</t>
  </si>
  <si>
    <t>Molecular mass of struvite</t>
  </si>
  <si>
    <r>
      <t>MM</t>
    </r>
    <r>
      <rPr>
        <vertAlign val="subscript"/>
        <sz val="11"/>
        <rFont val="Calibri"/>
        <family val="2"/>
        <scheme val="minor"/>
      </rPr>
      <t>SiO2</t>
    </r>
  </si>
  <si>
    <t>Molecular mass of silica</t>
  </si>
  <si>
    <r>
      <t>K</t>
    </r>
    <r>
      <rPr>
        <vertAlign val="subscript"/>
        <sz val="11"/>
        <rFont val="Calibri"/>
        <family val="2"/>
        <scheme val="minor"/>
      </rPr>
      <t>W,param</t>
    </r>
  </si>
  <si>
    <r>
      <t>K</t>
    </r>
    <r>
      <rPr>
        <vertAlign val="subscript"/>
        <sz val="11"/>
        <rFont val="Calibri"/>
        <family val="2"/>
        <scheme val="minor"/>
      </rPr>
      <t>C1,param</t>
    </r>
  </si>
  <si>
    <r>
      <t>K</t>
    </r>
    <r>
      <rPr>
        <vertAlign val="subscript"/>
        <sz val="11"/>
        <rFont val="Calibri"/>
        <family val="2"/>
        <scheme val="minor"/>
      </rPr>
      <t>C2,param</t>
    </r>
  </si>
  <si>
    <r>
      <t>K</t>
    </r>
    <r>
      <rPr>
        <vertAlign val="subscript"/>
        <sz val="11"/>
        <rFont val="Calibri"/>
        <family val="2"/>
        <scheme val="minor"/>
      </rPr>
      <t>P1,param</t>
    </r>
  </si>
  <si>
    <r>
      <t>K</t>
    </r>
    <r>
      <rPr>
        <vertAlign val="subscript"/>
        <sz val="11"/>
        <rFont val="Calibri"/>
        <family val="2"/>
        <scheme val="minor"/>
      </rPr>
      <t>P2,param</t>
    </r>
  </si>
  <si>
    <r>
      <t>K</t>
    </r>
    <r>
      <rPr>
        <vertAlign val="subscript"/>
        <sz val="11"/>
        <rFont val="Calibri"/>
        <family val="2"/>
        <scheme val="minor"/>
      </rPr>
      <t>P3,param</t>
    </r>
  </si>
  <si>
    <r>
      <t>EEQ</t>
    </r>
    <r>
      <rPr>
        <vertAlign val="subscript"/>
        <sz val="11"/>
        <rFont val="Calibri"/>
        <family val="2"/>
      </rPr>
      <t>NO2,NO3</t>
    </r>
  </si>
  <si>
    <r>
      <t>EEQ</t>
    </r>
    <r>
      <rPr>
        <vertAlign val="subscript"/>
        <sz val="11"/>
        <rFont val="Calibri"/>
        <family val="2"/>
      </rPr>
      <t>N2,NO2</t>
    </r>
  </si>
  <si>
    <r>
      <t>EEQ</t>
    </r>
    <r>
      <rPr>
        <vertAlign val="subscript"/>
        <sz val="11"/>
        <rFont val="Calibri"/>
        <family val="2"/>
      </rPr>
      <t>NO,NO2</t>
    </r>
  </si>
  <si>
    <r>
      <t>EEQ</t>
    </r>
    <r>
      <rPr>
        <vertAlign val="subscript"/>
        <sz val="11"/>
        <rFont val="Calibri"/>
        <family val="2"/>
      </rPr>
      <t>N2O,NO</t>
    </r>
  </si>
  <si>
    <r>
      <t>EEQ</t>
    </r>
    <r>
      <rPr>
        <vertAlign val="subscript"/>
        <sz val="11"/>
        <rFont val="Calibri"/>
        <family val="2"/>
      </rPr>
      <t>N2,N2O</t>
    </r>
  </si>
  <si>
    <t>IS coefficients</t>
  </si>
  <si>
    <r>
      <t>f</t>
    </r>
    <r>
      <rPr>
        <vertAlign val="subscript"/>
        <sz val="11"/>
        <rFont val="Calibri"/>
        <family val="2"/>
        <scheme val="minor"/>
      </rPr>
      <t>mono,IS,cat</t>
    </r>
  </si>
  <si>
    <t>Coefficient for ionic strength calculation for monovalent cations</t>
  </si>
  <si>
    <r>
      <t>f</t>
    </r>
    <r>
      <rPr>
        <vertAlign val="subscript"/>
        <sz val="11"/>
        <rFont val="Calibri"/>
        <family val="2"/>
        <scheme val="minor"/>
      </rPr>
      <t>mono,IS,an</t>
    </r>
  </si>
  <si>
    <t>Coefficient for ionic strength calculation for monovalent anions</t>
  </si>
  <si>
    <r>
      <t>f</t>
    </r>
    <r>
      <rPr>
        <vertAlign val="subscript"/>
        <sz val="11"/>
        <rFont val="Calibri"/>
        <family val="2"/>
        <scheme val="minor"/>
      </rPr>
      <t>di,IS,cat</t>
    </r>
  </si>
  <si>
    <t>Coefficient for ionic strength calculation for divalent cations</t>
  </si>
  <si>
    <r>
      <t>f</t>
    </r>
    <r>
      <rPr>
        <vertAlign val="subscript"/>
        <sz val="11"/>
        <rFont val="Calibri"/>
        <family val="2"/>
        <scheme val="minor"/>
      </rPr>
      <t>di,IS,an</t>
    </r>
  </si>
  <si>
    <t>Coefficient for ionic strength calculation for divalent anions</t>
  </si>
  <si>
    <r>
      <t>f</t>
    </r>
    <r>
      <rPr>
        <vertAlign val="subscript"/>
        <sz val="11"/>
        <rFont val="Calibri"/>
        <family val="2"/>
        <scheme val="minor"/>
      </rPr>
      <t>tri,IS,cat</t>
    </r>
  </si>
  <si>
    <t>Coefficient for ionic strength calculation for trivalent cations</t>
  </si>
  <si>
    <r>
      <t>f</t>
    </r>
    <r>
      <rPr>
        <vertAlign val="subscript"/>
        <sz val="11"/>
        <rFont val="Calibri"/>
        <family val="2"/>
        <scheme val="minor"/>
      </rPr>
      <t>tri,IS,an</t>
    </r>
  </si>
  <si>
    <t>Coefficient for ionic strength calculation for trivalent anions</t>
  </si>
  <si>
    <t>Coefficients for alkalinity calculation</t>
  </si>
  <si>
    <r>
      <t>[H</t>
    </r>
    <r>
      <rPr>
        <vertAlign val="superscript"/>
        <sz val="11"/>
        <rFont val="Calibri"/>
        <family val="2"/>
        <scheme val="minor"/>
      </rPr>
      <t>+</t>
    </r>
    <r>
      <rPr>
        <sz val="11"/>
        <rFont val="Calibri"/>
        <family val="2"/>
        <scheme val="minor"/>
      </rPr>
      <t>]</t>
    </r>
    <r>
      <rPr>
        <vertAlign val="subscript"/>
        <sz val="11"/>
        <rFont val="Calibri"/>
        <family val="2"/>
        <scheme val="minor"/>
      </rPr>
      <t>eq</t>
    </r>
  </si>
  <si>
    <t>Hydrogen ion concentration in equivalence point</t>
  </si>
  <si>
    <r>
      <t>mol.L</t>
    </r>
    <r>
      <rPr>
        <vertAlign val="superscript"/>
        <sz val="11"/>
        <rFont val="Calibri"/>
        <family val="2"/>
        <scheme val="minor"/>
      </rPr>
      <t>-1</t>
    </r>
  </si>
  <si>
    <t>Unit conversion coefficients</t>
  </si>
  <si>
    <r>
      <t>c</t>
    </r>
    <r>
      <rPr>
        <vertAlign val="subscript"/>
        <sz val="11"/>
        <rFont val="Calibri"/>
        <family val="2"/>
        <scheme val="minor"/>
      </rPr>
      <t>ppm,Vconc</t>
    </r>
  </si>
  <si>
    <t>Conversion coefficient between ppm and volumetric concentration</t>
  </si>
  <si>
    <r>
      <t>c</t>
    </r>
    <r>
      <rPr>
        <vertAlign val="subscript"/>
        <sz val="11"/>
        <rFont val="Calibri"/>
        <family val="2"/>
        <scheme val="minor"/>
      </rPr>
      <t>s,d</t>
    </r>
  </si>
  <si>
    <r>
      <t>c</t>
    </r>
    <r>
      <rPr>
        <vertAlign val="subscript"/>
        <sz val="11"/>
        <rFont val="Calibri"/>
        <family val="2"/>
        <scheme val="minor"/>
      </rPr>
      <t>mg,g</t>
    </r>
  </si>
  <si>
    <t>Conversion coefficient between milligrams and grams</t>
  </si>
  <si>
    <r>
      <t>c</t>
    </r>
    <r>
      <rPr>
        <vertAlign val="subscript"/>
        <sz val="11"/>
        <rFont val="Calibri"/>
        <family val="2"/>
        <scheme val="minor"/>
      </rPr>
      <t>g,kg</t>
    </r>
  </si>
  <si>
    <t>Conversion coefficient between grams and kilograms</t>
  </si>
  <si>
    <r>
      <t>c</t>
    </r>
    <r>
      <rPr>
        <vertAlign val="subscript"/>
        <sz val="11"/>
        <rFont val="Calibri"/>
        <family val="2"/>
        <scheme val="minor"/>
      </rPr>
      <t>L,m3</t>
    </r>
  </si>
  <si>
    <r>
      <t>c</t>
    </r>
    <r>
      <rPr>
        <vertAlign val="subscript"/>
        <sz val="11"/>
        <rFont val="Calibri"/>
        <family val="2"/>
        <scheme val="minor"/>
      </rPr>
      <t>Pa,Hgmm</t>
    </r>
  </si>
  <si>
    <r>
      <t>c</t>
    </r>
    <r>
      <rPr>
        <vertAlign val="subscript"/>
        <sz val="11"/>
        <rFont val="Calibri"/>
        <family val="2"/>
        <scheme val="minor"/>
      </rPr>
      <t>Pa,bar</t>
    </r>
  </si>
  <si>
    <r>
      <t>c</t>
    </r>
    <r>
      <rPr>
        <vertAlign val="subscript"/>
        <sz val="11"/>
        <rFont val="Calibri"/>
        <family val="2"/>
        <scheme val="minor"/>
      </rPr>
      <t>cm2,m2</t>
    </r>
  </si>
  <si>
    <t>Standard enthalpy of formation of species</t>
  </si>
  <si>
    <t>Standard enthalpy of proton</t>
  </si>
  <si>
    <t>http://www.riverdell.org/cms/lib05/NJ01001380/Centricity/Domain/68/Thermodynamic_Values.pdf</t>
  </si>
  <si>
    <t>Standard enthalpy of oxonium ion</t>
  </si>
  <si>
    <t>http://www.vias.org/genchem/standard_enthalpies_table.html</t>
  </si>
  <si>
    <t>Standard enthalpy of hydroxil ion</t>
  </si>
  <si>
    <t>Standard enthalpy of free ammonia</t>
  </si>
  <si>
    <t>Standard enthalpy of ammonium</t>
  </si>
  <si>
    <t>Standard enthalpy of nitrous acid</t>
  </si>
  <si>
    <t>Standard enthalpy of nitrite</t>
  </si>
  <si>
    <t>Standard enthalpy of nitrate</t>
  </si>
  <si>
    <t>Standard enthalpy of carbonic acid</t>
  </si>
  <si>
    <t>Standard enthalpy of bicarbonate ion</t>
  </si>
  <si>
    <t>Standard enthalpy of carbonate ion</t>
  </si>
  <si>
    <t>Standard enthalpy of phosphric acid</t>
  </si>
  <si>
    <t>Perry's Chemical Engineering Handbook, Chap. 2</t>
  </si>
  <si>
    <t>Standard enthalpy of dihydrogen phosphate ion</t>
  </si>
  <si>
    <t>http://bluedevilchem.com/honorshome/hch10/hch10docs/files/heatsformation.pdf</t>
  </si>
  <si>
    <t>Standard enthalpy of hydrogen phosphate ion</t>
  </si>
  <si>
    <t>Standard enthalpy of phosphate ion</t>
  </si>
  <si>
    <t>Standard enthalpy of acetic acid</t>
  </si>
  <si>
    <t>Standard enthalpy of acetate ion</t>
  </si>
  <si>
    <t>Standard enthalpy of formation of compounds</t>
  </si>
  <si>
    <r>
      <t>H</t>
    </r>
    <r>
      <rPr>
        <vertAlign val="subscript"/>
        <sz val="11"/>
        <rFont val="Calibri"/>
        <family val="2"/>
        <scheme val="minor"/>
      </rPr>
      <t>H2O</t>
    </r>
  </si>
  <si>
    <t>Standard enthalpy of formation of H2O (l)</t>
  </si>
  <si>
    <t>Perry's Chemical Engineering Handbook, 2-189</t>
  </si>
  <si>
    <r>
      <t>T</t>
    </r>
    <r>
      <rPr>
        <vertAlign val="subscript"/>
        <sz val="11"/>
        <rFont val="Calibri"/>
        <family val="2"/>
        <scheme val="minor"/>
      </rPr>
      <t>KN</t>
    </r>
    <r>
      <rPr>
        <sz val="11"/>
        <rFont val="Calibri"/>
        <family val="2"/>
        <scheme val="minor"/>
      </rPr>
      <t xml:space="preserve"> +S</t>
    </r>
    <r>
      <rPr>
        <vertAlign val="subscript"/>
        <sz val="11"/>
        <rFont val="Calibri"/>
        <family val="2"/>
        <scheme val="minor"/>
      </rPr>
      <t>NO3</t>
    </r>
  </si>
  <si>
    <r>
      <t>S</t>
    </r>
    <r>
      <rPr>
        <vertAlign val="subscript"/>
        <sz val="11"/>
        <rFont val="Calibri"/>
        <family val="2"/>
        <scheme val="minor"/>
      </rPr>
      <t>F</t>
    </r>
    <r>
      <rPr>
        <sz val="11"/>
        <rFont val="Calibri"/>
        <family val="2"/>
        <scheme val="minor"/>
      </rPr>
      <t>+S</t>
    </r>
    <r>
      <rPr>
        <vertAlign val="subscript"/>
        <sz val="11"/>
        <rFont val="Calibri"/>
        <family val="2"/>
        <scheme val="minor"/>
      </rPr>
      <t xml:space="preserve">A </t>
    </r>
    <r>
      <rPr>
        <sz val="11"/>
        <rFont val="Calibri"/>
        <family val="2"/>
        <scheme val="minor"/>
      </rPr>
      <t>+S</t>
    </r>
    <r>
      <rPr>
        <vertAlign val="subscript"/>
        <sz val="11"/>
        <rFont val="Calibri"/>
        <family val="2"/>
        <scheme val="minor"/>
      </rPr>
      <t>I</t>
    </r>
  </si>
  <si>
    <r>
      <t>S</t>
    </r>
    <r>
      <rPr>
        <vertAlign val="subscript"/>
        <sz val="11"/>
        <rFont val="Calibri"/>
        <family val="2"/>
        <scheme val="minor"/>
      </rPr>
      <t>COD</t>
    </r>
    <r>
      <rPr>
        <sz val="11"/>
        <rFont val="Calibri"/>
        <family val="2"/>
        <scheme val="minor"/>
      </rPr>
      <t xml:space="preserve"> +X</t>
    </r>
    <r>
      <rPr>
        <vertAlign val="subscript"/>
        <sz val="11"/>
        <rFont val="Calibri"/>
        <family val="2"/>
        <scheme val="minor"/>
      </rPr>
      <t>COD</t>
    </r>
  </si>
  <si>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</si>
  <si>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</si>
  <si>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</si>
  <si>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</si>
  <si>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</si>
  <si>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</si>
  <si>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</si>
  <si>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</si>
  <si>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</si>
  <si>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</si>
  <si>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t>1 / (1 + Exp((halfval - var) * slope))</t>
  </si>
  <si>
    <t>1 / (1 + Exp((var - halfval) * slope))</t>
  </si>
  <si>
    <t>LoginhpH(var; halfval; slope; varpH; halfvalpH; slopepH)</t>
  </si>
  <si>
    <t>Logistic inhibition with check for pH availability</t>
  </si>
  <si>
    <t>If( Sumo__pHEffects; 1 / (1 + Exp((varpH - halfvalpH) * slopepH)); 1/((1 + Exp((var - halfval) * slope))))</t>
  </si>
  <si>
    <t>HalpH(var; halfval; halfinh; varpH; halfvalpH; halfinhpH)</t>
  </si>
  <si>
    <t>Haldane equation</t>
  </si>
  <si>
    <t>Noncompinh(var; halfinh)</t>
  </si>
  <si>
    <t>Non-competetive inhibition</t>
  </si>
  <si>
    <t>1 / (1 + (var / halfinh))</t>
  </si>
  <si>
    <t>Diffusion coefficient of ammonia in water</t>
  </si>
  <si>
    <r>
      <t>MM</t>
    </r>
    <r>
      <rPr>
        <vertAlign val="subscript"/>
        <sz val="11"/>
        <rFont val="Calibri"/>
        <family val="2"/>
        <scheme val="minor"/>
      </rPr>
      <t>GNH3</t>
    </r>
  </si>
  <si>
    <r>
      <t>MM</t>
    </r>
    <r>
      <rPr>
        <vertAlign val="subscript"/>
        <sz val="11"/>
        <rFont val="Calibri"/>
        <family val="2"/>
        <scheme val="minor"/>
      </rPr>
      <t>H2O</t>
    </r>
  </si>
  <si>
    <t>Molecular mass of water</t>
  </si>
  <si>
    <r>
      <t>MM</t>
    </r>
    <r>
      <rPr>
        <vertAlign val="subscript"/>
        <sz val="11"/>
        <rFont val="Calibri"/>
        <family val="2"/>
        <scheme val="minor"/>
      </rPr>
      <t>SO4</t>
    </r>
  </si>
  <si>
    <t>Molecular mass of sulfate</t>
  </si>
  <si>
    <r>
      <t>MM</t>
    </r>
    <r>
      <rPr>
        <vertAlign val="subscript"/>
        <sz val="11"/>
        <rFont val="Calibri"/>
        <family val="2"/>
        <scheme val="minor"/>
      </rPr>
      <t>HSO4</t>
    </r>
  </si>
  <si>
    <t>Molecular mass of hydrogen sulfate</t>
  </si>
  <si>
    <r>
      <t>MM</t>
    </r>
    <r>
      <rPr>
        <vertAlign val="subscript"/>
        <sz val="11"/>
        <rFont val="Calibri"/>
        <family val="2"/>
        <scheme val="minor"/>
      </rPr>
      <t>H2SO4</t>
    </r>
  </si>
  <si>
    <r>
      <t>MM</t>
    </r>
    <r>
      <rPr>
        <vertAlign val="subscript"/>
        <sz val="11"/>
        <rFont val="Calibri"/>
        <family val="2"/>
        <scheme val="minor"/>
      </rPr>
      <t>H2S</t>
    </r>
  </si>
  <si>
    <t>Molecular mass of hydrogen chloride</t>
  </si>
  <si>
    <r>
      <t>MM</t>
    </r>
    <r>
      <rPr>
        <vertAlign val="subscript"/>
        <sz val="11"/>
        <rFont val="Calibri"/>
        <family val="2"/>
        <scheme val="minor"/>
      </rPr>
      <t>ACP</t>
    </r>
  </si>
  <si>
    <t>Molecular mass of amorphous calcium phosphate</t>
  </si>
  <si>
    <r>
      <t>MM</t>
    </r>
    <r>
      <rPr>
        <vertAlign val="subscript"/>
        <sz val="11"/>
        <rFont val="Calibri"/>
        <family val="2"/>
        <scheme val="minor"/>
      </rPr>
      <t>Vivi</t>
    </r>
  </si>
  <si>
    <t>Molecular mass of vivianite</t>
  </si>
  <si>
    <r>
      <t>MM</t>
    </r>
    <r>
      <rPr>
        <vertAlign val="subscript"/>
        <sz val="11"/>
        <rFont val="Calibri"/>
        <family val="2"/>
        <scheme val="minor"/>
      </rPr>
      <t>FeS</t>
    </r>
  </si>
  <si>
    <t>Molecular mass of iron sulfide</t>
  </si>
  <si>
    <t>N content in GN2</t>
  </si>
  <si>
    <t>N content in GNH3</t>
  </si>
  <si>
    <t>N content in GNO</t>
  </si>
  <si>
    <t>N content in GN2O</t>
  </si>
  <si>
    <t>Molecular mass of GCO2</t>
  </si>
  <si>
    <t>Molecular mass of GO2</t>
  </si>
  <si>
    <t>Molecular mass of GCH4</t>
  </si>
  <si>
    <t>Molecular mass of GH2</t>
  </si>
  <si>
    <r>
      <t>EEQ</t>
    </r>
    <r>
      <rPr>
        <vertAlign val="subscript"/>
        <sz val="11"/>
        <rFont val="Calibri"/>
        <family val="2"/>
        <scheme val="minor"/>
      </rPr>
      <t>N2,NO3</t>
    </r>
  </si>
  <si>
    <r>
      <t>Electron equivalence of H</t>
    </r>
    <r>
      <rPr>
        <vertAlign val="subscript"/>
        <sz val="11"/>
        <rFont val="Calibri"/>
        <family val="2"/>
        <scheme val="minor"/>
      </rPr>
      <t>2</t>
    </r>
    <r>
      <rPr>
        <sz val="11"/>
        <rFont val="Calibri"/>
        <family val="2"/>
        <scheme val="minor"/>
      </rPr>
      <t>S to H</t>
    </r>
    <r>
      <rPr>
        <vertAlign val="subscript"/>
        <sz val="11"/>
        <rFont val="Calibri"/>
        <family val="2"/>
        <scheme val="minor"/>
      </rPr>
      <t>2</t>
    </r>
    <r>
      <rPr>
        <sz val="11"/>
        <rFont val="Calibri"/>
        <family val="2"/>
        <scheme val="minor"/>
      </rPr>
      <t>SO</t>
    </r>
    <r>
      <rPr>
        <vertAlign val="subscript"/>
        <sz val="11"/>
        <rFont val="Calibri"/>
        <family val="2"/>
        <scheme val="minor"/>
      </rPr>
      <t>4</t>
    </r>
  </si>
  <si>
    <t>=0.5*1^2</t>
  </si>
  <si>
    <t>=0.5*(-1)^2</t>
  </si>
  <si>
    <t>=0.5*2^2</t>
  </si>
  <si>
    <t>=0.5*(-2)^2</t>
  </si>
  <si>
    <t>=0.5*3^2</t>
  </si>
  <si>
    <t>=0.5*(-3)^2</t>
  </si>
  <si>
    <r>
      <t>c</t>
    </r>
    <r>
      <rPr>
        <vertAlign val="subscript"/>
        <sz val="11"/>
        <rFont val="Calibri"/>
        <family val="2"/>
        <scheme val="minor"/>
      </rPr>
      <t>ms,h</t>
    </r>
  </si>
  <si>
    <t>Conversion coefficient between milliseconds and hours</t>
  </si>
  <si>
    <r>
      <t>ms.h</t>
    </r>
    <r>
      <rPr>
        <vertAlign val="superscript"/>
        <sz val="11"/>
        <rFont val="Calibri"/>
        <family val="2"/>
        <scheme val="minor"/>
      </rPr>
      <t>-1</t>
    </r>
  </si>
  <si>
    <r>
      <t>H</t>
    </r>
    <r>
      <rPr>
        <vertAlign val="subscript"/>
        <sz val="11"/>
        <rFont val="Calibri"/>
        <family val="2"/>
        <scheme val="minor"/>
      </rPr>
      <t>Hp</t>
    </r>
  </si>
  <si>
    <r>
      <t>H</t>
    </r>
    <r>
      <rPr>
        <vertAlign val="subscript"/>
        <sz val="11"/>
        <rFont val="Calibri"/>
        <family val="2"/>
        <scheme val="minor"/>
      </rPr>
      <t>H3Op</t>
    </r>
  </si>
  <si>
    <r>
      <t>H</t>
    </r>
    <r>
      <rPr>
        <vertAlign val="subscript"/>
        <sz val="11"/>
        <rFont val="Calibri"/>
        <family val="2"/>
        <scheme val="minor"/>
      </rPr>
      <t>OHm</t>
    </r>
  </si>
  <si>
    <r>
      <t>H</t>
    </r>
    <r>
      <rPr>
        <vertAlign val="subscript"/>
        <sz val="11"/>
        <rFont val="Calibri"/>
        <family val="2"/>
        <scheme val="minor"/>
      </rPr>
      <t>NH3</t>
    </r>
  </si>
  <si>
    <r>
      <t>H</t>
    </r>
    <r>
      <rPr>
        <vertAlign val="subscript"/>
        <sz val="11"/>
        <rFont val="Calibri"/>
        <family val="2"/>
        <scheme val="minor"/>
      </rPr>
      <t>NH4p</t>
    </r>
  </si>
  <si>
    <r>
      <t>H</t>
    </r>
    <r>
      <rPr>
        <vertAlign val="subscript"/>
        <sz val="11"/>
        <rFont val="Calibri"/>
        <family val="2"/>
        <scheme val="minor"/>
      </rPr>
      <t>HNO2</t>
    </r>
  </si>
  <si>
    <r>
      <t>H</t>
    </r>
    <r>
      <rPr>
        <vertAlign val="subscript"/>
        <sz val="11"/>
        <rFont val="Calibri"/>
        <family val="2"/>
        <scheme val="minor"/>
      </rPr>
      <t>NO2m</t>
    </r>
  </si>
  <si>
    <r>
      <t>H</t>
    </r>
    <r>
      <rPr>
        <vertAlign val="subscript"/>
        <sz val="11"/>
        <rFont val="Calibri"/>
        <family val="2"/>
        <scheme val="minor"/>
      </rPr>
      <t>NO3m</t>
    </r>
  </si>
  <si>
    <r>
      <t>H</t>
    </r>
    <r>
      <rPr>
        <vertAlign val="subscript"/>
        <sz val="11"/>
        <rFont val="Calibri"/>
        <family val="2"/>
        <scheme val="minor"/>
      </rPr>
      <t>H2CO3</t>
    </r>
  </si>
  <si>
    <r>
      <t>H</t>
    </r>
    <r>
      <rPr>
        <vertAlign val="subscript"/>
        <sz val="11"/>
        <rFont val="Calibri"/>
        <family val="2"/>
        <scheme val="minor"/>
      </rPr>
      <t>HCO3m</t>
    </r>
  </si>
  <si>
    <r>
      <t>H</t>
    </r>
    <r>
      <rPr>
        <vertAlign val="subscript"/>
        <sz val="11"/>
        <rFont val="Calibri"/>
        <family val="2"/>
        <scheme val="minor"/>
      </rPr>
      <t>CO32m</t>
    </r>
  </si>
  <si>
    <r>
      <t>H</t>
    </r>
    <r>
      <rPr>
        <vertAlign val="subscript"/>
        <sz val="11"/>
        <rFont val="Calibri"/>
        <family val="2"/>
        <scheme val="minor"/>
      </rPr>
      <t>H3PO4</t>
    </r>
  </si>
  <si>
    <r>
      <t>H</t>
    </r>
    <r>
      <rPr>
        <vertAlign val="subscript"/>
        <sz val="11"/>
        <rFont val="Calibri"/>
        <family val="2"/>
        <scheme val="minor"/>
      </rPr>
      <t>H2PO4m</t>
    </r>
  </si>
  <si>
    <r>
      <t>H</t>
    </r>
    <r>
      <rPr>
        <vertAlign val="subscript"/>
        <sz val="11"/>
        <rFont val="Calibri"/>
        <family val="2"/>
        <scheme val="minor"/>
      </rPr>
      <t>HPO42m</t>
    </r>
  </si>
  <si>
    <r>
      <t>H</t>
    </r>
    <r>
      <rPr>
        <vertAlign val="subscript"/>
        <sz val="11"/>
        <rFont val="Calibri"/>
        <family val="2"/>
        <scheme val="minor"/>
      </rPr>
      <t>PO43m</t>
    </r>
  </si>
  <si>
    <r>
      <t>H</t>
    </r>
    <r>
      <rPr>
        <vertAlign val="subscript"/>
        <sz val="11"/>
        <rFont val="Calibri"/>
        <family val="2"/>
        <scheme val="minor"/>
      </rPr>
      <t>HAc</t>
    </r>
  </si>
  <si>
    <r>
      <t>H</t>
    </r>
    <r>
      <rPr>
        <vertAlign val="subscript"/>
        <sz val="11"/>
        <rFont val="Calibri"/>
        <family val="2"/>
        <scheme val="minor"/>
      </rPr>
      <t>Acm</t>
    </r>
  </si>
  <si>
    <r>
      <t>g O2.m</t>
    </r>
    <r>
      <rPr>
        <vertAlign val="superscript"/>
        <sz val="11"/>
        <rFont val="Calibri"/>
        <family val="2"/>
      </rPr>
      <t>-3</t>
    </r>
    <r>
      <rPr>
        <sz val="11"/>
        <rFont val="Calibri"/>
        <family val="2"/>
      </rPr>
      <t>.d</t>
    </r>
    <r>
      <rPr>
        <vertAlign val="superscript"/>
        <sz val="11"/>
        <rFont val="Calibri"/>
        <family val="2"/>
      </rPr>
      <t>-1</t>
    </r>
  </si>
  <si>
    <r>
      <t>g N.m</t>
    </r>
    <r>
      <rPr>
        <vertAlign val="superscript"/>
        <sz val="11"/>
        <rFont val="Calibri"/>
        <family val="2"/>
      </rPr>
      <t>-3</t>
    </r>
    <r>
      <rPr>
        <sz val="11"/>
        <rFont val="Calibri"/>
        <family val="2"/>
      </rPr>
      <t>.d</t>
    </r>
    <r>
      <rPr>
        <vertAlign val="superscript"/>
        <sz val="11"/>
        <rFont val="Calibri"/>
        <family val="2"/>
      </rPr>
      <t>-1</t>
    </r>
  </si>
  <si>
    <r>
      <t>-(v4_S</t>
    </r>
    <r>
      <rPr>
        <vertAlign val="subscript"/>
        <sz val="11"/>
        <rFont val="Calibri"/>
        <family val="2"/>
      </rPr>
      <t>O2</t>
    </r>
    <r>
      <rPr>
        <sz val="11"/>
        <rFont val="Calibri"/>
        <family val="2"/>
      </rPr>
      <t>*r4+v5_S</t>
    </r>
    <r>
      <rPr>
        <vertAlign val="subscript"/>
        <sz val="11"/>
        <rFont val="Calibri"/>
        <family val="2"/>
      </rPr>
      <t>O2</t>
    </r>
    <r>
      <rPr>
        <sz val="11"/>
        <rFont val="Calibri"/>
        <family val="2"/>
      </rPr>
      <t>*r5+v11_S</t>
    </r>
    <r>
      <rPr>
        <vertAlign val="subscript"/>
        <sz val="11"/>
        <rFont val="Calibri"/>
        <family val="2"/>
      </rPr>
      <t>O2</t>
    </r>
    <r>
      <rPr>
        <sz val="11"/>
        <rFont val="Calibri"/>
        <family val="2"/>
      </rPr>
      <t>*r11+v13_S</t>
    </r>
    <r>
      <rPr>
        <vertAlign val="subscript"/>
        <sz val="11"/>
        <rFont val="Calibri"/>
        <family val="2"/>
      </rPr>
      <t>O2</t>
    </r>
    <r>
      <rPr>
        <sz val="11"/>
        <rFont val="Calibri"/>
        <family val="2"/>
      </rPr>
      <t>*r13+v18_S</t>
    </r>
    <r>
      <rPr>
        <vertAlign val="subscript"/>
        <sz val="11"/>
        <rFont val="Calibri"/>
        <family val="2"/>
      </rPr>
      <t>O2</t>
    </r>
    <r>
      <rPr>
        <sz val="11"/>
        <rFont val="Calibri"/>
        <family val="2"/>
      </rPr>
      <t>*r18)</t>
    </r>
  </si>
  <si>
    <r>
      <t>-(v6_S</t>
    </r>
    <r>
      <rPr>
        <vertAlign val="subscript"/>
        <sz val="11"/>
        <rFont val="Calibri"/>
        <family val="2"/>
      </rPr>
      <t>NO3</t>
    </r>
    <r>
      <rPr>
        <sz val="11"/>
        <rFont val="Calibri"/>
        <family val="2"/>
      </rPr>
      <t>*r6 + v7_S</t>
    </r>
    <r>
      <rPr>
        <vertAlign val="subscript"/>
        <sz val="11"/>
        <rFont val="Calibri"/>
        <family val="2"/>
      </rPr>
      <t>NO3</t>
    </r>
    <r>
      <rPr>
        <sz val="11"/>
        <rFont val="Calibri"/>
        <family val="2"/>
      </rPr>
      <t>*r7 + v12_S</t>
    </r>
    <r>
      <rPr>
        <vertAlign val="subscript"/>
        <sz val="11"/>
        <rFont val="Calibri"/>
        <family val="2"/>
      </rPr>
      <t>NO3</t>
    </r>
    <r>
      <rPr>
        <sz val="11"/>
        <rFont val="Calibri"/>
        <family val="2"/>
      </rPr>
      <t>*r12 + v14_S</t>
    </r>
    <r>
      <rPr>
        <vertAlign val="subscript"/>
        <sz val="11"/>
        <rFont val="Calibri"/>
        <family val="2"/>
      </rPr>
      <t>NO3</t>
    </r>
    <r>
      <rPr>
        <sz val="11"/>
        <rFont val="Calibri"/>
        <family val="2"/>
      </rPr>
      <t>*r14 + v18_S</t>
    </r>
    <r>
      <rPr>
        <vertAlign val="subscript"/>
        <sz val="11"/>
        <rFont val="Calibri"/>
        <family val="2"/>
      </rPr>
      <t>NO3</t>
    </r>
    <r>
      <rPr>
        <sz val="11"/>
        <rFont val="Calibri"/>
        <family val="2"/>
      </rPr>
      <t>*r18)</t>
    </r>
  </si>
  <si>
    <r>
      <t>-(v1_S</t>
    </r>
    <r>
      <rPr>
        <vertAlign val="subscript"/>
        <sz val="11"/>
        <rFont val="Calibri"/>
        <family val="2"/>
      </rPr>
      <t>NH4</t>
    </r>
    <r>
      <rPr>
        <sz val="11"/>
        <rFont val="Calibri"/>
        <family val="2"/>
      </rPr>
      <t>*r1 + v2_S</t>
    </r>
    <r>
      <rPr>
        <vertAlign val="subscript"/>
        <sz val="11"/>
        <rFont val="Calibri"/>
        <family val="2"/>
      </rPr>
      <t>NH4</t>
    </r>
    <r>
      <rPr>
        <sz val="11"/>
        <rFont val="Calibri"/>
        <family val="2"/>
      </rPr>
      <t>*r2 + v3_S</t>
    </r>
    <r>
      <rPr>
        <vertAlign val="subscript"/>
        <sz val="11"/>
        <rFont val="Calibri"/>
        <family val="2"/>
      </rPr>
      <t>NH4</t>
    </r>
    <r>
      <rPr>
        <sz val="11"/>
        <rFont val="Calibri"/>
        <family val="2"/>
      </rPr>
      <t>*r3 + v4_S</t>
    </r>
    <r>
      <rPr>
        <vertAlign val="subscript"/>
        <sz val="11"/>
        <rFont val="Calibri"/>
        <family val="2"/>
      </rPr>
      <t>NH4</t>
    </r>
    <r>
      <rPr>
        <sz val="11"/>
        <rFont val="Calibri"/>
        <family val="2"/>
      </rPr>
      <t>*r4 + v5_S</t>
    </r>
    <r>
      <rPr>
        <vertAlign val="subscript"/>
        <sz val="11"/>
        <rFont val="Calibri"/>
        <family val="2"/>
      </rPr>
      <t>NH4</t>
    </r>
    <r>
      <rPr>
        <sz val="11"/>
        <rFont val="Calibri"/>
        <family val="2"/>
      </rPr>
      <t>*r5 + v6_S</t>
    </r>
    <r>
      <rPr>
        <vertAlign val="subscript"/>
        <sz val="11"/>
        <rFont val="Calibri"/>
        <family val="2"/>
      </rPr>
      <t>NH4</t>
    </r>
    <r>
      <rPr>
        <sz val="11"/>
        <rFont val="Calibri"/>
        <family val="2"/>
      </rPr>
      <t>*r6 + v7_S</t>
    </r>
    <r>
      <rPr>
        <vertAlign val="subscript"/>
        <sz val="11"/>
        <rFont val="Calibri"/>
        <family val="2"/>
      </rPr>
      <t>NH4</t>
    </r>
    <r>
      <rPr>
        <sz val="11"/>
        <rFont val="Calibri"/>
        <family val="2"/>
      </rPr>
      <t>*r7 + v8_S</t>
    </r>
    <r>
      <rPr>
        <vertAlign val="subscript"/>
        <sz val="11"/>
        <rFont val="Calibri"/>
        <family val="2"/>
      </rPr>
      <t>NH4</t>
    </r>
    <r>
      <rPr>
        <sz val="11"/>
        <rFont val="Calibri"/>
        <family val="2"/>
      </rPr>
      <t>*r8 + v9_S</t>
    </r>
    <r>
      <rPr>
        <vertAlign val="subscript"/>
        <sz val="11"/>
        <rFont val="Calibri"/>
        <family val="2"/>
      </rPr>
      <t>NH4</t>
    </r>
    <r>
      <rPr>
        <sz val="11"/>
        <rFont val="Calibri"/>
        <family val="2"/>
      </rPr>
      <t>*r9 + v13_S</t>
    </r>
    <r>
      <rPr>
        <vertAlign val="subscript"/>
        <sz val="11"/>
        <rFont val="Calibri"/>
        <family val="2"/>
      </rPr>
      <t>NH4</t>
    </r>
    <r>
      <rPr>
        <sz val="11"/>
        <rFont val="Calibri"/>
        <family val="2"/>
      </rPr>
      <t>*r13 + v14_S</t>
    </r>
    <r>
      <rPr>
        <vertAlign val="subscript"/>
        <sz val="11"/>
        <rFont val="Calibri"/>
        <family val="2"/>
      </rPr>
      <t>NH4</t>
    </r>
    <r>
      <rPr>
        <sz val="11"/>
        <rFont val="Calibri"/>
        <family val="2"/>
      </rPr>
      <t>*r14 + v15_S</t>
    </r>
    <r>
      <rPr>
        <vertAlign val="subscript"/>
        <sz val="11"/>
        <rFont val="Calibri"/>
        <family val="2"/>
      </rPr>
      <t>NH4</t>
    </r>
    <r>
      <rPr>
        <sz val="11"/>
        <rFont val="Calibri"/>
        <family val="2"/>
      </rPr>
      <t>*r15 + v18_S</t>
    </r>
    <r>
      <rPr>
        <vertAlign val="subscript"/>
        <sz val="11"/>
        <rFont val="Calibri"/>
        <family val="2"/>
      </rPr>
      <t>NH4</t>
    </r>
    <r>
      <rPr>
        <sz val="11"/>
        <rFont val="Calibri"/>
        <family val="2"/>
      </rPr>
      <t>*r18 + v19_S</t>
    </r>
    <r>
      <rPr>
        <vertAlign val="subscript"/>
        <sz val="11"/>
        <rFont val="Calibri"/>
        <family val="2"/>
      </rPr>
      <t>NH4</t>
    </r>
    <r>
      <rPr>
        <sz val="11"/>
        <rFont val="Calibri"/>
        <family val="2"/>
      </rPr>
      <t>*r19)</t>
    </r>
  </si>
  <si>
    <t>Biofilm</t>
  </si>
  <si>
    <r>
      <t>Ammonia (NH</t>
    </r>
    <r>
      <rPr>
        <vertAlign val="subscript"/>
        <sz val="11"/>
        <color rgb="FF000000"/>
        <rFont val="Calibri"/>
        <family val="2"/>
        <scheme val="minor"/>
      </rPr>
      <t>4</t>
    </r>
    <r>
      <rPr>
        <vertAlign val="superscript"/>
        <sz val="11"/>
        <color rgb="FF000000"/>
        <rFont val="Calibri"/>
        <family val="2"/>
        <scheme val="minor"/>
      </rPr>
      <t>+</t>
    </r>
    <r>
      <rPr>
        <sz val="11"/>
        <color rgb="FF000000"/>
        <rFont val="Calibri"/>
        <family val="2"/>
        <charset val="238"/>
        <scheme val="minor"/>
      </rPr>
      <t xml:space="preserve"> + NH</t>
    </r>
    <r>
      <rPr>
        <vertAlign val="subscript"/>
        <sz val="11"/>
        <color rgb="FF000000"/>
        <rFont val="Calibri"/>
        <family val="2"/>
        <scheme val="minor"/>
      </rPr>
      <t>3</t>
    </r>
    <r>
      <rPr>
        <sz val="11"/>
        <color rgb="FF000000"/>
        <rFont val="Calibri"/>
        <family val="2"/>
        <charset val="238"/>
        <scheme val="minor"/>
      </rPr>
      <t>)</t>
    </r>
  </si>
  <si>
    <r>
      <t>Nitrate and nitrite (NO</t>
    </r>
    <r>
      <rPr>
        <vertAlign val="subscript"/>
        <sz val="11"/>
        <color rgb="FF000000"/>
        <rFont val="Calibri"/>
        <family val="2"/>
        <scheme val="minor"/>
      </rPr>
      <t>3</t>
    </r>
    <r>
      <rPr>
        <sz val="11"/>
        <color rgb="FF000000"/>
        <rFont val="Calibri"/>
        <family val="2"/>
        <charset val="238"/>
        <scheme val="minor"/>
      </rPr>
      <t xml:space="preserve"> + NO</t>
    </r>
    <r>
      <rPr>
        <vertAlign val="subscript"/>
        <sz val="11"/>
        <color rgb="FF000000"/>
        <rFont val="Calibri"/>
        <family val="2"/>
        <scheme val="minor"/>
      </rPr>
      <t>2</t>
    </r>
    <r>
      <rPr>
        <sz val="11"/>
        <color rgb="FF000000"/>
        <rFont val="Calibri"/>
        <family val="2"/>
        <charset val="238"/>
        <scheme val="minor"/>
      </rPr>
      <t>)</t>
    </r>
  </si>
  <si>
    <r>
      <t>Alkalinity (HCO</t>
    </r>
    <r>
      <rPr>
        <vertAlign val="subscript"/>
        <sz val="11"/>
        <rFont val="Calibri"/>
        <family val="2"/>
        <scheme val="minor"/>
      </rPr>
      <t>3</t>
    </r>
    <r>
      <rPr>
        <vertAlign val="superscript"/>
        <sz val="11"/>
        <rFont val="Calibri"/>
        <family val="2"/>
        <scheme val="minor"/>
      </rPr>
      <t>-</t>
    </r>
    <r>
      <rPr>
        <sz val="11"/>
        <rFont val="Calibri"/>
        <family val="2"/>
        <scheme val="minor"/>
      </rPr>
      <t>)</t>
    </r>
  </si>
  <si>
    <r>
      <t>S</t>
    </r>
    <r>
      <rPr>
        <vertAlign val="subscript"/>
        <sz val="11"/>
        <rFont val="Calibri"/>
        <family val="2"/>
        <scheme val="minor"/>
      </rPr>
      <t>O2</t>
    </r>
  </si>
  <si>
    <r>
      <t>- g COD.m</t>
    </r>
    <r>
      <rPr>
        <vertAlign val="superscript"/>
        <sz val="11"/>
        <rFont val="Calibri"/>
        <family val="2"/>
        <scheme val="minor"/>
      </rPr>
      <t>-3</t>
    </r>
  </si>
  <si>
    <r>
      <t>S</t>
    </r>
    <r>
      <rPr>
        <vertAlign val="subscript"/>
        <sz val="11"/>
        <rFont val="Calibri"/>
        <family val="2"/>
        <scheme val="minor"/>
      </rPr>
      <t>F</t>
    </r>
  </si>
  <si>
    <r>
      <t>g COD.m</t>
    </r>
    <r>
      <rPr>
        <vertAlign val="superscript"/>
        <sz val="11"/>
        <rFont val="Calibri"/>
        <family val="2"/>
        <scheme val="minor"/>
      </rPr>
      <t>-3</t>
    </r>
  </si>
  <si>
    <r>
      <t>S</t>
    </r>
    <r>
      <rPr>
        <vertAlign val="subscript"/>
        <sz val="11"/>
        <rFont val="Calibri"/>
        <family val="2"/>
        <scheme val="minor"/>
      </rPr>
      <t>A</t>
    </r>
  </si>
  <si>
    <r>
      <t>S</t>
    </r>
    <r>
      <rPr>
        <vertAlign val="subscript"/>
        <sz val="11"/>
        <rFont val="Calibri"/>
        <family val="2"/>
        <scheme val="minor"/>
      </rPr>
      <t>NH4</t>
    </r>
  </si>
  <si>
    <r>
      <t>S</t>
    </r>
    <r>
      <rPr>
        <vertAlign val="subscript"/>
        <sz val="11"/>
        <rFont val="Calibri"/>
        <family val="2"/>
        <scheme val="minor"/>
      </rPr>
      <t>NO3</t>
    </r>
  </si>
  <si>
    <r>
      <t>S</t>
    </r>
    <r>
      <rPr>
        <vertAlign val="subscript"/>
        <sz val="11"/>
        <rFont val="Calibri"/>
        <family val="2"/>
        <scheme val="minor"/>
      </rPr>
      <t>PO4</t>
    </r>
  </si>
  <si>
    <r>
      <t>S</t>
    </r>
    <r>
      <rPr>
        <vertAlign val="subscript"/>
        <sz val="11"/>
        <rFont val="Calibri"/>
        <family val="2"/>
        <scheme val="minor"/>
      </rPr>
      <t>I</t>
    </r>
  </si>
  <si>
    <r>
      <t>S</t>
    </r>
    <r>
      <rPr>
        <vertAlign val="subscript"/>
        <sz val="11"/>
        <rFont val="Calibri"/>
        <family val="2"/>
        <scheme val="minor"/>
      </rPr>
      <t>ALK</t>
    </r>
  </si>
  <si>
    <r>
      <t>S</t>
    </r>
    <r>
      <rPr>
        <vertAlign val="subscript"/>
        <sz val="11"/>
        <rFont val="Calibri"/>
        <family val="2"/>
        <scheme val="minor"/>
      </rPr>
      <t>N2</t>
    </r>
  </si>
  <si>
    <r>
      <t>X</t>
    </r>
    <r>
      <rPr>
        <vertAlign val="subscript"/>
        <sz val="11"/>
        <rFont val="Calibri"/>
        <family val="2"/>
        <scheme val="minor"/>
      </rPr>
      <t>I</t>
    </r>
  </si>
  <si>
    <r>
      <t>X</t>
    </r>
    <r>
      <rPr>
        <vertAlign val="subscript"/>
        <sz val="11"/>
        <rFont val="Calibri"/>
        <family val="2"/>
        <scheme val="minor"/>
      </rPr>
      <t>S</t>
    </r>
  </si>
  <si>
    <r>
      <t>X</t>
    </r>
    <r>
      <rPr>
        <vertAlign val="subscript"/>
        <sz val="11"/>
        <rFont val="Calibri"/>
        <family val="2"/>
        <scheme val="minor"/>
      </rPr>
      <t>H</t>
    </r>
  </si>
  <si>
    <r>
      <t>X</t>
    </r>
    <r>
      <rPr>
        <vertAlign val="subscript"/>
        <sz val="11"/>
        <rFont val="Calibri"/>
        <family val="2"/>
        <scheme val="minor"/>
      </rPr>
      <t>PAO</t>
    </r>
  </si>
  <si>
    <r>
      <t>X</t>
    </r>
    <r>
      <rPr>
        <vertAlign val="subscript"/>
        <sz val="11"/>
        <rFont val="Calibri"/>
        <family val="2"/>
        <scheme val="minor"/>
      </rPr>
      <t>PP</t>
    </r>
  </si>
  <si>
    <r>
      <t>X</t>
    </r>
    <r>
      <rPr>
        <vertAlign val="subscript"/>
        <sz val="11"/>
        <rFont val="Calibri"/>
        <family val="2"/>
        <scheme val="minor"/>
      </rPr>
      <t>PHA</t>
    </r>
  </si>
  <si>
    <r>
      <t>X</t>
    </r>
    <r>
      <rPr>
        <vertAlign val="subscript"/>
        <sz val="11"/>
        <rFont val="Calibri"/>
        <family val="2"/>
        <scheme val="minor"/>
      </rPr>
      <t>AUT</t>
    </r>
  </si>
  <si>
    <r>
      <t>X</t>
    </r>
    <r>
      <rPr>
        <vertAlign val="subscript"/>
        <sz val="11"/>
        <rFont val="Calibri"/>
        <family val="2"/>
        <scheme val="minor"/>
      </rPr>
      <t>TSS</t>
    </r>
  </si>
  <si>
    <r>
      <t>g TSS.m</t>
    </r>
    <r>
      <rPr>
        <vertAlign val="superscript"/>
        <sz val="11"/>
        <rFont val="Calibri"/>
        <family val="2"/>
        <scheme val="minor"/>
      </rPr>
      <t>-3</t>
    </r>
  </si>
  <si>
    <r>
      <t>X</t>
    </r>
    <r>
      <rPr>
        <vertAlign val="subscript"/>
        <sz val="11"/>
        <rFont val="Calibri"/>
        <family val="2"/>
        <scheme val="minor"/>
      </rPr>
      <t>MeOH</t>
    </r>
  </si>
  <si>
    <r>
      <t>X</t>
    </r>
    <r>
      <rPr>
        <vertAlign val="subscript"/>
        <sz val="11"/>
        <rFont val="Calibri"/>
        <family val="2"/>
        <scheme val="minor"/>
      </rPr>
      <t>MeP</t>
    </r>
  </si>
  <si>
    <t>( k )/(s/x+k)</t>
  </si>
  <si>
    <t>If( Sumo__pHEffects; varpH / (halfvalpH + varpH + (( varpH )^2/halfinhpH));var / (halfval + var + (( var )^2/halfinh)))</t>
  </si>
  <si>
    <r>
      <t>Henry</t>
    </r>
    <r>
      <rPr>
        <vertAlign val="subscript"/>
        <sz val="11"/>
        <rFont val="Calibri"/>
        <family val="2"/>
        <scheme val="minor"/>
      </rPr>
      <t>GO2,25</t>
    </r>
    <r>
      <rPr>
        <sz val="11"/>
        <rFont val="Calibri"/>
        <family val="2"/>
        <scheme val="minor"/>
      </rPr>
      <t>*Exp(Henry</t>
    </r>
    <r>
      <rPr>
        <vertAlign val="subscript"/>
        <sz val="11"/>
        <rFont val="Calibri"/>
        <family val="2"/>
        <scheme val="minor"/>
      </rPr>
      <t>GO2,dt</t>
    </r>
    <r>
      <rPr>
        <sz val="11"/>
        <rFont val="Calibri"/>
        <family val="2"/>
        <scheme val="minor"/>
      </rPr>
      <t>*((1/T)-(1/298.15)))</t>
    </r>
  </si>
  <si>
    <r>
      <t>Henry</t>
    </r>
    <r>
      <rPr>
        <vertAlign val="subscript"/>
        <sz val="11"/>
        <rFont val="Calibri"/>
        <family val="2"/>
        <scheme val="minor"/>
      </rPr>
      <t>GCO2,25</t>
    </r>
    <r>
      <rPr>
        <sz val="11"/>
        <rFont val="Calibri"/>
        <family val="2"/>
        <scheme val="minor"/>
      </rPr>
      <t>*Exp(Henry</t>
    </r>
    <r>
      <rPr>
        <vertAlign val="subscript"/>
        <sz val="11"/>
        <rFont val="Calibri"/>
        <family val="2"/>
        <scheme val="minor"/>
      </rPr>
      <t>GCO2,dt</t>
    </r>
    <r>
      <rPr>
        <sz val="11"/>
        <rFont val="Calibri"/>
        <family val="2"/>
        <scheme val="minor"/>
      </rPr>
      <t>*((1/T)-(1/298.15)))</t>
    </r>
  </si>
  <si>
    <r>
      <t>Henry</t>
    </r>
    <r>
      <rPr>
        <vertAlign val="subscript"/>
        <sz val="11"/>
        <rFont val="Calibri"/>
        <family val="2"/>
        <scheme val="minor"/>
      </rPr>
      <t>GNO,25</t>
    </r>
    <r>
      <rPr>
        <sz val="11"/>
        <rFont val="Calibri"/>
        <family val="2"/>
        <scheme val="minor"/>
      </rPr>
      <t>*Exp(Henry</t>
    </r>
    <r>
      <rPr>
        <vertAlign val="subscript"/>
        <sz val="11"/>
        <rFont val="Calibri"/>
        <family val="2"/>
        <scheme val="minor"/>
      </rPr>
      <t>GNO,dt</t>
    </r>
    <r>
      <rPr>
        <sz val="11"/>
        <rFont val="Calibri"/>
        <family val="2"/>
        <scheme val="minor"/>
      </rPr>
      <t>*((1/T)-(1/298.15)))</t>
    </r>
  </si>
  <si>
    <r>
      <t>Henry</t>
    </r>
    <r>
      <rPr>
        <vertAlign val="subscript"/>
        <sz val="11"/>
        <rFont val="Calibri"/>
        <family val="2"/>
        <scheme val="minor"/>
      </rPr>
      <t>GN2O,25</t>
    </r>
    <r>
      <rPr>
        <sz val="11"/>
        <rFont val="Calibri"/>
        <family val="2"/>
        <scheme val="minor"/>
      </rPr>
      <t>*Exp(Henry</t>
    </r>
    <r>
      <rPr>
        <vertAlign val="subscript"/>
        <sz val="11"/>
        <rFont val="Calibri"/>
        <family val="2"/>
        <scheme val="minor"/>
      </rPr>
      <t>GN2O,dt</t>
    </r>
    <r>
      <rPr>
        <sz val="11"/>
        <rFont val="Calibri"/>
        <family val="2"/>
        <scheme val="minor"/>
      </rPr>
      <t>*((1/T)-(1/298.15)))</t>
    </r>
  </si>
  <si>
    <r>
      <t>Henry</t>
    </r>
    <r>
      <rPr>
        <vertAlign val="subscript"/>
        <sz val="11"/>
        <rFont val="Calibri"/>
        <family val="2"/>
        <scheme val="minor"/>
      </rPr>
      <t>GN2,25</t>
    </r>
    <r>
      <rPr>
        <sz val="11"/>
        <rFont val="Calibri"/>
        <family val="2"/>
        <scheme val="minor"/>
      </rPr>
      <t>*Exp(Henry</t>
    </r>
    <r>
      <rPr>
        <vertAlign val="subscript"/>
        <sz val="11"/>
        <rFont val="Calibri"/>
        <family val="2"/>
        <scheme val="minor"/>
      </rPr>
      <t>GN2,dt</t>
    </r>
    <r>
      <rPr>
        <sz val="11"/>
        <rFont val="Calibri"/>
        <family val="2"/>
        <scheme val="minor"/>
      </rPr>
      <t>*((1/T)-(1/298.15)))</t>
    </r>
  </si>
  <si>
    <r>
      <t>Henry</t>
    </r>
    <r>
      <rPr>
        <vertAlign val="subscript"/>
        <sz val="11"/>
        <rFont val="Calibri"/>
        <family val="2"/>
        <scheme val="minor"/>
      </rPr>
      <t>GH2,25</t>
    </r>
    <r>
      <rPr>
        <sz val="11"/>
        <rFont val="Calibri"/>
        <family val="2"/>
        <scheme val="minor"/>
      </rPr>
      <t>*Exp(Henry</t>
    </r>
    <r>
      <rPr>
        <vertAlign val="subscript"/>
        <sz val="11"/>
        <rFont val="Calibri"/>
        <family val="2"/>
        <scheme val="minor"/>
      </rPr>
      <t>GH2,dt</t>
    </r>
    <r>
      <rPr>
        <sz val="11"/>
        <rFont val="Calibri"/>
        <family val="2"/>
        <scheme val="minor"/>
      </rPr>
      <t>*((1/T)-(1/298.15)))</t>
    </r>
  </si>
  <si>
    <r>
      <t>Henry</t>
    </r>
    <r>
      <rPr>
        <vertAlign val="subscript"/>
        <sz val="11"/>
        <rFont val="Calibri"/>
        <family val="2"/>
        <scheme val="minor"/>
      </rPr>
      <t>GCH4,25</t>
    </r>
    <r>
      <rPr>
        <sz val="11"/>
        <rFont val="Calibri"/>
        <family val="2"/>
        <scheme val="minor"/>
      </rPr>
      <t>*Exp(Henry</t>
    </r>
    <r>
      <rPr>
        <vertAlign val="subscript"/>
        <sz val="11"/>
        <rFont val="Calibri"/>
        <family val="2"/>
        <scheme val="minor"/>
      </rPr>
      <t>GCH4,dt</t>
    </r>
    <r>
      <rPr>
        <sz val="11"/>
        <rFont val="Calibri"/>
        <family val="2"/>
        <scheme val="minor"/>
      </rPr>
      <t>*((1/T)-(1/298.15)))</t>
    </r>
  </si>
  <si>
    <r>
      <t>H</t>
    </r>
    <r>
      <rPr>
        <vertAlign val="subscript"/>
        <sz val="11"/>
        <rFont val="Calibri"/>
        <family val="2"/>
        <scheme val="minor"/>
      </rPr>
      <t>null</t>
    </r>
  </si>
  <si>
    <t>Enthalpy of water at 0°C</t>
  </si>
  <si>
    <r>
      <t>EEQ</t>
    </r>
    <r>
      <rPr>
        <vertAlign val="subscript"/>
        <sz val="11"/>
        <rFont val="Calibri"/>
        <family val="2"/>
        <scheme val="minor"/>
      </rPr>
      <t>H2S</t>
    </r>
  </si>
  <si>
    <t>Other system parameters</t>
  </si>
  <si>
    <t>NoName</t>
  </si>
  <si>
    <t>Testing Attributes</t>
  </si>
  <si>
    <t>Input</t>
  </si>
  <si>
    <t>TestAttribute</t>
  </si>
  <si>
    <t>pH</t>
  </si>
  <si>
    <t>Zero</t>
  </si>
  <si>
    <t>BigNumber</t>
  </si>
  <si>
    <t>Rate</t>
  </si>
  <si>
    <r>
      <t>(X</t>
    </r>
    <r>
      <rPr>
        <vertAlign val="subscript"/>
        <sz val="11"/>
        <rFont val="Calibri"/>
        <family val="2"/>
      </rPr>
      <t>PP</t>
    </r>
    <r>
      <rPr>
        <sz val="11"/>
        <rFont val="Calibri"/>
        <family val="2"/>
      </rPr>
      <t>/X</t>
    </r>
    <r>
      <rPr>
        <vertAlign val="subscript"/>
        <sz val="11"/>
        <rFont val="Calibri"/>
        <family val="2"/>
      </rPr>
      <t>PAO</t>
    </r>
    <r>
      <rPr>
        <sz val="11"/>
        <rFont val="Calibri"/>
        <family val="2"/>
      </rPr>
      <t>)/(K</t>
    </r>
    <r>
      <rPr>
        <vertAlign val="subscript"/>
        <sz val="11"/>
        <rFont val="Calibri"/>
        <family val="2"/>
      </rPr>
      <t>PP</t>
    </r>
    <r>
      <rPr>
        <sz val="11"/>
        <rFont val="Calibri"/>
        <family val="2"/>
      </rPr>
      <t>+(X</t>
    </r>
    <r>
      <rPr>
        <vertAlign val="subscript"/>
        <sz val="11"/>
        <rFont val="Calibri"/>
        <family val="2"/>
      </rPr>
      <t>PP</t>
    </r>
    <r>
      <rPr>
        <sz val="11"/>
        <rFont val="Calibri"/>
        <family val="2"/>
      </rPr>
      <t>/X</t>
    </r>
    <r>
      <rPr>
        <vertAlign val="subscript"/>
        <sz val="11"/>
        <rFont val="Calibri"/>
        <family val="2"/>
      </rPr>
      <t>PAO</t>
    </r>
    <r>
      <rPr>
        <sz val="11"/>
        <rFont val="Calibri"/>
        <family val="2"/>
      </rPr>
      <t>))</t>
    </r>
  </si>
  <si>
    <r>
      <t>Minh</t>
    </r>
    <r>
      <rPr>
        <vertAlign val="subscript"/>
        <sz val="11"/>
        <rFont val="Calibri"/>
        <family val="2"/>
      </rPr>
      <t>SO2,KO2,HYD</t>
    </r>
  </si>
  <si>
    <r>
      <t>K</t>
    </r>
    <r>
      <rPr>
        <vertAlign val="subscript"/>
        <sz val="11"/>
        <rFont val="Calibri"/>
        <family val="2"/>
      </rPr>
      <t>O2,HYD</t>
    </r>
    <r>
      <rPr>
        <sz val="11"/>
        <rFont val="Calibri"/>
        <family val="2"/>
      </rPr>
      <t>/(K</t>
    </r>
    <r>
      <rPr>
        <vertAlign val="subscript"/>
        <sz val="11"/>
        <rFont val="Calibri"/>
        <family val="2"/>
      </rPr>
      <t>O2,HYD</t>
    </r>
    <r>
      <rPr>
        <sz val="11"/>
        <rFont val="Calibri"/>
        <family val="2"/>
      </rPr>
      <t>+S</t>
    </r>
    <r>
      <rPr>
        <vertAlign val="subscript"/>
        <sz val="11"/>
        <rFont val="Calibri"/>
        <family val="2"/>
      </rPr>
      <t>O2</t>
    </r>
    <r>
      <rPr>
        <sz val="11"/>
        <rFont val="Calibri"/>
        <family val="2"/>
      </rPr>
      <t>)</t>
    </r>
  </si>
  <si>
    <r>
      <t>Minh</t>
    </r>
    <r>
      <rPr>
        <vertAlign val="subscript"/>
        <sz val="11"/>
        <rFont val="Calibri"/>
        <family val="2"/>
      </rPr>
      <t>SNO3,KNO3,HYD</t>
    </r>
  </si>
  <si>
    <r>
      <t>K</t>
    </r>
    <r>
      <rPr>
        <vertAlign val="subscript"/>
        <sz val="11"/>
        <rFont val="Calibri"/>
        <family val="2"/>
      </rPr>
      <t>NO3,HYD</t>
    </r>
    <r>
      <rPr>
        <sz val="11"/>
        <rFont val="Calibri"/>
        <family val="2"/>
      </rPr>
      <t>/(K</t>
    </r>
    <r>
      <rPr>
        <vertAlign val="subscript"/>
        <sz val="11"/>
        <rFont val="Calibri"/>
        <family val="2"/>
      </rPr>
      <t>NO3,HYD</t>
    </r>
    <r>
      <rPr>
        <sz val="11"/>
        <rFont val="Calibri"/>
        <family val="2"/>
      </rPr>
      <t>+S</t>
    </r>
    <r>
      <rPr>
        <vertAlign val="subscript"/>
        <sz val="11"/>
        <rFont val="Calibri"/>
        <family val="2"/>
      </rPr>
      <t>NO3</t>
    </r>
    <r>
      <rPr>
        <sz val="11"/>
        <rFont val="Calibri"/>
        <family val="2"/>
      </rPr>
      <t>)</t>
    </r>
  </si>
  <si>
    <r>
      <t>Minh</t>
    </r>
    <r>
      <rPr>
        <vertAlign val="subscript"/>
        <sz val="11"/>
        <rFont val="Calibri"/>
        <family val="2"/>
      </rPr>
      <t>SNO3,KNO3,H</t>
    </r>
  </si>
  <si>
    <r>
      <t>K</t>
    </r>
    <r>
      <rPr>
        <vertAlign val="subscript"/>
        <sz val="11"/>
        <rFont val="Calibri"/>
        <family val="2"/>
      </rPr>
      <t>NO3,H</t>
    </r>
    <r>
      <rPr>
        <sz val="11"/>
        <rFont val="Calibri"/>
        <family val="2"/>
      </rPr>
      <t>/(K</t>
    </r>
    <r>
      <rPr>
        <vertAlign val="subscript"/>
        <sz val="11"/>
        <rFont val="Calibri"/>
        <family val="2"/>
      </rPr>
      <t>NO3,H</t>
    </r>
    <r>
      <rPr>
        <sz val="11"/>
        <rFont val="Calibri"/>
        <family val="2"/>
      </rPr>
      <t>+S</t>
    </r>
    <r>
      <rPr>
        <vertAlign val="subscript"/>
        <sz val="11"/>
        <rFont val="Calibri"/>
        <family val="2"/>
      </rPr>
      <t>NO3</t>
    </r>
    <r>
      <rPr>
        <sz val="11"/>
        <rFont val="Calibri"/>
        <family val="2"/>
      </rPr>
      <t>)</t>
    </r>
  </si>
  <si>
    <r>
      <t>Minh</t>
    </r>
    <r>
      <rPr>
        <vertAlign val="subscript"/>
        <sz val="11"/>
        <rFont val="Calibri"/>
        <family val="2"/>
      </rPr>
      <t>SO2,KO2,H</t>
    </r>
  </si>
  <si>
    <r>
      <t>K</t>
    </r>
    <r>
      <rPr>
        <vertAlign val="subscript"/>
        <sz val="11"/>
        <rFont val="Calibri"/>
        <family val="2"/>
      </rPr>
      <t>O2,H</t>
    </r>
    <r>
      <rPr>
        <sz val="11"/>
        <rFont val="Calibri"/>
        <family val="2"/>
      </rPr>
      <t>/(K</t>
    </r>
    <r>
      <rPr>
        <vertAlign val="subscript"/>
        <sz val="11"/>
        <rFont val="Calibri"/>
        <family val="2"/>
      </rPr>
      <t>O2,H</t>
    </r>
    <r>
      <rPr>
        <sz val="11"/>
        <rFont val="Calibri"/>
        <family val="2"/>
      </rPr>
      <t>+S</t>
    </r>
    <r>
      <rPr>
        <vertAlign val="subscript"/>
        <sz val="11"/>
        <rFont val="Calibri"/>
        <family val="2"/>
      </rPr>
      <t>O2</t>
    </r>
    <r>
      <rPr>
        <sz val="11"/>
        <rFont val="Calibri"/>
        <family val="2"/>
      </rPr>
      <t>)</t>
    </r>
  </si>
  <si>
    <r>
      <t>Minh</t>
    </r>
    <r>
      <rPr>
        <vertAlign val="subscript"/>
        <sz val="11"/>
        <rFont val="Calibri"/>
        <family val="2"/>
      </rPr>
      <t>SO2,KO2,PAO</t>
    </r>
  </si>
  <si>
    <r>
      <t>K</t>
    </r>
    <r>
      <rPr>
        <vertAlign val="subscript"/>
        <sz val="11"/>
        <rFont val="Calibri"/>
        <family val="2"/>
      </rPr>
      <t>O2,PAO</t>
    </r>
    <r>
      <rPr>
        <sz val="11"/>
        <rFont val="Calibri"/>
        <family val="2"/>
      </rPr>
      <t>/(K</t>
    </r>
    <r>
      <rPr>
        <vertAlign val="subscript"/>
        <sz val="11"/>
        <rFont val="Calibri"/>
        <family val="2"/>
      </rPr>
      <t>O2,PAO</t>
    </r>
    <r>
      <rPr>
        <sz val="11"/>
        <rFont val="Calibri"/>
        <family val="2"/>
      </rPr>
      <t>+S</t>
    </r>
    <r>
      <rPr>
        <vertAlign val="subscript"/>
        <sz val="11"/>
        <rFont val="Calibri"/>
        <family val="2"/>
      </rPr>
      <t>O2</t>
    </r>
    <r>
      <rPr>
        <sz val="11"/>
        <rFont val="Calibri"/>
        <family val="2"/>
      </rPr>
      <t>)</t>
    </r>
  </si>
  <si>
    <r>
      <t>g COD.g X</t>
    </r>
    <r>
      <rPr>
        <vertAlign val="subscript"/>
        <sz val="11"/>
        <rFont val="Calibri"/>
        <family val="2"/>
        <scheme val="minor"/>
      </rPr>
      <t>PAO</t>
    </r>
    <r>
      <rPr>
        <vertAlign val="superscript"/>
        <sz val="11"/>
        <rFont val="Calibri"/>
        <family val="2"/>
        <scheme val="minor"/>
      </rPr>
      <t>-1</t>
    </r>
    <r>
      <rPr>
        <sz val="11"/>
        <rFont val="Calibri"/>
        <family val="2"/>
        <scheme val="minor"/>
      </rPr>
      <t>.d</t>
    </r>
    <r>
      <rPr>
        <vertAlign val="superscript"/>
        <sz val="11"/>
        <rFont val="Calibri"/>
        <family val="2"/>
        <scheme val="minor"/>
      </rPr>
      <t>-1</t>
    </r>
  </si>
  <si>
    <t>SmallNumber</t>
  </si>
  <si>
    <t xml:space="preserve"> -BigNumber</t>
  </si>
  <si>
    <t>Half-saturation of VFA</t>
  </si>
  <si>
    <t>Filtered biochemical oxygen demand (5 days)</t>
  </si>
  <si>
    <t>Particulate biochemical oxygen demand (5 days)</t>
  </si>
  <si>
    <t>Total biochemical oxygen demand (5 days)</t>
  </si>
  <si>
    <t xml:space="preserve">Saturation/Inhibition terms </t>
  </si>
  <si>
    <t>NonDetect</t>
  </si>
  <si>
    <t>Sidestream</t>
  </si>
  <si>
    <t>Advanced</t>
  </si>
  <si>
    <r>
      <t>c</t>
    </r>
    <r>
      <rPr>
        <vertAlign val="subscript"/>
        <sz val="11"/>
        <rFont val="Calibri"/>
        <family val="2"/>
        <scheme val="minor"/>
      </rPr>
      <t>percent,Vconc</t>
    </r>
  </si>
  <si>
    <t>Conversion coefficient between percents and volumetric concentration</t>
  </si>
  <si>
    <r>
      <t>c</t>
    </r>
    <r>
      <rPr>
        <vertAlign val="subscript"/>
        <sz val="11"/>
        <rFont val="Calibri"/>
        <family val="2"/>
        <scheme val="minor"/>
      </rPr>
      <t>percent,fraction</t>
    </r>
  </si>
  <si>
    <t>Conversion coefficient between percents and fractions</t>
  </si>
  <si>
    <t>%</t>
  </si>
  <si>
    <t>Activated sludge</t>
  </si>
  <si>
    <t>unitless</t>
  </si>
  <si>
    <r>
      <t>g X</t>
    </r>
    <r>
      <rPr>
        <vertAlign val="subscript"/>
        <sz val="11"/>
        <rFont val="Calibri"/>
        <family val="2"/>
        <scheme val="minor"/>
      </rPr>
      <t>MeOH</t>
    </r>
    <r>
      <rPr>
        <sz val="11"/>
        <rFont val="Calibri"/>
        <family val="2"/>
        <scheme val="minor"/>
      </rPr>
      <t>.g S</t>
    </r>
    <r>
      <rPr>
        <vertAlign val="subscript"/>
        <sz val="11"/>
        <rFont val="Calibri"/>
        <family val="2"/>
        <scheme val="minor"/>
      </rPr>
      <t>PO4</t>
    </r>
    <r>
      <rPr>
        <vertAlign val="superscript"/>
        <sz val="11"/>
        <rFont val="Calibri"/>
        <family val="2"/>
        <scheme val="minor"/>
      </rPr>
      <t>-1</t>
    </r>
  </si>
  <si>
    <r>
      <t>g X</t>
    </r>
    <r>
      <rPr>
        <vertAlign val="subscript"/>
        <sz val="11"/>
        <rFont val="Calibri"/>
        <family val="2"/>
        <scheme val="minor"/>
      </rPr>
      <t>MeP</t>
    </r>
    <r>
      <rPr>
        <sz val="11"/>
        <rFont val="Calibri"/>
        <family val="2"/>
        <scheme val="minor"/>
      </rPr>
      <t>.g S</t>
    </r>
    <r>
      <rPr>
        <vertAlign val="subscript"/>
        <sz val="11"/>
        <rFont val="Calibri"/>
        <family val="2"/>
        <scheme val="minor"/>
      </rPr>
      <t>PO4</t>
    </r>
    <r>
      <rPr>
        <vertAlign val="superscript"/>
        <sz val="11"/>
        <rFont val="Calibri"/>
        <family val="2"/>
        <scheme val="minor"/>
      </rPr>
      <t>-1</t>
    </r>
  </si>
  <si>
    <r>
      <t>X</t>
    </r>
    <r>
      <rPr>
        <vertAlign val="subscript"/>
        <sz val="11"/>
        <rFont val="Calibri"/>
        <family val="2"/>
        <scheme val="minor"/>
      </rPr>
      <t>ISS</t>
    </r>
  </si>
  <si>
    <r>
      <t>X</t>
    </r>
    <r>
      <rPr>
        <vertAlign val="subscript"/>
        <sz val="11"/>
        <rFont val="Calibri"/>
        <family val="2"/>
      </rPr>
      <t>TSS</t>
    </r>
    <r>
      <rPr>
        <sz val="11"/>
        <rFont val="Calibri"/>
        <family val="2"/>
      </rPr>
      <t>-X</t>
    </r>
    <r>
      <rPr>
        <vertAlign val="subscript"/>
        <sz val="11"/>
        <rFont val="Calibri"/>
        <family val="2"/>
      </rPr>
      <t>VSS</t>
    </r>
  </si>
  <si>
    <r>
      <t>X</t>
    </r>
    <r>
      <rPr>
        <vertAlign val="subscript"/>
        <sz val="11"/>
        <rFont val="Calibri"/>
        <family val="2"/>
        <scheme val="minor"/>
      </rPr>
      <t>DM</t>
    </r>
  </si>
  <si>
    <t>Dry matter</t>
  </si>
  <si>
    <r>
      <t>g COD.g VS</t>
    </r>
    <r>
      <rPr>
        <vertAlign val="superscript"/>
        <sz val="11"/>
        <rFont val="Calibri"/>
        <family val="2"/>
        <scheme val="minor"/>
      </rPr>
      <t>-1</t>
    </r>
  </si>
  <si>
    <r>
      <t>i</t>
    </r>
    <r>
      <rPr>
        <vertAlign val="subscript"/>
        <sz val="11"/>
        <rFont val="Calibri"/>
        <family val="2"/>
        <scheme val="minor"/>
      </rPr>
      <t>CV,SI</t>
    </r>
  </si>
  <si>
    <r>
      <t>S</t>
    </r>
    <r>
      <rPr>
        <vertAlign val="subscript"/>
        <sz val="11"/>
        <rFont val="Calibri"/>
        <family val="2"/>
        <scheme val="minor"/>
      </rPr>
      <t>I</t>
    </r>
    <r>
      <rPr>
        <sz val="11"/>
        <rFont val="Calibri"/>
        <family val="2"/>
        <scheme val="minor"/>
      </rPr>
      <t xml:space="preserve"> S</t>
    </r>
    <r>
      <rPr>
        <vertAlign val="subscript"/>
        <sz val="11"/>
        <rFont val="Calibri"/>
        <family val="2"/>
        <scheme val="minor"/>
      </rPr>
      <t>COD</t>
    </r>
    <r>
      <rPr>
        <sz val="11"/>
        <rFont val="Calibri"/>
        <family val="2"/>
        <scheme val="minor"/>
      </rPr>
      <t>/VS ratio</t>
    </r>
  </si>
  <si>
    <r>
      <t>S</t>
    </r>
    <r>
      <rPr>
        <vertAlign val="subscript"/>
        <sz val="11"/>
        <rFont val="Calibri"/>
        <family val="2"/>
        <scheme val="minor"/>
      </rPr>
      <t>A</t>
    </r>
    <r>
      <rPr>
        <sz val="11"/>
        <rFont val="Calibri"/>
        <family val="2"/>
        <scheme val="minor"/>
      </rPr>
      <t xml:space="preserve"> S</t>
    </r>
    <r>
      <rPr>
        <vertAlign val="subscript"/>
        <sz val="11"/>
        <rFont val="Calibri"/>
        <family val="2"/>
        <scheme val="minor"/>
      </rPr>
      <t>COD</t>
    </r>
    <r>
      <rPr>
        <sz val="11"/>
        <rFont val="Calibri"/>
        <family val="2"/>
        <scheme val="minor"/>
      </rPr>
      <t>/VS ratio</t>
    </r>
  </si>
  <si>
    <r>
      <t>i</t>
    </r>
    <r>
      <rPr>
        <vertAlign val="subscript"/>
        <sz val="11"/>
        <rFont val="Calibri"/>
        <family val="2"/>
        <scheme val="minor"/>
      </rPr>
      <t>CV,SA</t>
    </r>
  </si>
  <si>
    <r>
      <t>i</t>
    </r>
    <r>
      <rPr>
        <vertAlign val="subscript"/>
        <sz val="11"/>
        <rFont val="Calibri"/>
        <family val="2"/>
        <scheme val="minor"/>
      </rPr>
      <t>CV,SF</t>
    </r>
  </si>
  <si>
    <r>
      <t>S</t>
    </r>
    <r>
      <rPr>
        <vertAlign val="subscript"/>
        <sz val="11"/>
        <rFont val="Calibri"/>
        <family val="2"/>
        <scheme val="minor"/>
      </rPr>
      <t>F</t>
    </r>
    <r>
      <rPr>
        <sz val="11"/>
        <rFont val="Calibri"/>
        <family val="2"/>
        <scheme val="minor"/>
      </rPr>
      <t xml:space="preserve"> S</t>
    </r>
    <r>
      <rPr>
        <vertAlign val="subscript"/>
        <sz val="11"/>
        <rFont val="Calibri"/>
        <family val="2"/>
        <scheme val="minor"/>
      </rPr>
      <t>COD</t>
    </r>
    <r>
      <rPr>
        <sz val="11"/>
        <rFont val="Calibri"/>
        <family val="2"/>
        <scheme val="minor"/>
      </rPr>
      <t>/VS ratio</t>
    </r>
  </si>
  <si>
    <r>
      <t>X</t>
    </r>
    <r>
      <rPr>
        <vertAlign val="subscript"/>
        <sz val="11"/>
        <rFont val="Calibri"/>
        <family val="2"/>
        <scheme val="minor"/>
      </rPr>
      <t>TSS</t>
    </r>
    <r>
      <rPr>
        <sz val="11"/>
        <rFont val="Calibri"/>
        <family val="2"/>
        <scheme val="minor"/>
      </rPr>
      <t>+S</t>
    </r>
    <r>
      <rPr>
        <vertAlign val="subscript"/>
        <sz val="11"/>
        <rFont val="Calibri"/>
        <family val="2"/>
        <scheme val="minor"/>
      </rPr>
      <t>I</t>
    </r>
    <r>
      <rPr>
        <sz val="11"/>
        <rFont val="Calibri"/>
        <family val="2"/>
        <scheme val="minor"/>
      </rPr>
      <t>/i</t>
    </r>
    <r>
      <rPr>
        <vertAlign val="subscript"/>
        <sz val="11"/>
        <rFont val="Calibri"/>
        <family val="2"/>
        <scheme val="minor"/>
      </rPr>
      <t>CV,SI</t>
    </r>
    <r>
      <rPr>
        <sz val="11"/>
        <rFont val="Calibri"/>
        <family val="2"/>
        <scheme val="minor"/>
      </rPr>
      <t>+S</t>
    </r>
    <r>
      <rPr>
        <vertAlign val="subscript"/>
        <sz val="11"/>
        <rFont val="Calibri"/>
        <family val="2"/>
        <scheme val="minor"/>
      </rPr>
      <t>F</t>
    </r>
    <r>
      <rPr>
        <sz val="11"/>
        <rFont val="Calibri"/>
        <family val="2"/>
        <scheme val="minor"/>
      </rPr>
      <t>/i</t>
    </r>
    <r>
      <rPr>
        <vertAlign val="subscript"/>
        <sz val="11"/>
        <rFont val="Calibri"/>
        <family val="2"/>
        <scheme val="minor"/>
      </rPr>
      <t>CV,SF</t>
    </r>
    <r>
      <rPr>
        <sz val="11"/>
        <rFont val="Calibri"/>
        <family val="2"/>
        <scheme val="minor"/>
      </rPr>
      <t>+S</t>
    </r>
    <r>
      <rPr>
        <vertAlign val="subscript"/>
        <sz val="11"/>
        <rFont val="Calibri"/>
        <family val="2"/>
        <scheme val="minor"/>
      </rPr>
      <t>A</t>
    </r>
    <r>
      <rPr>
        <sz val="11"/>
        <rFont val="Calibri"/>
        <family val="2"/>
        <scheme val="minor"/>
      </rPr>
      <t>/i</t>
    </r>
    <r>
      <rPr>
        <vertAlign val="subscript"/>
        <sz val="11"/>
        <rFont val="Calibri"/>
        <family val="2"/>
        <scheme val="minor"/>
      </rPr>
      <t>CV,SA</t>
    </r>
    <r>
      <rPr>
        <sz val="11"/>
        <rFont val="Calibri"/>
        <family val="2"/>
        <scheme val="minor"/>
      </rPr>
      <t>+S</t>
    </r>
    <r>
      <rPr>
        <vertAlign val="subscript"/>
        <sz val="11"/>
        <rFont val="Calibri"/>
        <family val="2"/>
        <scheme val="minor"/>
      </rPr>
      <t>NH4</t>
    </r>
    <r>
      <rPr>
        <sz val="11"/>
        <rFont val="Calibri"/>
        <family val="2"/>
        <scheme val="minor"/>
      </rPr>
      <t>*MM</t>
    </r>
    <r>
      <rPr>
        <vertAlign val="subscript"/>
        <sz val="11"/>
        <rFont val="Calibri"/>
        <family val="2"/>
        <scheme val="minor"/>
      </rPr>
      <t>NH4</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NO3</t>
    </r>
    <r>
      <rPr>
        <sz val="11"/>
        <rFont val="Calibri"/>
        <family val="2"/>
        <scheme val="minor"/>
      </rPr>
      <t>*MM</t>
    </r>
    <r>
      <rPr>
        <vertAlign val="subscript"/>
        <sz val="11"/>
        <rFont val="Calibri"/>
        <family val="2"/>
        <scheme val="minor"/>
      </rPr>
      <t>NO3</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PO4</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P</t>
    </r>
  </si>
  <si>
    <r>
      <t>g.m</t>
    </r>
    <r>
      <rPr>
        <vertAlign val="superscript"/>
        <sz val="11"/>
        <rFont val="Calibri"/>
        <family val="2"/>
      </rPr>
      <t>-3</t>
    </r>
    <r>
      <rPr>
        <sz val="11"/>
        <rFont val="Calibri"/>
        <family val="2"/>
      </rPr>
      <t>.d</t>
    </r>
    <r>
      <rPr>
        <vertAlign val="superscript"/>
        <sz val="11"/>
        <rFont val="Calibri"/>
        <family val="2"/>
      </rPr>
      <t>-1</t>
    </r>
  </si>
  <si>
    <r>
      <t>g.m</t>
    </r>
    <r>
      <rPr>
        <vertAlign val="superscript"/>
        <sz val="11"/>
        <rFont val="Calibri"/>
        <family val="2"/>
      </rPr>
      <t>-3</t>
    </r>
    <r>
      <rPr>
        <sz val="11"/>
        <rFont val="Calibri"/>
        <family val="2"/>
      </rPr>
      <t>.d</t>
    </r>
    <r>
      <rPr>
        <vertAlign val="superscript"/>
        <sz val="11"/>
        <rFont val="Calibri"/>
        <family val="2"/>
      </rPr>
      <t>-1</t>
    </r>
    <r>
      <rPr>
        <sz val="11"/>
        <color theme="1"/>
        <rFont val="Calibri"/>
        <family val="2"/>
        <scheme val="minor"/>
      </rPr>
      <t/>
    </r>
  </si>
  <si>
    <r>
      <t>f</t>
    </r>
    <r>
      <rPr>
        <vertAlign val="subscript"/>
        <sz val="11"/>
        <rFont val="Calibri"/>
        <family val="2"/>
        <scheme val="minor"/>
      </rPr>
      <t>BOD5,BODult</t>
    </r>
  </si>
  <si>
    <r>
      <t>S</t>
    </r>
    <r>
      <rPr>
        <vertAlign val="subscript"/>
        <sz val="11"/>
        <rFont val="Calibri"/>
        <family val="2"/>
        <scheme val="minor"/>
      </rPr>
      <t>BOD,ult</t>
    </r>
  </si>
  <si>
    <r>
      <t>X</t>
    </r>
    <r>
      <rPr>
        <vertAlign val="subscript"/>
        <sz val="11"/>
        <rFont val="Calibri"/>
        <family val="2"/>
        <scheme val="minor"/>
      </rPr>
      <t>BOD,ult</t>
    </r>
  </si>
  <si>
    <r>
      <t>T</t>
    </r>
    <r>
      <rPr>
        <vertAlign val="subscript"/>
        <sz val="11"/>
        <rFont val="Calibri"/>
        <family val="2"/>
        <scheme val="minor"/>
      </rPr>
      <t>BOD,ult</t>
    </r>
  </si>
  <si>
    <r>
      <t>S</t>
    </r>
    <r>
      <rPr>
        <vertAlign val="subscript"/>
        <sz val="11"/>
        <rFont val="Calibri"/>
        <family val="2"/>
        <scheme val="minor"/>
      </rPr>
      <t>BOD,ult</t>
    </r>
    <r>
      <rPr>
        <sz val="11"/>
        <rFont val="Calibri"/>
        <family val="2"/>
        <scheme val="minor"/>
      </rPr>
      <t xml:space="preserve"> +X</t>
    </r>
    <r>
      <rPr>
        <vertAlign val="subscript"/>
        <sz val="11"/>
        <rFont val="Calibri"/>
        <family val="2"/>
        <scheme val="minor"/>
      </rPr>
      <t>BOD,ult</t>
    </r>
  </si>
  <si>
    <r>
      <t>S</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</si>
  <si>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r>
      <t>X</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</si>
  <si>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r>
      <t>T</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</si>
  <si>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t>Initial concentration</t>
  </si>
  <si>
    <t>MinStateVar</t>
  </si>
  <si>
    <t>MaxStateVar</t>
  </si>
  <si>
    <t>Separators</t>
  </si>
  <si>
    <t>Depreciated constants from next Sumo version</t>
  </si>
  <si>
    <t>Deprecated, do not use it in new code. Will be removed after Sumo18.</t>
  </si>
  <si>
    <r>
      <t>J.m</t>
    </r>
    <r>
      <rPr>
        <vertAlign val="superscript"/>
        <sz val="11"/>
        <rFont val="Calibri"/>
        <family val="2"/>
        <scheme val="minor"/>
      </rPr>
      <t>-3</t>
    </r>
  </si>
  <si>
    <t>http://webbook.nist.gov/cgi/cbook.cgi?Formula=H2&amp;NoIon=on&amp;Units=SI&amp;cSO=on</t>
  </si>
  <si>
    <t>http://webbook.nist.gov/cgi/cbook.cgi?Formula=CH4&amp;NoIon=on&amp;Units=SI&amp;cSO=on</t>
  </si>
  <si>
    <r>
      <t>Henry</t>
    </r>
    <r>
      <rPr>
        <vertAlign val="subscript"/>
        <sz val="11"/>
        <rFont val="Calibri"/>
        <family val="2"/>
        <scheme val="minor"/>
      </rPr>
      <t>GNH3,25</t>
    </r>
  </si>
  <si>
    <r>
      <t>Henry coefficient for NH</t>
    </r>
    <r>
      <rPr>
        <vertAlign val="subscript"/>
        <sz val="11"/>
        <rFont val="Calibri"/>
        <family val="2"/>
        <scheme val="minor"/>
      </rPr>
      <t xml:space="preserve">3 </t>
    </r>
    <r>
      <rPr>
        <sz val="11"/>
        <rFont val="Calibri"/>
        <family val="2"/>
        <scheme val="minor"/>
      </rPr>
      <t>@25°C</t>
    </r>
  </si>
  <si>
    <t>http://webbook.nist.gov/cgi/cbook.cgi?Formula=NH3&amp;NoIon=on&amp;Units=SI&amp;cSO=on</t>
  </si>
  <si>
    <r>
      <t>Henry</t>
    </r>
    <r>
      <rPr>
        <vertAlign val="subscript"/>
        <sz val="11"/>
        <rFont val="Calibri"/>
        <family val="2"/>
        <scheme val="minor"/>
      </rPr>
      <t>GNH3,dt</t>
    </r>
  </si>
  <si>
    <r>
      <t>Temperature dependency factor for NH</t>
    </r>
    <r>
      <rPr>
        <vertAlign val="subscript"/>
        <sz val="11"/>
        <rFont val="Calibri"/>
        <family val="2"/>
        <scheme val="minor"/>
      </rPr>
      <t>3</t>
    </r>
    <r>
      <rPr>
        <sz val="11"/>
        <rFont val="Calibri"/>
        <family val="2"/>
        <scheme val="minor"/>
      </rPr>
      <t xml:space="preserve"> Henry coefficient</t>
    </r>
  </si>
  <si>
    <r>
      <t>Henry</t>
    </r>
    <r>
      <rPr>
        <vertAlign val="subscript"/>
        <sz val="11"/>
        <rFont val="Calibri"/>
        <family val="2"/>
        <scheme val="minor"/>
      </rPr>
      <t>GH2S,25</t>
    </r>
  </si>
  <si>
    <r>
      <t>Henry coefficient for H</t>
    </r>
    <r>
      <rPr>
        <vertAlign val="subscript"/>
        <sz val="11"/>
        <rFont val="Calibri"/>
        <family val="2"/>
        <scheme val="minor"/>
      </rPr>
      <t>2</t>
    </r>
    <r>
      <rPr>
        <sz val="11"/>
        <rFont val="Calibri"/>
        <family val="2"/>
        <scheme val="minor"/>
      </rPr>
      <t>S</t>
    </r>
    <r>
      <rPr>
        <vertAlign val="subscript"/>
        <sz val="11"/>
        <rFont val="Calibri"/>
        <family val="2"/>
        <scheme val="minor"/>
      </rPr>
      <t xml:space="preserve"> </t>
    </r>
    <r>
      <rPr>
        <sz val="11"/>
        <rFont val="Calibri"/>
        <family val="2"/>
        <scheme val="minor"/>
      </rPr>
      <t>@25°C</t>
    </r>
  </si>
  <si>
    <t>http://webbook.nist.gov/cgi/cbook.cgi?Formula=H2S&amp;NoIon=on&amp;Units=SI&amp;cSO=on</t>
  </si>
  <si>
    <r>
      <t>Henry</t>
    </r>
    <r>
      <rPr>
        <vertAlign val="subscript"/>
        <sz val="11"/>
        <rFont val="Calibri"/>
        <family val="2"/>
        <scheme val="minor"/>
      </rPr>
      <t>GH2S,dt</t>
    </r>
  </si>
  <si>
    <r>
      <t>Temperature dependency factor for H</t>
    </r>
    <r>
      <rPr>
        <vertAlign val="subscript"/>
        <sz val="11"/>
        <rFont val="Calibri"/>
        <family val="2"/>
        <scheme val="minor"/>
      </rPr>
      <t>2</t>
    </r>
    <r>
      <rPr>
        <sz val="11"/>
        <rFont val="Calibri"/>
        <family val="2"/>
        <scheme val="minor"/>
      </rPr>
      <t>S Henry coefficient</t>
    </r>
  </si>
  <si>
    <t>Diffusion coefficients for gas phase state variables</t>
  </si>
  <si>
    <r>
      <t>D</t>
    </r>
    <r>
      <rPr>
        <vertAlign val="subscript"/>
        <sz val="11"/>
        <rFont val="Calibri"/>
        <family val="2"/>
        <scheme val="minor"/>
      </rPr>
      <t>GO2,25</t>
    </r>
  </si>
  <si>
    <r>
      <t>D</t>
    </r>
    <r>
      <rPr>
        <vertAlign val="subscript"/>
        <sz val="11"/>
        <rFont val="Calibri"/>
        <family val="2"/>
        <scheme val="minor"/>
      </rPr>
      <t>GN2,25</t>
    </r>
  </si>
  <si>
    <r>
      <t>D</t>
    </r>
    <r>
      <rPr>
        <vertAlign val="subscript"/>
        <sz val="11"/>
        <rFont val="Calibri"/>
        <family val="2"/>
        <scheme val="minor"/>
      </rPr>
      <t>GNH3,25</t>
    </r>
  </si>
  <si>
    <r>
      <t>D</t>
    </r>
    <r>
      <rPr>
        <vertAlign val="subscript"/>
        <sz val="11"/>
        <rFont val="Calibri"/>
        <family val="2"/>
        <scheme val="minor"/>
      </rPr>
      <t>GCO2,25</t>
    </r>
  </si>
  <si>
    <r>
      <t>D</t>
    </r>
    <r>
      <rPr>
        <vertAlign val="subscript"/>
        <sz val="11"/>
        <rFont val="Calibri"/>
        <family val="2"/>
      </rPr>
      <t>GH2,25</t>
    </r>
  </si>
  <si>
    <r>
      <t>D</t>
    </r>
    <r>
      <rPr>
        <vertAlign val="subscript"/>
        <sz val="11"/>
        <rFont val="Calibri"/>
        <family val="2"/>
      </rPr>
      <t>GCH4,25</t>
    </r>
  </si>
  <si>
    <r>
      <t>D</t>
    </r>
    <r>
      <rPr>
        <vertAlign val="subscript"/>
        <sz val="11"/>
        <rFont val="Calibri"/>
        <family val="2"/>
      </rPr>
      <t>GNO,25</t>
    </r>
  </si>
  <si>
    <r>
      <t>D</t>
    </r>
    <r>
      <rPr>
        <vertAlign val="subscript"/>
        <sz val="11"/>
        <rFont val="Calibri"/>
        <family val="2"/>
      </rPr>
      <t>GN2O,25</t>
    </r>
  </si>
  <si>
    <r>
      <t>Diffusion coefficient of N</t>
    </r>
    <r>
      <rPr>
        <vertAlign val="subscript"/>
        <sz val="11"/>
        <rFont val="Calibri"/>
        <family val="2"/>
      </rPr>
      <t>2</t>
    </r>
    <r>
      <rPr>
        <sz val="11"/>
        <rFont val="Calibri"/>
        <family val="2"/>
      </rPr>
      <t>O in water @ 25°C</t>
    </r>
  </si>
  <si>
    <r>
      <t>D</t>
    </r>
    <r>
      <rPr>
        <vertAlign val="subscript"/>
        <sz val="11"/>
        <rFont val="Calibri"/>
        <family val="2"/>
        <scheme val="minor"/>
      </rPr>
      <t>GH2S,25</t>
    </r>
  </si>
  <si>
    <t>Diffusion coefficient of hydrogen sulfide in water @ 25°C</t>
  </si>
  <si>
    <r>
      <t>σ</t>
    </r>
    <r>
      <rPr>
        <vertAlign val="subscript"/>
        <sz val="11"/>
        <rFont val="Calibri"/>
        <family val="2"/>
        <charset val="238"/>
      </rPr>
      <t>H2O</t>
    </r>
  </si>
  <si>
    <t>Water/air surface tension</t>
  </si>
  <si>
    <r>
      <t>N.m</t>
    </r>
    <r>
      <rPr>
        <vertAlign val="superscript"/>
        <sz val="11"/>
        <rFont val="Calibri"/>
        <family val="2"/>
        <charset val="238"/>
        <scheme val="minor"/>
      </rPr>
      <t>-1</t>
    </r>
  </si>
  <si>
    <t>Density of water</t>
  </si>
  <si>
    <r>
      <t>η</t>
    </r>
    <r>
      <rPr>
        <vertAlign val="subscript"/>
        <sz val="11"/>
        <rFont val="Calibri"/>
        <family val="2"/>
        <scheme val="minor"/>
      </rPr>
      <t>H2O</t>
    </r>
  </si>
  <si>
    <t>Dynamic viscosity of water</t>
  </si>
  <si>
    <r>
      <t>kg.m</t>
    </r>
    <r>
      <rPr>
        <vertAlign val="superscript"/>
        <sz val="11"/>
        <rFont val="Calibri"/>
        <family val="2"/>
        <scheme val="minor"/>
      </rPr>
      <t>-1</t>
    </r>
    <r>
      <rPr>
        <sz val="11"/>
        <rFont val="Calibri"/>
        <family val="2"/>
        <scheme val="minor"/>
      </rPr>
      <t>.s</t>
    </r>
    <r>
      <rPr>
        <vertAlign val="superscript"/>
        <sz val="11"/>
        <rFont val="Calibri"/>
        <family val="2"/>
        <scheme val="minor"/>
      </rPr>
      <t>-1</t>
    </r>
  </si>
  <si>
    <r>
      <rPr>
        <sz val="11"/>
        <rFont val="Calibri"/>
        <family val="2"/>
      </rPr>
      <t>ρ</t>
    </r>
    <r>
      <rPr>
        <vertAlign val="subscript"/>
        <sz val="11"/>
        <rFont val="Calibri"/>
        <family val="2"/>
        <scheme val="minor"/>
      </rPr>
      <t>air</t>
    </r>
  </si>
  <si>
    <t>Density of air</t>
  </si>
  <si>
    <r>
      <t>p</t>
    </r>
    <r>
      <rPr>
        <vertAlign val="subscript"/>
        <sz val="11"/>
        <rFont val="Calibri"/>
        <family val="2"/>
      </rPr>
      <t>STP</t>
    </r>
  </si>
  <si>
    <r>
      <t>p</t>
    </r>
    <r>
      <rPr>
        <vertAlign val="subscript"/>
        <sz val="11"/>
        <rFont val="Calibri"/>
        <family val="2"/>
      </rPr>
      <t>N</t>
    </r>
  </si>
  <si>
    <t>Normal barometric pressure</t>
  </si>
  <si>
    <t>Atmosphere composition</t>
  </si>
  <si>
    <r>
      <t>G</t>
    </r>
    <r>
      <rPr>
        <vertAlign val="subscript"/>
        <sz val="11"/>
        <rFont val="Calibri"/>
        <family val="2"/>
      </rPr>
      <t>CO2,atm</t>
    </r>
  </si>
  <si>
    <r>
      <t>Carbon dioxide gas (CO</t>
    </r>
    <r>
      <rPr>
        <vertAlign val="subscript"/>
        <sz val="11"/>
        <rFont val="Calibri"/>
        <family val="2"/>
      </rPr>
      <t>2</t>
    </r>
    <r>
      <rPr>
        <sz val="11"/>
        <rFont val="Calibri"/>
        <family val="2"/>
      </rPr>
      <t>)</t>
    </r>
  </si>
  <si>
    <t>%v/v</t>
  </si>
  <si>
    <r>
      <t>G</t>
    </r>
    <r>
      <rPr>
        <vertAlign val="subscript"/>
        <sz val="11"/>
        <rFont val="Calibri"/>
        <family val="2"/>
      </rPr>
      <t>CH4,atm</t>
    </r>
  </si>
  <si>
    <r>
      <t>Methane gas (CH</t>
    </r>
    <r>
      <rPr>
        <vertAlign val="subscript"/>
        <sz val="11"/>
        <color rgb="FF000000"/>
        <rFont val="Calibri"/>
        <family val="2"/>
        <scheme val="minor"/>
      </rPr>
      <t>4</t>
    </r>
    <r>
      <rPr>
        <sz val="11"/>
        <color rgb="FF000000"/>
        <rFont val="Calibri"/>
        <family val="2"/>
        <charset val="238"/>
        <scheme val="minor"/>
      </rPr>
      <t>)</t>
    </r>
  </si>
  <si>
    <r>
      <t>G</t>
    </r>
    <r>
      <rPr>
        <vertAlign val="subscript"/>
        <sz val="11"/>
        <rFont val="Calibri"/>
        <family val="2"/>
      </rPr>
      <t>H2,atm</t>
    </r>
  </si>
  <si>
    <r>
      <t>Hydrogen gas (H</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</si>
  <si>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O2,atm</t>
    </r>
  </si>
  <si>
    <r>
      <t>Oxygen gas (O</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</si>
  <si>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NH3,atm</t>
    </r>
  </si>
  <si>
    <r>
      <t>Ammonia gas (NH</t>
    </r>
    <r>
      <rPr>
        <vertAlign val="subscript"/>
        <sz val="11"/>
        <rFont val="Calibri"/>
        <family val="2"/>
      </rPr>
      <t>3</t>
    </r>
    <r>
      <rPr>
        <sz val="11"/>
        <rFont val="Calibri"/>
        <family val="2"/>
      </rPr>
      <t>)</t>
    </r>
  </si>
  <si>
    <r>
      <t>G</t>
    </r>
    <r>
      <rPr>
        <vertAlign val="subscript"/>
        <sz val="11"/>
        <rFont val="Calibri"/>
        <family val="2"/>
      </rPr>
      <t>N2,atm</t>
    </r>
  </si>
  <si>
    <r>
      <t>Nitrogen gas (N</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</si>
  <si>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H2S,atm</t>
    </r>
  </si>
  <si>
    <r>
      <t>Hydrogen sulfide gas (H</t>
    </r>
    <r>
      <rPr>
        <vertAlign val="subscript"/>
        <sz val="11"/>
        <color rgb="FF000000"/>
        <rFont val="Calibri"/>
        <family val="2"/>
        <scheme val="minor"/>
      </rPr>
      <t>2</t>
    </r>
    <r>
      <rPr>
        <sz val="11"/>
        <color rgb="FF000000"/>
        <rFont val="Calibri"/>
        <family val="2"/>
        <charset val="238"/>
        <scheme val="minor"/>
      </rPr>
      <t>S)</t>
    </r>
  </si>
  <si>
    <r>
      <t>Δ</t>
    </r>
    <r>
      <rPr>
        <vertAlign val="subscript"/>
        <sz val="11"/>
        <rFont val="Calibri"/>
        <family val="2"/>
      </rPr>
      <t>atm</t>
    </r>
  </si>
  <si>
    <t>Arbitrary atmosphere ratio</t>
  </si>
  <si>
    <r>
      <t>%v/v / g/m</t>
    </r>
    <r>
      <rPr>
        <vertAlign val="superscript"/>
        <sz val="11"/>
        <rFont val="Calibri"/>
        <family val="2"/>
      </rPr>
      <t>3</t>
    </r>
  </si>
  <si>
    <t>Only used for mass balance check since mass changes in the atmosphere are not calculated</t>
  </si>
  <si>
    <r>
      <t>R</t>
    </r>
    <r>
      <rPr>
        <vertAlign val="subscript"/>
        <sz val="11"/>
        <rFont val="Calibri"/>
        <family val="2"/>
        <scheme val="minor"/>
      </rPr>
      <t>air</t>
    </r>
  </si>
  <si>
    <t>Specific mass based gas constant for air</t>
  </si>
  <si>
    <r>
      <t>J.kg</t>
    </r>
    <r>
      <rPr>
        <vertAlign val="superscript"/>
        <sz val="11"/>
        <rFont val="Calibri"/>
        <family val="2"/>
        <scheme val="minor"/>
      </rPr>
      <t>-1</t>
    </r>
    <r>
      <rPr>
        <sz val="11"/>
        <rFont val="Calibri"/>
        <family val="2"/>
        <scheme val="minor"/>
      </rPr>
      <t>.K</t>
    </r>
    <r>
      <rPr>
        <vertAlign val="superscript"/>
        <sz val="11"/>
        <rFont val="Calibri"/>
        <family val="2"/>
        <scheme val="minor"/>
      </rPr>
      <t>-1</t>
    </r>
  </si>
  <si>
    <r>
      <t>V</t>
    </r>
    <r>
      <rPr>
        <vertAlign val="subscript"/>
        <sz val="11"/>
        <rFont val="Calibri"/>
        <family val="2"/>
        <scheme val="minor"/>
      </rPr>
      <t>mol,N</t>
    </r>
  </si>
  <si>
    <t>Molar volume at normal conditions</t>
  </si>
  <si>
    <r>
      <t>Nm</t>
    </r>
    <r>
      <rPr>
        <vertAlign val="superscript"/>
        <sz val="11"/>
        <rFont val="Calibri"/>
        <family val="2"/>
        <scheme val="minor"/>
      </rPr>
      <t>3</t>
    </r>
    <r>
      <rPr>
        <sz val="11"/>
        <rFont val="Calibri"/>
        <family val="2"/>
        <scheme val="minor"/>
      </rPr>
      <t>.mol</t>
    </r>
  </si>
  <si>
    <t>κ</t>
  </si>
  <si>
    <t>heat capacity ratio</t>
  </si>
  <si>
    <r>
      <t>MJ.m</t>
    </r>
    <r>
      <rPr>
        <vertAlign val="superscript"/>
        <sz val="11"/>
        <rFont val="Calibri"/>
        <family val="2"/>
        <scheme val="minor"/>
      </rPr>
      <t>-3</t>
    </r>
    <r>
      <rPr>
        <sz val="11"/>
        <rFont val="Calibri"/>
        <family val="2"/>
        <scheme val="minor"/>
      </rPr>
      <t>.K</t>
    </r>
    <r>
      <rPr>
        <vertAlign val="superscript"/>
        <sz val="11"/>
        <rFont val="Calibri"/>
        <family val="2"/>
        <scheme val="minor"/>
      </rPr>
      <t>-1</t>
    </r>
  </si>
  <si>
    <r>
      <t>T</t>
    </r>
    <r>
      <rPr>
        <vertAlign val="subscript"/>
        <sz val="11"/>
        <rFont val="Calibri"/>
        <family val="2"/>
        <scheme val="minor"/>
      </rPr>
      <t>st,K</t>
    </r>
  </si>
  <si>
    <t>Standard ambient air temperature - 25°C in Kelvin</t>
  </si>
  <si>
    <t>25°C at 101325 Pa: SATP (Standard Ambient Temperature and Pressure) - EPA</t>
  </si>
  <si>
    <r>
      <t>T</t>
    </r>
    <r>
      <rPr>
        <vertAlign val="subscript"/>
        <sz val="11"/>
        <rFont val="Calibri"/>
        <family val="2"/>
        <scheme val="minor"/>
      </rPr>
      <t>NTP,K</t>
    </r>
  </si>
  <si>
    <t>Normal condition (NTP) temperature - 20°C in Kelvin</t>
  </si>
  <si>
    <t>20°C at 101325 Pa: NTP (Normal Temperature and Pressure) - EPA, NIST</t>
  </si>
  <si>
    <r>
      <t>T</t>
    </r>
    <r>
      <rPr>
        <vertAlign val="subscript"/>
        <sz val="11"/>
        <rFont val="Calibri"/>
        <family val="2"/>
        <scheme val="minor"/>
      </rPr>
      <t>STP,K</t>
    </r>
  </si>
  <si>
    <t>Standard condition (STP) temperature - 0°C in Kelvin</t>
  </si>
  <si>
    <t>0°C at 101325 Pa: IUPAC STP called Normal condition - NIST, ISO10780</t>
  </si>
  <si>
    <r>
      <t>H</t>
    </r>
    <r>
      <rPr>
        <vertAlign val="subscript"/>
        <sz val="11"/>
        <rFont val="Calibri"/>
        <family val="2"/>
        <scheme val="minor"/>
      </rPr>
      <t>STP</t>
    </r>
  </si>
  <si>
    <r>
      <t xml:space="preserve">However the elements under standard conditions are considered to have zero enthalpy, Sumo uses 0°C as the point where water has zero enthalpy. Reason: in this case there is no need for solvers to deal with negative </t>
    </r>
    <r>
      <rPr>
        <sz val="11"/>
        <color rgb="FF0082C8"/>
        <rFont val="Calibri"/>
        <family val="2"/>
        <scheme val="minor"/>
      </rPr>
      <t>SV</t>
    </r>
    <r>
      <rPr>
        <sz val="11"/>
        <rFont val="Calibri"/>
        <family val="2"/>
        <scheme val="minor"/>
      </rPr>
      <t>s. Otherwise all cases when T is below 25°C, this would be the case.</t>
    </r>
  </si>
  <si>
    <r>
      <t>MM</t>
    </r>
    <r>
      <rPr>
        <vertAlign val="subscript"/>
        <sz val="11"/>
        <rFont val="Calibri"/>
        <family val="2"/>
        <scheme val="minor"/>
      </rPr>
      <t>air</t>
    </r>
  </si>
  <si>
    <t>Molar mass of air</t>
  </si>
  <si>
    <r>
      <t>MM</t>
    </r>
    <r>
      <rPr>
        <vertAlign val="subscript"/>
        <sz val="11"/>
        <rFont val="Calibri"/>
        <family val="2"/>
        <scheme val="minor"/>
      </rPr>
      <t>GH2S</t>
    </r>
  </si>
  <si>
    <t>Molecular mass of hydrogen sulphide</t>
  </si>
  <si>
    <t>Molar mass of ammonium ion</t>
  </si>
  <si>
    <t>Molar mass of nitrite ion</t>
  </si>
  <si>
    <t>Molar mass of nitrate ion</t>
  </si>
  <si>
    <r>
      <t>MM</t>
    </r>
    <r>
      <rPr>
        <vertAlign val="subscript"/>
        <sz val="11"/>
        <rFont val="Calibri"/>
        <family val="2"/>
      </rPr>
      <t>Fe2O3</t>
    </r>
  </si>
  <si>
    <r>
      <t>Molecular mass of Fe</t>
    </r>
    <r>
      <rPr>
        <vertAlign val="subscript"/>
        <sz val="11"/>
        <rFont val="Calibri"/>
        <family val="2"/>
        <scheme val="minor"/>
      </rPr>
      <t>2</t>
    </r>
    <r>
      <rPr>
        <sz val="11"/>
        <rFont val="Calibri"/>
        <family val="2"/>
        <scheme val="minor"/>
      </rPr>
      <t>O</t>
    </r>
    <r>
      <rPr>
        <vertAlign val="subscript"/>
        <sz val="11"/>
        <rFont val="Calibri"/>
        <family val="2"/>
        <scheme val="minor"/>
      </rPr>
      <t>3</t>
    </r>
  </si>
  <si>
    <r>
      <t>MM</t>
    </r>
    <r>
      <rPr>
        <vertAlign val="subscript"/>
        <sz val="11"/>
        <rFont val="Calibri"/>
        <family val="2"/>
        <scheme val="minor"/>
      </rPr>
      <t>FeOH3</t>
    </r>
  </si>
  <si>
    <r>
      <t>Molecular mass of Fe(OH)</t>
    </r>
    <r>
      <rPr>
        <vertAlign val="subscript"/>
        <sz val="11"/>
        <rFont val="Calibri"/>
        <family val="2"/>
        <scheme val="minor"/>
      </rPr>
      <t>3</t>
    </r>
  </si>
  <si>
    <r>
      <t>MM</t>
    </r>
    <r>
      <rPr>
        <vertAlign val="subscript"/>
        <sz val="11"/>
        <rFont val="Calibri"/>
        <family val="2"/>
        <scheme val="minor"/>
      </rPr>
      <t>AlOH3</t>
    </r>
  </si>
  <si>
    <r>
      <t>Molecular mass of Al(OH)</t>
    </r>
    <r>
      <rPr>
        <vertAlign val="subscript"/>
        <sz val="11"/>
        <rFont val="Calibri"/>
        <family val="2"/>
        <scheme val="minor"/>
      </rPr>
      <t>3</t>
    </r>
  </si>
  <si>
    <r>
      <t>MM</t>
    </r>
    <r>
      <rPr>
        <vertAlign val="subscript"/>
        <sz val="11"/>
        <rFont val="Calibri"/>
        <family val="2"/>
        <scheme val="minor"/>
      </rPr>
      <t>AlPO4</t>
    </r>
  </si>
  <si>
    <r>
      <t>Molecular mass of AlPO</t>
    </r>
    <r>
      <rPr>
        <vertAlign val="subscript"/>
        <sz val="11"/>
        <rFont val="Calibri"/>
        <family val="2"/>
        <scheme val="minor"/>
      </rPr>
      <t>4</t>
    </r>
  </si>
  <si>
    <r>
      <t>MM</t>
    </r>
    <r>
      <rPr>
        <vertAlign val="subscript"/>
        <sz val="11"/>
        <rFont val="Calibri"/>
        <family val="2"/>
      </rPr>
      <t>PO4</t>
    </r>
  </si>
  <si>
    <r>
      <t>MM</t>
    </r>
    <r>
      <rPr>
        <vertAlign val="subscript"/>
        <sz val="11"/>
        <rFont val="Calibri"/>
        <family val="2"/>
      </rPr>
      <t>CO2</t>
    </r>
  </si>
  <si>
    <r>
      <t>MM</t>
    </r>
    <r>
      <rPr>
        <vertAlign val="subscript"/>
        <sz val="11"/>
        <rFont val="Calibri"/>
        <family val="2"/>
        <scheme val="minor"/>
      </rPr>
      <t>CaCO3</t>
    </r>
  </si>
  <si>
    <r>
      <t>MM</t>
    </r>
    <r>
      <rPr>
        <vertAlign val="subscript"/>
        <sz val="11"/>
        <rFont val="Calibri"/>
        <family val="2"/>
        <scheme val="minor"/>
      </rPr>
      <t>STR</t>
    </r>
  </si>
  <si>
    <r>
      <t>MM</t>
    </r>
    <r>
      <rPr>
        <vertAlign val="subscript"/>
        <sz val="11"/>
        <rFont val="Calibri"/>
        <family val="2"/>
        <charset val="238"/>
        <scheme val="minor"/>
      </rPr>
      <t>MKP</t>
    </r>
  </si>
  <si>
    <t>Molecular mass of struvite-K</t>
  </si>
  <si>
    <r>
      <t>MM</t>
    </r>
    <r>
      <rPr>
        <vertAlign val="subscript"/>
        <sz val="11"/>
        <rFont val="Calibri"/>
        <family val="2"/>
        <scheme val="minor"/>
      </rPr>
      <t>FeCl3</t>
    </r>
  </si>
  <si>
    <t>Molecular mass of FeCl3</t>
  </si>
  <si>
    <r>
      <t>MM</t>
    </r>
    <r>
      <rPr>
        <vertAlign val="subscript"/>
        <sz val="11"/>
        <rFont val="Calibri"/>
        <family val="2"/>
        <scheme val="minor"/>
      </rPr>
      <t>FeCl2</t>
    </r>
  </si>
  <si>
    <t>Molecular mass of FeCl2</t>
  </si>
  <si>
    <r>
      <t>MM</t>
    </r>
    <r>
      <rPr>
        <vertAlign val="subscript"/>
        <sz val="11"/>
        <rFont val="Calibri"/>
        <family val="2"/>
        <scheme val="minor"/>
      </rPr>
      <t>FeSO4</t>
    </r>
  </si>
  <si>
    <t>Molecular mass of FeSO4</t>
  </si>
  <si>
    <r>
      <t>MM</t>
    </r>
    <r>
      <rPr>
        <vertAlign val="subscript"/>
        <sz val="11"/>
        <rFont val="Calibri"/>
        <family val="2"/>
        <scheme val="minor"/>
      </rPr>
      <t>HDP</t>
    </r>
  </si>
  <si>
    <t>Molecular mass of HDP</t>
  </si>
  <si>
    <r>
      <t>MM</t>
    </r>
    <r>
      <rPr>
        <vertAlign val="subscript"/>
        <sz val="11"/>
        <rFont val="Calibri"/>
        <family val="2"/>
        <scheme val="minor"/>
      </rPr>
      <t>HAP</t>
    </r>
  </si>
  <si>
    <t>Molecular mass of HAP</t>
  </si>
  <si>
    <r>
      <t>MM</t>
    </r>
    <r>
      <rPr>
        <vertAlign val="subscript"/>
        <sz val="11"/>
        <rFont val="Calibri"/>
        <family val="2"/>
        <scheme val="minor"/>
      </rPr>
      <t>CaOH</t>
    </r>
  </si>
  <si>
    <t>Molecular mass of CaOH</t>
  </si>
  <si>
    <r>
      <t>MM</t>
    </r>
    <r>
      <rPr>
        <vertAlign val="subscript"/>
        <sz val="11"/>
        <rFont val="Calibri"/>
        <family val="2"/>
        <scheme val="minor"/>
      </rPr>
      <t>CaHCO3</t>
    </r>
  </si>
  <si>
    <t>Molecular mass of CaHCO3+</t>
  </si>
  <si>
    <r>
      <t>MM</t>
    </r>
    <r>
      <rPr>
        <vertAlign val="subscript"/>
        <sz val="11"/>
        <rFont val="Calibri"/>
        <family val="2"/>
        <scheme val="minor"/>
      </rPr>
      <t>CaPO4</t>
    </r>
  </si>
  <si>
    <t>Molecular mass of CaPO4-</t>
  </si>
  <si>
    <r>
      <t>MM</t>
    </r>
    <r>
      <rPr>
        <vertAlign val="subscript"/>
        <sz val="11"/>
        <rFont val="Calibri"/>
        <family val="2"/>
        <scheme val="minor"/>
      </rPr>
      <t>CaHPO4</t>
    </r>
  </si>
  <si>
    <t>Molecular mass of CaHPO4</t>
  </si>
  <si>
    <r>
      <t>MM</t>
    </r>
    <r>
      <rPr>
        <vertAlign val="subscript"/>
        <sz val="11"/>
        <rFont val="Calibri"/>
        <family val="2"/>
        <scheme val="minor"/>
      </rPr>
      <t>CaH2PO4</t>
    </r>
  </si>
  <si>
    <t>Molecular mass of CaH2PO4+</t>
  </si>
  <si>
    <r>
      <t>MM</t>
    </r>
    <r>
      <rPr>
        <vertAlign val="subscript"/>
        <sz val="11"/>
        <rFont val="Calibri"/>
        <family val="2"/>
        <scheme val="minor"/>
      </rPr>
      <t>MgOH</t>
    </r>
  </si>
  <si>
    <t>Molecular mass of MgOH+</t>
  </si>
  <si>
    <r>
      <t>MM</t>
    </r>
    <r>
      <rPr>
        <vertAlign val="subscript"/>
        <sz val="11"/>
        <rFont val="Calibri"/>
        <family val="2"/>
        <scheme val="minor"/>
      </rPr>
      <t>MgOH2</t>
    </r>
  </si>
  <si>
    <t>Molecular mass of Mg(OH)2</t>
  </si>
  <si>
    <r>
      <t>MM</t>
    </r>
    <r>
      <rPr>
        <vertAlign val="subscript"/>
        <sz val="11"/>
        <rFont val="Calibri"/>
        <family val="2"/>
        <scheme val="minor"/>
      </rPr>
      <t>MgCO3</t>
    </r>
  </si>
  <si>
    <t>Molecular mass of MgCO3</t>
  </si>
  <si>
    <r>
      <t>MM</t>
    </r>
    <r>
      <rPr>
        <vertAlign val="subscript"/>
        <sz val="11"/>
        <rFont val="Calibri"/>
        <family val="2"/>
        <scheme val="minor"/>
      </rPr>
      <t>MgHCO3</t>
    </r>
  </si>
  <si>
    <t>Molecular mass of MgHCO3+</t>
  </si>
  <si>
    <r>
      <t>MM</t>
    </r>
    <r>
      <rPr>
        <vertAlign val="subscript"/>
        <sz val="11"/>
        <rFont val="Calibri"/>
        <family val="2"/>
        <scheme val="minor"/>
      </rPr>
      <t>MgHPO4</t>
    </r>
  </si>
  <si>
    <t>Molecular mass of MgHPO4</t>
  </si>
  <si>
    <r>
      <t>MM</t>
    </r>
    <r>
      <rPr>
        <vertAlign val="subscript"/>
        <sz val="11"/>
        <rFont val="Calibri"/>
        <family val="2"/>
        <scheme val="minor"/>
      </rPr>
      <t>MgPO4</t>
    </r>
  </si>
  <si>
    <t>Molecular mass of MgPO4-</t>
  </si>
  <si>
    <r>
      <t>MM</t>
    </r>
    <r>
      <rPr>
        <vertAlign val="subscript"/>
        <sz val="11"/>
        <rFont val="Calibri"/>
        <family val="2"/>
        <scheme val="minor"/>
      </rPr>
      <t>MgH2PO4</t>
    </r>
  </si>
  <si>
    <t>Molecular mass of MgH2PO4+</t>
  </si>
  <si>
    <r>
      <t>MM</t>
    </r>
    <r>
      <rPr>
        <vertAlign val="subscript"/>
        <sz val="11"/>
        <rFont val="Calibri"/>
        <family val="2"/>
        <scheme val="minor"/>
      </rPr>
      <t>NaHPO4</t>
    </r>
  </si>
  <si>
    <t>Molecular mass of NaHPO4-</t>
  </si>
  <si>
    <r>
      <t>MM</t>
    </r>
    <r>
      <rPr>
        <vertAlign val="subscript"/>
        <sz val="11"/>
        <rFont val="Calibri"/>
        <family val="2"/>
        <scheme val="minor"/>
      </rPr>
      <t>NaCl</t>
    </r>
  </si>
  <si>
    <t>Molecular mass of NaCl</t>
  </si>
  <si>
    <r>
      <t>MM</t>
    </r>
    <r>
      <rPr>
        <vertAlign val="subscript"/>
        <sz val="11"/>
        <rFont val="Calibri"/>
        <family val="2"/>
        <scheme val="minor"/>
      </rPr>
      <t>NaOH</t>
    </r>
  </si>
  <si>
    <t>Molecular mass of NaOH</t>
  </si>
  <si>
    <r>
      <t>MM</t>
    </r>
    <r>
      <rPr>
        <vertAlign val="subscript"/>
        <sz val="11"/>
        <rFont val="Calibri"/>
        <family val="2"/>
        <scheme val="minor"/>
      </rPr>
      <t>Na2CO3</t>
    </r>
  </si>
  <si>
    <t>Molecular mass of Na2CO3</t>
  </si>
  <si>
    <r>
      <t>MM</t>
    </r>
    <r>
      <rPr>
        <vertAlign val="subscript"/>
        <sz val="11"/>
        <rFont val="Calibri"/>
        <family val="2"/>
        <scheme val="minor"/>
      </rPr>
      <t>NaHCO3</t>
    </r>
  </si>
  <si>
    <t>Molecular mass of NaHCO3</t>
  </si>
  <si>
    <r>
      <t>MM</t>
    </r>
    <r>
      <rPr>
        <vertAlign val="subscript"/>
        <sz val="11"/>
        <rFont val="Calibri"/>
        <family val="2"/>
        <scheme val="minor"/>
      </rPr>
      <t>MMC</t>
    </r>
  </si>
  <si>
    <t>Molecular mass of methyl mercaptan</t>
  </si>
  <si>
    <r>
      <t>MM</t>
    </r>
    <r>
      <rPr>
        <vertAlign val="subscript"/>
        <sz val="11"/>
        <rFont val="Calibri"/>
        <family val="2"/>
        <scheme val="minor"/>
      </rPr>
      <t>EQ,GN2</t>
    </r>
  </si>
  <si>
    <r>
      <t>g N.mol</t>
    </r>
    <r>
      <rPr>
        <vertAlign val="superscript"/>
        <sz val="11"/>
        <rFont val="Calibri"/>
        <family val="2"/>
        <scheme val="minor"/>
      </rPr>
      <t>-1</t>
    </r>
  </si>
  <si>
    <r>
      <t>MM</t>
    </r>
    <r>
      <rPr>
        <vertAlign val="subscript"/>
        <sz val="11"/>
        <rFont val="Calibri"/>
        <family val="2"/>
        <scheme val="minor"/>
      </rPr>
      <t>EQ,GNH3</t>
    </r>
  </si>
  <si>
    <r>
      <t>MM</t>
    </r>
    <r>
      <rPr>
        <vertAlign val="subscript"/>
        <sz val="11"/>
        <rFont val="Calibri"/>
        <family val="2"/>
        <scheme val="minor"/>
      </rPr>
      <t>EQ,GNO</t>
    </r>
  </si>
  <si>
    <r>
      <t>MM</t>
    </r>
    <r>
      <rPr>
        <vertAlign val="subscript"/>
        <sz val="11"/>
        <rFont val="Calibri"/>
        <family val="2"/>
        <scheme val="minor"/>
      </rPr>
      <t>EQ,GN2O</t>
    </r>
  </si>
  <si>
    <r>
      <t>MM</t>
    </r>
    <r>
      <rPr>
        <vertAlign val="subscript"/>
        <sz val="11"/>
        <rFont val="Calibri"/>
        <family val="2"/>
        <scheme val="minor"/>
      </rPr>
      <t>EQ,GCO2</t>
    </r>
  </si>
  <si>
    <r>
      <t>C</t>
    </r>
    <r>
      <rPr>
        <vertAlign val="subscript"/>
        <sz val="11"/>
        <rFont val="Calibri"/>
        <family val="2"/>
        <scheme val="minor"/>
      </rPr>
      <t>O2</t>
    </r>
    <r>
      <rPr>
        <sz val="11"/>
        <rFont val="Calibri"/>
        <family val="2"/>
        <scheme val="minor"/>
      </rPr>
      <t xml:space="preserve"> is used in mg/l in kinetic matrix, no need for any special eq-type value, so the exact value is the same as the molecular mass. This is needed only because of the CSTR code, which needs MM</t>
    </r>
    <r>
      <rPr>
        <vertAlign val="subscript"/>
        <sz val="11"/>
        <rFont val="Calibri"/>
        <family val="2"/>
        <scheme val="minor"/>
      </rPr>
      <t>EQ,XXX</t>
    </r>
    <r>
      <rPr>
        <sz val="11"/>
        <rFont val="Calibri"/>
        <family val="2"/>
        <scheme val="minor"/>
      </rPr>
      <t xml:space="preserve"> data</t>
    </r>
  </si>
  <si>
    <r>
      <t>MM</t>
    </r>
    <r>
      <rPr>
        <vertAlign val="subscript"/>
        <sz val="11"/>
        <rFont val="Calibri"/>
        <family val="2"/>
        <scheme val="minor"/>
      </rPr>
      <t>EQ,GO2</t>
    </r>
  </si>
  <si>
    <r>
      <t>g COD.mol</t>
    </r>
    <r>
      <rPr>
        <vertAlign val="superscript"/>
        <sz val="11"/>
        <rFont val="Calibri"/>
        <family val="2"/>
        <scheme val="minor"/>
      </rPr>
      <t>-1</t>
    </r>
  </si>
  <si>
    <r>
      <t>MM</t>
    </r>
    <r>
      <rPr>
        <vertAlign val="subscript"/>
        <sz val="11"/>
        <rFont val="Calibri"/>
        <family val="2"/>
        <scheme val="minor"/>
      </rPr>
      <t>EQ,GH2S</t>
    </r>
  </si>
  <si>
    <t>Molecular mass of GH2S</t>
  </si>
  <si>
    <r>
      <t>g S.mol</t>
    </r>
    <r>
      <rPr>
        <vertAlign val="superscript"/>
        <sz val="11"/>
        <rFont val="Calibri"/>
        <family val="2"/>
        <scheme val="minor"/>
      </rPr>
      <t>-1</t>
    </r>
  </si>
  <si>
    <t>Dissociation constant of water</t>
  </si>
  <si>
    <t>10^-13.997 NIST  (Minteq V4) 25°C</t>
  </si>
  <si>
    <r>
      <t>K</t>
    </r>
    <r>
      <rPr>
        <vertAlign val="subscript"/>
        <sz val="11"/>
        <rFont val="Calibri"/>
        <family val="2"/>
        <charset val="238"/>
        <scheme val="minor"/>
      </rPr>
      <t>NH3,param</t>
    </r>
  </si>
  <si>
    <t>Dissociation constant of ammonia</t>
  </si>
  <si>
    <t>10^-9.244 NIST  (Minteq V4) 25°C</t>
  </si>
  <si>
    <r>
      <t>K</t>
    </r>
    <r>
      <rPr>
        <vertAlign val="subscript"/>
        <sz val="11"/>
        <rFont val="Calibri"/>
        <family val="2"/>
        <charset val="238"/>
        <scheme val="minor"/>
      </rPr>
      <t>NO2,param</t>
    </r>
  </si>
  <si>
    <t>Dissociation constant of nitrous acid</t>
  </si>
  <si>
    <t>10^-3.35 (https://pubchem.ncbi.nlm.nih.gov/compound/24529#section=Experimental-Properties)</t>
  </si>
  <si>
    <t>Dissociation constant of carbonate first step</t>
  </si>
  <si>
    <t>10^-6.352 NIST  (Minteq V4) 25°C</t>
  </si>
  <si>
    <t>Dissociation constant of carbonate second step</t>
  </si>
  <si>
    <t>10^-10.329 NIST  (Minteq V4) 25°C</t>
  </si>
  <si>
    <t>Dissociation constant of phosphate first step</t>
  </si>
  <si>
    <t>10^-2.148 NIST  (Minteq V4) 25°C</t>
  </si>
  <si>
    <t>Dissociation constant of phosphate second step</t>
  </si>
  <si>
    <t>10^-7.198 NIST  (Minteq V4) 25°C</t>
  </si>
  <si>
    <t>Dissociation constant of phosphate third step</t>
  </si>
  <si>
    <t>10^-12.375 NIST  (Minteq V4) 25°C</t>
  </si>
  <si>
    <r>
      <t>K</t>
    </r>
    <r>
      <rPr>
        <vertAlign val="subscript"/>
        <sz val="11"/>
        <rFont val="Calibri"/>
        <family val="2"/>
        <charset val="238"/>
        <scheme val="minor"/>
      </rPr>
      <t>Ac,param</t>
    </r>
  </si>
  <si>
    <t>Dissociation constant of acetate</t>
  </si>
  <si>
    <t>10^-4.757 NIST  (Minteq V4) 25°C</t>
  </si>
  <si>
    <r>
      <t>K</t>
    </r>
    <r>
      <rPr>
        <vertAlign val="subscript"/>
        <sz val="11"/>
        <rFont val="Calibri"/>
        <family val="2"/>
        <scheme val="minor"/>
      </rPr>
      <t>S1,param</t>
    </r>
  </si>
  <si>
    <t>Dissociation constant of hydrogen sulfide</t>
  </si>
  <si>
    <t>NIST  (Minteq V4) 25°C</t>
  </si>
  <si>
    <r>
      <t>K</t>
    </r>
    <r>
      <rPr>
        <vertAlign val="subscript"/>
        <sz val="11"/>
        <rFont val="Calibri"/>
        <family val="2"/>
        <scheme val="minor"/>
      </rPr>
      <t>S2,param</t>
    </r>
  </si>
  <si>
    <t>Dissociation constant of bisulfide ion</t>
  </si>
  <si>
    <r>
      <t>K</t>
    </r>
    <r>
      <rPr>
        <vertAlign val="subscript"/>
        <sz val="11"/>
        <rFont val="Calibri"/>
        <family val="2"/>
        <scheme val="minor"/>
      </rPr>
      <t>SO41,param</t>
    </r>
  </si>
  <si>
    <t>Dissociation constant of sulfuric acid</t>
  </si>
  <si>
    <t>Hvitved-Jacobsen 2013</t>
  </si>
  <si>
    <r>
      <t>K</t>
    </r>
    <r>
      <rPr>
        <vertAlign val="subscript"/>
        <sz val="11"/>
        <rFont val="Calibri"/>
        <family val="2"/>
        <scheme val="minor"/>
      </rPr>
      <t>SO42,param</t>
    </r>
  </si>
  <si>
    <t>Dissociation constant of bisulfate</t>
  </si>
  <si>
    <t>NIST (Minteq V4) 25°C</t>
  </si>
  <si>
    <r>
      <t>K</t>
    </r>
    <r>
      <rPr>
        <vertAlign val="subscript"/>
        <sz val="11"/>
        <rFont val="Calibri"/>
        <family val="2"/>
        <charset val="238"/>
        <scheme val="minor"/>
      </rPr>
      <t>H2S,param</t>
    </r>
  </si>
  <si>
    <t>Precipitation constants</t>
  </si>
  <si>
    <r>
      <t>K</t>
    </r>
    <r>
      <rPr>
        <vertAlign val="subscript"/>
        <sz val="11"/>
        <rFont val="Calibri"/>
        <family val="2"/>
        <scheme val="minor"/>
      </rPr>
      <t>sp,CaCO3,param</t>
    </r>
  </si>
  <si>
    <t>Solubility  constant of CaCO3</t>
  </si>
  <si>
    <r>
      <t>K</t>
    </r>
    <r>
      <rPr>
        <vertAlign val="subscript"/>
        <sz val="11"/>
        <rFont val="Calibri"/>
        <family val="2"/>
        <scheme val="minor"/>
      </rPr>
      <t>sp,STR,param</t>
    </r>
  </si>
  <si>
    <t>Solubility  constant of struvite</t>
  </si>
  <si>
    <r>
      <t>K</t>
    </r>
    <r>
      <rPr>
        <vertAlign val="subscript"/>
        <sz val="11"/>
        <rFont val="Calibri"/>
        <family val="2"/>
        <scheme val="minor"/>
      </rPr>
      <t>sp,ACP,param</t>
    </r>
  </si>
  <si>
    <t>Solubility constant of ACP</t>
  </si>
  <si>
    <t>Musvoto et al. (2000) =10^(-25.46)</t>
  </si>
  <si>
    <r>
      <t>K</t>
    </r>
    <r>
      <rPr>
        <vertAlign val="subscript"/>
        <sz val="11"/>
        <rFont val="Calibri"/>
        <family val="2"/>
        <scheme val="minor"/>
      </rPr>
      <t>sp,Vivi,param</t>
    </r>
  </si>
  <si>
    <t>Solubility constant of vivianite</t>
  </si>
  <si>
    <t>Nriagu (1972); Al-Borno and Tomson (1994): 35.755 at 25°C DeltaH°: 5.05 kJ.mol-1 (small temperature dependency)</t>
  </si>
  <si>
    <r>
      <t>K</t>
    </r>
    <r>
      <rPr>
        <vertAlign val="subscript"/>
        <sz val="11"/>
        <rFont val="Calibri"/>
        <family val="2"/>
        <scheme val="minor"/>
      </rPr>
      <t>sp,FeS,param</t>
    </r>
  </si>
  <si>
    <t>Solubility constant of FeS</t>
  </si>
  <si>
    <r>
      <t>K</t>
    </r>
    <r>
      <rPr>
        <vertAlign val="subscript"/>
        <sz val="11"/>
        <rFont val="Calibri"/>
        <family val="2"/>
        <scheme val="minor"/>
      </rPr>
      <t>sp,HDP,param</t>
    </r>
  </si>
  <si>
    <t>Solubility constant of HDP</t>
  </si>
  <si>
    <r>
      <t>K</t>
    </r>
    <r>
      <rPr>
        <vertAlign val="subscript"/>
        <sz val="11"/>
        <rFont val="Calibri"/>
        <family val="2"/>
        <scheme val="minor"/>
      </rPr>
      <t>sp,MKP,param</t>
    </r>
  </si>
  <si>
    <t>Solubility constant of MKP</t>
  </si>
  <si>
    <r>
      <t>g COD.g N</t>
    </r>
    <r>
      <rPr>
        <vertAlign val="superscript"/>
        <sz val="11"/>
        <rFont val="Calibri"/>
        <family val="2"/>
      </rPr>
      <t>-1</t>
    </r>
  </si>
  <si>
    <r>
      <t>EEQ</t>
    </r>
    <r>
      <rPr>
        <vertAlign val="subscript"/>
        <sz val="11"/>
        <rFont val="Calibri"/>
        <family val="2"/>
        <scheme val="minor"/>
      </rPr>
      <t>Fe2</t>
    </r>
  </si>
  <si>
    <r>
      <t>Electron equivalence of Fe</t>
    </r>
    <r>
      <rPr>
        <vertAlign val="superscript"/>
        <sz val="11"/>
        <rFont val="Calibri"/>
        <family val="2"/>
        <scheme val="minor"/>
      </rPr>
      <t>2+</t>
    </r>
  </si>
  <si>
    <r>
      <t>g COD.g Fe</t>
    </r>
    <r>
      <rPr>
        <vertAlign val="superscript"/>
        <sz val="11"/>
        <rFont val="Calibri"/>
        <family val="2"/>
      </rPr>
      <t>-1</t>
    </r>
  </si>
  <si>
    <r>
      <t>EEQ</t>
    </r>
    <r>
      <rPr>
        <vertAlign val="subscript"/>
        <sz val="11"/>
        <rFont val="Calibri"/>
        <family val="2"/>
        <scheme val="minor"/>
      </rPr>
      <t>S</t>
    </r>
  </si>
  <si>
    <r>
      <t>Electron equivalence of S0 to H</t>
    </r>
    <r>
      <rPr>
        <vertAlign val="subscript"/>
        <sz val="11"/>
        <rFont val="Calibri"/>
        <family val="2"/>
        <scheme val="minor"/>
      </rPr>
      <t>2</t>
    </r>
    <r>
      <rPr>
        <sz val="11"/>
        <rFont val="Calibri"/>
        <family val="2"/>
        <scheme val="minor"/>
      </rPr>
      <t>SO</t>
    </r>
    <r>
      <rPr>
        <vertAlign val="subscript"/>
        <sz val="11"/>
        <rFont val="Calibri"/>
        <family val="2"/>
        <scheme val="minor"/>
      </rPr>
      <t>4</t>
    </r>
  </si>
  <si>
    <r>
      <t>g COD.g S</t>
    </r>
    <r>
      <rPr>
        <vertAlign val="superscript"/>
        <sz val="11"/>
        <rFont val="Calibri"/>
        <family val="2"/>
      </rPr>
      <t>-1</t>
    </r>
  </si>
  <si>
    <t>base is sulphate</t>
  </si>
  <si>
    <r>
      <t>g COD.g S</t>
    </r>
    <r>
      <rPr>
        <vertAlign val="superscript"/>
        <sz val="11"/>
        <rFont val="Calibri"/>
        <family val="2"/>
        <scheme val="minor"/>
      </rPr>
      <t>-1</t>
    </r>
  </si>
  <si>
    <t>pH = 4.1929</t>
  </si>
  <si>
    <r>
      <t>λ</t>
    </r>
    <r>
      <rPr>
        <vertAlign val="subscript"/>
        <sz val="11"/>
        <rFont val="Calibri"/>
        <family val="2"/>
      </rPr>
      <t>H</t>
    </r>
  </si>
  <si>
    <t>Thermal conductivity coefficient</t>
  </si>
  <si>
    <t>BigReal</t>
  </si>
  <si>
    <r>
      <t>W.m</t>
    </r>
    <r>
      <rPr>
        <vertAlign val="superscript"/>
        <sz val="11"/>
        <rFont val="Calibri"/>
        <family val="2"/>
        <scheme val="minor"/>
      </rPr>
      <t>-1</t>
    </r>
    <r>
      <rPr>
        <sz val="11"/>
        <rFont val="Calibri"/>
        <family val="2"/>
        <scheme val="minor"/>
      </rPr>
      <t>.K</t>
    </r>
    <r>
      <rPr>
        <vertAlign val="superscript"/>
        <sz val="11"/>
        <rFont val="Calibri"/>
        <family val="2"/>
        <scheme val="minor"/>
      </rPr>
      <t>-1</t>
    </r>
  </si>
  <si>
    <t>https://en.wikipedia.org/wiki/List_of_thermal_conductivities</t>
  </si>
  <si>
    <r>
      <t>ppm.m</t>
    </r>
    <r>
      <rPr>
        <vertAlign val="superscript"/>
        <sz val="11"/>
        <rFont val="Calibri"/>
        <family val="2"/>
        <scheme val="minor"/>
      </rPr>
      <t>-3</t>
    </r>
    <r>
      <rPr>
        <sz val="11"/>
        <rFont val="Calibri"/>
        <family val="2"/>
        <scheme val="minor"/>
      </rPr>
      <t>.m</t>
    </r>
    <r>
      <rPr>
        <vertAlign val="superscript"/>
        <sz val="11"/>
        <rFont val="Calibri"/>
        <family val="2"/>
        <scheme val="minor"/>
      </rPr>
      <t>3</t>
    </r>
  </si>
  <si>
    <r>
      <t>%.v.v</t>
    </r>
    <r>
      <rPr>
        <vertAlign val="superscript"/>
        <sz val="11"/>
        <rFont val="Calibri"/>
        <family val="2"/>
        <scheme val="minor"/>
      </rPr>
      <t>-1</t>
    </r>
  </si>
  <si>
    <t>Conversion coefficient between secs and days</t>
  </si>
  <si>
    <r>
      <t>s.d</t>
    </r>
    <r>
      <rPr>
        <vertAlign val="superscript"/>
        <sz val="11"/>
        <rFont val="Calibri"/>
        <family val="2"/>
        <scheme val="minor"/>
      </rPr>
      <t>-1</t>
    </r>
  </si>
  <si>
    <r>
      <t>c</t>
    </r>
    <r>
      <rPr>
        <vertAlign val="subscript"/>
        <sz val="11"/>
        <rFont val="Calibri"/>
        <family val="2"/>
        <scheme val="minor"/>
      </rPr>
      <t>s,h</t>
    </r>
  </si>
  <si>
    <t>Conversion coefficient between seconds and hours</t>
  </si>
  <si>
    <r>
      <t>s.h</t>
    </r>
    <r>
      <rPr>
        <vertAlign val="superscript"/>
        <sz val="11"/>
        <rFont val="Calibri"/>
        <family val="2"/>
        <scheme val="minor"/>
      </rPr>
      <t>-1</t>
    </r>
  </si>
  <si>
    <r>
      <t>c</t>
    </r>
    <r>
      <rPr>
        <vertAlign val="subscript"/>
        <sz val="11"/>
        <rFont val="Calibri"/>
        <family val="2"/>
        <scheme val="minor"/>
      </rPr>
      <t>min,h</t>
    </r>
  </si>
  <si>
    <t>Conversion coefficient between minutes and hours</t>
  </si>
  <si>
    <r>
      <t>min.h</t>
    </r>
    <r>
      <rPr>
        <vertAlign val="superscript"/>
        <sz val="11"/>
        <rFont val="Calibri"/>
        <family val="2"/>
        <scheme val="minor"/>
      </rPr>
      <t>-1</t>
    </r>
  </si>
  <si>
    <r>
      <t>c</t>
    </r>
    <r>
      <rPr>
        <vertAlign val="subscript"/>
        <sz val="11"/>
        <rFont val="Calibri"/>
        <family val="2"/>
        <scheme val="minor"/>
      </rPr>
      <t>h,d</t>
    </r>
  </si>
  <si>
    <t>Conversion coefficient between hours and days</t>
  </si>
  <si>
    <r>
      <t>h.d</t>
    </r>
    <r>
      <rPr>
        <vertAlign val="superscript"/>
        <sz val="11"/>
        <rFont val="Calibri"/>
        <family val="2"/>
        <scheme val="minor"/>
      </rPr>
      <t>-1</t>
    </r>
  </si>
  <si>
    <r>
      <t>c</t>
    </r>
    <r>
      <rPr>
        <vertAlign val="subscript"/>
        <sz val="11"/>
        <rFont val="Calibri"/>
        <family val="2"/>
        <scheme val="minor"/>
      </rPr>
      <t>ms,d</t>
    </r>
  </si>
  <si>
    <t>Conversion coefficient between milliseconds and days</t>
  </si>
  <si>
    <r>
      <t>ms.d</t>
    </r>
    <r>
      <rPr>
        <vertAlign val="superscript"/>
        <sz val="11"/>
        <rFont val="Calibri"/>
        <family val="2"/>
        <scheme val="minor"/>
      </rPr>
      <t>-1</t>
    </r>
  </si>
  <si>
    <r>
      <t>c</t>
    </r>
    <r>
      <rPr>
        <vertAlign val="subscript"/>
        <sz val="11"/>
        <rFont val="Calibri"/>
        <family val="2"/>
        <scheme val="minor"/>
      </rPr>
      <t>ms,min</t>
    </r>
  </si>
  <si>
    <t>Conversion coefficient between milliseconds and minutes</t>
  </si>
  <si>
    <r>
      <t>ms.min</t>
    </r>
    <r>
      <rPr>
        <vertAlign val="superscript"/>
        <sz val="11"/>
        <rFont val="Calibri"/>
        <family val="2"/>
        <scheme val="minor"/>
      </rPr>
      <t>-1</t>
    </r>
  </si>
  <si>
    <r>
      <t>c</t>
    </r>
    <r>
      <rPr>
        <vertAlign val="subscript"/>
        <sz val="11"/>
        <rFont val="Calibri"/>
        <family val="2"/>
        <scheme val="minor"/>
      </rPr>
      <t>ms,s</t>
    </r>
  </si>
  <si>
    <t>Conversion coefficient between milliseconds and seconds</t>
  </si>
  <si>
    <r>
      <t>ms.s</t>
    </r>
    <r>
      <rPr>
        <vertAlign val="superscript"/>
        <sz val="11"/>
        <rFont val="Calibri"/>
        <family val="2"/>
        <scheme val="minor"/>
      </rPr>
      <t>-1</t>
    </r>
  </si>
  <si>
    <r>
      <t>mg.g</t>
    </r>
    <r>
      <rPr>
        <vertAlign val="superscript"/>
        <sz val="11"/>
        <rFont val="Calibri"/>
        <family val="2"/>
        <scheme val="minor"/>
      </rPr>
      <t>-1</t>
    </r>
  </si>
  <si>
    <r>
      <t>g.kg</t>
    </r>
    <r>
      <rPr>
        <vertAlign val="superscript"/>
        <sz val="11"/>
        <rFont val="Calibri"/>
        <family val="2"/>
        <scheme val="minor"/>
      </rPr>
      <t>-1</t>
    </r>
  </si>
  <si>
    <t>Conversion coefficient between liters and cubic meters</t>
  </si>
  <si>
    <r>
      <t>L.m</t>
    </r>
    <r>
      <rPr>
        <vertAlign val="superscript"/>
        <sz val="11"/>
        <rFont val="Calibri"/>
        <family val="2"/>
        <scheme val="minor"/>
      </rPr>
      <t>-3</t>
    </r>
  </si>
  <si>
    <r>
      <t>c</t>
    </r>
    <r>
      <rPr>
        <vertAlign val="subscript"/>
        <sz val="11"/>
        <rFont val="Calibri"/>
        <family val="2"/>
        <scheme val="minor"/>
      </rPr>
      <t>kJ,MJ</t>
    </r>
  </si>
  <si>
    <t>Conversion coefficient between kilojoules and megajoules</t>
  </si>
  <si>
    <r>
      <t>kJ.MJ</t>
    </r>
    <r>
      <rPr>
        <vertAlign val="superscript"/>
        <sz val="11"/>
        <rFont val="Calibri"/>
        <family val="2"/>
        <scheme val="minor"/>
      </rPr>
      <t>-1</t>
    </r>
  </si>
  <si>
    <t>Conversion coefficient between pascal and Hgmm</t>
  </si>
  <si>
    <r>
      <t>Pa.Hgmm</t>
    </r>
    <r>
      <rPr>
        <vertAlign val="superscript"/>
        <sz val="11"/>
        <rFont val="Calibri"/>
        <family val="2"/>
        <scheme val="minor"/>
      </rPr>
      <t>-1</t>
    </r>
  </si>
  <si>
    <t>Conversion coefficient between pascal and bar</t>
  </si>
  <si>
    <r>
      <t>Pa.bar</t>
    </r>
    <r>
      <rPr>
        <vertAlign val="superscript"/>
        <sz val="11"/>
        <rFont val="Calibri"/>
        <family val="2"/>
        <scheme val="minor"/>
      </rPr>
      <t>-1</t>
    </r>
  </si>
  <si>
    <r>
      <t>c</t>
    </r>
    <r>
      <rPr>
        <vertAlign val="subscript"/>
        <sz val="11"/>
        <rFont val="Calibri"/>
        <family val="2"/>
        <scheme val="minor"/>
      </rPr>
      <t>cm,m</t>
    </r>
  </si>
  <si>
    <t>Conversion coefficient between centimeters and meters</t>
  </si>
  <si>
    <r>
      <t>cm</t>
    </r>
    <r>
      <rPr>
        <vertAlign val="superscript"/>
        <sz val="11"/>
        <rFont val="Calibri"/>
        <family val="2"/>
        <scheme val="minor"/>
      </rPr>
      <t>2</t>
    </r>
    <r>
      <rPr>
        <sz val="11"/>
        <rFont val="Calibri"/>
        <family val="2"/>
        <scheme val="minor"/>
      </rPr>
      <t>.m</t>
    </r>
    <r>
      <rPr>
        <vertAlign val="superscript"/>
        <sz val="11"/>
        <rFont val="Calibri"/>
        <family val="2"/>
        <scheme val="minor"/>
      </rPr>
      <t>-2</t>
    </r>
  </si>
  <si>
    <t>Conversion coefficient between square centimeters and square meters</t>
  </si>
  <si>
    <r>
      <t>c</t>
    </r>
    <r>
      <rPr>
        <vertAlign val="subscript"/>
        <sz val="11"/>
        <rFont val="Calibri"/>
        <family val="2"/>
        <scheme val="minor"/>
      </rPr>
      <t>cm3,m3</t>
    </r>
  </si>
  <si>
    <t>Conversion coefficient between cubic centimeters and cubic meters</t>
  </si>
  <si>
    <r>
      <t>cm</t>
    </r>
    <r>
      <rPr>
        <vertAlign val="superscript"/>
        <sz val="11"/>
        <rFont val="Calibri"/>
        <family val="2"/>
        <scheme val="minor"/>
      </rPr>
      <t>3</t>
    </r>
    <r>
      <rPr>
        <sz val="11"/>
        <rFont val="Calibri"/>
        <family val="2"/>
        <scheme val="minor"/>
      </rPr>
      <t>.m</t>
    </r>
    <r>
      <rPr>
        <vertAlign val="superscript"/>
        <sz val="11"/>
        <rFont val="Calibri"/>
        <family val="2"/>
        <scheme val="minor"/>
      </rPr>
      <t>-3</t>
    </r>
  </si>
  <si>
    <r>
      <t>J.mol</t>
    </r>
    <r>
      <rPr>
        <vertAlign val="superscript"/>
        <sz val="11"/>
        <rFont val="Calibri"/>
        <family val="2"/>
        <scheme val="minor"/>
      </rPr>
      <t>-1</t>
    </r>
  </si>
  <si>
    <r>
      <t>H</t>
    </r>
    <r>
      <rPr>
        <vertAlign val="subscript"/>
        <sz val="11"/>
        <rFont val="Calibri"/>
        <family val="2"/>
        <scheme val="minor"/>
      </rPr>
      <t>H2S</t>
    </r>
  </si>
  <si>
    <t>Standard enthalpy of hydrogen sulfide (aq)</t>
  </si>
  <si>
    <r>
      <t>H</t>
    </r>
    <r>
      <rPr>
        <vertAlign val="subscript"/>
        <sz val="11"/>
        <rFont val="Calibri"/>
        <family val="2"/>
        <scheme val="minor"/>
      </rPr>
      <t>HSm</t>
    </r>
  </si>
  <si>
    <t>Standard enthalpy of bisulfide ion</t>
  </si>
  <si>
    <t xml:space="preserve">Minteq V4 H+ + HS- = H2S  (log_k 7.02/ delta_h -22 kJ)and  HS- = S-2 + H+ ( log_k -17.3/delta_h 49.4 kJ)
</t>
  </si>
  <si>
    <r>
      <t>H</t>
    </r>
    <r>
      <rPr>
        <vertAlign val="subscript"/>
        <sz val="11"/>
        <rFont val="Calibri"/>
        <family val="2"/>
        <scheme val="minor"/>
      </rPr>
      <t>S2m</t>
    </r>
  </si>
  <si>
    <t>Standard enthalpy of sulfide ion</t>
  </si>
  <si>
    <r>
      <t>H</t>
    </r>
    <r>
      <rPr>
        <vertAlign val="subscript"/>
        <sz val="11"/>
        <rFont val="Calibri"/>
        <family val="2"/>
        <scheme val="minor"/>
      </rPr>
      <t>H2SO4</t>
    </r>
  </si>
  <si>
    <t>Standard enthalpy of sulfuric acid</t>
  </si>
  <si>
    <r>
      <t>H</t>
    </r>
    <r>
      <rPr>
        <vertAlign val="subscript"/>
        <sz val="11"/>
        <rFont val="Calibri"/>
        <family val="2"/>
        <scheme val="minor"/>
      </rPr>
      <t>HSO4m</t>
    </r>
  </si>
  <si>
    <t>Standard enthalpy of hydrosulfate ion</t>
  </si>
  <si>
    <t>Minteq V4 H+ + SO42- = HSO4- (log_k 1.99/ delta_h 22 kJ) and http://bluedevilchem.com/honorshome/hch10/hch10docs/files/heatsformation.pdf</t>
  </si>
  <si>
    <r>
      <t>H</t>
    </r>
    <r>
      <rPr>
        <vertAlign val="subscript"/>
        <sz val="11"/>
        <rFont val="Calibri"/>
        <family val="2"/>
        <scheme val="minor"/>
      </rPr>
      <t>SO42m</t>
    </r>
  </si>
  <si>
    <t>Standard enthalpy of sulfate ion</t>
  </si>
  <si>
    <r>
      <t>H</t>
    </r>
    <r>
      <rPr>
        <vertAlign val="subscript"/>
        <sz val="11"/>
        <rFont val="Calibri"/>
        <family val="2"/>
        <scheme val="minor"/>
      </rPr>
      <t>Ca2p</t>
    </r>
  </si>
  <si>
    <t>Standard enthalpy of calcium ion</t>
  </si>
  <si>
    <r>
      <t>H</t>
    </r>
    <r>
      <rPr>
        <vertAlign val="subscript"/>
        <sz val="11"/>
        <rFont val="Calibri"/>
        <family val="2"/>
        <scheme val="minor"/>
      </rPr>
      <t>Mg2p</t>
    </r>
  </si>
  <si>
    <t>Standard enthalpy of Magnesium ion</t>
  </si>
  <si>
    <r>
      <t>H</t>
    </r>
    <r>
      <rPr>
        <vertAlign val="subscript"/>
        <sz val="11"/>
        <rFont val="Calibri"/>
        <family val="2"/>
        <scheme val="minor"/>
      </rPr>
      <t>Nap</t>
    </r>
  </si>
  <si>
    <t>Standard enthalpy of sodium ion</t>
  </si>
  <si>
    <t>Standard enthalpy change of reactions</t>
  </si>
  <si>
    <t>Formula</t>
  </si>
  <si>
    <r>
      <t>dH</t>
    </r>
    <r>
      <rPr>
        <vertAlign val="subscript"/>
        <sz val="11"/>
        <rFont val="Calibri"/>
        <family val="2"/>
        <scheme val="minor"/>
      </rPr>
      <t>diss,H2O</t>
    </r>
  </si>
  <si>
    <t>Standard enthalpy change of dissociation of water</t>
  </si>
  <si>
    <r>
      <t>(H</t>
    </r>
    <r>
      <rPr>
        <vertAlign val="subscript"/>
        <sz val="11"/>
        <rFont val="Calibri"/>
        <family val="2"/>
        <scheme val="minor"/>
      </rPr>
      <t>OHm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H2O</t>
    </r>
  </si>
  <si>
    <r>
      <t>dH</t>
    </r>
    <r>
      <rPr>
        <vertAlign val="subscript"/>
        <sz val="11"/>
        <rFont val="Calibri"/>
        <family val="2"/>
        <scheme val="minor"/>
      </rPr>
      <t>ion,amm</t>
    </r>
  </si>
  <si>
    <t>Standard enthalpy change of ammonia ionization</t>
  </si>
  <si>
    <r>
      <t>(H</t>
    </r>
    <r>
      <rPr>
        <vertAlign val="subscript"/>
        <sz val="11"/>
        <rFont val="Calibri"/>
        <family val="2"/>
        <scheme val="minor"/>
      </rPr>
      <t>NH4p</t>
    </r>
    <r>
      <rPr>
        <sz val="11"/>
        <rFont val="Calibri"/>
        <family val="2"/>
        <scheme val="minor"/>
      </rPr>
      <t xml:space="preserve"> + H</t>
    </r>
    <r>
      <rPr>
        <vertAlign val="subscript"/>
        <sz val="11"/>
        <rFont val="Calibri"/>
        <family val="2"/>
        <scheme val="minor"/>
      </rPr>
      <t>OHm</t>
    </r>
    <r>
      <rPr>
        <sz val="11"/>
        <rFont val="Calibri"/>
        <family val="2"/>
        <scheme val="minor"/>
      </rPr>
      <t>) - (H</t>
    </r>
    <r>
      <rPr>
        <vertAlign val="subscript"/>
        <sz val="11"/>
        <rFont val="Calibri"/>
        <family val="2"/>
        <scheme val="minor"/>
      </rPr>
      <t>NH3</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</si>
  <si>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rPr>
      <t>diss,NO2</t>
    </r>
  </si>
  <si>
    <t>Standard enthalpy change of nitrite dissociation</t>
  </si>
  <si>
    <r>
      <t>(H</t>
    </r>
    <r>
      <rPr>
        <vertAlign val="subscript"/>
        <sz val="11"/>
        <rFont val="Calibri"/>
        <family val="2"/>
      </rPr>
      <t>H3Op</t>
    </r>
    <r>
      <rPr>
        <sz val="11"/>
        <rFont val="Calibri"/>
        <family val="2"/>
      </rPr>
      <t xml:space="preserve"> + H</t>
    </r>
    <r>
      <rPr>
        <vertAlign val="subscript"/>
        <sz val="11"/>
        <rFont val="Calibri"/>
        <family val="2"/>
      </rPr>
      <t>NO2m</t>
    </r>
    <r>
      <rPr>
        <sz val="11"/>
        <rFont val="Calibri"/>
        <family val="2"/>
      </rPr>
      <t>) - (H</t>
    </r>
    <r>
      <rPr>
        <vertAlign val="subscript"/>
        <sz val="11"/>
        <rFont val="Calibri"/>
        <family val="2"/>
      </rPr>
      <t>HNO2</t>
    </r>
    <r>
      <rPr>
        <sz val="11"/>
        <rFont val="Calibri"/>
        <family val="2"/>
      </rPr>
      <t xml:space="preserve"> + H</t>
    </r>
    <r>
      <rPr>
        <vertAlign val="subscript"/>
        <sz val="11"/>
        <rFont val="Calibri"/>
        <family val="2"/>
      </rPr>
      <t>H2O</t>
    </r>
    <r>
      <rPr>
        <sz val="11"/>
        <rFont val="Calibri"/>
        <family val="2"/>
      </rPr>
      <t>)</t>
    </r>
  </si>
  <si>
    <r>
      <t>dH</t>
    </r>
    <r>
      <rPr>
        <vertAlign val="subscript"/>
        <sz val="11"/>
        <rFont val="Calibri"/>
        <family val="2"/>
        <scheme val="minor"/>
      </rPr>
      <t>diss,CO2,1</t>
    </r>
  </si>
  <si>
    <t>Standard enthalpy change of carbonate dissociation, first step</t>
  </si>
  <si>
    <r>
      <t>(H</t>
    </r>
    <r>
      <rPr>
        <vertAlign val="subscript"/>
        <sz val="11"/>
        <rFont val="Calibri"/>
        <family val="2"/>
        <scheme val="minor"/>
      </rPr>
      <t>HCO3m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H2CO3</t>
    </r>
  </si>
  <si>
    <r>
      <t>dH</t>
    </r>
    <r>
      <rPr>
        <vertAlign val="subscript"/>
        <sz val="11"/>
        <rFont val="Calibri"/>
        <family val="2"/>
        <scheme val="minor"/>
      </rPr>
      <t>diss,CO2,2</t>
    </r>
  </si>
  <si>
    <t>Standard enthalpy change of carbonate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</si>
  <si>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CO32m</t>
    </r>
    <r>
      <rPr>
        <sz val="11"/>
        <rFont val="Calibri"/>
        <family val="2"/>
        <scheme val="minor"/>
      </rPr>
      <t>) - (H</t>
    </r>
    <r>
      <rPr>
        <vertAlign val="subscript"/>
        <sz val="11"/>
        <rFont val="Calibri"/>
        <family val="2"/>
        <scheme val="minor"/>
      </rPr>
      <t>HCO3m</t>
    </r>
    <r>
      <rPr>
        <sz val="11"/>
        <rFont val="Calibri"/>
        <family val="2"/>
        <scheme val="minor"/>
      </rPr>
      <t>)</t>
    </r>
  </si>
  <si>
    <r>
      <t>dH</t>
    </r>
    <r>
      <rPr>
        <vertAlign val="subscript"/>
        <sz val="11"/>
        <rFont val="Calibri"/>
        <family val="2"/>
        <scheme val="minor"/>
      </rPr>
      <t>diss,PO4,1</t>
    </r>
  </si>
  <si>
    <t>Standard enthalpy change of phosphate dissociation, first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</si>
  <si>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H2PO4m</t>
    </r>
    <r>
      <rPr>
        <sz val="11"/>
        <rFont val="Calibri"/>
        <family val="2"/>
        <scheme val="minor"/>
      </rPr>
      <t>) - (H</t>
    </r>
    <r>
      <rPr>
        <vertAlign val="subscript"/>
        <sz val="11"/>
        <rFont val="Calibri"/>
        <family val="2"/>
        <scheme val="minor"/>
      </rPr>
      <t>H3PO4</t>
    </r>
    <r>
      <rPr>
        <sz val="11"/>
        <rFont val="Calibri"/>
        <family val="2"/>
        <scheme val="minor"/>
      </rPr>
      <t>)</t>
    </r>
  </si>
  <si>
    <r>
      <t>dH</t>
    </r>
    <r>
      <rPr>
        <vertAlign val="subscript"/>
        <sz val="11"/>
        <rFont val="Calibri"/>
        <family val="2"/>
        <scheme val="minor"/>
      </rPr>
      <t>diss,PO4,2</t>
    </r>
  </si>
  <si>
    <t>Standard enthalpy change of phosphate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</si>
  <si>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HPO42m</t>
    </r>
    <r>
      <rPr>
        <sz val="11"/>
        <rFont val="Calibri"/>
        <family val="2"/>
        <scheme val="minor"/>
      </rPr>
      <t>) - (H</t>
    </r>
    <r>
      <rPr>
        <vertAlign val="subscript"/>
        <sz val="11"/>
        <rFont val="Calibri"/>
        <family val="2"/>
        <scheme val="minor"/>
      </rPr>
      <t>H2PO4m</t>
    </r>
    <r>
      <rPr>
        <sz val="11"/>
        <rFont val="Calibri"/>
        <family val="2"/>
        <scheme val="minor"/>
      </rPr>
      <t>)</t>
    </r>
  </si>
  <si>
    <r>
      <t>dH</t>
    </r>
    <r>
      <rPr>
        <vertAlign val="subscript"/>
        <sz val="11"/>
        <rFont val="Calibri"/>
        <family val="2"/>
        <scheme val="minor"/>
      </rPr>
      <t>diss,PO4,3</t>
    </r>
  </si>
  <si>
    <t>Standard enthalpy change of phosphate dissociation, third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</si>
  <si>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PO43m</t>
    </r>
    <r>
      <rPr>
        <sz val="11"/>
        <rFont val="Calibri"/>
        <family val="2"/>
        <scheme val="minor"/>
      </rPr>
      <t>) - (H</t>
    </r>
    <r>
      <rPr>
        <vertAlign val="subscript"/>
        <sz val="11"/>
        <rFont val="Calibri"/>
        <family val="2"/>
        <scheme val="minor"/>
      </rPr>
      <t>HPO42m</t>
    </r>
    <r>
      <rPr>
        <sz val="11"/>
        <rFont val="Calibri"/>
        <family val="2"/>
        <scheme val="minor"/>
      </rPr>
      <t>)</t>
    </r>
  </si>
  <si>
    <r>
      <t>dH</t>
    </r>
    <r>
      <rPr>
        <vertAlign val="subscript"/>
        <sz val="11"/>
        <rFont val="Calibri"/>
        <family val="2"/>
        <scheme val="minor"/>
      </rPr>
      <t>diss,VFA</t>
    </r>
  </si>
  <si>
    <t>Standard enthalpy change of VFA dissociation</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</si>
  <si>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Acm</t>
    </r>
    <r>
      <rPr>
        <sz val="11"/>
        <rFont val="Calibri"/>
        <family val="2"/>
        <scheme val="minor"/>
      </rPr>
      <t>) - (H</t>
    </r>
    <r>
      <rPr>
        <vertAlign val="subscript"/>
        <sz val="11"/>
        <rFont val="Calibri"/>
        <family val="2"/>
        <scheme val="minor"/>
      </rPr>
      <t>HAc</t>
    </r>
    <r>
      <rPr>
        <sz val="11"/>
        <rFont val="Calibri"/>
        <family val="2"/>
        <scheme val="minor"/>
      </rPr>
      <t>)</t>
    </r>
  </si>
  <si>
    <r>
      <t>dH</t>
    </r>
    <r>
      <rPr>
        <vertAlign val="subscript"/>
        <sz val="11"/>
        <rFont val="Calibri"/>
        <family val="2"/>
        <scheme val="minor"/>
      </rPr>
      <t>diss,S,1</t>
    </r>
  </si>
  <si>
    <t>Standard enthalpy change of sulfide dissociation, first step</t>
  </si>
  <si>
    <r>
      <t>(H</t>
    </r>
    <r>
      <rPr>
        <vertAlign val="subscript"/>
        <sz val="11"/>
        <rFont val="Calibri"/>
        <family val="2"/>
        <scheme val="minor"/>
      </rPr>
      <t>HSm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</si>
  <si>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diss,S,2</t>
    </r>
  </si>
  <si>
    <t>Standard enthalpy change of sulfide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</si>
  <si>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S2m</t>
    </r>
    <r>
      <rPr>
        <sz val="11"/>
        <rFont val="Calibri"/>
        <family val="2"/>
        <scheme val="minor"/>
      </rPr>
      <t>) - (H</t>
    </r>
    <r>
      <rPr>
        <vertAlign val="subscript"/>
        <sz val="11"/>
        <rFont val="Calibri"/>
        <family val="2"/>
        <scheme val="minor"/>
      </rPr>
      <t>HSm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</si>
  <si>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diss,SO4,1</t>
    </r>
  </si>
  <si>
    <t>Standard enthalpy change of sulfate dissociation, first step</t>
  </si>
  <si>
    <r>
      <t>(H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H2SO4</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</si>
  <si>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diss,SO4,2</t>
    </r>
  </si>
  <si>
    <t>Standard enthalpy change of sulfate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</si>
  <si>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SO42m</t>
    </r>
    <r>
      <rPr>
        <sz val="11"/>
        <rFont val="Calibri"/>
        <family val="2"/>
        <scheme val="minor"/>
      </rPr>
      <t>) - (H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</si>
  <si>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CaOHp</t>
    </r>
  </si>
  <si>
    <r>
      <t>Standard enthalpy change for ion pairing of CaOH</t>
    </r>
    <r>
      <rPr>
        <vertAlign val="superscript"/>
        <sz val="11"/>
        <rFont val="Calibri"/>
        <family val="2"/>
        <scheme val="minor"/>
      </rPr>
      <t>+</t>
    </r>
  </si>
  <si>
    <r>
      <t>dH</t>
    </r>
    <r>
      <rPr>
        <vertAlign val="subscript"/>
        <sz val="11"/>
        <rFont val="Calibri"/>
        <family val="2"/>
        <scheme val="minor"/>
      </rPr>
      <t>CaCO3</t>
    </r>
  </si>
  <si>
    <r>
      <t>Standard enthalpy change for ion pairing of CaCO</t>
    </r>
    <r>
      <rPr>
        <vertAlign val="subscript"/>
        <sz val="11"/>
        <rFont val="Calibri"/>
        <family val="2"/>
        <scheme val="minor"/>
      </rPr>
      <t>3</t>
    </r>
  </si>
  <si>
    <r>
      <t>dH</t>
    </r>
    <r>
      <rPr>
        <vertAlign val="subscript"/>
        <sz val="11"/>
        <rFont val="Calibri"/>
        <family val="2"/>
        <scheme val="minor"/>
      </rPr>
      <t>CaHCO3p</t>
    </r>
  </si>
  <si>
    <r>
      <t>Standard enthalpy change for ion pairing of CaHCO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</si>
  <si>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CaPO4m</t>
    </r>
  </si>
  <si>
    <r>
      <t>Standard enthalpy change for ion pairing of CaPO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</si>
  <si>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CaHPO4</t>
    </r>
  </si>
  <si>
    <r>
      <t>Standard enthalpy change for ion pairing of CaHPO</t>
    </r>
    <r>
      <rPr>
        <vertAlign val="subscript"/>
        <sz val="11"/>
        <rFont val="Calibri"/>
        <family val="2"/>
        <scheme val="minor"/>
      </rPr>
      <t>4</t>
    </r>
  </si>
  <si>
    <r>
      <t>dH</t>
    </r>
    <r>
      <rPr>
        <vertAlign val="subscript"/>
        <sz val="11"/>
        <rFont val="Calibri"/>
        <family val="2"/>
        <scheme val="minor"/>
      </rPr>
      <t>CaH2PO4p</t>
    </r>
  </si>
  <si>
    <r>
      <t>Standard enthalpy change for ion pairing of CaH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</si>
  <si>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MgOHp</t>
    </r>
  </si>
  <si>
    <r>
      <t>Standard enthalpy change for ion pairing of MgOH</t>
    </r>
    <r>
      <rPr>
        <vertAlign val="superscript"/>
        <sz val="11"/>
        <rFont val="Calibri"/>
        <family val="2"/>
        <scheme val="minor"/>
      </rPr>
      <t>+</t>
    </r>
  </si>
  <si>
    <r>
      <t>dH</t>
    </r>
    <r>
      <rPr>
        <vertAlign val="subscript"/>
        <sz val="11"/>
        <rFont val="Calibri"/>
        <family val="2"/>
        <scheme val="minor"/>
      </rPr>
      <t>MgCO3</t>
    </r>
  </si>
  <si>
    <r>
      <t>Standard enthalpy change for ion pairing of MgCO</t>
    </r>
    <r>
      <rPr>
        <vertAlign val="subscript"/>
        <sz val="11"/>
        <rFont val="Calibri"/>
        <family val="2"/>
        <scheme val="minor"/>
      </rPr>
      <t>3</t>
    </r>
  </si>
  <si>
    <r>
      <t>dH</t>
    </r>
    <r>
      <rPr>
        <vertAlign val="subscript"/>
        <sz val="11"/>
        <rFont val="Calibri"/>
        <family val="2"/>
        <scheme val="minor"/>
      </rPr>
      <t>MgHCO3p</t>
    </r>
  </si>
  <si>
    <r>
      <t>Standard enthalpy change for ion pairing of MgHCO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</si>
  <si>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MgHPO4</t>
    </r>
  </si>
  <si>
    <r>
      <t>Standard enthalpy change for ion pairing of MgHPO</t>
    </r>
    <r>
      <rPr>
        <vertAlign val="subscript"/>
        <sz val="11"/>
        <rFont val="Calibri"/>
        <family val="2"/>
        <scheme val="minor"/>
      </rPr>
      <t>4</t>
    </r>
  </si>
  <si>
    <r>
      <t>dH</t>
    </r>
    <r>
      <rPr>
        <vertAlign val="subscript"/>
        <sz val="11"/>
        <rFont val="Calibri"/>
        <family val="2"/>
        <scheme val="minor"/>
      </rPr>
      <t>MgPO4m</t>
    </r>
  </si>
  <si>
    <r>
      <t>Standard enthalpy change for ion pairing of MgPO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</si>
  <si>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MgH2PO4p</t>
    </r>
  </si>
  <si>
    <r>
      <t>Standard enthalpy change for ion pairing of MgH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</si>
  <si>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NaHPO4m</t>
    </r>
  </si>
  <si>
    <r>
      <t>Standard enthalpy change for ion pairing of NaHPO</t>
    </r>
    <r>
      <rPr>
        <vertAlign val="subscript"/>
        <sz val="11"/>
        <rFont val="Calibri"/>
        <family val="2"/>
        <scheme val="minor"/>
      </rPr>
      <t>4</t>
    </r>
    <r>
      <rPr>
        <vertAlign val="superscript"/>
        <sz val="11"/>
        <rFont val="Calibri"/>
        <family val="2"/>
        <scheme val="minor"/>
      </rPr>
      <t>-</t>
    </r>
  </si>
  <si>
    <t>Diffusion coefficients for liquid phase state variables</t>
  </si>
  <si>
    <r>
      <t>D</t>
    </r>
    <r>
      <rPr>
        <vertAlign val="subscript"/>
        <sz val="11"/>
        <rFont val="Calibri"/>
        <family val="2"/>
        <charset val="238"/>
        <scheme val="minor"/>
      </rPr>
      <t>SVFA</t>
    </r>
  </si>
  <si>
    <t>Diffusion coefficient of volatile fatty acids</t>
  </si>
  <si>
    <r>
      <t>cm</t>
    </r>
    <r>
      <rPr>
        <vertAlign val="superscript"/>
        <sz val="11"/>
        <rFont val="Calibri"/>
        <family val="2"/>
        <charset val="238"/>
        <scheme val="minor"/>
      </rPr>
      <t>2</t>
    </r>
    <r>
      <rPr>
        <sz val="11"/>
        <rFont val="Calibri"/>
        <family val="2"/>
        <scheme val="minor"/>
      </rPr>
      <t>.s</t>
    </r>
    <r>
      <rPr>
        <vertAlign val="superscript"/>
        <sz val="11"/>
        <rFont val="Calibri"/>
        <family val="2"/>
        <charset val="238"/>
        <scheme val="minor"/>
      </rPr>
      <t>-1</t>
    </r>
  </si>
  <si>
    <t>to be set accurately</t>
  </si>
  <si>
    <r>
      <t>D</t>
    </r>
    <r>
      <rPr>
        <vertAlign val="subscript"/>
        <sz val="11"/>
        <rFont val="Calibri"/>
        <family val="2"/>
        <charset val="238"/>
        <scheme val="minor"/>
      </rPr>
      <t>SA</t>
    </r>
  </si>
  <si>
    <r>
      <t>D</t>
    </r>
    <r>
      <rPr>
        <vertAlign val="subscript"/>
        <sz val="11"/>
        <rFont val="Calibri"/>
        <family val="2"/>
        <charset val="238"/>
        <scheme val="minor"/>
      </rPr>
      <t>SBSA</t>
    </r>
  </si>
  <si>
    <r>
      <t>D</t>
    </r>
    <r>
      <rPr>
        <vertAlign val="subscript"/>
        <sz val="11"/>
        <rFont val="Calibri"/>
        <family val="2"/>
        <charset val="238"/>
        <scheme val="minor"/>
      </rPr>
      <t>SB</t>
    </r>
  </si>
  <si>
    <t>Diffusion coefficient of soluble degradable organics</t>
  </si>
  <si>
    <r>
      <t>D</t>
    </r>
    <r>
      <rPr>
        <vertAlign val="subscript"/>
        <sz val="11"/>
        <rFont val="Calibri"/>
        <family val="2"/>
        <charset val="238"/>
        <scheme val="minor"/>
      </rPr>
      <t>SB,mono</t>
    </r>
  </si>
  <si>
    <t>Diffusion coefficient of soluble degradable organics (monomers)</t>
  </si>
  <si>
    <r>
      <t>D</t>
    </r>
    <r>
      <rPr>
        <vertAlign val="subscript"/>
        <sz val="11"/>
        <rFont val="Calibri"/>
        <family val="2"/>
        <charset val="238"/>
        <scheme val="minor"/>
      </rPr>
      <t>SB,poly</t>
    </r>
  </si>
  <si>
    <t>Diffusion coefficient of soluble degradable organics (polymers)</t>
  </si>
  <si>
    <r>
      <t>D</t>
    </r>
    <r>
      <rPr>
        <vertAlign val="subscript"/>
        <sz val="11"/>
        <rFont val="Calibri"/>
        <family val="2"/>
        <charset val="238"/>
        <scheme val="minor"/>
      </rPr>
      <t>SS</t>
    </r>
  </si>
  <si>
    <r>
      <t>D</t>
    </r>
    <r>
      <rPr>
        <vertAlign val="subscript"/>
        <sz val="11"/>
        <rFont val="Calibri"/>
        <family val="2"/>
        <charset val="238"/>
        <scheme val="minor"/>
      </rPr>
      <t>SF</t>
    </r>
  </si>
  <si>
    <t>Diffusion coefficient of fermentable organic matter</t>
  </si>
  <si>
    <r>
      <t>D</t>
    </r>
    <r>
      <rPr>
        <vertAlign val="subscript"/>
        <sz val="11"/>
        <rFont val="Calibri"/>
        <family val="2"/>
        <charset val="238"/>
        <scheme val="minor"/>
      </rPr>
      <t>SBSC</t>
    </r>
  </si>
  <si>
    <r>
      <t>D</t>
    </r>
    <r>
      <rPr>
        <vertAlign val="subscript"/>
        <sz val="11"/>
        <rFont val="Calibri"/>
        <family val="2"/>
        <charset val="238"/>
        <scheme val="minor"/>
      </rPr>
      <t>SMEOL</t>
    </r>
  </si>
  <si>
    <t>Diffusion coefficient of methanol</t>
  </si>
  <si>
    <r>
      <t>D</t>
    </r>
    <r>
      <rPr>
        <vertAlign val="subscript"/>
        <sz val="11"/>
        <rFont val="Calibri"/>
        <family val="2"/>
        <charset val="238"/>
        <scheme val="minor"/>
      </rPr>
      <t>SU</t>
    </r>
  </si>
  <si>
    <t>Diffusion coefficient of soluble undegradable organics</t>
  </si>
  <si>
    <r>
      <t>D</t>
    </r>
    <r>
      <rPr>
        <vertAlign val="subscript"/>
        <sz val="11"/>
        <rFont val="Calibri"/>
        <family val="2"/>
        <charset val="238"/>
        <scheme val="minor"/>
      </rPr>
      <t>SI</t>
    </r>
  </si>
  <si>
    <r>
      <t>D</t>
    </r>
    <r>
      <rPr>
        <vertAlign val="subscript"/>
        <sz val="11"/>
        <rFont val="Calibri"/>
        <family val="2"/>
        <charset val="238"/>
        <scheme val="minor"/>
      </rPr>
      <t>CB</t>
    </r>
  </si>
  <si>
    <t>Diffusion coefficient of colloidal biodegradable substrate</t>
  </si>
  <si>
    <r>
      <t>D</t>
    </r>
    <r>
      <rPr>
        <vertAlign val="subscript"/>
        <sz val="11"/>
        <rFont val="Calibri"/>
        <family val="2"/>
        <charset val="238"/>
        <scheme val="minor"/>
      </rPr>
      <t>CU</t>
    </r>
  </si>
  <si>
    <t>Diffusion coefficient of colloidal unbiodegradable organics</t>
  </si>
  <si>
    <r>
      <t>D</t>
    </r>
    <r>
      <rPr>
        <vertAlign val="subscript"/>
        <sz val="11"/>
        <rFont val="Calibri"/>
        <family val="2"/>
        <charset val="238"/>
        <scheme val="minor"/>
      </rPr>
      <t>SNHx</t>
    </r>
  </si>
  <si>
    <t>Diffusion coefficient of total ammonia</t>
  </si>
  <si>
    <t>Diffusivities from Perry, Handbook of Chemical Engineers, Table 2-372, for 25°C, as acetate</t>
  </si>
  <si>
    <r>
      <t>D</t>
    </r>
    <r>
      <rPr>
        <vertAlign val="subscript"/>
        <sz val="11"/>
        <rFont val="Calibri"/>
        <family val="2"/>
        <charset val="238"/>
        <scheme val="minor"/>
      </rPr>
      <t>SNH4</t>
    </r>
  </si>
  <si>
    <r>
      <t>D</t>
    </r>
    <r>
      <rPr>
        <vertAlign val="subscript"/>
        <sz val="11"/>
        <rFont val="Calibri"/>
        <family val="2"/>
        <charset val="238"/>
        <scheme val="minor"/>
      </rPr>
      <t>SNH</t>
    </r>
  </si>
  <si>
    <r>
      <t>D</t>
    </r>
    <r>
      <rPr>
        <vertAlign val="subscript"/>
        <sz val="11"/>
        <rFont val="Calibri"/>
        <family val="2"/>
        <charset val="238"/>
        <scheme val="minor"/>
      </rPr>
      <t>NH3</t>
    </r>
  </si>
  <si>
    <t>Diffusion coefficient of ammonia</t>
  </si>
  <si>
    <t>Diffusitives from Perry, Handbook of Chemical Engineers, Table 2-372, for 25°C, as acetate</t>
  </si>
  <si>
    <r>
      <t>D</t>
    </r>
    <r>
      <rPr>
        <vertAlign val="subscript"/>
        <sz val="11"/>
        <rFont val="Calibri"/>
        <family val="2"/>
        <charset val="238"/>
        <scheme val="minor"/>
      </rPr>
      <t>NO3</t>
    </r>
  </si>
  <si>
    <t>Diffusion coefficient of nitrate and nitrite</t>
  </si>
  <si>
    <r>
      <t>D</t>
    </r>
    <r>
      <rPr>
        <vertAlign val="subscript"/>
        <sz val="11"/>
        <rFont val="Calibri"/>
        <family val="2"/>
        <charset val="238"/>
        <scheme val="minor"/>
      </rPr>
      <t>PO4</t>
    </r>
  </si>
  <si>
    <t>Diffusion coefficient of orthophosphate</t>
  </si>
  <si>
    <r>
      <t>D</t>
    </r>
    <r>
      <rPr>
        <vertAlign val="subscript"/>
        <sz val="11"/>
        <rFont val="Calibri"/>
        <family val="2"/>
        <charset val="238"/>
        <scheme val="minor"/>
      </rPr>
      <t>SN2</t>
    </r>
  </si>
  <si>
    <t>Diffusion coefficient of dissolved nitrogen gas</t>
  </si>
  <si>
    <t>Diffusitives from Perry, Handbook of Chemical Engineers, Table 2-372, for 25°C</t>
  </si>
  <si>
    <r>
      <t>D</t>
    </r>
    <r>
      <rPr>
        <vertAlign val="subscript"/>
        <sz val="11"/>
        <rFont val="Calibri"/>
        <family val="2"/>
        <charset val="238"/>
        <scheme val="minor"/>
      </rPr>
      <t>NUS</t>
    </r>
  </si>
  <si>
    <t>Diffusion coefficient of soluble inert organic nitrogen</t>
  </si>
  <si>
    <t>Assumed the same as SS</t>
  </si>
  <si>
    <r>
      <t>D</t>
    </r>
    <r>
      <rPr>
        <vertAlign val="subscript"/>
        <sz val="11"/>
        <rFont val="Calibri"/>
        <family val="2"/>
        <charset val="238"/>
        <scheme val="minor"/>
      </rPr>
      <t>NBS</t>
    </r>
  </si>
  <si>
    <t>Diffusion coefficient of soluble biodegradable organic nitrogen</t>
  </si>
  <si>
    <r>
      <t>D</t>
    </r>
    <r>
      <rPr>
        <vertAlign val="subscript"/>
        <sz val="11"/>
        <rFont val="Calibri"/>
        <family val="2"/>
        <charset val="238"/>
        <scheme val="minor"/>
      </rPr>
      <t>SUS</t>
    </r>
  </si>
  <si>
    <r>
      <t>D</t>
    </r>
    <r>
      <rPr>
        <vertAlign val="subscript"/>
        <sz val="11"/>
        <rFont val="Calibri"/>
        <family val="2"/>
        <charset val="238"/>
        <scheme val="minor"/>
      </rPr>
      <t>SNOx</t>
    </r>
  </si>
  <si>
    <r>
      <t>D</t>
    </r>
    <r>
      <rPr>
        <vertAlign val="subscript"/>
        <sz val="11"/>
        <rFont val="Calibri"/>
        <family val="2"/>
        <charset val="238"/>
        <scheme val="minor"/>
      </rPr>
      <t>SNOX</t>
    </r>
  </si>
  <si>
    <r>
      <t>D</t>
    </r>
    <r>
      <rPr>
        <vertAlign val="subscript"/>
        <sz val="11"/>
        <rFont val="Calibri"/>
        <family val="2"/>
        <charset val="238"/>
        <scheme val="minor"/>
      </rPr>
      <t>SNO2</t>
    </r>
  </si>
  <si>
    <t>Diffusion coefficient of nitrite</t>
  </si>
  <si>
    <r>
      <t>D</t>
    </r>
    <r>
      <rPr>
        <vertAlign val="subscript"/>
        <sz val="11"/>
        <rFont val="Calibri"/>
        <family val="2"/>
        <charset val="238"/>
        <scheme val="minor"/>
      </rPr>
      <t>SNO3</t>
    </r>
  </si>
  <si>
    <t>Diffusion coefficient of nitrate</t>
  </si>
  <si>
    <r>
      <t>D</t>
    </r>
    <r>
      <rPr>
        <vertAlign val="subscript"/>
        <sz val="11"/>
        <rFont val="Calibri"/>
        <family val="2"/>
        <charset val="238"/>
        <scheme val="minor"/>
      </rPr>
      <t>SN,B</t>
    </r>
  </si>
  <si>
    <t>Diffusion coefficient of soluble biodegradable organic N</t>
  </si>
  <si>
    <r>
      <t>D</t>
    </r>
    <r>
      <rPr>
        <vertAlign val="subscript"/>
        <sz val="11"/>
        <rFont val="Calibri"/>
        <family val="2"/>
        <charset val="238"/>
        <scheme val="minor"/>
      </rPr>
      <t>SND</t>
    </r>
  </si>
  <si>
    <r>
      <t>D</t>
    </r>
    <r>
      <rPr>
        <vertAlign val="subscript"/>
        <sz val="11"/>
        <rFont val="Calibri"/>
        <family val="2"/>
        <charset val="238"/>
        <scheme val="minor"/>
      </rPr>
      <t>SPO4</t>
    </r>
  </si>
  <si>
    <r>
      <t>D</t>
    </r>
    <r>
      <rPr>
        <vertAlign val="subscript"/>
        <sz val="11"/>
        <rFont val="Calibri"/>
        <family val="2"/>
        <charset val="238"/>
        <scheme val="minor"/>
      </rPr>
      <t>SPO</t>
    </r>
  </si>
  <si>
    <r>
      <t>D</t>
    </r>
    <r>
      <rPr>
        <vertAlign val="subscript"/>
        <sz val="11"/>
        <rFont val="Calibri"/>
        <family val="2"/>
        <charset val="238"/>
        <scheme val="minor"/>
      </rPr>
      <t>SP,B</t>
    </r>
  </si>
  <si>
    <t>Diffusion coefficient of soluble biodegradable organic P</t>
  </si>
  <si>
    <r>
      <t>D</t>
    </r>
    <r>
      <rPr>
        <vertAlign val="subscript"/>
        <sz val="11"/>
        <rFont val="Calibri"/>
        <family val="2"/>
        <charset val="238"/>
        <scheme val="minor"/>
      </rPr>
      <t>SO2</t>
    </r>
  </si>
  <si>
    <t>Diffusion coefficient of dissolved oxygen</t>
  </si>
  <si>
    <t>Diffusivities from Perry, Handbook of Chemical Engineers, Table 2-372, for 25°C</t>
  </si>
  <si>
    <r>
      <t>D</t>
    </r>
    <r>
      <rPr>
        <vertAlign val="subscript"/>
        <sz val="11"/>
        <rFont val="Calibri"/>
        <family val="2"/>
        <charset val="238"/>
        <scheme val="minor"/>
      </rPr>
      <t>SCH4</t>
    </r>
  </si>
  <si>
    <t>Diffusion coefficient of dissolved methane</t>
  </si>
  <si>
    <r>
      <t>D</t>
    </r>
    <r>
      <rPr>
        <vertAlign val="subscript"/>
        <sz val="11"/>
        <rFont val="Calibri"/>
        <family val="2"/>
        <charset val="238"/>
        <scheme val="minor"/>
      </rPr>
      <t>SH2</t>
    </r>
  </si>
  <si>
    <t>Diffusion coefficient of dissolved hydrogen</t>
  </si>
  <si>
    <r>
      <t>D</t>
    </r>
    <r>
      <rPr>
        <vertAlign val="subscript"/>
        <sz val="11"/>
        <rFont val="Calibri"/>
        <family val="2"/>
        <charset val="238"/>
        <scheme val="minor"/>
      </rPr>
      <t>SCO2</t>
    </r>
  </si>
  <si>
    <t>Diffusion coefficient of dissolved carbon dioxide</t>
  </si>
  <si>
    <r>
      <t>D</t>
    </r>
    <r>
      <rPr>
        <vertAlign val="subscript"/>
        <sz val="11"/>
        <rFont val="Calibri"/>
        <family val="2"/>
        <charset val="238"/>
        <scheme val="minor"/>
      </rPr>
      <t>SK</t>
    </r>
  </si>
  <si>
    <t>Diffusion coefficient of dissolved potassium</t>
  </si>
  <si>
    <r>
      <t>D</t>
    </r>
    <r>
      <rPr>
        <vertAlign val="subscript"/>
        <sz val="11"/>
        <rFont val="Calibri"/>
        <family val="2"/>
        <charset val="238"/>
        <scheme val="minor"/>
      </rPr>
      <t>SCa</t>
    </r>
  </si>
  <si>
    <t>Diffusion coefficient of dissolved calcium</t>
  </si>
  <si>
    <r>
      <t>D</t>
    </r>
    <r>
      <rPr>
        <vertAlign val="subscript"/>
        <sz val="11"/>
        <rFont val="Calibri"/>
        <family val="2"/>
        <charset val="238"/>
        <scheme val="minor"/>
      </rPr>
      <t>SMg</t>
    </r>
  </si>
  <si>
    <t>Diffusion coefficient of dissolved magnesium</t>
  </si>
  <si>
    <r>
      <t>D</t>
    </r>
    <r>
      <rPr>
        <vertAlign val="subscript"/>
        <sz val="11"/>
        <rFont val="Calibri"/>
        <family val="2"/>
        <charset val="238"/>
        <scheme val="minor"/>
      </rPr>
      <t>SCAT</t>
    </r>
  </si>
  <si>
    <t>Diffusion coefficient of dissolved strong cations</t>
  </si>
  <si>
    <r>
      <t>D</t>
    </r>
    <r>
      <rPr>
        <vertAlign val="subscript"/>
        <sz val="11"/>
        <rFont val="Calibri"/>
        <family val="2"/>
        <charset val="238"/>
        <scheme val="minor"/>
      </rPr>
      <t>SAN</t>
    </r>
  </si>
  <si>
    <t>Diffusion coefficient of dissolved strong anions</t>
  </si>
  <si>
    <r>
      <t>D</t>
    </r>
    <r>
      <rPr>
        <vertAlign val="subscript"/>
        <sz val="11"/>
        <rFont val="Calibri"/>
        <family val="2"/>
        <charset val="238"/>
        <scheme val="minor"/>
      </rPr>
      <t>SH2S</t>
    </r>
  </si>
  <si>
    <t>Diffusion coefficient of hydrogen sulfide</t>
  </si>
  <si>
    <r>
      <t>D</t>
    </r>
    <r>
      <rPr>
        <vertAlign val="subscript"/>
        <sz val="11"/>
        <rFont val="Calibri"/>
        <family val="2"/>
        <charset val="238"/>
        <scheme val="minor"/>
      </rPr>
      <t>SSO4</t>
    </r>
  </si>
  <si>
    <t>Diffusion coefficient of sulphate</t>
  </si>
  <si>
    <r>
      <t>D</t>
    </r>
    <r>
      <rPr>
        <vertAlign val="subscript"/>
        <sz val="11"/>
        <rFont val="Calibri"/>
        <family val="2"/>
        <charset val="238"/>
        <scheme val="minor"/>
      </rPr>
      <t>SFe2</t>
    </r>
  </si>
  <si>
    <t>Diffusion coefficient of dissolved ferrous ion</t>
  </si>
  <si>
    <r>
      <t>D</t>
    </r>
    <r>
      <rPr>
        <vertAlign val="subscript"/>
        <sz val="11"/>
        <rFont val="Calibri"/>
        <family val="2"/>
        <charset val="238"/>
        <scheme val="minor"/>
      </rPr>
      <t>SALK</t>
    </r>
  </si>
  <si>
    <t>Diffusion coefficient of alkalinity</t>
  </si>
  <si>
    <r>
      <t>D</t>
    </r>
    <r>
      <rPr>
        <vertAlign val="subscript"/>
        <sz val="11"/>
        <rFont val="Calibri"/>
        <family val="2"/>
        <charset val="238"/>
        <scheme val="minor"/>
      </rPr>
      <t>SMM,index</t>
    </r>
  </si>
  <si>
    <t>Diffusion coefficient of Methyl Mercaptan production index</t>
  </si>
  <si>
    <t>Calculated variables</t>
  </si>
  <si>
    <t>Total inorganic suspended solids (ISS)</t>
  </si>
  <si>
    <r>
      <t>μ</t>
    </r>
    <r>
      <rPr>
        <i/>
        <vertAlign val="subscript"/>
        <sz val="12"/>
        <rFont val="Arial"/>
        <family val="2"/>
      </rPr>
      <t>H</t>
    </r>
    <r>
      <rPr>
        <i/>
        <sz val="12"/>
        <rFont val="Arial"/>
        <family val="2"/>
      </rPr>
      <t>*Msat</t>
    </r>
    <r>
      <rPr>
        <i/>
        <vertAlign val="subscript"/>
        <sz val="12"/>
        <rFont val="Arial"/>
        <family val="2"/>
      </rPr>
      <t>SO2,KO2,H</t>
    </r>
    <r>
      <rPr>
        <i/>
        <sz val="12"/>
        <rFont val="Arial"/>
        <family val="2"/>
      </rPr>
      <t>*Msat</t>
    </r>
    <r>
      <rPr>
        <i/>
        <vertAlign val="subscript"/>
        <sz val="12"/>
        <rFont val="Arial"/>
        <family val="2"/>
      </rPr>
      <t>SF,KF</t>
    </r>
    <r>
      <rPr>
        <i/>
        <sz val="12"/>
        <rFont val="Arial"/>
        <family val="2"/>
      </rPr>
      <t>*S</t>
    </r>
    <r>
      <rPr>
        <i/>
        <vertAlign val="subscript"/>
        <sz val="12"/>
        <rFont val="Arial"/>
        <family val="2"/>
      </rPr>
      <t>F</t>
    </r>
    <r>
      <rPr>
        <i/>
        <sz val="12"/>
        <rFont val="Arial"/>
        <family val="2"/>
      </rPr>
      <t>/(S</t>
    </r>
    <r>
      <rPr>
        <i/>
        <vertAlign val="subscript"/>
        <sz val="12"/>
        <rFont val="Arial"/>
        <family val="2"/>
      </rPr>
      <t>A</t>
    </r>
    <r>
      <rPr>
        <i/>
        <sz val="12"/>
        <rFont val="Arial"/>
        <family val="2"/>
      </rPr>
      <t>+S</t>
    </r>
    <r>
      <rPr>
        <i/>
        <vertAlign val="subscript"/>
        <sz val="12"/>
        <rFont val="Arial"/>
        <family val="2"/>
      </rPr>
      <t>F</t>
    </r>
    <r>
      <rPr>
        <i/>
        <sz val="12"/>
        <rFont val="Arial"/>
        <family val="2"/>
      </rPr>
      <t>)*Msat</t>
    </r>
    <r>
      <rPr>
        <i/>
        <vertAlign val="subscript"/>
        <sz val="12"/>
        <rFont val="Arial"/>
        <family val="2"/>
      </rPr>
      <t>SNH4,KNH4,H</t>
    </r>
    <r>
      <rPr>
        <i/>
        <sz val="12"/>
        <rFont val="Arial"/>
        <family val="2"/>
      </rPr>
      <t>*Msat</t>
    </r>
    <r>
      <rPr>
        <i/>
        <vertAlign val="subscript"/>
        <sz val="12"/>
        <rFont val="Arial"/>
        <family val="2"/>
      </rPr>
      <t>SPO4,KP,H</t>
    </r>
    <r>
      <rPr>
        <i/>
        <sz val="12"/>
        <rFont val="Arial"/>
        <family val="2"/>
      </rPr>
      <t>*Msat</t>
    </r>
    <r>
      <rPr>
        <i/>
        <vertAlign val="subscript"/>
        <sz val="12"/>
        <rFont val="Arial"/>
        <family val="2"/>
      </rPr>
      <t>SALK,KALK,H</t>
    </r>
    <r>
      <rPr>
        <i/>
        <sz val="12"/>
        <rFont val="Arial"/>
        <family val="2"/>
      </rPr>
      <t>*X</t>
    </r>
    <r>
      <rPr>
        <i/>
        <vertAlign val="subscript"/>
        <sz val="12"/>
        <rFont val="Arial"/>
        <family val="2"/>
      </rPr>
      <t>H</t>
    </r>
  </si>
  <si>
    <r>
      <t>μ</t>
    </r>
    <r>
      <rPr>
        <i/>
        <vertAlign val="subscript"/>
        <sz val="12"/>
        <rFont val="Arial"/>
        <family val="2"/>
      </rPr>
      <t>H</t>
    </r>
    <r>
      <rPr>
        <i/>
        <sz val="12"/>
        <rFont val="Arial"/>
        <family val="2"/>
      </rPr>
      <t>*η</t>
    </r>
    <r>
      <rPr>
        <i/>
        <vertAlign val="subscript"/>
        <sz val="12"/>
        <rFont val="Arial"/>
        <family val="2"/>
      </rPr>
      <t>NO3,H</t>
    </r>
    <r>
      <rPr>
        <i/>
        <sz val="12"/>
        <rFont val="Arial"/>
        <family val="2"/>
      </rPr>
      <t>*Minh</t>
    </r>
    <r>
      <rPr>
        <i/>
        <vertAlign val="subscript"/>
        <sz val="12"/>
        <rFont val="Arial"/>
        <family val="2"/>
      </rPr>
      <t>SO2,KO2,H</t>
    </r>
    <r>
      <rPr>
        <i/>
        <sz val="12"/>
        <rFont val="Arial"/>
        <family val="2"/>
      </rPr>
      <t>*Msat</t>
    </r>
    <r>
      <rPr>
        <i/>
        <vertAlign val="subscript"/>
        <sz val="12"/>
        <rFont val="Arial"/>
        <family val="2"/>
      </rPr>
      <t>SNO3,KNO3,H</t>
    </r>
    <r>
      <rPr>
        <i/>
        <sz val="12"/>
        <rFont val="Arial"/>
        <family val="2"/>
      </rPr>
      <t>*Msat</t>
    </r>
    <r>
      <rPr>
        <i/>
        <vertAlign val="subscript"/>
        <sz val="12"/>
        <rFont val="Arial"/>
        <family val="2"/>
      </rPr>
      <t>SF,KF</t>
    </r>
    <r>
      <rPr>
        <i/>
        <sz val="12"/>
        <rFont val="Arial"/>
        <family val="2"/>
      </rPr>
      <t>*S</t>
    </r>
    <r>
      <rPr>
        <i/>
        <vertAlign val="subscript"/>
        <sz val="12"/>
        <rFont val="Arial"/>
        <family val="2"/>
      </rPr>
      <t>F</t>
    </r>
    <r>
      <rPr>
        <i/>
        <sz val="12"/>
        <rFont val="Arial"/>
        <family val="2"/>
      </rPr>
      <t>/(S</t>
    </r>
    <r>
      <rPr>
        <i/>
        <vertAlign val="subscript"/>
        <sz val="12"/>
        <rFont val="Arial"/>
        <family val="2"/>
      </rPr>
      <t>A</t>
    </r>
    <r>
      <rPr>
        <i/>
        <sz val="12"/>
        <rFont val="Arial"/>
        <family val="2"/>
      </rPr>
      <t>+S</t>
    </r>
    <r>
      <rPr>
        <i/>
        <vertAlign val="subscript"/>
        <sz val="12"/>
        <rFont val="Arial"/>
        <family val="2"/>
      </rPr>
      <t>F</t>
    </r>
    <r>
      <rPr>
        <i/>
        <sz val="12"/>
        <rFont val="Arial"/>
        <family val="2"/>
      </rPr>
      <t>)*Msat</t>
    </r>
    <r>
      <rPr>
        <i/>
        <vertAlign val="subscript"/>
        <sz val="12"/>
        <rFont val="Arial"/>
        <family val="2"/>
      </rPr>
      <t>SNH4,KNH4,H</t>
    </r>
    <r>
      <rPr>
        <i/>
        <sz val="12"/>
        <rFont val="Arial"/>
        <family val="2"/>
      </rPr>
      <t>*Msat</t>
    </r>
    <r>
      <rPr>
        <i/>
        <vertAlign val="subscript"/>
        <sz val="12"/>
        <rFont val="Arial"/>
        <family val="2"/>
      </rPr>
      <t>SPO4,KP,H</t>
    </r>
    <r>
      <rPr>
        <i/>
        <sz val="12"/>
        <rFont val="Arial"/>
        <family val="2"/>
      </rPr>
      <t>*Msat</t>
    </r>
    <r>
      <rPr>
        <i/>
        <vertAlign val="subscript"/>
        <sz val="12"/>
        <rFont val="Arial"/>
        <family val="2"/>
      </rPr>
      <t>SALK,KALK,H</t>
    </r>
    <r>
      <rPr>
        <i/>
        <sz val="12"/>
        <rFont val="Arial"/>
        <family val="2"/>
      </rPr>
      <t>*X</t>
    </r>
    <r>
      <rPr>
        <i/>
        <vertAlign val="subscript"/>
        <sz val="12"/>
        <rFont val="Arial"/>
        <family val="2"/>
      </rPr>
      <t>H</t>
    </r>
  </si>
  <si>
    <r>
      <t>μ</t>
    </r>
    <r>
      <rPr>
        <i/>
        <vertAlign val="subscript"/>
        <sz val="12"/>
        <rFont val="Arial"/>
        <family val="2"/>
      </rPr>
      <t>H</t>
    </r>
    <r>
      <rPr>
        <i/>
        <sz val="12"/>
        <rFont val="Arial"/>
        <family val="2"/>
      </rPr>
      <t>*Msat</t>
    </r>
    <r>
      <rPr>
        <i/>
        <vertAlign val="subscript"/>
        <sz val="12"/>
        <rFont val="Arial"/>
        <family val="2"/>
      </rPr>
      <t>SO2,KO2,H</t>
    </r>
    <r>
      <rPr>
        <i/>
        <sz val="12"/>
        <rFont val="Arial"/>
        <family val="2"/>
      </rPr>
      <t>*Msat</t>
    </r>
    <r>
      <rPr>
        <i/>
        <vertAlign val="subscript"/>
        <sz val="12"/>
        <rFont val="Arial"/>
        <family val="2"/>
      </rPr>
      <t>SA,KA,H</t>
    </r>
    <r>
      <rPr>
        <i/>
        <sz val="12"/>
        <rFont val="Arial"/>
        <family val="2"/>
      </rPr>
      <t>*S</t>
    </r>
    <r>
      <rPr>
        <i/>
        <vertAlign val="subscript"/>
        <sz val="12"/>
        <rFont val="Arial"/>
        <family val="2"/>
      </rPr>
      <t>A</t>
    </r>
    <r>
      <rPr>
        <i/>
        <sz val="12"/>
        <rFont val="Arial"/>
        <family val="2"/>
      </rPr>
      <t>/(S</t>
    </r>
    <r>
      <rPr>
        <i/>
        <vertAlign val="subscript"/>
        <sz val="12"/>
        <rFont val="Arial"/>
        <family val="2"/>
      </rPr>
      <t>A</t>
    </r>
    <r>
      <rPr>
        <i/>
        <sz val="12"/>
        <rFont val="Arial"/>
        <family val="2"/>
      </rPr>
      <t>+S</t>
    </r>
    <r>
      <rPr>
        <i/>
        <vertAlign val="subscript"/>
        <sz val="12"/>
        <rFont val="Arial"/>
        <family val="2"/>
      </rPr>
      <t>F</t>
    </r>
    <r>
      <rPr>
        <i/>
        <sz val="12"/>
        <rFont val="Arial"/>
        <family val="2"/>
      </rPr>
      <t>)*Msat</t>
    </r>
    <r>
      <rPr>
        <i/>
        <vertAlign val="subscript"/>
        <sz val="12"/>
        <rFont val="Arial"/>
        <family val="2"/>
      </rPr>
      <t>SNH4,KNH4,H</t>
    </r>
    <r>
      <rPr>
        <i/>
        <sz val="12"/>
        <rFont val="Arial"/>
        <family val="2"/>
      </rPr>
      <t>*Msat</t>
    </r>
    <r>
      <rPr>
        <i/>
        <vertAlign val="subscript"/>
        <sz val="12"/>
        <rFont val="Arial"/>
        <family val="2"/>
      </rPr>
      <t>SPO4,KP,H</t>
    </r>
    <r>
      <rPr>
        <i/>
        <sz val="12"/>
        <rFont val="Arial"/>
        <family val="2"/>
      </rPr>
      <t>*Msat</t>
    </r>
    <r>
      <rPr>
        <i/>
        <vertAlign val="subscript"/>
        <sz val="12"/>
        <rFont val="Arial"/>
        <family val="2"/>
      </rPr>
      <t>SALK,KALK,H</t>
    </r>
    <r>
      <rPr>
        <i/>
        <sz val="12"/>
        <rFont val="Arial"/>
        <family val="2"/>
      </rPr>
      <t>*X</t>
    </r>
    <r>
      <rPr>
        <i/>
        <vertAlign val="subscript"/>
        <sz val="12"/>
        <rFont val="Arial"/>
        <family val="2"/>
      </rPr>
      <t>H</t>
    </r>
  </si>
  <si>
    <r>
      <t>μ</t>
    </r>
    <r>
      <rPr>
        <i/>
        <vertAlign val="subscript"/>
        <sz val="12"/>
        <rFont val="Arial"/>
        <family val="2"/>
      </rPr>
      <t>H</t>
    </r>
    <r>
      <rPr>
        <i/>
        <sz val="12"/>
        <rFont val="Arial"/>
        <family val="2"/>
      </rPr>
      <t>*η</t>
    </r>
    <r>
      <rPr>
        <i/>
        <vertAlign val="subscript"/>
        <sz val="12"/>
        <rFont val="Arial"/>
        <family val="2"/>
      </rPr>
      <t>NO3,H</t>
    </r>
    <r>
      <rPr>
        <i/>
        <sz val="12"/>
        <rFont val="Arial"/>
        <family val="2"/>
      </rPr>
      <t>*Minh</t>
    </r>
    <r>
      <rPr>
        <i/>
        <vertAlign val="subscript"/>
        <sz val="12"/>
        <rFont val="Arial"/>
        <family val="2"/>
      </rPr>
      <t>SO2,KO2,H</t>
    </r>
    <r>
      <rPr>
        <i/>
        <sz val="12"/>
        <rFont val="Arial"/>
        <family val="2"/>
      </rPr>
      <t>*Msat</t>
    </r>
    <r>
      <rPr>
        <i/>
        <vertAlign val="subscript"/>
        <sz val="12"/>
        <rFont val="Arial"/>
        <family val="2"/>
      </rPr>
      <t>SNO3,KNO3,H</t>
    </r>
    <r>
      <rPr>
        <i/>
        <sz val="12"/>
        <rFont val="Arial"/>
        <family val="2"/>
      </rPr>
      <t>*Msat</t>
    </r>
    <r>
      <rPr>
        <i/>
        <vertAlign val="subscript"/>
        <sz val="12"/>
        <rFont val="Arial"/>
        <family val="2"/>
      </rPr>
      <t>SA,KA,H</t>
    </r>
    <r>
      <rPr>
        <i/>
        <sz val="12"/>
        <rFont val="Arial"/>
        <family val="2"/>
      </rPr>
      <t>*S</t>
    </r>
    <r>
      <rPr>
        <i/>
        <vertAlign val="subscript"/>
        <sz val="12"/>
        <rFont val="Arial"/>
        <family val="2"/>
      </rPr>
      <t>A</t>
    </r>
    <r>
      <rPr>
        <i/>
        <sz val="12"/>
        <rFont val="Arial"/>
        <family val="2"/>
      </rPr>
      <t>/(S</t>
    </r>
    <r>
      <rPr>
        <i/>
        <vertAlign val="subscript"/>
        <sz val="12"/>
        <rFont val="Arial"/>
        <family val="2"/>
      </rPr>
      <t>A</t>
    </r>
    <r>
      <rPr>
        <i/>
        <sz val="12"/>
        <rFont val="Arial"/>
        <family val="2"/>
      </rPr>
      <t>+S</t>
    </r>
    <r>
      <rPr>
        <i/>
        <vertAlign val="subscript"/>
        <sz val="12"/>
        <rFont val="Arial"/>
        <family val="2"/>
      </rPr>
      <t>F</t>
    </r>
    <r>
      <rPr>
        <i/>
        <sz val="12"/>
        <rFont val="Arial"/>
        <family val="2"/>
      </rPr>
      <t>)*Msat</t>
    </r>
    <r>
      <rPr>
        <i/>
        <vertAlign val="subscript"/>
        <sz val="12"/>
        <rFont val="Arial"/>
        <family val="2"/>
      </rPr>
      <t>SNH4,KNH4,H</t>
    </r>
    <r>
      <rPr>
        <i/>
        <sz val="12"/>
        <rFont val="Arial"/>
        <family val="2"/>
      </rPr>
      <t>*Msat</t>
    </r>
    <r>
      <rPr>
        <i/>
        <vertAlign val="subscript"/>
        <sz val="12"/>
        <rFont val="Arial"/>
        <family val="2"/>
      </rPr>
      <t>SPO4,KP,H</t>
    </r>
    <r>
      <rPr>
        <i/>
        <sz val="12"/>
        <rFont val="Arial"/>
        <family val="2"/>
      </rPr>
      <t>*Msat</t>
    </r>
    <r>
      <rPr>
        <i/>
        <vertAlign val="subscript"/>
        <sz val="12"/>
        <rFont val="Arial"/>
        <family val="2"/>
      </rPr>
      <t>SALK,KALK,H</t>
    </r>
    <r>
      <rPr>
        <i/>
        <sz val="12"/>
        <rFont val="Arial"/>
        <family val="2"/>
      </rPr>
      <t>*X</t>
    </r>
    <r>
      <rPr>
        <i/>
        <vertAlign val="subscript"/>
        <sz val="12"/>
        <rFont val="Arial"/>
        <family val="2"/>
      </rPr>
      <t>H</t>
    </r>
  </si>
  <si>
    <r>
      <t>K</t>
    </r>
    <r>
      <rPr>
        <vertAlign val="subscript"/>
        <sz val="11"/>
        <rFont val="Calibri"/>
        <family val="2"/>
        <scheme val="minor"/>
      </rPr>
      <t>O2,AUT</t>
    </r>
  </si>
  <si>
    <r>
      <t>K</t>
    </r>
    <r>
      <rPr>
        <vertAlign val="subscript"/>
        <sz val="11"/>
        <rFont val="Calibri"/>
        <family val="2"/>
        <scheme val="minor"/>
      </rPr>
      <t>NH4,AUT</t>
    </r>
  </si>
  <si>
    <r>
      <t>K</t>
    </r>
    <r>
      <rPr>
        <vertAlign val="subscript"/>
        <sz val="11"/>
        <rFont val="Calibri"/>
        <family val="2"/>
        <scheme val="minor"/>
      </rPr>
      <t>P,AUT</t>
    </r>
  </si>
  <si>
    <r>
      <t>K</t>
    </r>
    <r>
      <rPr>
        <vertAlign val="subscript"/>
        <sz val="11"/>
        <rFont val="Calibri"/>
        <family val="2"/>
        <scheme val="minor"/>
      </rPr>
      <t>ALK,AUT</t>
    </r>
  </si>
  <si>
    <r>
      <t>K</t>
    </r>
    <r>
      <rPr>
        <vertAlign val="subscript"/>
        <sz val="11"/>
        <rFont val="Calibri"/>
        <family val="2"/>
        <scheme val="minor"/>
      </rPr>
      <t>ALK,PRE</t>
    </r>
  </si>
  <si>
    <t>NUR</t>
  </si>
  <si>
    <t>Nitrate uptake rate (NUR)</t>
  </si>
  <si>
    <t>www.dynamita.com</t>
  </si>
  <si>
    <t>Henze M., Gujer W., Mino T., Matsuo T., Wentzel M. C., Marais G.v.R., and van Loosdrecht M.C.M. (2000). Activated Sludge Model No. 2d, IWA Publishing, Scientific and Technical Report No. 9, London IWA.</t>
  </si>
  <si>
    <t>Press "Global Check" button</t>
  </si>
  <si>
    <t>In Process code/System files/systemcode.xlsx (if necessary)</t>
  </si>
  <si>
    <t>On Constants Tab add the required thermodynamic constants and molecular masses</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</si>
  <si>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</si>
  <si>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</si>
  <si>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</si>
  <si>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Check the species does exist in the systemcode.xlsx file</t>
  </si>
  <si>
    <t>In the systemcode.xlsx file</t>
  </si>
  <si>
    <t>Insert new rows for dissociation constants and enthalpies in the constant tab</t>
  </si>
  <si>
    <t>On the Calculated variables tab</t>
  </si>
  <si>
    <t>Insert new rows for "Dissociation constants - temperature correction" and "Dissociation constants - activity correction" tables</t>
  </si>
  <si>
    <t>Fill in names, other information (expression required)</t>
  </si>
  <si>
    <t>Press "calculate" and name "Value" cells from symbols (use CTRL-M [Mark Name] shortcut)</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</si>
  <si>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</si>
  <si>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</si>
  <si>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Check "Alkalinity" expression and modify it if required depending on the new species added</t>
  </si>
  <si>
    <t>Custom functions can be created on functions tab (systemcode.xlsx file).</t>
  </si>
  <si>
    <t>SV group</t>
  </si>
  <si>
    <t>O2</t>
  </si>
  <si>
    <t>TSS</t>
  </si>
  <si>
    <t>TIC</t>
  </si>
  <si>
    <t>Biomass</t>
  </si>
  <si>
    <t>Saturation term for PP storage (PAO)</t>
  </si>
  <si>
    <t>Saturation term for PHA storage (PAO)</t>
  </si>
  <si>
    <t>Inhibition term for PP storage compound (PAO)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</si>
</sst>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5" formatCode="0.0"/>
    <numFmt numFmtId="166" formatCode="0.00000"/>
  </numFmts>
  <fonts count="64"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9"/>
      <color indexed="81"/>
      <name val="Tahoma"/>
      <family val="2"/>
    </font>
    <font>
      <b/>
      <sz val="11"/>
      <color indexed="8"/>
      <name val="Calibri"/>
      <family val="2"/>
    </font>
    <font>
      <b/>
      <i/>
      <sz val="11"/>
      <color indexed="8"/>
      <name val="Calibri"/>
      <family val="2"/>
    </font>
    <font>
      <sz val="8"/>
      <name val="Calibri"/>
      <family val="2"/>
    </font>
    <font>
      <sz val="11"/>
      <color indexed="8"/>
      <name val="Arial"/>
      <family val="2"/>
      <charset val="238"/>
    </font>
    <font>
      <b/>
      <sz val="11"/>
      <color indexed="8"/>
      <name val="Arial"/>
      <family val="2"/>
    </font>
    <font>
      <sz val="11"/>
      <color rgb="FFFF0000"/>
      <name val="Calibri"/>
      <family val="2"/>
    </font>
    <font>
      <b/>
      <sz val="11"/>
      <color theme="1"/>
      <name val="Calibri"/>
      <family val="2"/>
      <scheme val="minor"/>
    </font>
    <font>
      <vertAlign val="subscript"/>
      <sz val="11"/>
      <color indexed="8"/>
      <name val="Calibri"/>
      <family val="2"/>
      <charset val="238"/>
    </font>
    <font>
      <b/>
      <sz val="11"/>
      <color indexed="8"/>
      <name val="Calibri"/>
      <family val="2"/>
      <charset val="238"/>
    </font>
    <font>
      <sz val="11"/>
      <color indexed="8"/>
      <name val="Calibri"/>
      <family val="2"/>
      <charset val="238"/>
    </font>
    <font>
      <b/>
      <sz val="14"/>
      <color indexed="8"/>
      <name val="Calibri"/>
      <family val="2"/>
      <charset val="238"/>
    </font>
    <font>
      <b/>
      <sz val="11"/>
      <color rgb="FF002060"/>
      <name val="Calibri"/>
      <family val="2"/>
    </font>
    <font>
      <sz val="11"/>
      <color rgb="FFC00000"/>
      <name val="Calibri"/>
      <family val="2"/>
    </font>
    <font>
      <sz val="11"/>
      <color theme="1"/>
      <name val="Calibri"/>
      <family val="2"/>
    </font>
    <font>
      <sz val="11"/>
      <color indexed="8"/>
      <name val="Calibri"/>
      <family val="2"/>
    </font>
    <font>
      <b/>
      <sz val="11"/>
      <color rgb="FFFF0000"/>
      <name val="Calibri"/>
      <family val="2"/>
      <scheme val="minor"/>
    </font>
    <font>
      <sz val="10"/>
      <name val="Arial"/>
      <family val="2"/>
    </font>
    <font>
      <sz val="11"/>
      <name val="Calibri"/>
      <family val="2"/>
    </font>
    <font>
      <sz val="11"/>
      <color indexed="8"/>
      <name val="Arial"/>
      <family val="2"/>
    </font>
    <font>
      <b/>
      <sz val="11"/>
      <name val="Calibri"/>
      <family val="2"/>
    </font>
    <font>
      <sz val="11"/>
      <name val="Calibri"/>
      <family val="2"/>
      <scheme val="minor"/>
    </font>
    <font>
      <sz val="11"/>
      <name val="Arial"/>
      <family val="2"/>
    </font>
    <font>
      <i/>
      <sz val="12"/>
      <name val="Arial"/>
      <family val="2"/>
    </font>
    <font>
      <b/>
      <i/>
      <sz val="12"/>
      <name val="Arial"/>
      <family val="2"/>
    </font>
    <font>
      <sz val="12"/>
      <name val="Arial"/>
      <family val="2"/>
    </font>
    <font>
      <vertAlign val="subscript"/>
      <sz val="12"/>
      <name val="Arial"/>
      <family val="2"/>
    </font>
    <font>
      <b/>
      <sz val="11"/>
      <name val="Arial"/>
      <family val="2"/>
    </font>
    <font>
      <b/>
      <sz val="11"/>
      <name val="Calibri"/>
      <family val="2"/>
      <scheme val="minor"/>
    </font>
    <font>
      <b/>
      <sz val="11"/>
      <name val="Calibri"/>
      <family val="2"/>
      <charset val="238"/>
    </font>
    <font>
      <b/>
      <vertAlign val="subscript"/>
      <sz val="12"/>
      <name val="Arial"/>
      <family val="2"/>
    </font>
    <font>
      <b/>
      <i/>
      <sz val="11"/>
      <name val="Calibri"/>
      <family val="2"/>
      <charset val="238"/>
    </font>
    <font>
      <b/>
      <vertAlign val="subscript"/>
      <sz val="11"/>
      <name val="Arial"/>
      <family val="2"/>
    </font>
    <font>
      <vertAlign val="subscript"/>
      <sz val="11"/>
      <name val="Calibri"/>
      <family val="2"/>
    </font>
    <font>
      <b/>
      <sz val="11"/>
      <color indexed="8"/>
      <name val="Calibri"/>
      <family val="2"/>
      <scheme val="minor"/>
    </font>
    <font>
      <sz val="11"/>
      <color indexed="8"/>
      <name val="Calibri"/>
      <family val="2"/>
      <scheme val="minor"/>
    </font>
    <font>
      <vertAlign val="subscript"/>
      <sz val="11"/>
      <name val="Calibri"/>
      <family val="2"/>
      <scheme val="minor"/>
    </font>
    <font>
      <vertAlign val="superscript"/>
      <sz val="11"/>
      <name val="Calibri"/>
      <family val="2"/>
      <scheme val="minor"/>
    </font>
    <font>
      <i/>
      <sz val="11"/>
      <name val="Calibri"/>
      <family val="2"/>
      <scheme val="minor"/>
    </font>
    <font>
      <i/>
      <vertAlign val="subscript"/>
      <sz val="11"/>
      <name val="Calibri"/>
      <family val="2"/>
      <scheme val="minor"/>
    </font>
    <font>
      <b/>
      <vertAlign val="subscript"/>
      <sz val="11"/>
      <color indexed="8"/>
      <name val="Calibri"/>
      <family val="2"/>
      <scheme val="minor"/>
    </font>
    <font>
      <vertAlign val="superscript"/>
      <sz val="11"/>
      <name val="Calibri"/>
      <family val="2"/>
    </font>
    <font>
      <b/>
      <i/>
      <sz val="11"/>
      <name val="Calibri"/>
      <family val="2"/>
      <scheme val="minor"/>
    </font>
    <font>
      <vertAlign val="subscript"/>
      <sz val="11"/>
      <name val="Calibri"/>
      <family val="2"/>
      <charset val="238"/>
    </font>
    <font>
      <vertAlign val="subscript"/>
      <sz val="11"/>
      <name val="Calibri"/>
      <family val="2"/>
      <charset val="238"/>
      <scheme val="minor"/>
    </font>
    <font>
      <sz val="11"/>
      <name val="Calibri"/>
      <family val="2"/>
      <charset val="238"/>
      <scheme val="minor"/>
    </font>
    <font>
      <vertAlign val="subscript"/>
      <sz val="11"/>
      <name val="Arial"/>
      <family val="2"/>
      <charset val="238"/>
    </font>
    <font>
      <i/>
      <vertAlign val="subscript"/>
      <sz val="12"/>
      <name val="Arial"/>
      <family val="2"/>
    </font>
    <font>
      <vertAlign val="subscript"/>
      <sz val="11"/>
      <color rgb="FF000000"/>
      <name val="Calibri"/>
      <family val="2"/>
      <scheme val="minor"/>
    </font>
    <font>
      <sz val="11"/>
      <color rgb="FF000000"/>
      <name val="Calibri"/>
      <family val="2"/>
      <charset val="238"/>
      <scheme val="minor"/>
    </font>
    <font>
      <vertAlign val="superscript"/>
      <sz val="11"/>
      <color rgb="FF000000"/>
      <name val="Calibri"/>
      <family val="2"/>
      <scheme val="minor"/>
    </font>
    <font>
      <b/>
      <sz val="11"/>
      <color indexed="9"/>
      <name val="Calibri"/>
      <family val="2"/>
      <scheme val="minor"/>
    </font>
    <font>
      <vertAlign val="superscript"/>
      <sz val="11"/>
      <name val="Calibri"/>
      <family val="2"/>
      <charset val="238"/>
      <scheme val="minor"/>
    </font>
    <font>
      <sz val="11"/>
      <color rgb="FF0082C8"/>
      <name val="Calibri"/>
      <family val="2"/>
      <scheme val="minor"/>
    </font>
    <font>
      <u/>
      <sz val="11"/>
      <color theme="10"/>
      <name val="Calibri"/>
      <family val="2"/>
    </font>
  </fonts>
  <fills count="16">
    <fill>
      <patternFill patternType="none"/>
    </fill>
    <fill>
      <patternFill patternType="gray125"/>
    </fill>
    <fill>
      <patternFill patternType="solid">
        <fgColor theme="0"/>
        <bgColor indexed="64"/>
      </patternFill>
    </fill>
    <fill>
      <patternFill patternType="solid">
        <fgColor rgb="FF498F87"/>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indexed="11"/>
        <bgColor indexed="64"/>
      </patternFill>
    </fill>
    <fill>
      <patternFill patternType="solid">
        <fgColor indexed="13"/>
        <bgColor indexed="64"/>
      </patternFill>
    </fill>
    <fill>
      <patternFill patternType="solid">
        <fgColor theme="9" tint="0.79995117038483843"/>
        <bgColor indexed="64"/>
      </patternFill>
    </fill>
    <fill>
      <patternFill patternType="solid">
        <fgColor rgb="FFFFFF00"/>
        <bgColor indexed="64"/>
      </patternFill>
    </fill>
    <fill>
      <patternFill patternType="solid">
        <fgColor theme="8" tint="0.39997558519241921"/>
        <bgColor indexed="64"/>
      </patternFill>
    </fill>
    <fill>
      <patternFill patternType="solid">
        <fgColor rgb="FFFFC000"/>
        <bgColor indexed="64"/>
      </patternFill>
    </fill>
    <fill>
      <patternFill patternType="solid">
        <fgColor rgb="FFC00000"/>
        <bgColor indexed="64"/>
      </patternFill>
    </fill>
    <fill>
      <patternFill patternType="solid">
        <fgColor rgb="FF2B8DD5"/>
        <bgColor indexed="64"/>
      </patternFill>
    </fill>
  </fills>
  <borders count="82">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style="medium">
        <color rgb="FF000000"/>
      </right>
      <top style="medium">
        <color rgb="FF000000"/>
      </top>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8"/>
      </left>
      <right style="medium">
        <color indexed="8"/>
      </right>
      <top style="medium">
        <color indexed="8"/>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auto="1"/>
      </right>
      <top/>
      <bottom style="medium">
        <color auto="1"/>
      </bottom>
      <diagonal/>
    </border>
    <border>
      <left/>
      <right style="thick">
        <color indexed="64"/>
      </right>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thin">
        <color auto="1"/>
      </left>
      <right style="thin">
        <color auto="1"/>
      </right>
      <top style="medium">
        <color auto="1"/>
      </top>
      <bottom style="medium">
        <color auto="1"/>
      </bottom>
      <diagonal/>
    </border>
    <border>
      <left/>
      <right/>
      <top style="medium">
        <color auto="1"/>
      </top>
      <bottom style="medium">
        <color auto="1"/>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bottom style="medium">
        <color indexed="9"/>
      </bottom>
      <diagonal/>
    </border>
    <border>
      <left style="medium">
        <color indexed="9"/>
      </left>
      <right style="medium">
        <color indexed="9"/>
      </right>
      <top style="thin">
        <color indexed="9"/>
      </top>
      <bottom style="medium">
        <color indexed="9"/>
      </bottom>
      <diagonal/>
    </border>
    <border>
      <left style="medium">
        <color indexed="9"/>
      </left>
      <right style="thin">
        <color indexed="23"/>
      </right>
      <top style="thin">
        <color indexed="9"/>
      </top>
      <bottom style="medium">
        <color indexed="9"/>
      </bottom>
      <diagonal/>
    </border>
    <border>
      <left style="thin">
        <color indexed="23"/>
      </left>
      <right style="thin">
        <color indexed="23"/>
      </right>
      <top/>
      <bottom style="thin">
        <color indexed="23"/>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auto="1"/>
      </top>
      <bottom/>
      <diagonal/>
    </border>
    <border>
      <left style="thin">
        <color indexed="64"/>
      </left>
      <right style="thin">
        <color indexed="64"/>
      </right>
      <top style="medium">
        <color auto="1"/>
      </top>
      <bottom/>
      <diagonal/>
    </border>
    <border>
      <left style="thin">
        <color indexed="64"/>
      </left>
      <right style="medium">
        <color indexed="64"/>
      </right>
      <top style="medium">
        <color auto="1"/>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top style="medium">
        <color auto="1"/>
      </top>
      <bottom style="thin">
        <color indexed="64"/>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auto="1"/>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s>
  <cellStyleXfs count="24">
    <xf numFmtId="0" fontId="0" fillId="0" borderId="0"/>
    <xf numFmtId="0" fontId="8" fillId="0" borderId="0"/>
    <xf numFmtId="0" fontId="26" fillId="0" borderId="0"/>
    <xf numFmtId="0" fontId="7" fillId="0" borderId="0"/>
    <xf numFmtId="0" fontId="7" fillId="0" borderId="0"/>
    <xf numFmtId="0" fontId="2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0" borderId="0"/>
    <xf numFmtId="0" fontId="6" fillId="0" borderId="0"/>
    <xf numFmtId="0" fontId="24" fillId="0" borderId="0"/>
    <xf numFmtId="0" fontId="5" fillId="0" borderId="0"/>
    <xf numFmtId="0" fontId="4" fillId="0" borderId="0"/>
    <xf numFmtId="0" fontId="4" fillId="0" borderId="0"/>
    <xf numFmtId="0" fontId="4" fillId="0" borderId="0"/>
    <xf numFmtId="0" fontId="2" fillId="0" borderId="0"/>
    <xf numFmtId="0" fontId="63" fillId="0" borderId="0" applyNumberFormat="0" applyFill="0" applyBorder="0" applyAlignment="0" applyProtection="0"/>
  </cellStyleXfs>
  <cellXfs count="441">
    <xf numFmtId="0" fontId="0" fillId="0" borderId="0" xfId="0"/>
    <xf numFmtId="0" fontId="10" fillId="0" borderId="0" xfId="0" applyFont="1"/>
    <xf numFmtId="0" fontId="10" fillId="0" borderId="5" xfId="0" applyFont="1" applyBorder="1" applyAlignment="1">
      <alignment vertical="top" wrapText="1"/>
    </xf>
    <xf numFmtId="0" fontId="0" fillId="0" borderId="0" xfId="0" applyAlignment="1">
      <alignment horizontal="left" vertical="center"/>
    </xf>
    <xf numFmtId="0" fontId="0" fillId="0" borderId="6" xfId="0" applyBorder="1"/>
    <xf numFmtId="0" fontId="18" fillId="0" borderId="0" xfId="0" applyFont="1"/>
    <xf numFmtId="0" fontId="0" fillId="0" borderId="0" xfId="0" applyAlignment="1">
      <alignment vertical="top"/>
    </xf>
    <xf numFmtId="0" fontId="0" fillId="2" borderId="0" xfId="0" applyFill="1"/>
    <xf numFmtId="0" fontId="15" fillId="3" borderId="19" xfId="0" applyFont="1" applyFill="1" applyBorder="1"/>
    <xf numFmtId="0" fontId="15" fillId="3" borderId="20" xfId="0" applyFont="1" applyFill="1" applyBorder="1"/>
    <xf numFmtId="0" fontId="15" fillId="3" borderId="21" xfId="0" applyFont="1" applyFill="1" applyBorder="1"/>
    <xf numFmtId="0" fontId="16" fillId="0" borderId="0" xfId="0" applyFont="1" applyAlignment="1">
      <alignment horizontal="left" vertical="center"/>
    </xf>
    <xf numFmtId="0" fontId="10" fillId="0" borderId="0" xfId="0" applyFont="1" applyAlignment="1">
      <alignment horizontal="center" vertical="center"/>
    </xf>
    <xf numFmtId="0" fontId="10" fillId="0" borderId="0" xfId="0" applyFont="1" applyAlignment="1">
      <alignment horizontal="center" vertical="center" wrapText="1"/>
    </xf>
    <xf numFmtId="0" fontId="16" fillId="0" borderId="31" xfId="0" applyFont="1" applyBorder="1" applyAlignment="1">
      <alignment horizontal="left" vertical="center"/>
    </xf>
    <xf numFmtId="0" fontId="16" fillId="0" borderId="4" xfId="0" applyFont="1" applyBorder="1" applyAlignment="1">
      <alignment horizontal="left" vertical="center"/>
    </xf>
    <xf numFmtId="0" fontId="16" fillId="0" borderId="20" xfId="0" applyFont="1" applyBorder="1" applyAlignment="1">
      <alignment horizontal="left" vertical="center"/>
    </xf>
    <xf numFmtId="0" fontId="16" fillId="0" borderId="30" xfId="0" applyFont="1" applyBorder="1" applyAlignment="1">
      <alignment horizontal="left" vertical="center"/>
    </xf>
    <xf numFmtId="0" fontId="16" fillId="0" borderId="29" xfId="0" applyFont="1" applyBorder="1" applyAlignment="1">
      <alignment horizontal="left" vertical="center"/>
    </xf>
    <xf numFmtId="0" fontId="16" fillId="0" borderId="0" xfId="1" applyFont="1"/>
    <xf numFmtId="0" fontId="8" fillId="0" borderId="0" xfId="1"/>
    <xf numFmtId="0" fontId="25" fillId="4" borderId="2" xfId="1" applyFont="1" applyFill="1" applyBorder="1"/>
    <xf numFmtId="0" fontId="16" fillId="4" borderId="15" xfId="1" applyFont="1" applyFill="1" applyBorder="1" applyAlignment="1">
      <alignment horizontal="center" vertical="center"/>
    </xf>
    <xf numFmtId="0" fontId="16" fillId="4" borderId="3" xfId="1" applyFont="1" applyFill="1" applyBorder="1" applyAlignment="1">
      <alignment horizontal="center" vertical="center"/>
    </xf>
    <xf numFmtId="0" fontId="16" fillId="4" borderId="2" xfId="1" applyFont="1" applyFill="1" applyBorder="1"/>
    <xf numFmtId="0" fontId="8" fillId="4" borderId="15" xfId="1" applyFill="1" applyBorder="1" applyAlignment="1">
      <alignment horizontal="center" vertical="center"/>
    </xf>
    <xf numFmtId="0" fontId="8" fillId="4" borderId="3" xfId="1" applyFill="1" applyBorder="1" applyAlignment="1">
      <alignment horizontal="center" vertical="center"/>
    </xf>
    <xf numFmtId="0" fontId="8" fillId="0" borderId="0" xfId="1" applyAlignment="1">
      <alignment horizontal="center" vertical="center"/>
    </xf>
    <xf numFmtId="0" fontId="16" fillId="4" borderId="32" xfId="1" applyFont="1" applyFill="1" applyBorder="1"/>
    <xf numFmtId="0" fontId="8" fillId="4" borderId="0" xfId="1" applyFill="1" applyAlignment="1">
      <alignment horizontal="center" vertical="center"/>
    </xf>
    <xf numFmtId="0" fontId="8" fillId="4" borderId="23" xfId="1" applyFill="1" applyBorder="1" applyAlignment="1">
      <alignment horizontal="center" vertical="center"/>
    </xf>
    <xf numFmtId="0" fontId="16" fillId="4" borderId="33" xfId="1" applyFont="1" applyFill="1" applyBorder="1"/>
    <xf numFmtId="0" fontId="8" fillId="4" borderId="25" xfId="1" applyFill="1" applyBorder="1" applyAlignment="1">
      <alignment horizontal="center" vertical="center"/>
    </xf>
    <xf numFmtId="0" fontId="8" fillId="4" borderId="26" xfId="1" applyFill="1" applyBorder="1" applyAlignment="1">
      <alignment horizontal="center" vertical="center"/>
    </xf>
    <xf numFmtId="0" fontId="8" fillId="4" borderId="4" xfId="1" applyFill="1" applyBorder="1" applyAlignment="1">
      <alignment horizontal="center" vertical="center"/>
    </xf>
    <xf numFmtId="0" fontId="8" fillId="4" borderId="33" xfId="1" applyFill="1" applyBorder="1" applyAlignment="1">
      <alignment horizontal="center" vertical="center"/>
    </xf>
    <xf numFmtId="0" fontId="16" fillId="4" borderId="4" xfId="1" applyFont="1" applyFill="1" applyBorder="1"/>
    <xf numFmtId="0" fontId="8" fillId="4" borderId="29" xfId="1" applyFill="1" applyBorder="1" applyAlignment="1">
      <alignment horizontal="center" vertical="center"/>
    </xf>
    <xf numFmtId="11" fontId="8" fillId="4" borderId="25" xfId="1" applyNumberFormat="1" applyFill="1" applyBorder="1" applyAlignment="1">
      <alignment horizontal="center" vertical="center"/>
    </xf>
    <xf numFmtId="0" fontId="8" fillId="4" borderId="35" xfId="1" applyFill="1" applyBorder="1" applyAlignment="1">
      <alignment horizontal="center" vertical="center"/>
    </xf>
    <xf numFmtId="0" fontId="28" fillId="0" borderId="17" xfId="2" applyFont="1" applyBorder="1" applyAlignment="1">
      <alignment horizontal="left" vertical="center" wrapText="1"/>
    </xf>
    <xf numFmtId="0" fontId="28" fillId="0" borderId="17" xfId="2" applyFont="1" applyBorder="1" applyAlignment="1">
      <alignment horizontal="center" vertical="center" wrapText="1"/>
    </xf>
    <xf numFmtId="0" fontId="0" fillId="0" borderId="17" xfId="0" applyBorder="1" applyAlignment="1">
      <alignment horizontal="center" vertical="center" wrapText="1"/>
    </xf>
    <xf numFmtId="0" fontId="24" fillId="0" borderId="17" xfId="0" applyFont="1" applyBorder="1" applyAlignment="1">
      <alignment horizontal="center" vertical="center"/>
    </xf>
    <xf numFmtId="0" fontId="30" fillId="0" borderId="0" xfId="0" applyFont="1" applyAlignment="1">
      <alignment vertical="center"/>
    </xf>
    <xf numFmtId="0" fontId="30" fillId="0" borderId="0" xfId="0" applyFont="1"/>
    <xf numFmtId="0" fontId="0" fillId="5" borderId="0" xfId="0" applyFill="1"/>
    <xf numFmtId="0" fontId="14" fillId="5" borderId="0" xfId="0" applyFont="1" applyFill="1" applyAlignment="1">
      <alignment horizontal="center" vertical="center" wrapText="1"/>
    </xf>
    <xf numFmtId="0" fontId="20" fillId="5" borderId="0" xfId="0" applyFont="1" applyFill="1" applyAlignment="1">
      <alignment horizontal="center" vertical="center" wrapText="1"/>
    </xf>
    <xf numFmtId="0" fontId="21" fillId="6" borderId="0" xfId="0" applyFont="1" applyFill="1"/>
    <xf numFmtId="0" fontId="0" fillId="6" borderId="0" xfId="0" applyFill="1"/>
    <xf numFmtId="0" fontId="10" fillId="6" borderId="1" xfId="0" applyFont="1" applyFill="1" applyBorder="1" applyAlignment="1">
      <alignment horizontal="center" vertical="center" wrapText="1"/>
    </xf>
    <xf numFmtId="0" fontId="10" fillId="6" borderId="4" xfId="0" applyFont="1" applyFill="1" applyBorder="1" applyAlignment="1">
      <alignment horizontal="center" vertical="center"/>
    </xf>
    <xf numFmtId="0" fontId="16" fillId="6" borderId="31" xfId="0" applyFont="1" applyFill="1" applyBorder="1" applyAlignment="1">
      <alignment horizontal="left" vertical="center"/>
    </xf>
    <xf numFmtId="0" fontId="16" fillId="6" borderId="4" xfId="0" applyFont="1" applyFill="1" applyBorder="1" applyAlignment="1">
      <alignment horizontal="left" vertical="center"/>
    </xf>
    <xf numFmtId="0" fontId="16" fillId="6" borderId="20" xfId="0" applyFont="1" applyFill="1" applyBorder="1" applyAlignment="1">
      <alignment horizontal="left" vertical="center"/>
    </xf>
    <xf numFmtId="0" fontId="16" fillId="6" borderId="30" xfId="0" applyFont="1" applyFill="1" applyBorder="1" applyAlignment="1">
      <alignment horizontal="left" vertical="center"/>
    </xf>
    <xf numFmtId="0" fontId="16" fillId="6" borderId="29" xfId="0" applyFont="1" applyFill="1" applyBorder="1" applyAlignment="1">
      <alignment horizontal="left" vertical="center"/>
    </xf>
    <xf numFmtId="0" fontId="16" fillId="6" borderId="27" xfId="0" applyFont="1" applyFill="1" applyBorder="1" applyAlignment="1">
      <alignment horizontal="left" vertical="center" wrapText="1"/>
    </xf>
    <xf numFmtId="0" fontId="16" fillId="6" borderId="0" xfId="0" applyFont="1" applyFill="1" applyAlignment="1">
      <alignment horizontal="left" vertical="center"/>
    </xf>
    <xf numFmtId="0" fontId="10" fillId="6" borderId="5" xfId="0" applyFont="1" applyFill="1" applyBorder="1" applyAlignment="1">
      <alignment vertical="top" wrapText="1"/>
    </xf>
    <xf numFmtId="0" fontId="16" fillId="6" borderId="28" xfId="0" applyFont="1" applyFill="1" applyBorder="1" applyAlignment="1">
      <alignment horizontal="left" vertical="center"/>
    </xf>
    <xf numFmtId="0" fontId="16" fillId="6" borderId="2" xfId="0" applyFont="1" applyFill="1" applyBorder="1" applyAlignment="1">
      <alignment horizontal="left" vertical="center"/>
    </xf>
    <xf numFmtId="0" fontId="16" fillId="6" borderId="3" xfId="0" applyFont="1" applyFill="1" applyBorder="1" applyAlignment="1">
      <alignment horizontal="left" vertical="center"/>
    </xf>
    <xf numFmtId="0" fontId="10" fillId="6" borderId="34" xfId="0" applyFont="1" applyFill="1" applyBorder="1" applyAlignment="1">
      <alignment vertical="top" wrapText="1"/>
    </xf>
    <xf numFmtId="0" fontId="16" fillId="6" borderId="15" xfId="0" applyFont="1" applyFill="1" applyBorder="1" applyAlignment="1">
      <alignment horizontal="left" vertical="center"/>
    </xf>
    <xf numFmtId="0" fontId="16" fillId="6" borderId="18" xfId="0" applyFont="1" applyFill="1" applyBorder="1" applyAlignment="1">
      <alignment horizontal="left" vertical="center"/>
    </xf>
    <xf numFmtId="0" fontId="38" fillId="0" borderId="39" xfId="0" applyFont="1" applyBorder="1" applyAlignment="1">
      <alignment horizontal="center" vertical="center" wrapText="1"/>
    </xf>
    <xf numFmtId="0" fontId="38" fillId="0" borderId="10" xfId="0" applyFont="1" applyBorder="1" applyAlignment="1">
      <alignment horizontal="center" vertical="center" wrapText="1"/>
    </xf>
    <xf numFmtId="1" fontId="31" fillId="0" borderId="17" xfId="0" applyNumberFormat="1" applyFont="1" applyBorder="1" applyAlignment="1">
      <alignment horizontal="center" vertical="center" wrapText="1"/>
    </xf>
    <xf numFmtId="164" fontId="32" fillId="0" borderId="17" xfId="0" applyNumberFormat="1" applyFont="1" applyBorder="1" applyAlignment="1">
      <alignment horizontal="center" vertical="center" wrapText="1"/>
    </xf>
    <xf numFmtId="2" fontId="31" fillId="0" borderId="6" xfId="0" applyNumberFormat="1" applyFont="1" applyBorder="1" applyAlignment="1">
      <alignment horizontal="center" vertical="center" wrapText="1"/>
    </xf>
    <xf numFmtId="164" fontId="31" fillId="0" borderId="6" xfId="0" applyNumberFormat="1" applyFont="1" applyBorder="1" applyAlignment="1">
      <alignment horizontal="center" vertical="center" wrapText="1"/>
    </xf>
    <xf numFmtId="2" fontId="31" fillId="0" borderId="6" xfId="0" quotePrefix="1" applyNumberFormat="1" applyFont="1" applyBorder="1" applyAlignment="1">
      <alignment horizontal="center" vertical="center" wrapText="1"/>
    </xf>
    <xf numFmtId="0" fontId="31" fillId="0" borderId="6" xfId="0" quotePrefix="1" applyFont="1" applyBorder="1" applyAlignment="1">
      <alignment horizontal="center" vertical="center" wrapText="1"/>
    </xf>
    <xf numFmtId="2" fontId="32" fillId="0" borderId="6" xfId="0" applyNumberFormat="1" applyFont="1" applyBorder="1" applyAlignment="1">
      <alignment horizontal="center" vertical="center" wrapText="1"/>
    </xf>
    <xf numFmtId="2" fontId="32" fillId="0" borderId="6" xfId="0" applyNumberFormat="1" applyFont="1" applyBorder="1" applyAlignment="1">
      <alignment horizontal="center" wrapText="1"/>
    </xf>
    <xf numFmtId="164" fontId="32" fillId="0" borderId="13" xfId="0" applyNumberFormat="1" applyFont="1" applyBorder="1" applyAlignment="1">
      <alignment horizontal="center" vertical="center" wrapText="1"/>
    </xf>
    <xf numFmtId="2" fontId="26" fillId="0" borderId="13" xfId="0" quotePrefix="1" applyNumberFormat="1" applyFont="1" applyBorder="1" applyAlignment="1">
      <alignment horizontal="center" wrapText="1"/>
    </xf>
    <xf numFmtId="0" fontId="38" fillId="0" borderId="12" xfId="0" applyFont="1" applyBorder="1" applyAlignment="1">
      <alignment horizontal="center" vertical="center" wrapText="1"/>
    </xf>
    <xf numFmtId="0" fontId="38" fillId="0" borderId="38" xfId="0" applyFont="1" applyBorder="1" applyAlignment="1">
      <alignment horizontal="center" vertical="center"/>
    </xf>
    <xf numFmtId="0" fontId="38" fillId="0" borderId="11" xfId="0" applyFont="1" applyBorder="1" applyAlignment="1">
      <alignment horizontal="center" vertical="center"/>
    </xf>
    <xf numFmtId="0" fontId="32" fillId="0" borderId="11" xfId="2" applyFont="1" applyBorder="1" applyAlignment="1">
      <alignment horizontal="center" vertical="center" wrapText="1"/>
    </xf>
    <xf numFmtId="0" fontId="36" fillId="0" borderId="6" xfId="0" applyFont="1" applyBorder="1" applyAlignment="1">
      <alignment horizontal="center" vertical="center" wrapText="1"/>
    </xf>
    <xf numFmtId="0" fontId="36" fillId="0" borderId="17" xfId="0" applyFont="1" applyBorder="1" applyAlignment="1">
      <alignment horizontal="center" vertical="center" wrapText="1"/>
    </xf>
    <xf numFmtId="0" fontId="36" fillId="0" borderId="17" xfId="0" applyFont="1" applyBorder="1" applyAlignment="1">
      <alignment horizontal="left" vertical="center" wrapText="1"/>
    </xf>
    <xf numFmtId="0" fontId="31" fillId="0" borderId="17" xfId="0" applyFont="1" applyBorder="1" applyAlignment="1">
      <alignment horizontal="center" vertical="center" wrapText="1"/>
    </xf>
    <xf numFmtId="0" fontId="32" fillId="0" borderId="17" xfId="0" applyFont="1" applyBorder="1" applyAlignment="1">
      <alignment horizontal="center" vertical="center" wrapText="1"/>
    </xf>
    <xf numFmtId="0" fontId="36" fillId="0" borderId="6" xfId="0" applyFont="1" applyBorder="1" applyAlignment="1">
      <alignment horizontal="left" vertical="center" wrapText="1"/>
    </xf>
    <xf numFmtId="0" fontId="31" fillId="0" borderId="6" xfId="0" applyFont="1" applyBorder="1" applyAlignment="1">
      <alignment horizontal="center" vertical="center" wrapText="1"/>
    </xf>
    <xf numFmtId="0" fontId="32" fillId="0" borderId="6" xfId="0" applyFont="1" applyBorder="1" applyAlignment="1">
      <alignment horizontal="center" vertical="center" wrapText="1"/>
    </xf>
    <xf numFmtId="164" fontId="32" fillId="0" borderId="6" xfId="0" applyNumberFormat="1" applyFont="1" applyBorder="1" applyAlignment="1">
      <alignment horizontal="center" vertical="center" wrapText="1"/>
    </xf>
    <xf numFmtId="164" fontId="31" fillId="0" borderId="6" xfId="0" quotePrefix="1" applyNumberFormat="1" applyFont="1" applyBorder="1" applyAlignment="1">
      <alignment horizontal="center" vertical="center" wrapText="1"/>
    </xf>
    <xf numFmtId="0" fontId="36" fillId="0" borderId="13" xfId="0" applyFont="1" applyBorder="1" applyAlignment="1">
      <alignment horizontal="center" vertical="center" wrapText="1"/>
    </xf>
    <xf numFmtId="0" fontId="36" fillId="0" borderId="13" xfId="0" applyFont="1" applyBorder="1" applyAlignment="1">
      <alignment horizontal="left" vertical="center" wrapText="1"/>
    </xf>
    <xf numFmtId="0" fontId="31" fillId="0" borderId="13" xfId="0" applyFont="1" applyBorder="1" applyAlignment="1">
      <alignment horizontal="center" vertical="center" wrapText="1"/>
    </xf>
    <xf numFmtId="0" fontId="27" fillId="0" borderId="6" xfId="0" applyFont="1" applyBorder="1"/>
    <xf numFmtId="0" fontId="43" fillId="5" borderId="0" xfId="0" applyFont="1" applyFill="1" applyAlignment="1">
      <alignment horizontal="center" wrapText="1"/>
    </xf>
    <xf numFmtId="0" fontId="44" fillId="5" borderId="0" xfId="0" applyFont="1" applyFill="1" applyAlignment="1">
      <alignment horizontal="left" vertical="center"/>
    </xf>
    <xf numFmtId="0" fontId="44" fillId="5" borderId="0" xfId="0" applyFont="1" applyFill="1"/>
    <xf numFmtId="0" fontId="43" fillId="0" borderId="0" xfId="0" applyFont="1"/>
    <xf numFmtId="0" fontId="44" fillId="0" borderId="0" xfId="0" applyFont="1" applyAlignment="1">
      <alignment vertical="center"/>
    </xf>
    <xf numFmtId="0" fontId="43" fillId="6" borderId="34" xfId="0" applyFont="1" applyFill="1" applyBorder="1" applyAlignment="1">
      <alignment vertical="center" wrapText="1"/>
    </xf>
    <xf numFmtId="0" fontId="44" fillId="0" borderId="0" xfId="0" applyFont="1"/>
    <xf numFmtId="0" fontId="30" fillId="0" borderId="6" xfId="0" applyFont="1" applyBorder="1" applyAlignment="1">
      <alignment horizontal="left" vertical="center"/>
    </xf>
    <xf numFmtId="0" fontId="30" fillId="0" borderId="6" xfId="0" applyFont="1" applyBorder="1"/>
    <xf numFmtId="0" fontId="30" fillId="0" borderId="6" xfId="0" applyFont="1" applyBorder="1" applyAlignment="1">
      <alignment vertical="center"/>
    </xf>
    <xf numFmtId="0" fontId="30" fillId="0" borderId="13" xfId="0" applyFont="1" applyBorder="1"/>
    <xf numFmtId="0" fontId="44" fillId="0" borderId="0" xfId="0" applyFont="1" applyAlignment="1">
      <alignment horizontal="center" vertical="center"/>
    </xf>
    <xf numFmtId="0" fontId="44" fillId="0" borderId="0" xfId="0" applyFont="1" applyAlignment="1">
      <alignment horizontal="left" vertical="center" wrapText="1"/>
    </xf>
    <xf numFmtId="0" fontId="44" fillId="0" borderId="0" xfId="0" applyFont="1" applyAlignment="1">
      <alignment horizontal="center" vertical="center" wrapText="1"/>
    </xf>
    <xf numFmtId="0" fontId="30" fillId="0" borderId="17" xfId="0" applyFont="1" applyBorder="1" applyAlignment="1">
      <alignment horizontal="left" vertical="center"/>
    </xf>
    <xf numFmtId="0" fontId="30" fillId="0" borderId="17" xfId="0" applyFont="1" applyBorder="1" applyAlignment="1">
      <alignment horizontal="center" vertical="center" wrapText="1"/>
    </xf>
    <xf numFmtId="0" fontId="37" fillId="0" borderId="6" xfId="0" applyFont="1" applyBorder="1" applyAlignment="1">
      <alignment vertical="center" wrapText="1"/>
    </xf>
    <xf numFmtId="0" fontId="44" fillId="0" borderId="0" xfId="0" applyFont="1" applyAlignment="1">
      <alignment horizontal="left" vertical="center"/>
    </xf>
    <xf numFmtId="0" fontId="47" fillId="0" borderId="10" xfId="0" applyFont="1" applyBorder="1" applyAlignment="1">
      <alignment horizontal="center" vertical="center"/>
    </xf>
    <xf numFmtId="0" fontId="30" fillId="0" borderId="6" xfId="0" applyFont="1" applyBorder="1" applyAlignment="1">
      <alignment horizontal="center" vertical="center"/>
    </xf>
    <xf numFmtId="0" fontId="47" fillId="0" borderId="0" xfId="0" applyFont="1" applyAlignment="1">
      <alignment horizontal="center" vertical="center"/>
    </xf>
    <xf numFmtId="0" fontId="30" fillId="0" borderId="0" xfId="0" applyFont="1" applyAlignment="1">
      <alignment horizontal="center" vertical="center"/>
    </xf>
    <xf numFmtId="0" fontId="47" fillId="0" borderId="12" xfId="0" applyFont="1" applyBorder="1" applyAlignment="1">
      <alignment horizontal="center" vertical="center"/>
    </xf>
    <xf numFmtId="0" fontId="30" fillId="0" borderId="13" xfId="0" applyFont="1" applyBorder="1" applyAlignment="1">
      <alignment horizontal="center" vertical="center"/>
    </xf>
    <xf numFmtId="0" fontId="47" fillId="0" borderId="39" xfId="0" applyFont="1" applyBorder="1" applyAlignment="1">
      <alignment horizontal="center" vertical="center"/>
    </xf>
    <xf numFmtId="0" fontId="30" fillId="0" borderId="17" xfId="0" applyFont="1" applyBorder="1" applyAlignment="1">
      <alignment horizontal="center" vertical="center"/>
    </xf>
    <xf numFmtId="164" fontId="30" fillId="0" borderId="6" xfId="0" applyNumberFormat="1" applyFont="1" applyBorder="1" applyAlignment="1">
      <alignment horizontal="center" vertical="center"/>
    </xf>
    <xf numFmtId="0" fontId="30" fillId="0" borderId="13" xfId="0" applyFont="1" applyBorder="1" applyAlignment="1">
      <alignment horizontal="left" vertical="center"/>
    </xf>
    <xf numFmtId="0" fontId="30" fillId="0" borderId="17" xfId="0" applyFont="1" applyBorder="1"/>
    <xf numFmtId="0" fontId="30" fillId="0" borderId="0" xfId="0" applyFont="1" applyAlignment="1">
      <alignment horizontal="left" vertical="center"/>
    </xf>
    <xf numFmtId="0" fontId="30" fillId="0" borderId="13" xfId="0" applyFont="1" applyBorder="1" applyAlignment="1">
      <alignment vertical="center"/>
    </xf>
    <xf numFmtId="0" fontId="30" fillId="0" borderId="17" xfId="0" applyFont="1" applyBorder="1" applyAlignment="1">
      <alignment vertical="center"/>
    </xf>
    <xf numFmtId="0" fontId="47" fillId="0" borderId="12" xfId="0" applyFont="1" applyBorder="1" applyAlignment="1">
      <alignment horizontal="center" vertical="center" wrapText="1"/>
    </xf>
    <xf numFmtId="2" fontId="30" fillId="0" borderId="13" xfId="0" applyNumberFormat="1" applyFont="1" applyBorder="1" applyAlignment="1">
      <alignment horizontal="center" vertical="center"/>
    </xf>
    <xf numFmtId="0" fontId="30" fillId="0" borderId="13" xfId="0" applyFont="1" applyBorder="1" applyAlignment="1">
      <alignment vertical="center" wrapText="1"/>
    </xf>
    <xf numFmtId="0" fontId="47" fillId="0" borderId="39" xfId="0" applyFont="1" applyBorder="1" applyAlignment="1">
      <alignment horizontal="center" vertical="center" wrapText="1"/>
    </xf>
    <xf numFmtId="2" fontId="30" fillId="0" borderId="17" xfId="0" applyNumberFormat="1" applyFont="1" applyBorder="1" applyAlignment="1">
      <alignment horizontal="center" vertical="center"/>
    </xf>
    <xf numFmtId="0" fontId="37" fillId="0" borderId="17" xfId="0" applyFont="1" applyBorder="1" applyAlignment="1">
      <alignment vertical="center" wrapText="1"/>
    </xf>
    <xf numFmtId="164" fontId="30" fillId="0" borderId="13" xfId="0" applyNumberFormat="1" applyFont="1" applyBorder="1" applyAlignment="1">
      <alignment horizontal="center" vertical="center"/>
    </xf>
    <xf numFmtId="164" fontId="30" fillId="0" borderId="17" xfId="0" applyNumberFormat="1" applyFont="1" applyBorder="1" applyAlignment="1">
      <alignment horizontal="center" vertical="center"/>
    </xf>
    <xf numFmtId="0" fontId="37" fillId="6" borderId="36" xfId="0" applyFont="1" applyFill="1" applyBorder="1" applyAlignment="1">
      <alignment vertical="center"/>
    </xf>
    <xf numFmtId="0" fontId="37" fillId="6" borderId="18" xfId="0" applyFont="1" applyFill="1" applyBorder="1" applyAlignment="1">
      <alignment vertical="center" wrapText="1"/>
    </xf>
    <xf numFmtId="0" fontId="37" fillId="6" borderId="18" xfId="0" applyFont="1" applyFill="1" applyBorder="1" applyAlignment="1">
      <alignment horizontal="center" vertical="center" wrapText="1"/>
    </xf>
    <xf numFmtId="0" fontId="27" fillId="0" borderId="13" xfId="0" applyFont="1" applyBorder="1"/>
    <xf numFmtId="0" fontId="27" fillId="0" borderId="11" xfId="0" applyFont="1" applyBorder="1"/>
    <xf numFmtId="0" fontId="27" fillId="0" borderId="14" xfId="0" applyFont="1" applyBorder="1"/>
    <xf numFmtId="0" fontId="30" fillId="0" borderId="12" xfId="0" applyFont="1" applyBorder="1" applyAlignment="1">
      <alignment horizontal="center" vertical="center"/>
    </xf>
    <xf numFmtId="0" fontId="30" fillId="0" borderId="13" xfId="0" applyFont="1" applyBorder="1" applyAlignment="1">
      <alignment horizontal="center" vertical="center" wrapText="1"/>
    </xf>
    <xf numFmtId="0" fontId="27" fillId="0" borderId="17" xfId="0" applyFont="1" applyBorder="1"/>
    <xf numFmtId="0" fontId="27" fillId="0" borderId="38" xfId="0" applyFont="1" applyBorder="1"/>
    <xf numFmtId="0" fontId="29" fillId="6" borderId="36" xfId="0" applyFont="1" applyFill="1" applyBorder="1" applyAlignment="1">
      <alignment horizontal="center" vertical="center"/>
    </xf>
    <xf numFmtId="0" fontId="29" fillId="6" borderId="18" xfId="0" applyFont="1" applyFill="1" applyBorder="1" applyAlignment="1">
      <alignment horizontal="center" vertical="center"/>
    </xf>
    <xf numFmtId="0" fontId="29" fillId="6" borderId="18" xfId="0" applyFont="1" applyFill="1" applyBorder="1" applyAlignment="1">
      <alignment horizontal="center" vertical="center" wrapText="1"/>
    </xf>
    <xf numFmtId="0" fontId="29" fillId="6" borderId="37" xfId="0" applyFont="1" applyFill="1" applyBorder="1" applyAlignment="1">
      <alignment horizontal="center" vertical="center" wrapText="1"/>
    </xf>
    <xf numFmtId="0" fontId="37" fillId="0" borderId="38" xfId="0" applyFont="1" applyBorder="1"/>
    <xf numFmtId="0" fontId="30" fillId="0" borderId="14" xfId="0" applyFont="1" applyBorder="1"/>
    <xf numFmtId="0" fontId="37" fillId="0" borderId="11" xfId="0" applyFont="1" applyBorder="1"/>
    <xf numFmtId="0" fontId="37" fillId="0" borderId="14" xfId="0" applyFont="1" applyBorder="1"/>
    <xf numFmtId="0" fontId="37" fillId="6" borderId="37" xfId="0" applyFont="1" applyFill="1" applyBorder="1"/>
    <xf numFmtId="0" fontId="37" fillId="10" borderId="36" xfId="0" applyFont="1" applyFill="1" applyBorder="1" applyAlignment="1">
      <alignment vertical="center"/>
    </xf>
    <xf numFmtId="0" fontId="37" fillId="10" borderId="18" xfId="0" applyFont="1" applyFill="1" applyBorder="1" applyAlignment="1">
      <alignment vertical="center" wrapText="1"/>
    </xf>
    <xf numFmtId="0" fontId="37" fillId="10" borderId="18" xfId="0" applyFont="1" applyFill="1" applyBorder="1" applyAlignment="1">
      <alignment horizontal="center" vertical="center" wrapText="1"/>
    </xf>
    <xf numFmtId="0" fontId="37" fillId="10" borderId="37" xfId="0" applyFont="1" applyFill="1" applyBorder="1"/>
    <xf numFmtId="0" fontId="13" fillId="0" borderId="43" xfId="0" applyFont="1" applyBorder="1" applyAlignment="1">
      <alignment horizontal="center" vertical="center"/>
    </xf>
    <xf numFmtId="0" fontId="38" fillId="10" borderId="36" xfId="0" applyFont="1" applyFill="1" applyBorder="1" applyAlignment="1">
      <alignment horizontal="center" vertical="center" wrapText="1"/>
    </xf>
    <xf numFmtId="0" fontId="38" fillId="10" borderId="18" xfId="0" applyFont="1" applyFill="1" applyBorder="1" applyAlignment="1">
      <alignment horizontal="center" vertical="center" wrapText="1"/>
    </xf>
    <xf numFmtId="0" fontId="33" fillId="10" borderId="18" xfId="0" applyFont="1" applyFill="1" applyBorder="1" applyAlignment="1">
      <alignment horizontal="center" vertical="center" wrapText="1"/>
    </xf>
    <xf numFmtId="0" fontId="40" fillId="10" borderId="18" xfId="0" applyFont="1" applyFill="1" applyBorder="1" applyAlignment="1">
      <alignment horizontal="center" vertical="center" wrapText="1"/>
    </xf>
    <xf numFmtId="0" fontId="38" fillId="10" borderId="37" xfId="0" applyFont="1" applyFill="1" applyBorder="1" applyAlignment="1">
      <alignment horizontal="center" vertical="center"/>
    </xf>
    <xf numFmtId="0" fontId="24" fillId="0" borderId="0" xfId="5"/>
    <xf numFmtId="0" fontId="7" fillId="0" borderId="0" xfId="6"/>
    <xf numFmtId="0" fontId="37" fillId="10" borderId="4" xfId="6" applyFont="1" applyFill="1" applyBorder="1"/>
    <xf numFmtId="0" fontId="37" fillId="10" borderId="36" xfId="6" applyFont="1" applyFill="1" applyBorder="1" applyAlignment="1">
      <alignment horizontal="center"/>
    </xf>
    <xf numFmtId="0" fontId="37" fillId="10" borderId="18" xfId="6" applyFont="1" applyFill="1" applyBorder="1" applyAlignment="1">
      <alignment horizontal="center" vertical="top" wrapText="1"/>
    </xf>
    <xf numFmtId="0" fontId="37" fillId="10" borderId="18" xfId="6" applyFont="1" applyFill="1" applyBorder="1" applyAlignment="1">
      <alignment horizontal="center" vertical="center" wrapText="1"/>
    </xf>
    <xf numFmtId="0" fontId="37" fillId="10" borderId="37" xfId="6" applyFont="1" applyFill="1" applyBorder="1" applyAlignment="1">
      <alignment horizontal="center" vertical="top" wrapText="1"/>
    </xf>
    <xf numFmtId="0" fontId="27" fillId="0" borderId="39" xfId="5" applyFont="1" applyBorder="1"/>
    <xf numFmtId="0" fontId="27" fillId="0" borderId="17" xfId="5" applyFont="1" applyBorder="1"/>
    <xf numFmtId="0" fontId="27" fillId="0" borderId="38" xfId="5" applyFont="1" applyBorder="1"/>
    <xf numFmtId="0" fontId="43" fillId="6" borderId="4" xfId="0" applyFont="1" applyFill="1" applyBorder="1" applyAlignment="1">
      <alignment horizontal="center" vertical="center" wrapText="1"/>
    </xf>
    <xf numFmtId="0" fontId="51" fillId="10" borderId="36" xfId="0" applyFont="1" applyFill="1" applyBorder="1" applyAlignment="1">
      <alignment horizontal="center" vertical="center" wrapText="1"/>
    </xf>
    <xf numFmtId="0" fontId="51" fillId="10" borderId="18" xfId="0" applyFont="1" applyFill="1" applyBorder="1" applyAlignment="1">
      <alignment horizontal="center" vertical="center" wrapText="1"/>
    </xf>
    <xf numFmtId="0" fontId="37" fillId="10" borderId="18" xfId="0" applyFont="1" applyFill="1" applyBorder="1" applyAlignment="1">
      <alignment horizontal="center" vertical="center"/>
    </xf>
    <xf numFmtId="0" fontId="51" fillId="10" borderId="37" xfId="0" applyFont="1" applyFill="1" applyBorder="1" applyAlignment="1">
      <alignment horizontal="center" vertical="center" wrapText="1"/>
    </xf>
    <xf numFmtId="0" fontId="27" fillId="0" borderId="0" xfId="0" applyFont="1"/>
    <xf numFmtId="0" fontId="32" fillId="0" borderId="17" xfId="2" applyFont="1" applyBorder="1" applyAlignment="1">
      <alignment horizontal="left" vertical="center" wrapText="1"/>
    </xf>
    <xf numFmtId="0" fontId="32" fillId="0" borderId="6" xfId="2" applyFont="1" applyBorder="1" applyAlignment="1">
      <alignment horizontal="left" vertical="center" wrapText="1"/>
    </xf>
    <xf numFmtId="0" fontId="21" fillId="0" borderId="0" xfId="0" applyFont="1"/>
    <xf numFmtId="0" fontId="0" fillId="0" borderId="0" xfId="0" quotePrefix="1" applyAlignment="1">
      <alignment horizontal="right"/>
    </xf>
    <xf numFmtId="0" fontId="22" fillId="0" borderId="0" xfId="0" quotePrefix="1" applyFont="1"/>
    <xf numFmtId="0" fontId="0" fillId="12" borderId="7" xfId="0" applyFill="1" applyBorder="1"/>
    <xf numFmtId="0" fontId="0" fillId="12" borderId="8" xfId="0" applyFill="1" applyBorder="1"/>
    <xf numFmtId="2" fontId="0" fillId="12" borderId="9" xfId="0" applyNumberFormat="1" applyFill="1" applyBorder="1"/>
    <xf numFmtId="0" fontId="0" fillId="0" borderId="17" xfId="0" applyBorder="1"/>
    <xf numFmtId="0" fontId="15" fillId="0" borderId="0" xfId="0" applyFont="1"/>
    <xf numFmtId="0" fontId="19" fillId="0" borderId="0" xfId="0" applyFont="1"/>
    <xf numFmtId="0" fontId="29" fillId="6" borderId="47" xfId="0" applyFont="1" applyFill="1" applyBorder="1" applyAlignment="1">
      <alignment horizontal="center" vertical="center"/>
    </xf>
    <xf numFmtId="0" fontId="29" fillId="6" borderId="48" xfId="0" applyFont="1" applyFill="1" applyBorder="1" applyAlignment="1">
      <alignment horizontal="center" vertical="center"/>
    </xf>
    <xf numFmtId="0" fontId="29" fillId="6" borderId="48" xfId="0" applyFont="1" applyFill="1" applyBorder="1" applyAlignment="1">
      <alignment horizontal="center" vertical="center" wrapText="1"/>
    </xf>
    <xf numFmtId="0" fontId="29" fillId="6" borderId="49" xfId="0" applyFont="1" applyFill="1" applyBorder="1" applyAlignment="1">
      <alignment horizontal="center" vertical="center" wrapText="1"/>
    </xf>
    <xf numFmtId="0" fontId="30" fillId="0" borderId="39" xfId="0" applyFont="1" applyBorder="1" applyAlignment="1">
      <alignment vertical="center"/>
    </xf>
    <xf numFmtId="0" fontId="30" fillId="0" borderId="17" xfId="0" applyFont="1" applyBorder="1" applyAlignment="1">
      <alignment wrapText="1"/>
    </xf>
    <xf numFmtId="0" fontId="30" fillId="0" borderId="38" xfId="0" applyFont="1" applyBorder="1"/>
    <xf numFmtId="0" fontId="30" fillId="0" borderId="10" xfId="0" applyFont="1" applyBorder="1" applyAlignment="1">
      <alignment vertical="center"/>
    </xf>
    <xf numFmtId="0" fontId="30" fillId="0" borderId="6" xfId="0" applyFont="1" applyBorder="1" applyAlignment="1">
      <alignment wrapText="1"/>
    </xf>
    <xf numFmtId="0" fontId="30" fillId="0" borderId="11" xfId="0" applyFont="1" applyBorder="1"/>
    <xf numFmtId="0" fontId="30" fillId="0" borderId="10" xfId="18" applyFont="1" applyBorder="1" applyAlignment="1">
      <alignment vertical="center"/>
    </xf>
    <xf numFmtId="0" fontId="30" fillId="0" borderId="6" xfId="18" applyFont="1" applyBorder="1"/>
    <xf numFmtId="0" fontId="30" fillId="0" borderId="11" xfId="18" applyFont="1" applyBorder="1"/>
    <xf numFmtId="0" fontId="30" fillId="0" borderId="12" xfId="0" applyFont="1" applyBorder="1" applyAlignment="1">
      <alignment vertical="center"/>
    </xf>
    <xf numFmtId="0" fontId="30" fillId="0" borderId="13" xfId="0" applyFont="1" applyBorder="1" applyAlignment="1">
      <alignment wrapText="1"/>
    </xf>
    <xf numFmtId="0" fontId="29" fillId="6" borderId="4" xfId="0" applyFont="1" applyFill="1" applyBorder="1" applyAlignment="1">
      <alignment horizontal="center" vertical="top" wrapText="1"/>
    </xf>
    <xf numFmtId="0" fontId="10" fillId="0" borderId="0" xfId="0" applyFont="1" applyAlignment="1">
      <alignment horizontal="left" vertical="center" wrapText="1"/>
    </xf>
    <xf numFmtId="0" fontId="16" fillId="11" borderId="0" xfId="0" applyFont="1" applyFill="1" applyAlignment="1">
      <alignment horizontal="left" vertical="center"/>
    </xf>
    <xf numFmtId="0" fontId="30" fillId="0" borderId="0" xfId="0" applyFont="1" applyAlignment="1">
      <alignment horizontal="left"/>
    </xf>
    <xf numFmtId="0" fontId="30" fillId="0" borderId="0" xfId="0" applyFont="1" applyAlignment="1">
      <alignment horizontal="center"/>
    </xf>
    <xf numFmtId="0" fontId="30" fillId="0" borderId="0" xfId="0" quotePrefix="1" applyFont="1" applyAlignment="1">
      <alignment horizontal="center"/>
    </xf>
    <xf numFmtId="11" fontId="30" fillId="0" borderId="0" xfId="0" applyNumberFormat="1" applyFont="1" applyAlignment="1">
      <alignment horizontal="center"/>
    </xf>
    <xf numFmtId="0" fontId="27" fillId="0" borderId="0" xfId="17" applyFont="1"/>
    <xf numFmtId="0" fontId="37" fillId="10" borderId="47" xfId="6" applyFont="1" applyFill="1" applyBorder="1" applyAlignment="1">
      <alignment horizontal="center"/>
    </xf>
    <xf numFmtId="0" fontId="37" fillId="10" borderId="48" xfId="6" applyFont="1" applyFill="1" applyBorder="1" applyAlignment="1">
      <alignment horizontal="center" vertical="top" wrapText="1"/>
    </xf>
    <xf numFmtId="0" fontId="37" fillId="10" borderId="48" xfId="6" applyFont="1" applyFill="1" applyBorder="1" applyAlignment="1">
      <alignment horizontal="center" vertical="center" wrapText="1"/>
    </xf>
    <xf numFmtId="0" fontId="37" fillId="10" borderId="49" xfId="6" applyFont="1" applyFill="1" applyBorder="1" applyAlignment="1">
      <alignment horizontal="center" vertical="top" wrapText="1"/>
    </xf>
    <xf numFmtId="0" fontId="27" fillId="0" borderId="40" xfId="5" applyFont="1" applyBorder="1"/>
    <xf numFmtId="0" fontId="27" fillId="0" borderId="41" xfId="5" applyFont="1" applyBorder="1"/>
    <xf numFmtId="0" fontId="27" fillId="0" borderId="41" xfId="5" applyFont="1" applyBorder="1" applyAlignment="1">
      <alignment horizontal="center"/>
    </xf>
    <xf numFmtId="0" fontId="27" fillId="0" borderId="42" xfId="5" applyFont="1" applyBorder="1"/>
    <xf numFmtId="0" fontId="3" fillId="0" borderId="0" xfId="6" applyFont="1"/>
    <xf numFmtId="0" fontId="27" fillId="0" borderId="10" xfId="5" applyFont="1" applyBorder="1"/>
    <xf numFmtId="0" fontId="27" fillId="0" borderId="6" xfId="5" applyFont="1" applyBorder="1"/>
    <xf numFmtId="0" fontId="27" fillId="0" borderId="11" xfId="5" applyFont="1" applyBorder="1"/>
    <xf numFmtId="0" fontId="27" fillId="0" borderId="12" xfId="5" applyFont="1" applyBorder="1"/>
    <xf numFmtId="0" fontId="27" fillId="0" borderId="13" xfId="5" applyFont="1" applyBorder="1"/>
    <xf numFmtId="0" fontId="27" fillId="0" borderId="14" xfId="5" applyFont="1" applyBorder="1"/>
    <xf numFmtId="0" fontId="36" fillId="13" borderId="7" xfId="0" applyFont="1" applyFill="1" applyBorder="1" applyAlignment="1">
      <alignment horizontal="center" vertical="center" wrapText="1"/>
    </xf>
    <xf numFmtId="0" fontId="31" fillId="13" borderId="8" xfId="0" applyFont="1" applyFill="1" applyBorder="1" applyAlignment="1">
      <alignment horizontal="center" vertical="center" wrapText="1"/>
    </xf>
    <xf numFmtId="164" fontId="32" fillId="13" borderId="8" xfId="0" applyNumberFormat="1" applyFont="1" applyFill="1" applyBorder="1" applyAlignment="1">
      <alignment horizontal="center" vertical="center" wrapText="1"/>
    </xf>
    <xf numFmtId="0" fontId="36" fillId="13" borderId="10" xfId="0" applyFont="1" applyFill="1" applyBorder="1" applyAlignment="1">
      <alignment horizontal="center" vertical="center" wrapText="1"/>
    </xf>
    <xf numFmtId="0" fontId="31" fillId="13" borderId="6" xfId="0" applyFont="1" applyFill="1" applyBorder="1" applyAlignment="1">
      <alignment horizontal="center" vertical="center" wrapText="1"/>
    </xf>
    <xf numFmtId="0" fontId="32" fillId="13" borderId="6" xfId="0" applyFont="1" applyFill="1" applyBorder="1" applyAlignment="1">
      <alignment horizontal="center" vertical="center" wrapText="1"/>
    </xf>
    <xf numFmtId="164" fontId="36" fillId="13" borderId="10" xfId="0" applyNumberFormat="1" applyFont="1" applyFill="1" applyBorder="1" applyAlignment="1">
      <alignment horizontal="center" vertical="center" wrapText="1"/>
    </xf>
    <xf numFmtId="164" fontId="32" fillId="13" borderId="6" xfId="0" applyNumberFormat="1" applyFont="1" applyFill="1" applyBorder="1" applyAlignment="1">
      <alignment horizontal="center" vertical="center" wrapText="1"/>
    </xf>
    <xf numFmtId="0" fontId="36" fillId="13" borderId="12" xfId="0" applyFont="1" applyFill="1" applyBorder="1" applyAlignment="1">
      <alignment horizontal="center" vertical="center" wrapText="1"/>
    </xf>
    <xf numFmtId="0" fontId="31" fillId="13" borderId="13" xfId="0" applyFont="1" applyFill="1" applyBorder="1" applyAlignment="1">
      <alignment horizontal="center" vertical="center" wrapText="1"/>
    </xf>
    <xf numFmtId="0" fontId="32" fillId="13" borderId="13" xfId="0" applyFont="1" applyFill="1" applyBorder="1" applyAlignment="1">
      <alignment horizontal="center" vertical="center" wrapText="1"/>
    </xf>
    <xf numFmtId="0" fontId="37" fillId="10" borderId="47" xfId="0" applyFont="1" applyFill="1" applyBorder="1" applyAlignment="1">
      <alignment vertical="center"/>
    </xf>
    <xf numFmtId="0" fontId="37" fillId="10" borderId="48" xfId="0" applyFont="1" applyFill="1" applyBorder="1" applyAlignment="1">
      <alignment vertical="center" wrapText="1"/>
    </xf>
    <xf numFmtId="0" fontId="37" fillId="10" borderId="48" xfId="0" applyFont="1" applyFill="1" applyBorder="1" applyAlignment="1">
      <alignment horizontal="center" vertical="center" wrapText="1"/>
    </xf>
    <xf numFmtId="0" fontId="37" fillId="10" borderId="49" xfId="0" applyFont="1" applyFill="1" applyBorder="1"/>
    <xf numFmtId="0" fontId="27" fillId="0" borderId="13" xfId="0" applyFont="1" applyBorder="1" applyAlignment="1">
      <alignment horizontal="left" vertical="center"/>
    </xf>
    <xf numFmtId="0" fontId="37" fillId="10" borderId="49" xfId="0" applyFont="1" applyFill="1" applyBorder="1" applyAlignment="1">
      <alignment horizontal="left" vertical="center"/>
    </xf>
    <xf numFmtId="0" fontId="27" fillId="0" borderId="17" xfId="0" applyFont="1" applyBorder="1" applyAlignment="1">
      <alignment horizontal="left" vertical="center"/>
    </xf>
    <xf numFmtId="0" fontId="30" fillId="0" borderId="17" xfId="0" applyFont="1" applyBorder="1" applyAlignment="1">
      <alignment horizontal="center"/>
    </xf>
    <xf numFmtId="0" fontId="44" fillId="5" borderId="0" xfId="0" applyFont="1" applyFill="1" applyAlignment="1">
      <alignment horizontal="center"/>
    </xf>
    <xf numFmtId="0" fontId="30" fillId="0" borderId="6" xfId="0" applyFont="1" applyBorder="1" applyAlignment="1">
      <alignment horizontal="center"/>
    </xf>
    <xf numFmtId="0" fontId="30" fillId="0" borderId="13" xfId="0" applyFont="1" applyBorder="1" applyAlignment="1">
      <alignment horizontal="center"/>
    </xf>
    <xf numFmtId="0" fontId="44" fillId="0" borderId="0" xfId="0" applyFont="1" applyAlignment="1">
      <alignment horizontal="center"/>
    </xf>
    <xf numFmtId="0" fontId="30" fillId="0" borderId="6" xfId="0" applyFont="1" applyBorder="1" applyAlignment="1">
      <alignment horizontal="center" vertical="center" wrapText="1"/>
    </xf>
    <xf numFmtId="166" fontId="30" fillId="0" borderId="6" xfId="0" applyNumberFormat="1" applyFont="1" applyBorder="1" applyAlignment="1">
      <alignment horizontal="center" vertical="center"/>
    </xf>
    <xf numFmtId="166" fontId="30" fillId="0" borderId="13" xfId="0" applyNumberFormat="1" applyFont="1" applyBorder="1" applyAlignment="1">
      <alignment horizontal="center" vertical="center"/>
    </xf>
    <xf numFmtId="0" fontId="43" fillId="0" borderId="0" xfId="0" applyFont="1" applyAlignment="1">
      <alignment horizontal="center" vertical="center"/>
    </xf>
    <xf numFmtId="0" fontId="0" fillId="0" borderId="0" xfId="0" applyAlignment="1">
      <alignment horizontal="left"/>
    </xf>
    <xf numFmtId="0" fontId="37" fillId="10" borderId="51" xfId="0" applyFont="1" applyFill="1" applyBorder="1" applyAlignment="1">
      <alignment horizontal="left" vertical="center"/>
    </xf>
    <xf numFmtId="0" fontId="37" fillId="10" borderId="52" xfId="0" applyFont="1" applyFill="1" applyBorder="1" applyAlignment="1">
      <alignment horizontal="left" vertical="center"/>
    </xf>
    <xf numFmtId="0" fontId="0" fillId="5" borderId="0" xfId="0" applyFill="1" applyAlignment="1">
      <alignment vertical="top"/>
    </xf>
    <xf numFmtId="0" fontId="0" fillId="0" borderId="0" xfId="0" applyAlignment="1">
      <alignment vertical="center"/>
    </xf>
    <xf numFmtId="0" fontId="10" fillId="6" borderId="34" xfId="0" applyFont="1" applyFill="1" applyBorder="1" applyAlignment="1">
      <alignment vertical="center" wrapText="1"/>
    </xf>
    <xf numFmtId="0" fontId="37" fillId="10" borderId="50" xfId="0" applyFont="1" applyFill="1" applyBorder="1" applyAlignment="1">
      <alignment vertical="center"/>
    </xf>
    <xf numFmtId="0" fontId="37" fillId="10" borderId="51" xfId="0" applyFont="1" applyFill="1" applyBorder="1" applyAlignment="1">
      <alignment vertical="center"/>
    </xf>
    <xf numFmtId="0" fontId="27" fillId="0" borderId="39" xfId="0" applyFont="1" applyBorder="1"/>
    <xf numFmtId="0" fontId="27" fillId="0" borderId="17" xfId="0" quotePrefix="1" applyFont="1" applyBorder="1"/>
    <xf numFmtId="0" fontId="27" fillId="0" borderId="10" xfId="0" applyFont="1" applyBorder="1"/>
    <xf numFmtId="0" fontId="27" fillId="0" borderId="6" xfId="0" quotePrefix="1" applyFont="1" applyBorder="1"/>
    <xf numFmtId="0" fontId="27" fillId="0" borderId="12" xfId="0" applyFont="1" applyBorder="1"/>
    <xf numFmtId="0" fontId="27" fillId="0" borderId="13" xfId="0" quotePrefix="1" applyFont="1" applyBorder="1"/>
    <xf numFmtId="0" fontId="27" fillId="0" borderId="0" xfId="0" quotePrefix="1" applyFont="1"/>
    <xf numFmtId="0" fontId="37" fillId="10" borderId="48" xfId="0" applyFont="1" applyFill="1" applyBorder="1" applyAlignment="1">
      <alignment vertical="center"/>
    </xf>
    <xf numFmtId="0" fontId="0" fillId="0" borderId="0" xfId="0" quotePrefix="1"/>
    <xf numFmtId="165" fontId="44" fillId="0" borderId="0" xfId="0" applyNumberFormat="1" applyFont="1" applyAlignment="1">
      <alignment horizontal="center" vertical="center" wrapText="1"/>
    </xf>
    <xf numFmtId="0" fontId="37" fillId="10" borderId="54" xfId="0" applyFont="1" applyFill="1" applyBorder="1" applyAlignment="1">
      <alignment horizontal="center" vertical="center"/>
    </xf>
    <xf numFmtId="0" fontId="37" fillId="10" borderId="54" xfId="0" applyFont="1" applyFill="1" applyBorder="1" applyAlignment="1">
      <alignment horizontal="center"/>
    </xf>
    <xf numFmtId="0" fontId="30" fillId="10" borderId="54" xfId="0" applyFont="1" applyFill="1" applyBorder="1" applyAlignment="1">
      <alignment horizontal="left" vertical="center" wrapText="1"/>
    </xf>
    <xf numFmtId="165" fontId="30" fillId="10" borderId="54" xfId="0" applyNumberFormat="1" applyFont="1" applyFill="1" applyBorder="1" applyAlignment="1">
      <alignment horizontal="center" vertical="center" wrapText="1"/>
    </xf>
    <xf numFmtId="0" fontId="30" fillId="10" borderId="54" xfId="0" applyFont="1" applyFill="1" applyBorder="1" applyAlignment="1">
      <alignment horizontal="center" vertical="center" wrapText="1"/>
    </xf>
    <xf numFmtId="0" fontId="37" fillId="0" borderId="0" xfId="0" applyFont="1" applyAlignment="1">
      <alignment horizontal="center" vertical="center"/>
    </xf>
    <xf numFmtId="0" fontId="37" fillId="0" borderId="0" xfId="0" applyFont="1" applyAlignment="1">
      <alignment horizontal="center"/>
    </xf>
    <xf numFmtId="0" fontId="30" fillId="0" borderId="0" xfId="0" applyFont="1" applyAlignment="1">
      <alignment horizontal="left" vertical="center" wrapText="1"/>
    </xf>
    <xf numFmtId="165" fontId="30" fillId="0" borderId="0" xfId="0" applyNumberFormat="1" applyFont="1" applyAlignment="1">
      <alignment horizontal="center" vertical="center" wrapText="1"/>
    </xf>
    <xf numFmtId="0" fontId="30" fillId="0" borderId="0" xfId="0" applyFont="1" applyAlignment="1">
      <alignment horizontal="center" vertical="center" wrapText="1"/>
    </xf>
    <xf numFmtId="0" fontId="30" fillId="0" borderId="13" xfId="0" applyFont="1" applyBorder="1" applyAlignment="1">
      <alignment horizontal="left" vertical="center" wrapText="1"/>
    </xf>
    <xf numFmtId="0" fontId="30" fillId="0" borderId="10" xfId="0" applyFont="1" applyBorder="1" applyAlignment="1">
      <alignment horizontal="center" vertical="center" wrapText="1"/>
    </xf>
    <xf numFmtId="0" fontId="30" fillId="0" borderId="6" xfId="0" applyFont="1" applyBorder="1" applyAlignment="1">
      <alignment horizontal="left" vertical="center" wrapText="1"/>
    </xf>
    <xf numFmtId="2" fontId="30" fillId="0" borderId="6" xfId="0" applyNumberFormat="1" applyFont="1" applyBorder="1" applyAlignment="1">
      <alignment horizontal="center" vertical="center" wrapText="1"/>
    </xf>
    <xf numFmtId="0" fontId="40" fillId="10" borderId="44" xfId="0" applyFont="1" applyFill="1" applyBorder="1" applyAlignment="1">
      <alignment horizontal="center" vertical="center" wrapText="1"/>
    </xf>
    <xf numFmtId="0" fontId="16" fillId="0" borderId="0" xfId="0" applyFont="1" applyAlignment="1">
      <alignment vertical="center"/>
    </xf>
    <xf numFmtId="0" fontId="14" fillId="5" borderId="0" xfId="0" applyFont="1" applyFill="1" applyAlignment="1">
      <alignment horizontal="left" vertical="center"/>
    </xf>
    <xf numFmtId="0" fontId="13" fillId="5" borderId="0" xfId="0" applyFont="1" applyFill="1" applyAlignment="1">
      <alignment horizontal="left" vertical="center"/>
    </xf>
    <xf numFmtId="0" fontId="0" fillId="5" borderId="0" xfId="0" applyFill="1" applyAlignment="1">
      <alignment horizontal="left"/>
    </xf>
    <xf numFmtId="0" fontId="10" fillId="6" borderId="4" xfId="0" applyFont="1" applyFill="1" applyBorder="1" applyAlignment="1">
      <alignment horizontal="left" vertical="center"/>
    </xf>
    <xf numFmtId="0" fontId="14" fillId="0" borderId="0" xfId="0" applyFont="1" applyAlignment="1">
      <alignment horizontal="left" vertical="center"/>
    </xf>
    <xf numFmtId="0" fontId="51" fillId="10" borderId="36" xfId="0" applyFont="1" applyFill="1" applyBorder="1" applyAlignment="1">
      <alignment horizontal="left" vertical="center" wrapText="1"/>
    </xf>
    <xf numFmtId="0" fontId="51" fillId="10" borderId="18" xfId="0" applyFont="1" applyFill="1" applyBorder="1" applyAlignment="1">
      <alignment horizontal="left" vertical="center" wrapText="1"/>
    </xf>
    <xf numFmtId="0" fontId="51" fillId="10" borderId="18" xfId="0" applyFont="1" applyFill="1" applyBorder="1" applyAlignment="1">
      <alignment horizontal="left" vertical="center"/>
    </xf>
    <xf numFmtId="0" fontId="37" fillId="6" borderId="53" xfId="0" applyFont="1" applyFill="1" applyBorder="1" applyAlignment="1">
      <alignment horizontal="left" vertical="center" wrapText="1"/>
    </xf>
    <xf numFmtId="0" fontId="51" fillId="10" borderId="44" xfId="0" applyFont="1" applyFill="1" applyBorder="1" applyAlignment="1">
      <alignment horizontal="left" vertical="center" wrapText="1"/>
    </xf>
    <xf numFmtId="0" fontId="51" fillId="10" borderId="37" xfId="0" applyFont="1" applyFill="1" applyBorder="1" applyAlignment="1">
      <alignment horizontal="left" vertical="center" wrapText="1"/>
    </xf>
    <xf numFmtId="0" fontId="47" fillId="0" borderId="39" xfId="0" applyFont="1" applyBorder="1" applyAlignment="1">
      <alignment horizontal="left" vertical="center" wrapText="1"/>
    </xf>
    <xf numFmtId="0" fontId="30" fillId="0" borderId="17" xfId="0" quotePrefix="1" applyFont="1" applyBorder="1" applyAlignment="1">
      <alignment horizontal="left" vertical="center"/>
    </xf>
    <xf numFmtId="0" fontId="30" fillId="0" borderId="17" xfId="0" applyFont="1" applyBorder="1" applyAlignment="1">
      <alignment horizontal="left" vertical="center" wrapText="1"/>
    </xf>
    <xf numFmtId="0" fontId="30" fillId="0" borderId="45" xfId="0" applyFont="1" applyBorder="1" applyAlignment="1">
      <alignment horizontal="left" vertical="center" wrapText="1"/>
    </xf>
    <xf numFmtId="0" fontId="30" fillId="0" borderId="38" xfId="0" applyFont="1" applyBorder="1" applyAlignment="1">
      <alignment horizontal="left" vertical="center" wrapText="1"/>
    </xf>
    <xf numFmtId="0" fontId="47" fillId="0" borderId="10" xfId="0" applyFont="1" applyBorder="1" applyAlignment="1">
      <alignment horizontal="left" vertical="center" wrapText="1"/>
    </xf>
    <xf numFmtId="0" fontId="27" fillId="0" borderId="6" xfId="0" applyFont="1" applyBorder="1" applyAlignment="1">
      <alignment horizontal="left" vertical="center"/>
    </xf>
    <xf numFmtId="0" fontId="30" fillId="0" borderId="16" xfId="0" applyFont="1" applyBorder="1" applyAlignment="1">
      <alignment horizontal="left" vertical="center" wrapText="1"/>
    </xf>
    <xf numFmtId="0" fontId="30" fillId="0" borderId="11" xfId="0" applyFont="1" applyBorder="1" applyAlignment="1">
      <alignment horizontal="left" vertical="center" wrapText="1"/>
    </xf>
    <xf numFmtId="0" fontId="47" fillId="0" borderId="12" xfId="0" applyFont="1" applyBorder="1" applyAlignment="1">
      <alignment horizontal="left" vertical="center" wrapText="1"/>
    </xf>
    <xf numFmtId="0" fontId="30" fillId="0" borderId="46" xfId="0" applyFont="1" applyBorder="1" applyAlignment="1">
      <alignment horizontal="left" vertical="center" wrapText="1"/>
    </xf>
    <xf numFmtId="0" fontId="30" fillId="0" borderId="14" xfId="0" applyFont="1" applyBorder="1" applyAlignment="1">
      <alignment horizontal="left" vertical="center" wrapText="1"/>
    </xf>
    <xf numFmtId="0" fontId="32" fillId="0" borderId="13" xfId="2" applyFont="1" applyBorder="1" applyAlignment="1">
      <alignment horizontal="left" vertical="center" wrapText="1"/>
    </xf>
    <xf numFmtId="0" fontId="32" fillId="0" borderId="14" xfId="2" applyFont="1" applyBorder="1" applyAlignment="1">
      <alignment horizontal="center" vertical="center" wrapText="1"/>
    </xf>
    <xf numFmtId="0" fontId="2" fillId="0" borderId="0" xfId="22" applyAlignment="1">
      <alignment horizontal="left" vertical="center"/>
    </xf>
    <xf numFmtId="0" fontId="60" fillId="14" borderId="55" xfId="22" applyFont="1" applyFill="1" applyBorder="1" applyAlignment="1">
      <alignment horizontal="left" vertical="center"/>
    </xf>
    <xf numFmtId="0" fontId="60" fillId="14" borderId="56" xfId="22" applyFont="1" applyFill="1" applyBorder="1" applyAlignment="1">
      <alignment horizontal="left" vertical="center"/>
    </xf>
    <xf numFmtId="0" fontId="60" fillId="14" borderId="57" xfId="22" applyFont="1" applyFill="1" applyBorder="1" applyAlignment="1">
      <alignment horizontal="left" vertical="center"/>
    </xf>
    <xf numFmtId="0" fontId="60" fillId="14" borderId="58" xfId="22" applyFont="1" applyFill="1" applyBorder="1" applyAlignment="1">
      <alignment horizontal="left" vertical="center"/>
    </xf>
    <xf numFmtId="0" fontId="60" fillId="14" borderId="59" xfId="22" applyFont="1" applyFill="1" applyBorder="1" applyAlignment="1">
      <alignment horizontal="left" vertical="center"/>
    </xf>
    <xf numFmtId="0" fontId="27" fillId="0" borderId="60" xfId="0" applyFont="1" applyBorder="1" applyAlignment="1">
      <alignment horizontal="left" vertical="center"/>
    </xf>
    <xf numFmtId="0" fontId="30" fillId="0" borderId="60" xfId="0" applyFont="1" applyBorder="1" applyAlignment="1">
      <alignment horizontal="left" vertical="center"/>
    </xf>
    <xf numFmtId="0" fontId="30" fillId="0" borderId="60" xfId="0" applyFont="1" applyBorder="1" applyAlignment="1">
      <alignment horizontal="left"/>
    </xf>
    <xf numFmtId="0" fontId="30" fillId="0" borderId="60" xfId="0" applyFont="1" applyBorder="1" applyAlignment="1">
      <alignment horizontal="center" vertical="center"/>
    </xf>
    <xf numFmtId="0" fontId="60" fillId="15" borderId="55" xfId="22" applyFont="1" applyFill="1" applyBorder="1" applyAlignment="1">
      <alignment horizontal="left" vertical="center"/>
    </xf>
    <xf numFmtId="0" fontId="60" fillId="15" borderId="56" xfId="22" applyFont="1" applyFill="1" applyBorder="1" applyAlignment="1">
      <alignment horizontal="left" vertical="center"/>
    </xf>
    <xf numFmtId="0" fontId="60" fillId="15" borderId="57" xfId="22" applyFont="1" applyFill="1" applyBorder="1" applyAlignment="1">
      <alignment horizontal="left" vertical="center"/>
    </xf>
    <xf numFmtId="0" fontId="60" fillId="15" borderId="58" xfId="22" applyFont="1" applyFill="1" applyBorder="1" applyAlignment="1">
      <alignment horizontal="left" vertical="center"/>
    </xf>
    <xf numFmtId="0" fontId="60" fillId="15" borderId="59" xfId="22" applyFont="1" applyFill="1" applyBorder="1" applyAlignment="1">
      <alignment horizontal="left" vertical="center"/>
    </xf>
    <xf numFmtId="0" fontId="30" fillId="0" borderId="61" xfId="22" applyFont="1" applyBorder="1" applyAlignment="1">
      <alignment horizontal="left" vertical="center"/>
    </xf>
    <xf numFmtId="0" fontId="43" fillId="6" borderId="34" xfId="0" applyFont="1" applyFill="1" applyBorder="1" applyAlignment="1">
      <alignment horizontal="left" vertical="center" wrapText="1"/>
    </xf>
    <xf numFmtId="0" fontId="30" fillId="0" borderId="62" xfId="0" applyFont="1" applyBorder="1" applyAlignment="1">
      <alignment horizontal="left" vertical="center"/>
    </xf>
    <xf numFmtId="0" fontId="37" fillId="10" borderId="63" xfId="0" applyFont="1" applyFill="1" applyBorder="1" applyAlignment="1">
      <alignment vertical="center"/>
    </xf>
    <xf numFmtId="0" fontId="37" fillId="10" borderId="64" xfId="0" applyFont="1" applyFill="1" applyBorder="1" applyAlignment="1">
      <alignment vertical="center"/>
    </xf>
    <xf numFmtId="0" fontId="37" fillId="10" borderId="65" xfId="0" applyFont="1" applyFill="1" applyBorder="1" applyAlignment="1">
      <alignment horizontal="left" vertical="center"/>
    </xf>
    <xf numFmtId="0" fontId="30" fillId="0" borderId="62" xfId="0" applyFont="1" applyBorder="1" applyAlignment="1">
      <alignment vertical="center"/>
    </xf>
    <xf numFmtId="0" fontId="27" fillId="0" borderId="62" xfId="0" applyFont="1" applyBorder="1"/>
    <xf numFmtId="0" fontId="27" fillId="0" borderId="62" xfId="0" applyFont="1" applyBorder="1" applyAlignment="1">
      <alignment vertical="center"/>
    </xf>
    <xf numFmtId="0" fontId="27" fillId="0" borderId="62" xfId="0" applyFont="1" applyBorder="1" applyAlignment="1">
      <alignment horizontal="left" vertical="center"/>
    </xf>
    <xf numFmtId="0" fontId="30" fillId="0" borderId="7" xfId="0" applyFont="1" applyBorder="1" applyAlignment="1">
      <alignment vertical="center"/>
    </xf>
    <xf numFmtId="0" fontId="30" fillId="0" borderId="8" xfId="0" applyFont="1" applyBorder="1" applyAlignment="1">
      <alignment vertical="center"/>
    </xf>
    <xf numFmtId="0" fontId="37" fillId="0" borderId="9" xfId="0" applyFont="1" applyBorder="1" applyAlignment="1">
      <alignment horizontal="left" vertical="center"/>
    </xf>
    <xf numFmtId="0" fontId="30" fillId="0" borderId="66" xfId="0" applyFont="1" applyBorder="1" applyAlignment="1">
      <alignment vertical="center"/>
    </xf>
    <xf numFmtId="0" fontId="37" fillId="0" borderId="67" xfId="0" applyFont="1" applyBorder="1" applyAlignment="1">
      <alignment horizontal="left" vertical="center"/>
    </xf>
    <xf numFmtId="0" fontId="27" fillId="0" borderId="66" xfId="0" applyFont="1" applyBorder="1"/>
    <xf numFmtId="0" fontId="27" fillId="0" borderId="67" xfId="0" applyFont="1" applyBorder="1"/>
    <xf numFmtId="0" fontId="27" fillId="0" borderId="66" xfId="0" applyFont="1" applyBorder="1" applyAlignment="1">
      <alignment vertical="center"/>
    </xf>
    <xf numFmtId="0" fontId="30" fillId="0" borderId="66" xfId="0" applyFont="1" applyBorder="1" applyAlignment="1">
      <alignment horizontal="left" vertical="center"/>
    </xf>
    <xf numFmtId="0" fontId="30" fillId="0" borderId="68" xfId="0" applyFont="1" applyBorder="1" applyAlignment="1">
      <alignment horizontal="left" vertical="center"/>
    </xf>
    <xf numFmtId="0" fontId="30" fillId="0" borderId="69" xfId="0" applyFont="1" applyBorder="1" applyAlignment="1">
      <alignment horizontal="left" vertical="center"/>
    </xf>
    <xf numFmtId="0" fontId="30" fillId="0" borderId="69" xfId="0" applyFont="1" applyBorder="1" applyAlignment="1">
      <alignment horizontal="left" vertical="center" wrapText="1"/>
    </xf>
    <xf numFmtId="0" fontId="30" fillId="0" borderId="70" xfId="0" applyFont="1" applyBorder="1" applyAlignment="1">
      <alignment horizontal="center" vertical="center"/>
    </xf>
    <xf numFmtId="0" fontId="0" fillId="8" borderId="62" xfId="0" applyFill="1" applyBorder="1"/>
    <xf numFmtId="0" fontId="11" fillId="0" borderId="0" xfId="0" applyFont="1" applyAlignment="1">
      <alignment horizontal="right"/>
    </xf>
    <xf numFmtId="0" fontId="0" fillId="0" borderId="62" xfId="0" applyBorder="1"/>
    <xf numFmtId="0" fontId="0" fillId="0" borderId="71" xfId="0" applyBorder="1"/>
    <xf numFmtId="0" fontId="0" fillId="0" borderId="72" xfId="0" applyBorder="1"/>
    <xf numFmtId="0" fontId="0" fillId="0" borderId="73" xfId="0" applyBorder="1"/>
    <xf numFmtId="0" fontId="0" fillId="12" borderId="66" xfId="0" applyFill="1" applyBorder="1"/>
    <xf numFmtId="0" fontId="0" fillId="12" borderId="62" xfId="0" applyFill="1" applyBorder="1"/>
    <xf numFmtId="2" fontId="0" fillId="12" borderId="67" xfId="0" applyNumberFormat="1" applyFill="1" applyBorder="1"/>
    <xf numFmtId="0" fontId="0" fillId="12" borderId="68" xfId="0" applyFill="1" applyBorder="1"/>
    <xf numFmtId="0" fontId="0" fillId="12" borderId="69" xfId="0" applyFill="1" applyBorder="1"/>
    <xf numFmtId="2" fontId="0" fillId="12" borderId="70" xfId="0" applyNumberFormat="1" applyFill="1" applyBorder="1"/>
    <xf numFmtId="0" fontId="37" fillId="6" borderId="50" xfId="0" applyFont="1" applyFill="1" applyBorder="1" applyAlignment="1">
      <alignment horizontal="left" vertical="center"/>
    </xf>
    <xf numFmtId="0" fontId="30" fillId="0" borderId="39" xfId="0" applyFont="1" applyBorder="1" applyAlignment="1">
      <alignment horizontal="left" vertical="center"/>
    </xf>
    <xf numFmtId="0" fontId="37" fillId="6" borderId="63" xfId="0" applyFont="1" applyFill="1" applyBorder="1" applyAlignment="1">
      <alignment horizontal="left" vertical="center"/>
    </xf>
    <xf numFmtId="0" fontId="37" fillId="6" borderId="64" xfId="0" applyFont="1" applyFill="1" applyBorder="1" applyAlignment="1">
      <alignment horizontal="left" vertical="center" wrapText="1"/>
    </xf>
    <xf numFmtId="0" fontId="37" fillId="6" borderId="65" xfId="0" applyFont="1" applyFill="1" applyBorder="1" applyAlignment="1">
      <alignment vertical="center" wrapText="1"/>
    </xf>
    <xf numFmtId="0" fontId="30" fillId="0" borderId="8" xfId="0" applyFont="1" applyBorder="1"/>
    <xf numFmtId="0" fontId="30" fillId="0" borderId="9" xfId="0" applyFont="1" applyBorder="1"/>
    <xf numFmtId="0" fontId="30" fillId="0" borderId="62" xfId="0" applyFont="1" applyBorder="1"/>
    <xf numFmtId="0" fontId="30" fillId="0" borderId="67" xfId="0" applyFont="1" applyBorder="1"/>
    <xf numFmtId="0" fontId="30" fillId="0" borderId="67" xfId="0" applyFont="1" applyBorder="1" applyAlignment="1">
      <alignment vertical="center"/>
    </xf>
    <xf numFmtId="0" fontId="30" fillId="0" borderId="68" xfId="0" applyFont="1" applyBorder="1" applyAlignment="1">
      <alignment vertical="center"/>
    </xf>
    <xf numFmtId="0" fontId="30" fillId="0" borderId="69" xfId="0" applyFont="1" applyBorder="1" applyAlignment="1">
      <alignment vertical="center"/>
    </xf>
    <xf numFmtId="0" fontId="30" fillId="0" borderId="70" xfId="0" applyFont="1" applyBorder="1" applyAlignment="1">
      <alignment vertical="center"/>
    </xf>
    <xf numFmtId="0" fontId="63" fillId="0" borderId="0" xfId="23" applyAlignment="1" applyProtection="1"/>
    <xf numFmtId="0" fontId="30" fillId="0" borderId="72" xfId="0" applyFont="1" applyBorder="1" applyAlignment="1">
      <alignment horizontal="left" vertical="center" wrapText="1"/>
    </xf>
    <xf numFmtId="0" fontId="30" fillId="0" borderId="81" xfId="0" applyFont="1" applyBorder="1" applyAlignment="1">
      <alignment horizontal="left" vertical="center" wrapText="1"/>
    </xf>
    <xf numFmtId="0" fontId="27" fillId="0" borderId="0" xfId="0" quotePrefix="1" applyFont="1" applyAlignment="1">
      <alignment horizontal="left" vertical="center"/>
    </xf>
    <xf numFmtId="0" fontId="10" fillId="0" borderId="0" xfId="0" applyFont="1" applyAlignment="1">
      <alignment horizontal="left" vertical="center"/>
    </xf>
    <xf numFmtId="0" fontId="37" fillId="10" borderId="64" xfId="0" applyFont="1" applyFill="1" applyBorder="1" applyAlignment="1">
      <alignment horizontal="left" vertical="center"/>
    </xf>
    <xf numFmtId="0" fontId="30" fillId="0" borderId="8" xfId="0" applyFont="1" applyBorder="1" applyAlignment="1">
      <alignment horizontal="left" vertical="center"/>
    </xf>
    <xf numFmtId="0" fontId="27" fillId="0" borderId="8" xfId="0" applyFont="1" applyBorder="1" applyAlignment="1">
      <alignment horizontal="left"/>
    </xf>
    <xf numFmtId="0" fontId="37" fillId="0" borderId="8" xfId="0" applyFont="1" applyBorder="1" applyAlignment="1">
      <alignment horizontal="left" vertical="center"/>
    </xf>
    <xf numFmtId="0" fontId="27" fillId="0" borderId="62" xfId="0" applyFont="1" applyBorder="1" applyAlignment="1">
      <alignment horizontal="left"/>
    </xf>
    <xf numFmtId="0" fontId="37" fillId="0" borderId="62" xfId="0" applyFont="1" applyBorder="1" applyAlignment="1">
      <alignment horizontal="left" vertical="center"/>
    </xf>
    <xf numFmtId="165" fontId="27" fillId="0" borderId="62" xfId="0" applyNumberFormat="1" applyFont="1" applyBorder="1" applyAlignment="1">
      <alignment horizontal="left" vertical="center"/>
    </xf>
    <xf numFmtId="165" fontId="30" fillId="0" borderId="69" xfId="0" applyNumberFormat="1" applyFont="1" applyBorder="1" applyAlignment="1">
      <alignment horizontal="left" vertical="center"/>
    </xf>
    <xf numFmtId="165" fontId="30" fillId="0" borderId="0" xfId="0" applyNumberFormat="1" applyFont="1" applyAlignment="1">
      <alignment horizontal="left" vertical="center"/>
    </xf>
    <xf numFmtId="165" fontId="27" fillId="0" borderId="17" xfId="0" applyNumberFormat="1" applyFont="1" applyBorder="1" applyAlignment="1">
      <alignment horizontal="left" vertical="center"/>
    </xf>
    <xf numFmtId="0" fontId="27" fillId="0" borderId="17" xfId="0" applyFont="1" applyBorder="1" applyAlignment="1">
      <alignment horizontal="left"/>
    </xf>
    <xf numFmtId="165" fontId="27" fillId="0" borderId="6" xfId="0" applyNumberFormat="1" applyFont="1" applyBorder="1" applyAlignment="1">
      <alignment horizontal="left" vertical="center"/>
    </xf>
    <xf numFmtId="0" fontId="27" fillId="0" borderId="6" xfId="0" applyFont="1" applyBorder="1" applyAlignment="1">
      <alignment horizontal="left"/>
    </xf>
    <xf numFmtId="165" fontId="27" fillId="0" borderId="13" xfId="0" applyNumberFormat="1" applyFont="1" applyBorder="1" applyAlignment="1">
      <alignment horizontal="left" vertical="center"/>
    </xf>
    <xf numFmtId="0" fontId="27" fillId="0" borderId="13" xfId="0" applyFont="1" applyBorder="1" applyAlignment="1">
      <alignment horizontal="left"/>
    </xf>
    <xf numFmtId="165" fontId="27" fillId="0" borderId="0" xfId="0" applyNumberFormat="1" applyFont="1" applyAlignment="1">
      <alignment horizontal="left" vertical="center"/>
    </xf>
    <xf numFmtId="0" fontId="27" fillId="0" borderId="0" xfId="0" applyFont="1" applyAlignment="1">
      <alignment horizontal="left"/>
    </xf>
    <xf numFmtId="0" fontId="37" fillId="10" borderId="48" xfId="0" applyFont="1" applyFill="1" applyBorder="1" applyAlignment="1">
      <alignment horizontal="left" vertical="center"/>
    </xf>
    <xf numFmtId="0" fontId="31" fillId="0" borderId="17" xfId="0" applyNumberFormat="1" applyFont="1" applyBorder="1" applyAlignment="1">
      <alignment horizontal="center" vertical="center" wrapText="1"/>
    </xf>
    <xf numFmtId="0" fontId="31" fillId="0" borderId="6" xfId="0" applyNumberFormat="1" applyFont="1" applyBorder="1" applyAlignment="1">
      <alignment horizontal="center" vertical="center" wrapText="1"/>
    </xf>
    <xf numFmtId="0" fontId="31" fillId="0" borderId="6" xfId="0" quotePrefix="1" applyNumberFormat="1" applyFont="1" applyBorder="1" applyAlignment="1">
      <alignment horizontal="center" vertical="center" wrapText="1"/>
    </xf>
    <xf numFmtId="0" fontId="31" fillId="0" borderId="13" xfId="0" applyNumberFormat="1" applyFont="1" applyBorder="1" applyAlignment="1">
      <alignment horizontal="center" vertical="center" wrapText="1"/>
    </xf>
    <xf numFmtId="0" fontId="32" fillId="0" borderId="6" xfId="0" applyNumberFormat="1" applyFont="1" applyBorder="1" applyAlignment="1">
      <alignment horizontal="center" vertical="center" wrapText="1"/>
    </xf>
    <xf numFmtId="0" fontId="32" fillId="0" borderId="17" xfId="0" applyNumberFormat="1" applyFont="1" applyBorder="1" applyAlignment="1">
      <alignment horizontal="center" vertical="center" wrapText="1"/>
    </xf>
    <xf numFmtId="0" fontId="32" fillId="0" borderId="13" xfId="0" applyNumberFormat="1" applyFont="1" applyBorder="1" applyAlignment="1">
      <alignment horizontal="center" vertical="center" wrapText="1"/>
    </xf>
    <xf numFmtId="0" fontId="32" fillId="0" borderId="6" xfId="0" applyNumberFormat="1" applyFont="1" applyBorder="1" applyAlignment="1">
      <alignment horizontal="center" wrapText="1"/>
    </xf>
    <xf numFmtId="0" fontId="26" fillId="0" borderId="13" xfId="0" quotePrefix="1" applyNumberFormat="1" applyFont="1" applyBorder="1" applyAlignment="1">
      <alignment horizontal="center" wrapText="1"/>
    </xf>
    <xf numFmtId="0" fontId="31" fillId="9" borderId="17" xfId="0" applyNumberFormat="1" applyFont="1" applyFill="1" applyBorder="1" applyAlignment="1">
      <alignment horizontal="center" vertical="center" wrapText="1"/>
    </xf>
    <xf numFmtId="0" fontId="31" fillId="9" borderId="6" xfId="0" applyNumberFormat="1" applyFont="1" applyFill="1" applyBorder="1" applyAlignment="1">
      <alignment horizontal="center" vertical="center" wrapText="1"/>
    </xf>
    <xf numFmtId="0" fontId="32" fillId="9" borderId="6" xfId="0" applyNumberFormat="1" applyFont="1" applyFill="1" applyBorder="1" applyAlignment="1">
      <alignment horizontal="center" vertical="center" wrapText="1"/>
    </xf>
    <xf numFmtId="0" fontId="26" fillId="9" borderId="13" xfId="0" quotePrefix="1" applyNumberFormat="1" applyFont="1" applyFill="1" applyBorder="1" applyAlignment="1">
      <alignment horizontal="center" wrapText="1"/>
    </xf>
    <xf numFmtId="0" fontId="32" fillId="7" borderId="17" xfId="2" quotePrefix="1" applyNumberFormat="1" applyFont="1" applyFill="1" applyBorder="1" applyAlignment="1">
      <alignment horizontal="left" vertical="center" wrapText="1"/>
    </xf>
    <xf numFmtId="0" fontId="32" fillId="7" borderId="6" xfId="2" quotePrefix="1" applyNumberFormat="1" applyFont="1" applyFill="1" applyBorder="1" applyAlignment="1">
      <alignment horizontal="left" vertical="center" wrapText="1"/>
    </xf>
    <xf numFmtId="0" fontId="32" fillId="7" borderId="13" xfId="2" quotePrefix="1" applyNumberFormat="1" applyFont="1" applyFill="1" applyBorder="1" applyAlignment="1">
      <alignment horizontal="left" vertical="center" wrapText="1"/>
    </xf>
    <xf numFmtId="0" fontId="36" fillId="13" borderId="0" xfId="0" applyFont="1" applyFill="1" applyBorder="1" applyAlignment="1">
      <alignment horizontal="center" vertical="center" wrapText="1"/>
    </xf>
    <xf numFmtId="164" fontId="36" fillId="13" borderId="0" xfId="0" applyNumberFormat="1" applyFont="1" applyFill="1" applyBorder="1" applyAlignment="1">
      <alignment horizontal="center" vertical="center" wrapText="1"/>
    </xf>
    <xf numFmtId="0" fontId="0" fillId="0" borderId="0" xfId="0" applyAlignment="1">
      <alignment horizontal="left" wrapText="1"/>
    </xf>
    <xf numFmtId="0" fontId="37" fillId="6" borderId="44" xfId="0" applyFont="1" applyFill="1" applyBorder="1" applyAlignment="1">
      <alignment horizontal="left" vertical="center" wrapText="1"/>
    </xf>
    <xf numFmtId="0" fontId="37" fillId="6" borderId="54" xfId="0" applyFont="1" applyFill="1" applyBorder="1" applyAlignment="1">
      <alignment horizontal="left" vertical="center" wrapText="1"/>
    </xf>
    <xf numFmtId="0" fontId="37" fillId="6" borderId="3" xfId="0" applyFont="1" applyFill="1" applyBorder="1" applyAlignment="1">
      <alignment horizontal="left" vertical="center" wrapText="1"/>
    </xf>
    <xf numFmtId="0" fontId="30" fillId="0" borderId="74" xfId="0" applyFont="1" applyBorder="1" applyAlignment="1">
      <alignment horizontal="left" vertical="center"/>
    </xf>
    <xf numFmtId="0" fontId="30" fillId="0" borderId="75" xfId="0" applyFont="1" applyBorder="1" applyAlignment="1">
      <alignment horizontal="left" vertical="center"/>
    </xf>
    <xf numFmtId="0" fontId="30" fillId="0" borderId="76" xfId="0" applyFont="1" applyBorder="1" applyAlignment="1">
      <alignment horizontal="left" vertical="center"/>
    </xf>
    <xf numFmtId="0" fontId="30" fillId="0" borderId="72" xfId="0" applyFont="1" applyBorder="1" applyAlignment="1">
      <alignment horizontal="left" vertical="center"/>
    </xf>
    <xf numFmtId="0" fontId="30" fillId="0" borderId="77" xfId="0" applyFont="1" applyBorder="1" applyAlignment="1">
      <alignment horizontal="left" vertical="center"/>
    </xf>
    <xf numFmtId="0" fontId="30" fillId="0" borderId="78" xfId="0" applyFont="1" applyBorder="1" applyAlignment="1">
      <alignment horizontal="left" vertical="center"/>
    </xf>
    <xf numFmtId="0" fontId="30" fillId="0" borderId="46" xfId="0" applyFont="1" applyBorder="1" applyAlignment="1">
      <alignment horizontal="left" vertical="center"/>
    </xf>
    <xf numFmtId="0" fontId="30" fillId="0" borderId="79" xfId="0" applyFont="1" applyBorder="1" applyAlignment="1">
      <alignment horizontal="left" vertical="center"/>
    </xf>
    <xf numFmtId="0" fontId="30" fillId="0" borderId="80" xfId="0" applyFont="1" applyBorder="1" applyAlignment="1">
      <alignment horizontal="left" vertical="center"/>
    </xf>
    <xf numFmtId="0" fontId="23" fillId="3" borderId="22" xfId="0" applyFont="1" applyFill="1" applyBorder="1" applyAlignment="1">
      <alignment horizontal="center" vertical="top" wrapText="1"/>
    </xf>
    <xf numFmtId="0" fontId="23" fillId="3" borderId="0" xfId="0" applyFont="1" applyFill="1" applyAlignment="1">
      <alignment horizontal="center" vertical="top" wrapText="1"/>
    </xf>
    <xf numFmtId="0" fontId="23" fillId="3" borderId="23" xfId="0" applyFont="1" applyFill="1" applyBorder="1" applyAlignment="1">
      <alignment horizontal="center" vertical="top" wrapText="1"/>
    </xf>
    <xf numFmtId="0" fontId="23" fillId="3" borderId="24" xfId="0" applyFont="1" applyFill="1" applyBorder="1" applyAlignment="1">
      <alignment wrapText="1"/>
    </xf>
    <xf numFmtId="0" fontId="23" fillId="3" borderId="25" xfId="0" applyFont="1" applyFill="1" applyBorder="1" applyAlignment="1">
      <alignment wrapText="1"/>
    </xf>
    <xf numFmtId="0" fontId="23" fillId="3" borderId="26" xfId="0" applyFont="1" applyFill="1" applyBorder="1" applyAlignment="1">
      <alignment wrapText="1"/>
    </xf>
    <xf numFmtId="0" fontId="0" fillId="2" borderId="0" xfId="0" applyFill="1" applyAlignment="1">
      <alignment wrapText="1"/>
    </xf>
  </cellXfs>
  <cellStyles count="24">
    <cellStyle name="Hivatkozás" xfId="23" builtinId="8"/>
    <cellStyle name="Normál" xfId="0" builtinId="0"/>
    <cellStyle name="Normal 10" xfId="18"/>
    <cellStyle name="Normal 11 2" xfId="19"/>
    <cellStyle name="Normal 11 2 2" xfId="22"/>
    <cellStyle name="Normal 2" xfId="1"/>
    <cellStyle name="Normál 2" xfId="7"/>
    <cellStyle name="Normal 2 2" xfId="5"/>
    <cellStyle name="Normal 2 3" xfId="17"/>
    <cellStyle name="Normal 3" xfId="3"/>
    <cellStyle name="Normal 3 2" xfId="8"/>
    <cellStyle name="Normal 3 3" xfId="14"/>
    <cellStyle name="Normal 3 5" xfId="20"/>
    <cellStyle name="Normal 4" xfId="4"/>
    <cellStyle name="Normal 4 2" xfId="9"/>
    <cellStyle name="Normal 4 3" xfId="10"/>
    <cellStyle name="Normal 4 4" xfId="16"/>
    <cellStyle name="Normal 4 6" xfId="21"/>
    <cellStyle name="Normal 5" xfId="11"/>
    <cellStyle name="Normal 6" xfId="12"/>
    <cellStyle name="Normal 7" xfId="13"/>
    <cellStyle name="Normal 8" xfId="6"/>
    <cellStyle name="Normal 9" xfId="15"/>
    <cellStyle name="Normal_Kinetic matrix" xfId="2"/>
  </cellStyles>
  <dxfs count="24">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9" defaultPivotStyle="PivotStyleLight16"/>
  <colors>
    <mruColors>
      <color rgb="FF498787"/>
      <color rgb="FF499687"/>
      <color rgb="FF498F87"/>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0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twoCellAnchor editAs="absolute">
    <xdr:from>
      <xdr:col>3</xdr:col>
      <xdr:colOff>76200</xdr:colOff>
      <xdr:row>0</xdr:row>
      <xdr:rowOff>95250</xdr:rowOff>
    </xdr:from>
    <xdr:to>
      <xdr:col>4</xdr:col>
      <xdr:colOff>1076325</xdr:colOff>
      <xdr:row>0</xdr:row>
      <xdr:rowOff>495300</xdr:rowOff>
    </xdr:to>
    <xdr:sp macro="[0]!GlobalCheck" textlink="">
      <xdr:nvSpPr>
        <xdr:cNvPr id="7" name="bt_globalcheck">
          <a:extLst>
            <a:ext uri="{FF2B5EF4-FFF2-40B4-BE49-F238E27FC236}">
              <a16:creationId xmlns:a16="http://schemas.microsoft.com/office/drawing/2014/main" id="{00000000-0008-0000-0000-000007000000}"/>
            </a:ext>
          </a:extLst>
        </xdr:cNvPr>
        <xdr:cNvSpPr/>
      </xdr:nvSpPr>
      <xdr:spPr>
        <a:xfrm>
          <a:off x="2028825" y="95250"/>
          <a:ext cx="1609725" cy="400050"/>
        </a:xfrm>
        <a:prstGeom prst="roundRect">
          <a:avLst/>
        </a:prstGeom>
        <a:solidFill>
          <a:srgbClr val="FFFF0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oneCellAnchor>
    <xdr:from>
      <xdr:col>4</xdr:col>
      <xdr:colOff>986872</xdr:colOff>
      <xdr:row>234</xdr:row>
      <xdr:rowOff>58232</xdr:rowOff>
    </xdr:from>
    <xdr:ext cx="5000625" cy="833438"/>
    <xdr:pic>
      <xdr:nvPicPr>
        <xdr:cNvPr id="11" name="Picture 1">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58622" y="46340207"/>
          <a:ext cx="5000625" cy="833438"/>
        </a:xfrm>
        <a:prstGeom prst="rect">
          <a:avLst/>
        </a:prstGeom>
        <a:noFill/>
        <a:ln w="1">
          <a:noFill/>
          <a:miter lim="800000"/>
          <a:headEnd/>
          <a:tailEnd type="none" w="med" len="med"/>
        </a:ln>
        <a:effectLst/>
      </xdr:spPr>
    </xdr:pic>
    <xdr:clientData/>
  </xdr:oneCellAnchor>
  <xdr:oneCellAnchor>
    <xdr:from>
      <xdr:col>4</xdr:col>
      <xdr:colOff>826190</xdr:colOff>
      <xdr:row>230</xdr:row>
      <xdr:rowOff>80341</xdr:rowOff>
    </xdr:from>
    <xdr:ext cx="3455193" cy="622300"/>
    <xdr:pic>
      <xdr:nvPicPr>
        <xdr:cNvPr id="12" name="Picture 2">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397940" y="45600316"/>
          <a:ext cx="3455193" cy="622300"/>
        </a:xfrm>
        <a:prstGeom prst="rect">
          <a:avLst/>
        </a:prstGeom>
        <a:noFill/>
        <a:ln w="1">
          <a:noFill/>
          <a:miter lim="800000"/>
          <a:headEnd/>
          <a:tailEnd type="none" w="med" len="med"/>
        </a:ln>
        <a:effectLst/>
      </xdr:spPr>
    </xdr:pic>
    <xdr:clientData/>
  </xdr:oneCellAnchor>
  <xdr:twoCellAnchor>
    <xdr:from>
      <xdr:col>3</xdr:col>
      <xdr:colOff>152401</xdr:colOff>
      <xdr:row>142</xdr:row>
      <xdr:rowOff>114300</xdr:rowOff>
    </xdr:from>
    <xdr:to>
      <xdr:col>5</xdr:col>
      <xdr:colOff>476251</xdr:colOff>
      <xdr:row>145</xdr:row>
      <xdr:rowOff>133350</xdr:rowOff>
    </xdr:to>
    <xdr:sp macro="" textlink="">
      <xdr:nvSpPr>
        <xdr:cNvPr id="13" name="Curved Up Arrow 3">
          <a:extLst>
            <a:ext uri="{FF2B5EF4-FFF2-40B4-BE49-F238E27FC236}">
              <a16:creationId xmlns:a16="http://schemas.microsoft.com/office/drawing/2014/main" id="{00000000-0008-0000-0000-00000D000000}"/>
            </a:ext>
          </a:extLst>
        </xdr:cNvPr>
        <xdr:cNvSpPr/>
      </xdr:nvSpPr>
      <xdr:spPr>
        <a:xfrm>
          <a:off x="2114551" y="28736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oneCell">
    <xdr:from>
      <xdr:col>7</xdr:col>
      <xdr:colOff>0</xdr:colOff>
      <xdr:row>2</xdr:row>
      <xdr:rowOff>0</xdr:rowOff>
    </xdr:from>
    <xdr:to>
      <xdr:col>15</xdr:col>
      <xdr:colOff>327670</xdr:colOff>
      <xdr:row>10</xdr:row>
      <xdr:rowOff>40008</xdr:rowOff>
    </xdr:to>
    <xdr:pic>
      <xdr:nvPicPr>
        <xdr:cNvPr id="3" name="Kép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962775" y="790575"/>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19050</xdr:colOff>
      <xdr:row>0</xdr:row>
      <xdr:rowOff>76200</xdr:rowOff>
    </xdr:from>
    <xdr:to>
      <xdr:col>2</xdr:col>
      <xdr:colOff>287338</xdr:colOff>
      <xdr:row>0</xdr:row>
      <xdr:rowOff>608013</xdr:rowOff>
    </xdr:to>
    <xdr:sp macro="[0]!bt_checkusages" textlink="">
      <xdr:nvSpPr>
        <xdr:cNvPr id="3" name="bt_chkunused">
          <a:extLst>
            <a:ext uri="{FF2B5EF4-FFF2-40B4-BE49-F238E27FC236}">
              <a16:creationId xmlns:a16="http://schemas.microsoft.com/office/drawing/2014/main" id="{00000000-0008-0000-0100-000003000000}"/>
            </a:ext>
          </a:extLst>
        </xdr:cNvPr>
        <xdr:cNvSpPr/>
      </xdr:nvSpPr>
      <xdr:spPr>
        <a:xfrm>
          <a:off x="590550" y="76200"/>
          <a:ext cx="1430338" cy="531813"/>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parameters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339989</xdr:colOff>
      <xdr:row>0</xdr:row>
      <xdr:rowOff>63500</xdr:rowOff>
    </xdr:from>
    <xdr:to>
      <xdr:col>2</xdr:col>
      <xdr:colOff>365389</xdr:colOff>
      <xdr:row>0</xdr:row>
      <xdr:rowOff>595313</xdr:rowOff>
    </xdr:to>
    <xdr:sp macro="[0]!bt_chkcont_click" textlink="">
      <xdr:nvSpPr>
        <xdr:cNvPr id="2" name="bt_chkcont">
          <a:extLst>
            <a:ext uri="{FF2B5EF4-FFF2-40B4-BE49-F238E27FC236}">
              <a16:creationId xmlns:a16="http://schemas.microsoft.com/office/drawing/2014/main" id="{00000000-0008-0000-0200-000002000000}"/>
            </a:ext>
          </a:extLst>
        </xdr:cNvPr>
        <xdr:cNvSpPr/>
      </xdr:nvSpPr>
      <xdr:spPr>
        <a:xfrm>
          <a:off x="339989" y="63500"/>
          <a:ext cx="1430338"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twoCellAnchor editAs="absolute">
    <xdr:from>
      <xdr:col>3</xdr:col>
      <xdr:colOff>54429</xdr:colOff>
      <xdr:row>0</xdr:row>
      <xdr:rowOff>68036</xdr:rowOff>
    </xdr:from>
    <xdr:to>
      <xdr:col>3</xdr:col>
      <xdr:colOff>1491911</xdr:colOff>
      <xdr:row>0</xdr:row>
      <xdr:rowOff>599849</xdr:rowOff>
    </xdr:to>
    <xdr:sp macro="[0]!bt_chkcont_norates_click" textlink="">
      <xdr:nvSpPr>
        <xdr:cNvPr id="3" name="bt_chkcont">
          <a:extLst>
            <a:ext uri="{FF2B5EF4-FFF2-40B4-BE49-F238E27FC236}">
              <a16:creationId xmlns:a16="http://schemas.microsoft.com/office/drawing/2014/main" id="{00000000-0008-0000-0200-000003000000}"/>
            </a:ext>
          </a:extLst>
        </xdr:cNvPr>
        <xdr:cNvSpPr/>
      </xdr:nvSpPr>
      <xdr:spPr>
        <a:xfrm>
          <a:off x="1959429" y="68036"/>
          <a:ext cx="1437482" cy="531813"/>
        </a:xfrm>
        <a:prstGeom prst="roundRect">
          <a:avLst/>
        </a:prstGeom>
        <a:solidFill>
          <a:schemeClr val="bg1">
            <a:lumMod val="8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without Rates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190500</xdr:colOff>
      <xdr:row>0</xdr:row>
      <xdr:rowOff>95250</xdr:rowOff>
    </xdr:from>
    <xdr:to>
      <xdr:col>2</xdr:col>
      <xdr:colOff>295275</xdr:colOff>
      <xdr:row>0</xdr:row>
      <xdr:rowOff>466725</xdr:rowOff>
    </xdr:to>
    <xdr:sp macro="[0]!bt_pewpph" textlink="">
      <xdr:nvSpPr>
        <xdr:cNvPr id="2" name="bt_prepph">
          <a:extLst>
            <a:ext uri="{FF2B5EF4-FFF2-40B4-BE49-F238E27FC236}">
              <a16:creationId xmlns:a16="http://schemas.microsoft.com/office/drawing/2014/main" id="{00000000-0008-0000-0300-000002000000}"/>
            </a:ext>
          </a:extLst>
        </xdr:cNvPr>
        <xdr:cNvSpPr/>
      </xdr:nvSpPr>
      <xdr:spPr>
        <a:xfrm>
          <a:off x="190500" y="95250"/>
          <a:ext cx="1485900" cy="371475"/>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152400</xdr:colOff>
      <xdr:row>0</xdr:row>
      <xdr:rowOff>85725</xdr:rowOff>
    </xdr:from>
    <xdr:to>
      <xdr:col>1</xdr:col>
      <xdr:colOff>500004</xdr:colOff>
      <xdr:row>0</xdr:row>
      <xdr:rowOff>523875</xdr:rowOff>
    </xdr:to>
    <xdr:sp macro="[0]!bt_crkinma_click" textlink="">
      <xdr:nvSpPr>
        <xdr:cNvPr id="2" name="bt_crkinma">
          <a:extLst>
            <a:ext uri="{FF2B5EF4-FFF2-40B4-BE49-F238E27FC236}">
              <a16:creationId xmlns:a16="http://schemas.microsoft.com/office/drawing/2014/main" id="{00000000-0008-0000-05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1</xdr:col>
      <xdr:colOff>686741</xdr:colOff>
      <xdr:row>0</xdr:row>
      <xdr:rowOff>95250</xdr:rowOff>
    </xdr:from>
    <xdr:to>
      <xdr:col>2</xdr:col>
      <xdr:colOff>1443685</xdr:colOff>
      <xdr:row>0</xdr:row>
      <xdr:rowOff>523875</xdr:rowOff>
    </xdr:to>
    <xdr:sp macro="[0]!bt_chkst_click" textlink="">
      <xdr:nvSpPr>
        <xdr:cNvPr id="3" name="bt_chkst">
          <a:extLst>
            <a:ext uri="{FF2B5EF4-FFF2-40B4-BE49-F238E27FC236}">
              <a16:creationId xmlns:a16="http://schemas.microsoft.com/office/drawing/2014/main" id="{00000000-0008-0000-0500-000003000000}"/>
            </a:ext>
          </a:extLst>
        </xdr:cNvPr>
        <xdr:cNvSpPr/>
      </xdr:nvSpPr>
      <xdr:spPr>
        <a:xfrm>
          <a:off x="1771650" y="95250"/>
          <a:ext cx="1581150" cy="4286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States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104776</xdr:colOff>
      <xdr:row>0</xdr:row>
      <xdr:rowOff>142875</xdr:rowOff>
    </xdr:from>
    <xdr:to>
      <xdr:col>1</xdr:col>
      <xdr:colOff>428626</xdr:colOff>
      <xdr:row>0</xdr:row>
      <xdr:rowOff>600075</xdr:rowOff>
    </xdr:to>
    <xdr:sp macro="[0]!bt_chkalg_click" textlink="">
      <xdr:nvSpPr>
        <xdr:cNvPr id="3" name="bt_chkalg">
          <a:extLst>
            <a:ext uri="{FF2B5EF4-FFF2-40B4-BE49-F238E27FC236}">
              <a16:creationId xmlns:a16="http://schemas.microsoft.com/office/drawing/2014/main" id="{00000000-0008-0000-0600-000003000000}"/>
            </a:ext>
          </a:extLst>
        </xdr:cNvPr>
        <xdr:cNvSpPr/>
      </xdr:nvSpPr>
      <xdr:spPr>
        <a:xfrm>
          <a:off x="104776" y="142875"/>
          <a:ext cx="1447800" cy="45720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Expressions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800-000002000000}"/>
            </a:ext>
          </a:extLst>
        </xdr:cNvPr>
        <xdr:cNvSpPr/>
      </xdr:nvSpPr>
      <xdr:spPr>
        <a:xfrm>
          <a:off x="152400" y="123824"/>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228600</xdr:colOff>
      <xdr:row>0</xdr:row>
      <xdr:rowOff>180975</xdr:rowOff>
    </xdr:from>
    <xdr:to>
      <xdr:col>2</xdr:col>
      <xdr:colOff>104775</xdr:colOff>
      <xdr:row>0</xdr:row>
      <xdr:rowOff>552450</xdr:rowOff>
    </xdr:to>
    <xdr:sp macro="[0]!bt_calcvar" textlink="">
      <xdr:nvSpPr>
        <xdr:cNvPr id="2" name="bt_calc">
          <a:extLst>
            <a:ext uri="{FF2B5EF4-FFF2-40B4-BE49-F238E27FC236}">
              <a16:creationId xmlns:a16="http://schemas.microsoft.com/office/drawing/2014/main" id="{00000000-0008-0000-0900-000002000000}"/>
            </a:ext>
          </a:extLst>
        </xdr:cNvPr>
        <xdr:cNvSpPr/>
      </xdr:nvSpPr>
      <xdr:spPr>
        <a:xfrm>
          <a:off x="228600" y="180975"/>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xdr:col>
      <xdr:colOff>1485900</xdr:colOff>
      <xdr:row>0</xdr:row>
      <xdr:rowOff>504825</xdr:rowOff>
    </xdr:to>
    <xdr:sp macro="" textlink="">
      <xdr:nvSpPr>
        <xdr:cNvPr id="2" name="bt_crfunc">
          <a:extLst>
            <a:ext uri="{FF2B5EF4-FFF2-40B4-BE49-F238E27FC236}">
              <a16:creationId xmlns:a16="http://schemas.microsoft.com/office/drawing/2014/main" id="{00000000-0008-0000-0B00-000002000000}"/>
            </a:ext>
          </a:extLst>
        </xdr:cNvPr>
        <xdr:cNvSpPr/>
      </xdr:nvSpPr>
      <xdr:spPr>
        <a:xfrm>
          <a:off x="390525" y="0"/>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E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1247775</xdr:colOff>
      <xdr:row>0</xdr:row>
      <xdr:rowOff>428625</xdr:rowOff>
    </xdr:to>
    <xdr:sp macro="[0]!bt_creqma_click" textlink="">
      <xdr:nvSpPr>
        <xdr:cNvPr id="2" name="bt_creqma">
          <a:extLst>
            <a:ext uri="{FF2B5EF4-FFF2-40B4-BE49-F238E27FC236}">
              <a16:creationId xmlns:a16="http://schemas.microsoft.com/office/drawing/2014/main" id="{00000000-0008-0000-1000-000002000000}"/>
            </a:ext>
          </a:extLst>
        </xdr:cNvPr>
        <xdr:cNvSpPr/>
      </xdr:nvSpPr>
      <xdr:spPr>
        <a:xfrm>
          <a:off x="609600" y="0"/>
          <a:ext cx="1857375" cy="42862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Equilibrium Matrix</a:t>
          </a:r>
        </a:p>
      </xdr:txBody>
    </xdr:sp>
    <xdr:clientData/>
  </xdr:twoCellAnchor>
  <xdr:twoCellAnchor editAs="absolute">
    <xdr:from>
      <xdr:col>3</xdr:col>
      <xdr:colOff>0</xdr:colOff>
      <xdr:row>0</xdr:row>
      <xdr:rowOff>0</xdr:rowOff>
    </xdr:from>
    <xdr:to>
      <xdr:col>5</xdr:col>
      <xdr:colOff>390525</xdr:colOff>
      <xdr:row>0</xdr:row>
      <xdr:rowOff>400050</xdr:rowOff>
    </xdr:to>
    <xdr:sp macro="[0]!bt_chksp_click" textlink="">
      <xdr:nvSpPr>
        <xdr:cNvPr id="3" name="bt_chksp">
          <a:extLst>
            <a:ext uri="{FF2B5EF4-FFF2-40B4-BE49-F238E27FC236}">
              <a16:creationId xmlns:a16="http://schemas.microsoft.com/office/drawing/2014/main" id="{00000000-0008-0000-1000-000003000000}"/>
            </a:ext>
          </a:extLst>
        </xdr:cNvPr>
        <xdr:cNvSpPr/>
      </xdr:nvSpPr>
      <xdr:spPr>
        <a:xfrm>
          <a:off x="2752725" y="0"/>
          <a:ext cx="1609725" cy="40005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Species</a:t>
          </a:r>
        </a:p>
      </xdr:txBody>
    </xdr:sp>
    <xdr:clientData/>
  </xdr:twoCellAnchor>
</xdr:wsDr>
</file>

<file path=xl/theme/theme1.xml><?xml version="1.0" encoding="utf-8"?>
<a:theme xmlns:a="http://schemas.openxmlformats.org/drawingml/2006/main" name="Office-té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dynamita.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hyperlink" Target="http://webbook.nist.gov/cgi/cbook.cgi?Formula=CH4&amp;NoIon=on&amp;Units=SI&amp;cSO=on" TargetMode="External"/><Relationship Id="rId3" Type="http://schemas.openxmlformats.org/officeDocument/2006/relationships/hyperlink" Target="http://webbook.nist.gov/cgi/cbook.cgi?Formula=NH3&amp;NoIon=on&amp;Units=SI&amp;cSO=on" TargetMode="External"/><Relationship Id="rId7" Type="http://schemas.openxmlformats.org/officeDocument/2006/relationships/hyperlink" Target="http://webbook.nist.gov/cgi/cbook.cgi?Formula=H2&amp;NoIon=on&amp;Units=SI&amp;cSO=on" TargetMode="External"/><Relationship Id="rId12" Type="http://schemas.openxmlformats.org/officeDocument/2006/relationships/printerSettings" Target="../printerSettings/printerSettings8.bin"/><Relationship Id="rId2" Type="http://schemas.openxmlformats.org/officeDocument/2006/relationships/hyperlink" Target="http://webbook.nist.gov/cgi/cbook.cgi?Formula=NH3&amp;NoIon=on&amp;Units=SI&amp;cSO=on" TargetMode="External"/><Relationship Id="rId1" Type="http://schemas.openxmlformats.org/officeDocument/2006/relationships/hyperlink" Target="http://webbook.nist.gov/cgi/cbook.cgi?ID=C7782447&amp;Mask=10" TargetMode="External"/><Relationship Id="rId6" Type="http://schemas.openxmlformats.org/officeDocument/2006/relationships/hyperlink" Target="http://webbook.nist.gov/cgi/cbook.cgi?Formula=H2&amp;NoIon=on&amp;Units=SI&amp;cSO=on" TargetMode="External"/><Relationship Id="rId11" Type="http://schemas.openxmlformats.org/officeDocument/2006/relationships/hyperlink" Target="http://webbook.nist.gov/cgi/cbook.cgi?ID=C124389&amp;Mask=10" TargetMode="External"/><Relationship Id="rId5" Type="http://schemas.openxmlformats.org/officeDocument/2006/relationships/hyperlink" Target="http://webbook.nist.gov/cgi/cbook.cgi?Formula=H2S&amp;NoIon=on&amp;Units=SI&amp;cSO=on" TargetMode="External"/><Relationship Id="rId10" Type="http://schemas.openxmlformats.org/officeDocument/2006/relationships/hyperlink" Target="http://www.vias.org/genchem/standard_enthalpies_table.html" TargetMode="External"/><Relationship Id="rId4" Type="http://schemas.openxmlformats.org/officeDocument/2006/relationships/hyperlink" Target="http://webbook.nist.gov/cgi/cbook.cgi?Formula=H2S&amp;NoIon=on&amp;Units=SI&amp;cSO=on" TargetMode="External"/><Relationship Id="rId9" Type="http://schemas.openxmlformats.org/officeDocument/2006/relationships/hyperlink" Target="http://webbook.nist.gov/cgi/cbook.cgi?Formula=CH4&amp;NoIon=on&amp;Units=SI&amp;cSO=on" TargetMode="External"/></Relationships>
</file>

<file path=xl/worksheets/_rels/sheet12.xml.rels><?xml version="1.0" encoding="UTF-8" standalone="yes"?>
<Relationships xmlns="http://schemas.openxmlformats.org/package/2006/relationships"><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26" Type="http://schemas.openxmlformats.org/officeDocument/2006/relationships/hyperlink" Target="http://www.cplusplus.com/reference/cmath/atan2/" TargetMode="External"/><Relationship Id="rId39" Type="http://schemas.openxmlformats.org/officeDocument/2006/relationships/printerSettings" Target="../printerSettings/printerSettings9.bin"/><Relationship Id="rId21" Type="http://schemas.openxmlformats.org/officeDocument/2006/relationships/hyperlink" Target="http://www.cplusplus.com/reference/cmath/sin/" TargetMode="External"/><Relationship Id="rId34" Type="http://schemas.openxmlformats.org/officeDocument/2006/relationships/hyperlink" Target="http://www.cplusplus.com/reference/cmath/sqrt/" TargetMode="Externa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5" Type="http://schemas.openxmlformats.org/officeDocument/2006/relationships/hyperlink" Target="http://www.cplusplus.com/reference/cmath/atan/" TargetMode="External"/><Relationship Id="rId33" Type="http://schemas.openxmlformats.org/officeDocument/2006/relationships/hyperlink" Target="http://www.cplusplus.com/reference/cmath/log10/" TargetMode="External"/><Relationship Id="rId38" Type="http://schemas.openxmlformats.org/officeDocument/2006/relationships/hyperlink" Target="http://www.cplusplus.com/reference/cmath/fmod/"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hyperlink" Target="http://www.cplusplus.com/reference/cmath/cos/" TargetMode="External"/><Relationship Id="rId29" Type="http://schemas.openxmlformats.org/officeDocument/2006/relationships/hyperlink" Target="http://www.cplusplus.com/reference/cmath/tanh/" TargetMode="External"/><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24" Type="http://schemas.openxmlformats.org/officeDocument/2006/relationships/hyperlink" Target="http://www.cplusplus.com/reference/cmath/asin/" TargetMode="External"/><Relationship Id="rId32" Type="http://schemas.openxmlformats.org/officeDocument/2006/relationships/hyperlink" Target="http://www.cplusplus.com/reference/cmath/log/" TargetMode="External"/><Relationship Id="rId37" Type="http://schemas.openxmlformats.org/officeDocument/2006/relationships/hyperlink" Target="http://www.cplusplus.com/reference/cmath/floor/" TargetMode="External"/><Relationship Id="rId40" Type="http://schemas.openxmlformats.org/officeDocument/2006/relationships/drawing" Target="../drawings/drawing9.xm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23" Type="http://schemas.openxmlformats.org/officeDocument/2006/relationships/hyperlink" Target="http://www.cplusplus.com/reference/cmath/acos/" TargetMode="External"/><Relationship Id="rId28" Type="http://schemas.openxmlformats.org/officeDocument/2006/relationships/hyperlink" Target="http://www.cplusplus.com/reference/cmath/sinh/" TargetMode="External"/><Relationship Id="rId36" Type="http://schemas.openxmlformats.org/officeDocument/2006/relationships/hyperlink" Target="http://www.cplusplus.com/reference/cmath/fabs/"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31" Type="http://schemas.openxmlformats.org/officeDocument/2006/relationships/hyperlink" Target="http://www.cplusplus.com/reference/cmath/ldexp/"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 Id="rId22" Type="http://schemas.openxmlformats.org/officeDocument/2006/relationships/hyperlink" Target="http://www.cplusplus.com/reference/cmath/tan/" TargetMode="External"/><Relationship Id="rId27" Type="http://schemas.openxmlformats.org/officeDocument/2006/relationships/hyperlink" Target="http://www.cplusplus.com/reference/cmath/cosh/" TargetMode="External"/><Relationship Id="rId30" Type="http://schemas.openxmlformats.org/officeDocument/2006/relationships/hyperlink" Target="http://www.cplusplus.com/reference/cmath/exp/" TargetMode="External"/><Relationship Id="rId35" Type="http://schemas.openxmlformats.org/officeDocument/2006/relationships/hyperlink" Target="http://www.cplusplus.com/reference/cmath/ceil/" TargetMode="External"/><Relationship Id="rId8" Type="http://schemas.openxmlformats.org/officeDocument/2006/relationships/hyperlink" Target="http://www.cplusplus.com/reference/cmath/cosh/" TargetMode="External"/><Relationship Id="rId3" Type="http://schemas.openxmlformats.org/officeDocument/2006/relationships/hyperlink" Target="http://www.cplusplus.com/reference/cmath/tan/"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54"/>
  <sheetViews>
    <sheetView showGridLines="0" tabSelected="1" workbookViewId="0"/>
  </sheetViews>
  <sheetFormatPr defaultColWidth="9.140625" defaultRowHeight="15" x14ac:dyDescent="0.25"/>
  <cols>
    <col min="1" max="1" width="3.85546875" customWidth="1"/>
    <col min="2" max="2" width="13.140625" customWidth="1"/>
    <col min="3" max="3" width="12.28515625" customWidth="1"/>
    <col min="5" max="5" width="25.5703125" customWidth="1"/>
    <col min="6" max="6" width="27.140625" customWidth="1"/>
    <col min="7" max="7" width="13.28515625" customWidth="1"/>
    <col min="14" max="14" width="5.140625" customWidth="1"/>
  </cols>
  <sheetData>
    <row r="1" spans="1:10" s="46" customFormat="1" ht="47.25" customHeight="1" x14ac:dyDescent="0.25"/>
    <row r="3" spans="1:10" ht="14.45" customHeight="1" x14ac:dyDescent="0.25">
      <c r="B3" s="49" t="s">
        <v>150</v>
      </c>
      <c r="C3" t="s">
        <v>211</v>
      </c>
      <c r="D3" s="421" t="s">
        <v>1841</v>
      </c>
      <c r="E3" s="421"/>
      <c r="F3" s="421"/>
    </row>
    <row r="4" spans="1:10" x14ac:dyDescent="0.25">
      <c r="D4" s="421"/>
      <c r="E4" s="421"/>
      <c r="F4" s="421"/>
    </row>
    <row r="5" spans="1:10" x14ac:dyDescent="0.25">
      <c r="I5" s="258"/>
    </row>
    <row r="11" spans="1:10" x14ac:dyDescent="0.25">
      <c r="H11" s="380" t="s">
        <v>1840</v>
      </c>
    </row>
    <row r="13" spans="1:10" x14ac:dyDescent="0.25">
      <c r="B13" s="49" t="s">
        <v>24</v>
      </c>
      <c r="C13" s="50"/>
      <c r="H13" s="49" t="s">
        <v>209</v>
      </c>
      <c r="I13" s="50"/>
      <c r="J13" s="50"/>
    </row>
    <row r="14" spans="1:10" x14ac:dyDescent="0.25">
      <c r="A14" s="184" t="s">
        <v>1205</v>
      </c>
      <c r="H14">
        <v>1</v>
      </c>
      <c r="I14" t="s">
        <v>210</v>
      </c>
    </row>
    <row r="15" spans="1:10" x14ac:dyDescent="0.25">
      <c r="A15">
        <v>1</v>
      </c>
      <c r="B15" t="s">
        <v>1206</v>
      </c>
      <c r="H15">
        <v>2</v>
      </c>
      <c r="I15" t="s">
        <v>1842</v>
      </c>
    </row>
    <row r="16" spans="1:10" x14ac:dyDescent="0.25">
      <c r="A16">
        <v>2</v>
      </c>
      <c r="B16" t="s">
        <v>1207</v>
      </c>
    </row>
    <row r="17" spans="1:5" x14ac:dyDescent="0.25">
      <c r="B17">
        <v>1</v>
      </c>
      <c r="C17" t="s">
        <v>1208</v>
      </c>
    </row>
    <row r="18" spans="1:5" x14ac:dyDescent="0.25">
      <c r="B18">
        <v>2</v>
      </c>
      <c r="C18" t="s">
        <v>1209</v>
      </c>
    </row>
    <row r="19" spans="1:5" x14ac:dyDescent="0.25">
      <c r="B19">
        <v>3</v>
      </c>
      <c r="C19" t="s">
        <v>1210</v>
      </c>
    </row>
    <row r="20" spans="1:5" x14ac:dyDescent="0.25">
      <c r="B20">
        <v>4</v>
      </c>
      <c r="C20" t="s">
        <v>1211</v>
      </c>
    </row>
    <row r="21" spans="1:5" x14ac:dyDescent="0.25">
      <c r="B21">
        <v>5</v>
      </c>
      <c r="C21" t="s">
        <v>1212</v>
      </c>
    </row>
    <row r="22" spans="1:5" x14ac:dyDescent="0.25">
      <c r="A22">
        <v>3</v>
      </c>
      <c r="B22" t="s">
        <v>1213</v>
      </c>
    </row>
    <row r="23" spans="1:5" x14ac:dyDescent="0.25">
      <c r="C23" t="s">
        <v>1214</v>
      </c>
    </row>
    <row r="25" spans="1:5" x14ac:dyDescent="0.25">
      <c r="A25" s="1" t="s">
        <v>25</v>
      </c>
      <c r="B25" s="1" t="s">
        <v>26</v>
      </c>
    </row>
    <row r="26" spans="1:5" x14ac:dyDescent="0.25">
      <c r="B26">
        <v>1</v>
      </c>
      <c r="C26" t="s">
        <v>980</v>
      </c>
    </row>
    <row r="27" spans="1:5" x14ac:dyDescent="0.25">
      <c r="D27" t="s">
        <v>27</v>
      </c>
    </row>
    <row r="28" spans="1:5" x14ac:dyDescent="0.25">
      <c r="D28">
        <v>1</v>
      </c>
      <c r="E28" t="s">
        <v>28</v>
      </c>
    </row>
    <row r="29" spans="1:5" x14ac:dyDescent="0.25">
      <c r="D29">
        <v>2</v>
      </c>
      <c r="E29" t="s">
        <v>98</v>
      </c>
    </row>
    <row r="30" spans="1:5" x14ac:dyDescent="0.25">
      <c r="D30">
        <v>3</v>
      </c>
      <c r="E30" t="s">
        <v>151</v>
      </c>
    </row>
    <row r="31" spans="1:5" x14ac:dyDescent="0.25">
      <c r="D31">
        <v>4</v>
      </c>
      <c r="E31" t="s">
        <v>30</v>
      </c>
    </row>
    <row r="32" spans="1:5" x14ac:dyDescent="0.25">
      <c r="B32">
        <v>2</v>
      </c>
      <c r="C32" t="s">
        <v>981</v>
      </c>
    </row>
    <row r="33" spans="2:5" x14ac:dyDescent="0.25">
      <c r="D33">
        <v>1</v>
      </c>
      <c r="E33" t="s">
        <v>31</v>
      </c>
    </row>
    <row r="34" spans="2:5" x14ac:dyDescent="0.25">
      <c r="D34">
        <v>2</v>
      </c>
      <c r="E34" t="s">
        <v>152</v>
      </c>
    </row>
    <row r="35" spans="2:5" x14ac:dyDescent="0.25">
      <c r="D35">
        <v>3</v>
      </c>
      <c r="E35" t="s">
        <v>153</v>
      </c>
    </row>
    <row r="36" spans="2:5" x14ac:dyDescent="0.25">
      <c r="D36">
        <v>3</v>
      </c>
      <c r="E36" t="s">
        <v>154</v>
      </c>
    </row>
    <row r="37" spans="2:5" x14ac:dyDescent="0.25">
      <c r="D37">
        <v>4</v>
      </c>
      <c r="E37" t="s">
        <v>155</v>
      </c>
    </row>
    <row r="38" spans="2:5" x14ac:dyDescent="0.25">
      <c r="D38" s="185" t="s">
        <v>156</v>
      </c>
      <c r="E38" t="s">
        <v>33</v>
      </c>
    </row>
    <row r="39" spans="2:5" x14ac:dyDescent="0.25">
      <c r="D39">
        <v>6</v>
      </c>
      <c r="E39" t="s">
        <v>34</v>
      </c>
    </row>
    <row r="40" spans="2:5" x14ac:dyDescent="0.25">
      <c r="B40">
        <v>3</v>
      </c>
      <c r="C40" t="s">
        <v>35</v>
      </c>
    </row>
    <row r="41" spans="2:5" x14ac:dyDescent="0.25">
      <c r="D41">
        <v>1</v>
      </c>
      <c r="E41" t="s">
        <v>36</v>
      </c>
    </row>
    <row r="42" spans="2:5" x14ac:dyDescent="0.25">
      <c r="D42">
        <v>2</v>
      </c>
      <c r="E42" t="s">
        <v>37</v>
      </c>
    </row>
    <row r="43" spans="2:5" x14ac:dyDescent="0.25">
      <c r="D43">
        <v>3</v>
      </c>
      <c r="E43" t="s">
        <v>38</v>
      </c>
    </row>
    <row r="44" spans="2:5" x14ac:dyDescent="0.25">
      <c r="B44">
        <v>4</v>
      </c>
      <c r="C44" t="s">
        <v>157</v>
      </c>
    </row>
    <row r="45" spans="2:5" x14ac:dyDescent="0.25">
      <c r="D45">
        <v>1</v>
      </c>
      <c r="E45" t="s">
        <v>158</v>
      </c>
    </row>
    <row r="46" spans="2:5" x14ac:dyDescent="0.25">
      <c r="B46">
        <v>5</v>
      </c>
      <c r="C46" t="s">
        <v>981</v>
      </c>
    </row>
    <row r="47" spans="2:5" x14ac:dyDescent="0.25">
      <c r="D47">
        <v>1</v>
      </c>
      <c r="E47" t="s">
        <v>39</v>
      </c>
    </row>
    <row r="48" spans="2:5" x14ac:dyDescent="0.25">
      <c r="D48">
        <v>2</v>
      </c>
      <c r="E48" t="s">
        <v>96</v>
      </c>
    </row>
    <row r="49" spans="2:10" x14ac:dyDescent="0.25">
      <c r="D49">
        <v>3</v>
      </c>
      <c r="E49" t="s">
        <v>40</v>
      </c>
    </row>
    <row r="50" spans="2:10" x14ac:dyDescent="0.25">
      <c r="B50">
        <v>6</v>
      </c>
      <c r="C50" t="s">
        <v>1843</v>
      </c>
      <c r="J50" s="186"/>
    </row>
    <row r="51" spans="2:10" x14ac:dyDescent="0.25">
      <c r="D51">
        <v>1</v>
      </c>
      <c r="E51" t="s">
        <v>1844</v>
      </c>
    </row>
    <row r="52" spans="2:10" x14ac:dyDescent="0.25">
      <c r="D52">
        <v>2</v>
      </c>
      <c r="E52" t="s">
        <v>1845</v>
      </c>
    </row>
    <row r="53" spans="2:10" x14ac:dyDescent="0.25">
      <c r="D53">
        <v>3</v>
      </c>
      <c r="E53" t="s">
        <v>1846</v>
      </c>
    </row>
    <row r="54" spans="2:10" x14ac:dyDescent="0.25">
      <c r="D54">
        <v>4</v>
      </c>
      <c r="E54" t="s">
        <v>1847</v>
      </c>
    </row>
    <row r="56" spans="2:10" x14ac:dyDescent="0.25">
      <c r="B56" s="1" t="s">
        <v>982</v>
      </c>
    </row>
    <row r="57" spans="2:10" x14ac:dyDescent="0.25">
      <c r="B57">
        <v>1</v>
      </c>
      <c r="C57" t="s">
        <v>983</v>
      </c>
    </row>
    <row r="58" spans="2:10" x14ac:dyDescent="0.25">
      <c r="D58" t="s">
        <v>41</v>
      </c>
    </row>
    <row r="59" spans="2:10" x14ac:dyDescent="0.25">
      <c r="D59">
        <v>1</v>
      </c>
      <c r="E59" t="s">
        <v>42</v>
      </c>
    </row>
    <row r="60" spans="2:10" x14ac:dyDescent="0.25">
      <c r="D60">
        <v>2</v>
      </c>
      <c r="E60" t="s">
        <v>43</v>
      </c>
    </row>
    <row r="61" spans="2:10" x14ac:dyDescent="0.25">
      <c r="D61">
        <v>3</v>
      </c>
      <c r="E61" t="s">
        <v>116</v>
      </c>
    </row>
    <row r="62" spans="2:10" x14ac:dyDescent="0.25">
      <c r="D62">
        <v>4</v>
      </c>
      <c r="E62" t="s">
        <v>1848</v>
      </c>
    </row>
    <row r="63" spans="2:10" x14ac:dyDescent="0.25">
      <c r="B63">
        <v>2</v>
      </c>
      <c r="C63" t="s">
        <v>984</v>
      </c>
    </row>
    <row r="64" spans="2:10" x14ac:dyDescent="0.25">
      <c r="D64">
        <v>1</v>
      </c>
      <c r="E64" t="s">
        <v>159</v>
      </c>
    </row>
    <row r="65" spans="1:5" x14ac:dyDescent="0.25">
      <c r="D65">
        <v>2</v>
      </c>
      <c r="E65" t="s">
        <v>160</v>
      </c>
    </row>
    <row r="66" spans="1:5" x14ac:dyDescent="0.25">
      <c r="B66">
        <v>3</v>
      </c>
      <c r="C66" t="s">
        <v>1849</v>
      </c>
    </row>
    <row r="67" spans="1:5" x14ac:dyDescent="0.25">
      <c r="D67">
        <v>1</v>
      </c>
      <c r="E67" t="s">
        <v>1850</v>
      </c>
    </row>
    <row r="68" spans="1:5" x14ac:dyDescent="0.25">
      <c r="B68">
        <v>4</v>
      </c>
      <c r="C68" t="s">
        <v>1851</v>
      </c>
    </row>
    <row r="69" spans="1:5" x14ac:dyDescent="0.25">
      <c r="D69">
        <v>1</v>
      </c>
      <c r="E69" t="s">
        <v>1852</v>
      </c>
    </row>
    <row r="70" spans="1:5" x14ac:dyDescent="0.25">
      <c r="D70">
        <v>2</v>
      </c>
      <c r="E70" t="s">
        <v>1853</v>
      </c>
    </row>
    <row r="71" spans="1:5" x14ac:dyDescent="0.25">
      <c r="D71">
        <v>3</v>
      </c>
      <c r="E71" t="s">
        <v>1854</v>
      </c>
    </row>
    <row r="73" spans="1:5" x14ac:dyDescent="0.25">
      <c r="B73">
        <v>5</v>
      </c>
      <c r="C73" t="s">
        <v>984</v>
      </c>
    </row>
    <row r="74" spans="1:5" x14ac:dyDescent="0.25">
      <c r="D74">
        <v>1</v>
      </c>
      <c r="E74" t="s">
        <v>44</v>
      </c>
    </row>
    <row r="75" spans="1:5" x14ac:dyDescent="0.25">
      <c r="D75">
        <v>2</v>
      </c>
      <c r="E75" t="s">
        <v>161</v>
      </c>
    </row>
    <row r="77" spans="1:5" x14ac:dyDescent="0.25">
      <c r="A77" s="1" t="s">
        <v>45</v>
      </c>
      <c r="B77" s="1" t="s">
        <v>46</v>
      </c>
    </row>
    <row r="78" spans="1:5" x14ac:dyDescent="0.25">
      <c r="B78">
        <v>1</v>
      </c>
      <c r="C78" t="s">
        <v>980</v>
      </c>
    </row>
    <row r="79" spans="1:5" x14ac:dyDescent="0.25">
      <c r="D79" t="s">
        <v>27</v>
      </c>
    </row>
    <row r="80" spans="1:5" x14ac:dyDescent="0.25">
      <c r="D80">
        <v>1</v>
      </c>
      <c r="E80" t="s">
        <v>47</v>
      </c>
    </row>
    <row r="81" spans="2:6" x14ac:dyDescent="0.25">
      <c r="D81">
        <v>2</v>
      </c>
      <c r="E81" t="s">
        <v>99</v>
      </c>
    </row>
    <row r="82" spans="2:6" x14ac:dyDescent="0.25">
      <c r="D82">
        <v>3</v>
      </c>
      <c r="E82" t="s">
        <v>29</v>
      </c>
    </row>
    <row r="83" spans="2:6" x14ac:dyDescent="0.25">
      <c r="E83" s="356" t="s">
        <v>48</v>
      </c>
      <c r="F83" t="s">
        <v>49</v>
      </c>
    </row>
    <row r="84" spans="2:6" x14ac:dyDescent="0.25">
      <c r="E84" s="356" t="s">
        <v>50</v>
      </c>
      <c r="F84" t="s">
        <v>1855</v>
      </c>
    </row>
    <row r="85" spans="2:6" x14ac:dyDescent="0.25">
      <c r="F85" t="s">
        <v>51</v>
      </c>
    </row>
    <row r="86" spans="2:6" x14ac:dyDescent="0.25">
      <c r="B86">
        <v>2</v>
      </c>
      <c r="C86" t="s">
        <v>981</v>
      </c>
    </row>
    <row r="87" spans="2:6" x14ac:dyDescent="0.25">
      <c r="D87">
        <v>1</v>
      </c>
      <c r="E87" t="s">
        <v>52</v>
      </c>
    </row>
    <row r="88" spans="2:6" x14ac:dyDescent="0.25">
      <c r="D88">
        <v>2</v>
      </c>
      <c r="E88" t="s">
        <v>152</v>
      </c>
    </row>
    <row r="89" spans="2:6" x14ac:dyDescent="0.25">
      <c r="D89" s="185" t="s">
        <v>32</v>
      </c>
      <c r="E89" t="s">
        <v>33</v>
      </c>
    </row>
    <row r="90" spans="2:6" x14ac:dyDescent="0.25">
      <c r="D90">
        <v>4</v>
      </c>
      <c r="E90" t="s">
        <v>53</v>
      </c>
    </row>
    <row r="91" spans="2:6" x14ac:dyDescent="0.25">
      <c r="B91">
        <v>3</v>
      </c>
      <c r="C91" t="s">
        <v>35</v>
      </c>
    </row>
    <row r="92" spans="2:6" x14ac:dyDescent="0.25">
      <c r="D92">
        <v>1</v>
      </c>
      <c r="E92" t="s">
        <v>54</v>
      </c>
    </row>
    <row r="93" spans="2:6" x14ac:dyDescent="0.25">
      <c r="D93">
        <v>2</v>
      </c>
      <c r="E93" t="s">
        <v>37</v>
      </c>
    </row>
    <row r="94" spans="2:6" x14ac:dyDescent="0.25">
      <c r="D94">
        <v>3</v>
      </c>
      <c r="E94" t="s">
        <v>38</v>
      </c>
    </row>
    <row r="95" spans="2:6" x14ac:dyDescent="0.25">
      <c r="B95">
        <v>4</v>
      </c>
      <c r="C95" t="s">
        <v>157</v>
      </c>
    </row>
    <row r="96" spans="2:6" x14ac:dyDescent="0.25">
      <c r="D96">
        <v>1</v>
      </c>
      <c r="E96" t="s">
        <v>158</v>
      </c>
    </row>
    <row r="97" spans="2:10" x14ac:dyDescent="0.25">
      <c r="B97">
        <v>5</v>
      </c>
      <c r="C97" t="s">
        <v>981</v>
      </c>
    </row>
    <row r="98" spans="2:10" x14ac:dyDescent="0.25">
      <c r="D98">
        <v>1</v>
      </c>
      <c r="E98" t="s">
        <v>39</v>
      </c>
    </row>
    <row r="99" spans="2:10" x14ac:dyDescent="0.25">
      <c r="D99">
        <v>2</v>
      </c>
      <c r="E99" t="s">
        <v>96</v>
      </c>
    </row>
    <row r="100" spans="2:10" x14ac:dyDescent="0.25">
      <c r="D100">
        <v>3</v>
      </c>
      <c r="E100" t="s">
        <v>40</v>
      </c>
      <c r="J100" s="186"/>
    </row>
    <row r="101" spans="2:10" x14ac:dyDescent="0.25">
      <c r="B101">
        <v>6</v>
      </c>
      <c r="C101" t="s">
        <v>1843</v>
      </c>
    </row>
    <row r="102" spans="2:10" x14ac:dyDescent="0.25">
      <c r="D102">
        <v>1</v>
      </c>
      <c r="E102" t="s">
        <v>1844</v>
      </c>
    </row>
    <row r="103" spans="2:10" x14ac:dyDescent="0.25">
      <c r="D103">
        <v>2</v>
      </c>
      <c r="E103" t="s">
        <v>1845</v>
      </c>
    </row>
    <row r="104" spans="2:10" x14ac:dyDescent="0.25">
      <c r="D104">
        <v>3</v>
      </c>
      <c r="E104" t="s">
        <v>1846</v>
      </c>
    </row>
    <row r="105" spans="2:10" x14ac:dyDescent="0.25">
      <c r="D105">
        <v>4</v>
      </c>
      <c r="E105" t="s">
        <v>1847</v>
      </c>
    </row>
    <row r="106" spans="2:10" x14ac:dyDescent="0.25">
      <c r="B106" s="1" t="s">
        <v>55</v>
      </c>
    </row>
    <row r="107" spans="2:10" x14ac:dyDescent="0.25">
      <c r="B107">
        <v>1</v>
      </c>
      <c r="C107" t="s">
        <v>983</v>
      </c>
    </row>
    <row r="108" spans="2:10" x14ac:dyDescent="0.25">
      <c r="D108" t="s">
        <v>41</v>
      </c>
    </row>
    <row r="109" spans="2:10" x14ac:dyDescent="0.25">
      <c r="D109">
        <v>1</v>
      </c>
      <c r="E109" t="s">
        <v>56</v>
      </c>
    </row>
    <row r="110" spans="2:10" x14ac:dyDescent="0.25">
      <c r="D110">
        <v>2</v>
      </c>
      <c r="E110" t="s">
        <v>43</v>
      </c>
    </row>
    <row r="111" spans="2:10" x14ac:dyDescent="0.25">
      <c r="E111" s="356" t="s">
        <v>48</v>
      </c>
      <c r="F111" t="s">
        <v>57</v>
      </c>
    </row>
    <row r="112" spans="2:10" x14ac:dyDescent="0.25">
      <c r="E112" s="356" t="s">
        <v>50</v>
      </c>
      <c r="F112" t="s">
        <v>58</v>
      </c>
    </row>
    <row r="113" spans="2:6" x14ac:dyDescent="0.25">
      <c r="F113" t="s">
        <v>59</v>
      </c>
    </row>
    <row r="114" spans="2:6" x14ac:dyDescent="0.25">
      <c r="D114">
        <v>3</v>
      </c>
      <c r="E114" t="s">
        <v>1848</v>
      </c>
    </row>
    <row r="115" spans="2:6" x14ac:dyDescent="0.25">
      <c r="B115">
        <v>2</v>
      </c>
      <c r="C115" t="s">
        <v>984</v>
      </c>
    </row>
    <row r="116" spans="2:6" x14ac:dyDescent="0.25">
      <c r="D116">
        <v>1</v>
      </c>
      <c r="E116" t="s">
        <v>60</v>
      </c>
    </row>
    <row r="117" spans="2:6" x14ac:dyDescent="0.25">
      <c r="D117">
        <v>2</v>
      </c>
      <c r="E117" t="s">
        <v>160</v>
      </c>
    </row>
    <row r="118" spans="2:6" x14ac:dyDescent="0.25">
      <c r="E118" t="s">
        <v>1856</v>
      </c>
    </row>
    <row r="119" spans="2:6" x14ac:dyDescent="0.25">
      <c r="B119">
        <v>3</v>
      </c>
      <c r="C119" t="s">
        <v>1849</v>
      </c>
    </row>
    <row r="120" spans="2:6" x14ac:dyDescent="0.25">
      <c r="D120">
        <v>1</v>
      </c>
      <c r="E120" t="s">
        <v>1850</v>
      </c>
    </row>
    <row r="121" spans="2:6" x14ac:dyDescent="0.25">
      <c r="B121">
        <v>4</v>
      </c>
      <c r="C121" t="s">
        <v>1851</v>
      </c>
    </row>
    <row r="122" spans="2:6" x14ac:dyDescent="0.25">
      <c r="D122">
        <v>1</v>
      </c>
      <c r="E122" t="s">
        <v>1852</v>
      </c>
    </row>
    <row r="123" spans="2:6" x14ac:dyDescent="0.25">
      <c r="D123">
        <v>2</v>
      </c>
      <c r="E123" t="s">
        <v>1853</v>
      </c>
    </row>
    <row r="124" spans="2:6" x14ac:dyDescent="0.25">
      <c r="D124">
        <v>3</v>
      </c>
      <c r="E124" t="s">
        <v>1857</v>
      </c>
    </row>
    <row r="125" spans="2:6" x14ac:dyDescent="0.25">
      <c r="D125">
        <v>4</v>
      </c>
      <c r="E125" t="s">
        <v>1854</v>
      </c>
    </row>
    <row r="126" spans="2:6" x14ac:dyDescent="0.25">
      <c r="B126">
        <v>5</v>
      </c>
      <c r="C126" t="s">
        <v>984</v>
      </c>
    </row>
    <row r="127" spans="2:6" x14ac:dyDescent="0.25">
      <c r="D127">
        <v>1</v>
      </c>
      <c r="E127" t="s">
        <v>44</v>
      </c>
    </row>
    <row r="132" spans="2:7" x14ac:dyDescent="0.25">
      <c r="B132" s="49" t="s">
        <v>61</v>
      </c>
      <c r="C132" s="49"/>
      <c r="D132" s="49"/>
    </row>
    <row r="134" spans="2:7" x14ac:dyDescent="0.25">
      <c r="B134" s="1" t="s">
        <v>62</v>
      </c>
      <c r="C134" t="s">
        <v>63</v>
      </c>
    </row>
    <row r="135" spans="2:7" x14ac:dyDescent="0.25">
      <c r="C135" t="s">
        <v>64</v>
      </c>
    </row>
    <row r="136" spans="2:7" x14ac:dyDescent="0.25">
      <c r="C136" t="s">
        <v>122</v>
      </c>
    </row>
    <row r="137" spans="2:7" ht="15.75" thickBot="1" x14ac:dyDescent="0.3">
      <c r="C137" s="357"/>
      <c r="D137" s="358"/>
      <c r="E137" s="358"/>
      <c r="F137" s="358"/>
      <c r="G137" s="357"/>
    </row>
    <row r="138" spans="2:7" x14ac:dyDescent="0.25">
      <c r="C138" s="359"/>
      <c r="D138" s="187" t="s">
        <v>23</v>
      </c>
      <c r="E138" s="188"/>
      <c r="F138" s="189">
        <v>3.52</v>
      </c>
      <c r="G138" s="360"/>
    </row>
    <row r="139" spans="2:7" x14ac:dyDescent="0.25">
      <c r="C139" s="359"/>
      <c r="D139" s="361" t="s">
        <v>65</v>
      </c>
      <c r="E139" s="362"/>
      <c r="F139" s="363">
        <v>1.23</v>
      </c>
      <c r="G139" s="360"/>
    </row>
    <row r="140" spans="2:7" x14ac:dyDescent="0.25">
      <c r="C140" s="359"/>
      <c r="D140" s="361" t="s">
        <v>66</v>
      </c>
      <c r="E140" s="362"/>
      <c r="F140" s="363">
        <v>0.02</v>
      </c>
      <c r="G140" s="360"/>
    </row>
    <row r="141" spans="2:7" ht="15.75" thickBot="1" x14ac:dyDescent="0.3">
      <c r="C141" s="359"/>
      <c r="D141" s="364" t="s">
        <v>67</v>
      </c>
      <c r="E141" s="365"/>
      <c r="F141" s="366">
        <v>4.21</v>
      </c>
      <c r="G141" s="360"/>
    </row>
    <row r="142" spans="2:7" x14ac:dyDescent="0.25">
      <c r="C142" s="357"/>
      <c r="D142" s="190"/>
      <c r="E142" s="190"/>
      <c r="F142" s="190"/>
      <c r="G142" s="357"/>
    </row>
    <row r="150" spans="2:4" x14ac:dyDescent="0.25">
      <c r="B150" s="1" t="s">
        <v>980</v>
      </c>
    </row>
    <row r="151" spans="2:4" x14ac:dyDescent="0.25">
      <c r="C151" s="5" t="s">
        <v>68</v>
      </c>
    </row>
    <row r="152" spans="2:4" x14ac:dyDescent="0.25">
      <c r="C152" t="s">
        <v>69</v>
      </c>
    </row>
    <row r="153" spans="2:4" x14ac:dyDescent="0.25">
      <c r="C153" t="s">
        <v>70</v>
      </c>
    </row>
    <row r="154" spans="2:4" x14ac:dyDescent="0.25">
      <c r="C154" t="s">
        <v>71</v>
      </c>
    </row>
    <row r="156" spans="2:4" x14ac:dyDescent="0.25">
      <c r="C156" s="5" t="s">
        <v>72</v>
      </c>
    </row>
    <row r="157" spans="2:4" x14ac:dyDescent="0.25">
      <c r="C157" t="s">
        <v>73</v>
      </c>
    </row>
    <row r="158" spans="2:4" x14ac:dyDescent="0.25">
      <c r="D158" t="s">
        <v>13</v>
      </c>
    </row>
    <row r="159" spans="2:4" x14ac:dyDescent="0.25">
      <c r="C159" t="s">
        <v>100</v>
      </c>
    </row>
    <row r="161" spans="2:5" x14ac:dyDescent="0.25">
      <c r="B161" s="1" t="s">
        <v>983</v>
      </c>
    </row>
    <row r="162" spans="2:5" x14ac:dyDescent="0.25">
      <c r="C162" s="5" t="s">
        <v>74</v>
      </c>
    </row>
    <row r="163" spans="2:5" x14ac:dyDescent="0.25">
      <c r="C163" t="s">
        <v>75</v>
      </c>
    </row>
    <row r="164" spans="2:5" x14ac:dyDescent="0.25">
      <c r="C164" t="s">
        <v>70</v>
      </c>
    </row>
    <row r="166" spans="2:5" x14ac:dyDescent="0.25">
      <c r="C166" s="5" t="s">
        <v>76</v>
      </c>
    </row>
    <row r="167" spans="2:5" x14ac:dyDescent="0.25">
      <c r="C167" s="192" t="s">
        <v>14</v>
      </c>
    </row>
    <row r="168" spans="2:5" x14ac:dyDescent="0.25">
      <c r="C168" s="192"/>
      <c r="D168" t="s">
        <v>13</v>
      </c>
    </row>
    <row r="169" spans="2:5" x14ac:dyDescent="0.25">
      <c r="C169" s="192"/>
    </row>
    <row r="170" spans="2:5" x14ac:dyDescent="0.25">
      <c r="B170" s="1" t="s">
        <v>981</v>
      </c>
      <c r="C170" s="192"/>
    </row>
    <row r="171" spans="2:5" x14ac:dyDescent="0.25">
      <c r="C171" s="5" t="s">
        <v>101</v>
      </c>
    </row>
    <row r="172" spans="2:5" x14ac:dyDescent="0.25">
      <c r="C172" t="s">
        <v>102</v>
      </c>
    </row>
    <row r="173" spans="2:5" x14ac:dyDescent="0.25">
      <c r="D173" t="s">
        <v>77</v>
      </c>
    </row>
    <row r="174" spans="2:5" x14ac:dyDescent="0.25">
      <c r="E174" t="s">
        <v>78</v>
      </c>
    </row>
    <row r="175" spans="2:5" x14ac:dyDescent="0.25">
      <c r="E175" t="s">
        <v>79</v>
      </c>
    </row>
    <row r="176" spans="2:5" x14ac:dyDescent="0.25">
      <c r="D176" t="s">
        <v>15</v>
      </c>
    </row>
    <row r="177" spans="3:12" x14ac:dyDescent="0.25">
      <c r="E177" t="s">
        <v>16</v>
      </c>
    </row>
    <row r="178" spans="3:12" x14ac:dyDescent="0.25">
      <c r="E178" t="s">
        <v>10</v>
      </c>
    </row>
    <row r="179" spans="3:12" x14ac:dyDescent="0.25">
      <c r="E179" t="s">
        <v>80</v>
      </c>
    </row>
    <row r="180" spans="3:12" x14ac:dyDescent="0.25">
      <c r="D180" t="s">
        <v>81</v>
      </c>
    </row>
    <row r="181" spans="3:12" x14ac:dyDescent="0.25">
      <c r="D181" t="s">
        <v>97</v>
      </c>
    </row>
    <row r="182" spans="3:12" x14ac:dyDescent="0.25">
      <c r="D182" t="s">
        <v>17</v>
      </c>
    </row>
    <row r="183" spans="3:12" x14ac:dyDescent="0.25">
      <c r="C183" t="s">
        <v>103</v>
      </c>
    </row>
    <row r="185" spans="3:12" x14ac:dyDescent="0.25">
      <c r="D185" t="s">
        <v>985</v>
      </c>
    </row>
    <row r="186" spans="3:12" ht="15.75" thickBot="1" x14ac:dyDescent="0.3"/>
    <row r="187" spans="3:12" ht="15.75" thickBot="1" x14ac:dyDescent="0.3">
      <c r="E187" s="367" t="s">
        <v>0</v>
      </c>
      <c r="F187" s="300" t="s">
        <v>1</v>
      </c>
      <c r="G187" s="422" t="s">
        <v>4</v>
      </c>
      <c r="H187" s="423"/>
      <c r="I187" s="423"/>
      <c r="J187" s="423"/>
      <c r="K187" s="423"/>
      <c r="L187" s="424"/>
    </row>
    <row r="188" spans="3:12" x14ac:dyDescent="0.25">
      <c r="E188" s="368" t="s">
        <v>162</v>
      </c>
      <c r="F188" s="111" t="s">
        <v>163</v>
      </c>
      <c r="G188" s="425" t="s">
        <v>164</v>
      </c>
      <c r="H188" s="426"/>
      <c r="I188" s="426"/>
      <c r="J188" s="426"/>
      <c r="K188" s="426"/>
      <c r="L188" s="427"/>
    </row>
    <row r="189" spans="3:12" x14ac:dyDescent="0.25">
      <c r="E189" s="350" t="s">
        <v>165</v>
      </c>
      <c r="F189" s="334" t="s">
        <v>166</v>
      </c>
      <c r="G189" s="428" t="s">
        <v>167</v>
      </c>
      <c r="H189" s="429"/>
      <c r="I189" s="429"/>
      <c r="J189" s="429"/>
      <c r="K189" s="429"/>
      <c r="L189" s="430"/>
    </row>
    <row r="190" spans="3:12" x14ac:dyDescent="0.25">
      <c r="E190" s="350" t="s">
        <v>168</v>
      </c>
      <c r="F190" s="334" t="s">
        <v>169</v>
      </c>
      <c r="G190" s="428" t="s">
        <v>170</v>
      </c>
      <c r="H190" s="429"/>
      <c r="I190" s="429"/>
      <c r="J190" s="429"/>
      <c r="K190" s="429"/>
      <c r="L190" s="430"/>
    </row>
    <row r="191" spans="3:12" x14ac:dyDescent="0.25">
      <c r="E191" s="350" t="s">
        <v>171</v>
      </c>
      <c r="F191" s="334" t="s">
        <v>172</v>
      </c>
      <c r="G191" s="428" t="s">
        <v>173</v>
      </c>
      <c r="H191" s="429"/>
      <c r="I191" s="429"/>
      <c r="J191" s="429"/>
      <c r="K191" s="429"/>
      <c r="L191" s="430"/>
    </row>
    <row r="192" spans="3:12" x14ac:dyDescent="0.25">
      <c r="E192" s="350" t="s">
        <v>174</v>
      </c>
      <c r="F192" s="334" t="s">
        <v>175</v>
      </c>
      <c r="G192" s="428" t="s">
        <v>176</v>
      </c>
      <c r="H192" s="429"/>
      <c r="I192" s="429"/>
      <c r="J192" s="429"/>
      <c r="K192" s="429"/>
      <c r="L192" s="430"/>
    </row>
    <row r="193" spans="4:12" x14ac:dyDescent="0.25">
      <c r="E193" s="350" t="s">
        <v>177</v>
      </c>
      <c r="F193" s="334" t="s">
        <v>178</v>
      </c>
      <c r="G193" s="428" t="s">
        <v>179</v>
      </c>
      <c r="H193" s="429"/>
      <c r="I193" s="429"/>
      <c r="J193" s="429"/>
      <c r="K193" s="429"/>
      <c r="L193" s="430"/>
    </row>
    <row r="194" spans="4:12" x14ac:dyDescent="0.25">
      <c r="E194" s="350" t="s">
        <v>180</v>
      </c>
      <c r="F194" s="334" t="s">
        <v>181</v>
      </c>
      <c r="G194" s="428" t="s">
        <v>182</v>
      </c>
      <c r="H194" s="429"/>
      <c r="I194" s="429"/>
      <c r="J194" s="429"/>
      <c r="K194" s="429"/>
      <c r="L194" s="430"/>
    </row>
    <row r="195" spans="4:12" x14ac:dyDescent="0.25">
      <c r="E195" s="350" t="s">
        <v>148</v>
      </c>
      <c r="F195" s="334" t="s">
        <v>146</v>
      </c>
      <c r="G195" s="428" t="s">
        <v>147</v>
      </c>
      <c r="H195" s="429"/>
      <c r="I195" s="429"/>
      <c r="J195" s="429"/>
      <c r="K195" s="429"/>
      <c r="L195" s="430"/>
    </row>
    <row r="196" spans="4:12" ht="15.75" thickBot="1" x14ac:dyDescent="0.3">
      <c r="E196" s="351" t="s">
        <v>183</v>
      </c>
      <c r="F196" s="352" t="s">
        <v>184</v>
      </c>
      <c r="G196" s="431" t="s">
        <v>185</v>
      </c>
      <c r="H196" s="432"/>
      <c r="I196" s="432"/>
      <c r="J196" s="432"/>
      <c r="K196" s="432"/>
      <c r="L196" s="433"/>
    </row>
    <row r="197" spans="4:12" x14ac:dyDescent="0.25">
      <c r="E197" s="44"/>
      <c r="F197" s="45"/>
      <c r="G197" s="45"/>
    </row>
    <row r="198" spans="4:12" ht="15.75" thickBot="1" x14ac:dyDescent="0.3">
      <c r="D198" t="s">
        <v>186</v>
      </c>
    </row>
    <row r="199" spans="4:12" ht="15.75" thickBot="1" x14ac:dyDescent="0.3">
      <c r="E199" s="369" t="s">
        <v>0</v>
      </c>
      <c r="F199" s="370" t="s">
        <v>1</v>
      </c>
      <c r="G199" s="371" t="s">
        <v>4</v>
      </c>
    </row>
    <row r="200" spans="4:12" x14ac:dyDescent="0.25">
      <c r="E200" s="342" t="s">
        <v>187</v>
      </c>
      <c r="F200" s="372" t="s">
        <v>188</v>
      </c>
      <c r="G200" s="373" t="s">
        <v>189</v>
      </c>
    </row>
    <row r="201" spans="4:12" x14ac:dyDescent="0.25">
      <c r="E201" s="345" t="s">
        <v>190</v>
      </c>
      <c r="F201" s="374" t="s">
        <v>191</v>
      </c>
      <c r="G201" s="375" t="s">
        <v>192</v>
      </c>
    </row>
    <row r="202" spans="4:12" x14ac:dyDescent="0.25">
      <c r="E202" s="345" t="s">
        <v>193</v>
      </c>
      <c r="F202" s="338" t="s">
        <v>194</v>
      </c>
      <c r="G202" s="376" t="s">
        <v>195</v>
      </c>
    </row>
    <row r="203" spans="4:12" x14ac:dyDescent="0.25">
      <c r="E203" s="345" t="s">
        <v>196</v>
      </c>
      <c r="F203" s="338" t="s">
        <v>197</v>
      </c>
      <c r="G203" s="376" t="s">
        <v>198</v>
      </c>
    </row>
    <row r="204" spans="4:12" x14ac:dyDescent="0.25">
      <c r="E204" s="345" t="s">
        <v>199</v>
      </c>
      <c r="F204" s="338" t="s">
        <v>200</v>
      </c>
      <c r="G204" s="376" t="s">
        <v>201</v>
      </c>
    </row>
    <row r="205" spans="4:12" ht="15.75" thickBot="1" x14ac:dyDescent="0.3">
      <c r="E205" s="377" t="s">
        <v>202</v>
      </c>
      <c r="F205" s="378" t="s">
        <v>203</v>
      </c>
      <c r="G205" s="379" t="s">
        <v>204</v>
      </c>
    </row>
    <row r="207" spans="4:12" x14ac:dyDescent="0.25">
      <c r="D207" t="s">
        <v>205</v>
      </c>
    </row>
    <row r="209" spans="2:7" x14ac:dyDescent="0.25">
      <c r="C209" t="s">
        <v>1858</v>
      </c>
    </row>
    <row r="210" spans="2:7" x14ac:dyDescent="0.25">
      <c r="C210" t="s">
        <v>108</v>
      </c>
    </row>
    <row r="211" spans="2:7" x14ac:dyDescent="0.25">
      <c r="D211" t="s">
        <v>111</v>
      </c>
    </row>
    <row r="212" spans="2:7" x14ac:dyDescent="0.25">
      <c r="C212" t="s">
        <v>109</v>
      </c>
    </row>
    <row r="213" spans="2:7" x14ac:dyDescent="0.25">
      <c r="C213" t="s">
        <v>206</v>
      </c>
    </row>
    <row r="216" spans="2:7" x14ac:dyDescent="0.25">
      <c r="B216" s="1" t="s">
        <v>984</v>
      </c>
    </row>
    <row r="217" spans="2:7" x14ac:dyDescent="0.25">
      <c r="C217" s="5" t="s">
        <v>82</v>
      </c>
    </row>
    <row r="218" spans="2:7" x14ac:dyDescent="0.25">
      <c r="C218" t="s">
        <v>83</v>
      </c>
    </row>
    <row r="219" spans="2:7" x14ac:dyDescent="0.25">
      <c r="D219" t="s">
        <v>84</v>
      </c>
      <c r="F219" s="191"/>
      <c r="G219" s="191"/>
    </row>
    <row r="220" spans="2:7" x14ac:dyDescent="0.25">
      <c r="E220" t="s">
        <v>18</v>
      </c>
    </row>
    <row r="221" spans="2:7" x14ac:dyDescent="0.25">
      <c r="E221" t="s">
        <v>19</v>
      </c>
    </row>
    <row r="222" spans="2:7" x14ac:dyDescent="0.25">
      <c r="D222" t="s">
        <v>85</v>
      </c>
    </row>
    <row r="223" spans="2:7" ht="18" x14ac:dyDescent="0.35">
      <c r="E223" t="s">
        <v>20</v>
      </c>
    </row>
    <row r="224" spans="2:7" ht="18" x14ac:dyDescent="0.35">
      <c r="E224" t="s">
        <v>86</v>
      </c>
    </row>
    <row r="225" spans="2:4" x14ac:dyDescent="0.25">
      <c r="D225" t="s">
        <v>22</v>
      </c>
    </row>
    <row r="226" spans="2:4" x14ac:dyDescent="0.25">
      <c r="D226" t="s">
        <v>21</v>
      </c>
    </row>
    <row r="227" spans="2:4" x14ac:dyDescent="0.25">
      <c r="D227" t="s">
        <v>87</v>
      </c>
    </row>
    <row r="229" spans="2:4" x14ac:dyDescent="0.25">
      <c r="C229" s="5"/>
    </row>
    <row r="233" spans="2:4" x14ac:dyDescent="0.25">
      <c r="D233" t="s">
        <v>88</v>
      </c>
    </row>
    <row r="237" spans="2:4" x14ac:dyDescent="0.25">
      <c r="D237" t="s">
        <v>89</v>
      </c>
    </row>
    <row r="240" spans="2:4" x14ac:dyDescent="0.25">
      <c r="B240" s="5" t="s">
        <v>118</v>
      </c>
    </row>
    <row r="241" spans="2:4" x14ac:dyDescent="0.25">
      <c r="B241" s="5"/>
      <c r="C241" s="5" t="s">
        <v>119</v>
      </c>
    </row>
    <row r="242" spans="2:4" x14ac:dyDescent="0.25">
      <c r="B242" s="5"/>
      <c r="C242" t="s">
        <v>120</v>
      </c>
    </row>
    <row r="243" spans="2:4" x14ac:dyDescent="0.25">
      <c r="B243" s="5"/>
      <c r="D243" t="s">
        <v>121</v>
      </c>
    </row>
    <row r="244" spans="2:4" x14ac:dyDescent="0.25">
      <c r="B244" s="5"/>
    </row>
    <row r="245" spans="2:4" x14ac:dyDescent="0.25">
      <c r="B245" s="5" t="s">
        <v>157</v>
      </c>
    </row>
    <row r="246" spans="2:4" x14ac:dyDescent="0.25">
      <c r="B246" s="5"/>
      <c r="C246" s="5" t="s">
        <v>207</v>
      </c>
    </row>
    <row r="247" spans="2:4" x14ac:dyDescent="0.25">
      <c r="B247" s="5"/>
      <c r="C247" t="s">
        <v>208</v>
      </c>
    </row>
    <row r="248" spans="2:4" x14ac:dyDescent="0.25">
      <c r="B248" s="5"/>
    </row>
    <row r="249" spans="2:4" x14ac:dyDescent="0.25">
      <c r="B249" s="5" t="s">
        <v>91</v>
      </c>
    </row>
    <row r="250" spans="2:4" x14ac:dyDescent="0.25">
      <c r="C250" t="s">
        <v>986</v>
      </c>
    </row>
    <row r="251" spans="2:4" x14ac:dyDescent="0.25">
      <c r="C251" s="5" t="s">
        <v>95</v>
      </c>
    </row>
    <row r="252" spans="2:4" x14ac:dyDescent="0.25">
      <c r="D252" t="s">
        <v>92</v>
      </c>
    </row>
    <row r="253" spans="2:4" x14ac:dyDescent="0.25">
      <c r="D253" t="s">
        <v>93</v>
      </c>
    </row>
    <row r="254" spans="2:4" x14ac:dyDescent="0.25">
      <c r="D254" t="s">
        <v>94</v>
      </c>
    </row>
  </sheetData>
  <mergeCells count="11">
    <mergeCell ref="G196:L196"/>
    <mergeCell ref="G191:L191"/>
    <mergeCell ref="G192:L192"/>
    <mergeCell ref="G193:L193"/>
    <mergeCell ref="G194:L194"/>
    <mergeCell ref="G195:L195"/>
    <mergeCell ref="D3:F4"/>
    <mergeCell ref="G187:L187"/>
    <mergeCell ref="G188:L188"/>
    <mergeCell ref="G189:L189"/>
    <mergeCell ref="G190:L190"/>
  </mergeCells>
  <hyperlinks>
    <hyperlink ref="H11" r:id="rId1"/>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
  <dimension ref="A1:J122"/>
  <sheetViews>
    <sheetView showGridLines="0" zoomScaleNormal="100" workbookViewId="0">
      <selection activeCell="B122" sqref="B122:D122"/>
    </sheetView>
  </sheetViews>
  <sheetFormatPr defaultColWidth="9.140625" defaultRowHeight="15" x14ac:dyDescent="0.25"/>
  <cols>
    <col min="1" max="1" width="8.5703125" style="103" customWidth="1"/>
    <col min="2" max="2" width="17.42578125" style="114" customWidth="1"/>
    <col min="3" max="3" width="75" style="114" customWidth="1"/>
    <col min="4" max="4" width="14.42578125" style="103" customWidth="1"/>
    <col min="5" max="6" width="14.42578125" style="253" customWidth="1"/>
    <col min="7" max="7" width="22.7109375" style="253" bestFit="1" customWidth="1"/>
    <col min="8" max="8" width="14.42578125" style="253" customWidth="1"/>
    <col min="9" max="9" width="19.5703125" style="103" customWidth="1"/>
    <col min="10" max="10" width="88.28515625" style="103" bestFit="1" customWidth="1"/>
    <col min="11" max="11" width="9.85546875" style="103" customWidth="1"/>
    <col min="12" max="12" width="16" style="103" customWidth="1"/>
    <col min="13" max="13" width="14.85546875" style="103" customWidth="1"/>
    <col min="14" max="14" width="47" style="103" customWidth="1"/>
    <col min="15" max="15" width="9.140625" style="103" customWidth="1"/>
    <col min="16" max="16" width="12" style="103" bestFit="1" customWidth="1"/>
    <col min="17" max="16384" width="9.140625" style="103"/>
  </cols>
  <sheetData>
    <row r="1" spans="1:10" s="99" customFormat="1" ht="54" customHeight="1" x14ac:dyDescent="0.25">
      <c r="A1" s="97"/>
      <c r="B1" s="98"/>
      <c r="C1" s="98"/>
      <c r="E1" s="250"/>
      <c r="F1" s="250"/>
      <c r="G1" s="250"/>
      <c r="H1" s="250"/>
    </row>
    <row r="2" spans="1:10" s="257" customFormat="1" ht="15.75" thickBot="1" x14ac:dyDescent="0.3">
      <c r="B2" s="253"/>
      <c r="C2" s="109"/>
      <c r="D2" s="275"/>
      <c r="E2" s="110"/>
      <c r="F2" s="110"/>
      <c r="G2" s="110"/>
      <c r="H2" s="110"/>
      <c r="I2" s="110"/>
      <c r="J2" s="110"/>
    </row>
    <row r="3" spans="1:10" s="276" customFormat="1" ht="15.75" thickBot="1" x14ac:dyDescent="0.3">
      <c r="A3" s="277" t="s">
        <v>1351</v>
      </c>
      <c r="B3" s="277"/>
      <c r="C3" s="278"/>
      <c r="D3" s="279"/>
      <c r="E3" s="280"/>
      <c r="F3" s="280"/>
      <c r="G3" s="280"/>
      <c r="H3" s="280"/>
      <c r="I3" s="280"/>
      <c r="J3" s="280"/>
    </row>
    <row r="4" spans="1:10" s="281" customFormat="1" ht="15.75" thickBot="1" x14ac:dyDescent="0.3">
      <c r="B4" s="282"/>
      <c r="C4" s="283"/>
      <c r="D4" s="284"/>
      <c r="E4" s="285"/>
      <c r="F4" s="285"/>
      <c r="G4" s="285"/>
      <c r="H4" s="285"/>
      <c r="I4" s="285"/>
      <c r="J4" s="285"/>
    </row>
    <row r="5" spans="1:10" ht="15.75" thickBot="1" x14ac:dyDescent="0.3">
      <c r="A5" s="100"/>
      <c r="B5" s="101"/>
      <c r="C5" s="102" t="s">
        <v>399</v>
      </c>
      <c r="D5" s="101" t="s">
        <v>519</v>
      </c>
      <c r="E5" s="108"/>
      <c r="F5" s="108"/>
      <c r="G5" s="108"/>
      <c r="H5" s="108"/>
      <c r="I5" s="101"/>
    </row>
    <row r="6" spans="1:10" s="100" customFormat="1" ht="15.75" thickBot="1" x14ac:dyDescent="0.3">
      <c r="B6" s="242" t="s">
        <v>0</v>
      </c>
      <c r="C6" s="243" t="s">
        <v>1</v>
      </c>
      <c r="D6" s="244" t="s">
        <v>988</v>
      </c>
      <c r="E6" s="244" t="s">
        <v>578</v>
      </c>
      <c r="F6" s="244" t="s">
        <v>579</v>
      </c>
      <c r="G6" s="244" t="s">
        <v>2</v>
      </c>
      <c r="H6" s="244" t="s">
        <v>545</v>
      </c>
      <c r="I6" s="244" t="s">
        <v>113</v>
      </c>
      <c r="J6" s="245" t="s">
        <v>114</v>
      </c>
    </row>
    <row r="7" spans="1:10" s="100" customFormat="1" ht="18" x14ac:dyDescent="0.25">
      <c r="B7" s="121" t="s">
        <v>432</v>
      </c>
      <c r="C7" s="111" t="s">
        <v>212</v>
      </c>
      <c r="D7" s="122">
        <v>3</v>
      </c>
      <c r="E7" s="249">
        <v>0</v>
      </c>
      <c r="F7" s="249" t="s">
        <v>1328</v>
      </c>
      <c r="G7" s="122" t="s">
        <v>440</v>
      </c>
      <c r="H7" s="249">
        <v>1</v>
      </c>
      <c r="I7" s="125"/>
      <c r="J7" s="151"/>
    </row>
    <row r="8" spans="1:10" s="100" customFormat="1" ht="18" x14ac:dyDescent="0.25">
      <c r="B8" s="115" t="s">
        <v>433</v>
      </c>
      <c r="C8" s="106" t="s">
        <v>942</v>
      </c>
      <c r="D8" s="116">
        <v>0.1</v>
      </c>
      <c r="E8" s="251">
        <v>0</v>
      </c>
      <c r="F8" s="251" t="s">
        <v>1328</v>
      </c>
      <c r="G8" s="116" t="s">
        <v>943</v>
      </c>
      <c r="H8" s="251">
        <v>1</v>
      </c>
      <c r="I8" s="105"/>
      <c r="J8" s="153"/>
    </row>
    <row r="9" spans="1:10" s="100" customFormat="1" ht="18" x14ac:dyDescent="0.25">
      <c r="B9" s="115" t="s">
        <v>434</v>
      </c>
      <c r="C9" s="106" t="s">
        <v>213</v>
      </c>
      <c r="D9" s="116">
        <v>0.6</v>
      </c>
      <c r="E9" s="251">
        <v>0</v>
      </c>
      <c r="F9" s="251" t="s">
        <v>1328</v>
      </c>
      <c r="G9" s="116" t="s">
        <v>1358</v>
      </c>
      <c r="H9" s="251">
        <v>1</v>
      </c>
      <c r="I9" s="105"/>
      <c r="J9" s="153"/>
    </row>
    <row r="10" spans="1:10" s="100" customFormat="1" ht="18" x14ac:dyDescent="0.25">
      <c r="B10" s="115" t="s">
        <v>435</v>
      </c>
      <c r="C10" s="106" t="s">
        <v>215</v>
      </c>
      <c r="D10" s="116">
        <v>0.4</v>
      </c>
      <c r="E10" s="251">
        <v>0</v>
      </c>
      <c r="F10" s="251" t="s">
        <v>1328</v>
      </c>
      <c r="G10" s="116" t="s">
        <v>1358</v>
      </c>
      <c r="H10" s="251">
        <v>1</v>
      </c>
      <c r="I10" s="105"/>
      <c r="J10" s="153"/>
    </row>
    <row r="11" spans="1:10" s="100" customFormat="1" ht="18" x14ac:dyDescent="0.25">
      <c r="B11" s="115" t="s">
        <v>436</v>
      </c>
      <c r="C11" s="106" t="s">
        <v>400</v>
      </c>
      <c r="D11" s="116">
        <v>0.2</v>
      </c>
      <c r="E11" s="251">
        <v>0</v>
      </c>
      <c r="F11" s="251" t="s">
        <v>1328</v>
      </c>
      <c r="G11" s="116" t="s">
        <v>932</v>
      </c>
      <c r="H11" s="251">
        <v>1</v>
      </c>
      <c r="I11" s="105"/>
      <c r="J11" s="153"/>
    </row>
    <row r="12" spans="1:10" s="100" customFormat="1" ht="18.75" thickBot="1" x14ac:dyDescent="0.3">
      <c r="B12" s="119" t="s">
        <v>437</v>
      </c>
      <c r="C12" s="127" t="s">
        <v>401</v>
      </c>
      <c r="D12" s="120">
        <v>0.5</v>
      </c>
      <c r="E12" s="252">
        <v>0</v>
      </c>
      <c r="F12" s="252" t="s">
        <v>1328</v>
      </c>
      <c r="G12" s="120" t="s">
        <v>438</v>
      </c>
      <c r="H12" s="252">
        <v>1</v>
      </c>
      <c r="I12" s="107"/>
      <c r="J12" s="154"/>
    </row>
    <row r="13" spans="1:10" s="100" customFormat="1" ht="15.75" thickBot="1" x14ac:dyDescent="0.3">
      <c r="B13" s="117"/>
      <c r="C13" s="44"/>
      <c r="D13" s="118"/>
      <c r="E13" s="212"/>
      <c r="F13" s="212"/>
      <c r="G13" s="118"/>
      <c r="H13" s="212"/>
      <c r="I13" s="45"/>
    </row>
    <row r="14" spans="1:10" ht="15.75" thickBot="1" x14ac:dyDescent="0.3">
      <c r="A14" s="100"/>
      <c r="B14" s="101"/>
      <c r="C14" s="102" t="s">
        <v>944</v>
      </c>
      <c r="D14" s="101" t="s">
        <v>519</v>
      </c>
      <c r="E14" s="108"/>
      <c r="F14" s="108"/>
      <c r="G14" s="108"/>
      <c r="H14" s="108"/>
      <c r="I14" s="101"/>
    </row>
    <row r="15" spans="1:10" s="100" customFormat="1" ht="15.75" thickBot="1" x14ac:dyDescent="0.3">
      <c r="B15" s="242" t="s">
        <v>0</v>
      </c>
      <c r="C15" s="243" t="s">
        <v>1</v>
      </c>
      <c r="D15" s="244" t="s">
        <v>988</v>
      </c>
      <c r="E15" s="244" t="s">
        <v>578</v>
      </c>
      <c r="F15" s="244" t="s">
        <v>579</v>
      </c>
      <c r="G15" s="244" t="s">
        <v>2</v>
      </c>
      <c r="H15" s="244" t="s">
        <v>545</v>
      </c>
      <c r="I15" s="244" t="s">
        <v>113</v>
      </c>
      <c r="J15" s="245" t="s">
        <v>114</v>
      </c>
    </row>
    <row r="16" spans="1:10" s="100" customFormat="1" ht="18" x14ac:dyDescent="0.25">
      <c r="B16" s="121" t="s">
        <v>439</v>
      </c>
      <c r="C16" s="128" t="s">
        <v>929</v>
      </c>
      <c r="D16" s="122">
        <v>6</v>
      </c>
      <c r="E16" s="249">
        <v>0</v>
      </c>
      <c r="F16" s="249" t="s">
        <v>1328</v>
      </c>
      <c r="G16" s="122" t="s">
        <v>440</v>
      </c>
      <c r="H16" s="249">
        <v>1</v>
      </c>
      <c r="I16" s="125"/>
      <c r="J16" s="151"/>
    </row>
    <row r="17" spans="1:10" s="100" customFormat="1" ht="18" x14ac:dyDescent="0.25">
      <c r="B17" s="115" t="s">
        <v>441</v>
      </c>
      <c r="C17" s="106" t="s">
        <v>930</v>
      </c>
      <c r="D17" s="116">
        <v>0.8</v>
      </c>
      <c r="E17" s="251">
        <v>0</v>
      </c>
      <c r="F17" s="251" t="s">
        <v>1328</v>
      </c>
      <c r="G17" s="116" t="s">
        <v>1358</v>
      </c>
      <c r="H17" s="251">
        <v>1</v>
      </c>
      <c r="I17" s="105"/>
      <c r="J17" s="153"/>
    </row>
    <row r="18" spans="1:10" s="100" customFormat="1" ht="18" x14ac:dyDescent="0.25">
      <c r="B18" s="115" t="s">
        <v>442</v>
      </c>
      <c r="C18" s="106" t="s">
        <v>216</v>
      </c>
      <c r="D18" s="116">
        <v>3</v>
      </c>
      <c r="E18" s="251">
        <v>0</v>
      </c>
      <c r="F18" s="251" t="s">
        <v>1328</v>
      </c>
      <c r="G18" s="116" t="s">
        <v>945</v>
      </c>
      <c r="H18" s="251">
        <v>1</v>
      </c>
      <c r="I18" s="105"/>
      <c r="J18" s="153"/>
    </row>
    <row r="19" spans="1:10" s="100" customFormat="1" ht="18" x14ac:dyDescent="0.25">
      <c r="B19" s="115" t="s">
        <v>443</v>
      </c>
      <c r="C19" s="106" t="s">
        <v>402</v>
      </c>
      <c r="D19" s="116">
        <v>4</v>
      </c>
      <c r="E19" s="251">
        <v>0</v>
      </c>
      <c r="F19" s="251" t="s">
        <v>1328</v>
      </c>
      <c r="G19" s="116" t="s">
        <v>1290</v>
      </c>
      <c r="H19" s="251">
        <v>1</v>
      </c>
      <c r="I19" s="105"/>
      <c r="J19" s="153"/>
    </row>
    <row r="20" spans="1:10" s="100" customFormat="1" ht="18" x14ac:dyDescent="0.25">
      <c r="B20" s="115" t="s">
        <v>444</v>
      </c>
      <c r="C20" s="106" t="s">
        <v>403</v>
      </c>
      <c r="D20" s="116">
        <v>4</v>
      </c>
      <c r="E20" s="251">
        <v>0</v>
      </c>
      <c r="F20" s="251" t="s">
        <v>1328</v>
      </c>
      <c r="G20" s="116" t="s">
        <v>1290</v>
      </c>
      <c r="H20" s="251">
        <v>1</v>
      </c>
      <c r="I20" s="105"/>
      <c r="J20" s="153"/>
    </row>
    <row r="21" spans="1:10" s="100" customFormat="1" ht="18" x14ac:dyDescent="0.25">
      <c r="B21" s="115" t="s">
        <v>445</v>
      </c>
      <c r="C21" s="106" t="s">
        <v>931</v>
      </c>
      <c r="D21" s="116">
        <v>0.4</v>
      </c>
      <c r="E21" s="251">
        <v>0</v>
      </c>
      <c r="F21" s="251" t="s">
        <v>1328</v>
      </c>
      <c r="G21" s="116" t="s">
        <v>440</v>
      </c>
      <c r="H21" s="251">
        <v>1</v>
      </c>
      <c r="I21" s="105"/>
      <c r="J21" s="153"/>
    </row>
    <row r="22" spans="1:10" s="100" customFormat="1" ht="18" x14ac:dyDescent="0.25">
      <c r="B22" s="115" t="s">
        <v>446</v>
      </c>
      <c r="C22" s="106" t="s">
        <v>404</v>
      </c>
      <c r="D22" s="116">
        <v>4</v>
      </c>
      <c r="E22" s="251">
        <v>0</v>
      </c>
      <c r="F22" s="251" t="s">
        <v>1328</v>
      </c>
      <c r="G22" s="116" t="s">
        <v>1290</v>
      </c>
      <c r="H22" s="251">
        <v>1</v>
      </c>
      <c r="I22" s="105"/>
      <c r="J22" s="153"/>
    </row>
    <row r="23" spans="1:10" s="100" customFormat="1" ht="18" x14ac:dyDescent="0.25">
      <c r="B23" s="115" t="s">
        <v>447</v>
      </c>
      <c r="C23" s="106" t="s">
        <v>405</v>
      </c>
      <c r="D23" s="116">
        <v>0.2</v>
      </c>
      <c r="E23" s="251">
        <v>0</v>
      </c>
      <c r="F23" s="251" t="s">
        <v>1328</v>
      </c>
      <c r="G23" s="116" t="s">
        <v>933</v>
      </c>
      <c r="H23" s="251">
        <v>1</v>
      </c>
      <c r="I23" s="105"/>
      <c r="J23" s="153"/>
    </row>
    <row r="24" spans="1:10" s="100" customFormat="1" ht="18" x14ac:dyDescent="0.25">
      <c r="B24" s="115" t="s">
        <v>448</v>
      </c>
      <c r="C24" s="106" t="s">
        <v>406</v>
      </c>
      <c r="D24" s="116">
        <v>0.5</v>
      </c>
      <c r="E24" s="251">
        <v>0</v>
      </c>
      <c r="F24" s="251" t="s">
        <v>1328</v>
      </c>
      <c r="G24" s="116" t="s">
        <v>438</v>
      </c>
      <c r="H24" s="251">
        <v>1</v>
      </c>
      <c r="I24" s="105"/>
      <c r="J24" s="153"/>
    </row>
    <row r="25" spans="1:10" s="100" customFormat="1" ht="18" x14ac:dyDescent="0.25">
      <c r="B25" s="115" t="s">
        <v>449</v>
      </c>
      <c r="C25" s="106" t="s">
        <v>407</v>
      </c>
      <c r="D25" s="116">
        <v>0.05</v>
      </c>
      <c r="E25" s="251">
        <v>0</v>
      </c>
      <c r="F25" s="251" t="s">
        <v>1328</v>
      </c>
      <c r="G25" s="116" t="s">
        <v>438</v>
      </c>
      <c r="H25" s="251">
        <v>2</v>
      </c>
      <c r="I25" s="105"/>
      <c r="J25" s="153"/>
    </row>
    <row r="26" spans="1:10" s="100" customFormat="1" ht="18" x14ac:dyDescent="0.25">
      <c r="B26" s="115" t="s">
        <v>450</v>
      </c>
      <c r="C26" s="106" t="s">
        <v>408</v>
      </c>
      <c r="D26" s="116">
        <v>0.01</v>
      </c>
      <c r="E26" s="251">
        <v>0</v>
      </c>
      <c r="F26" s="251" t="s">
        <v>1328</v>
      </c>
      <c r="G26" s="116" t="s">
        <v>937</v>
      </c>
      <c r="H26" s="251">
        <v>2</v>
      </c>
      <c r="I26" s="105"/>
      <c r="J26" s="153"/>
    </row>
    <row r="27" spans="1:10" s="100" customFormat="1" ht="18.75" thickBot="1" x14ac:dyDescent="0.3">
      <c r="B27" s="119" t="s">
        <v>451</v>
      </c>
      <c r="C27" s="127" t="s">
        <v>409</v>
      </c>
      <c r="D27" s="120">
        <v>1E-4</v>
      </c>
      <c r="E27" s="252">
        <v>0</v>
      </c>
      <c r="F27" s="252" t="s">
        <v>1328</v>
      </c>
      <c r="G27" s="120" t="s">
        <v>452</v>
      </c>
      <c r="H27" s="252">
        <v>4</v>
      </c>
      <c r="I27" s="107"/>
      <c r="J27" s="154"/>
    </row>
    <row r="28" spans="1:10" s="100" customFormat="1" ht="15.75" thickBot="1" x14ac:dyDescent="0.3">
      <c r="B28" s="117"/>
      <c r="C28" s="44"/>
      <c r="D28" s="118"/>
      <c r="E28" s="212"/>
      <c r="F28" s="212"/>
      <c r="G28" s="118"/>
      <c r="H28" s="212"/>
      <c r="I28" s="45"/>
    </row>
    <row r="29" spans="1:10" ht="15.75" thickBot="1" x14ac:dyDescent="0.3">
      <c r="A29" s="100"/>
      <c r="B29" s="101"/>
      <c r="C29" s="102" t="s">
        <v>516</v>
      </c>
      <c r="D29" s="101" t="s">
        <v>519</v>
      </c>
      <c r="E29" s="108"/>
      <c r="F29" s="108"/>
      <c r="G29" s="108"/>
      <c r="H29" s="108"/>
      <c r="I29" s="101"/>
    </row>
    <row r="30" spans="1:10" s="100" customFormat="1" ht="15.75" thickBot="1" x14ac:dyDescent="0.3">
      <c r="B30" s="242" t="s">
        <v>0</v>
      </c>
      <c r="C30" s="243" t="s">
        <v>1</v>
      </c>
      <c r="D30" s="244" t="s">
        <v>988</v>
      </c>
      <c r="E30" s="244" t="s">
        <v>578</v>
      </c>
      <c r="F30" s="244" t="s">
        <v>579</v>
      </c>
      <c r="G30" s="244" t="s">
        <v>2</v>
      </c>
      <c r="H30" s="244" t="s">
        <v>545</v>
      </c>
      <c r="I30" s="244" t="s">
        <v>113</v>
      </c>
      <c r="J30" s="245" t="s">
        <v>114</v>
      </c>
    </row>
    <row r="31" spans="1:10" s="100" customFormat="1" ht="18" x14ac:dyDescent="0.25">
      <c r="B31" s="121" t="s">
        <v>453</v>
      </c>
      <c r="C31" s="128" t="s">
        <v>946</v>
      </c>
      <c r="D31" s="122">
        <v>3</v>
      </c>
      <c r="E31" s="249">
        <v>0</v>
      </c>
      <c r="F31" s="249" t="s">
        <v>1328</v>
      </c>
      <c r="G31" s="122" t="s">
        <v>1341</v>
      </c>
      <c r="H31" s="249">
        <v>1</v>
      </c>
      <c r="I31" s="125"/>
      <c r="J31" s="151"/>
    </row>
    <row r="32" spans="1:10" s="100" customFormat="1" ht="18" x14ac:dyDescent="0.25">
      <c r="B32" s="115" t="s">
        <v>454</v>
      </c>
      <c r="C32" s="106" t="s">
        <v>947</v>
      </c>
      <c r="D32" s="116">
        <v>1.5</v>
      </c>
      <c r="E32" s="249">
        <v>0</v>
      </c>
      <c r="F32" s="249" t="s">
        <v>1328</v>
      </c>
      <c r="G32" s="116" t="s">
        <v>1341</v>
      </c>
      <c r="H32" s="251">
        <v>1</v>
      </c>
      <c r="I32" s="105"/>
      <c r="J32" s="153"/>
    </row>
    <row r="33" spans="2:10" s="100" customFormat="1" ht="18" x14ac:dyDescent="0.25">
      <c r="B33" s="115" t="s">
        <v>455</v>
      </c>
      <c r="C33" s="106" t="s">
        <v>948</v>
      </c>
      <c r="D33" s="116">
        <v>0.01</v>
      </c>
      <c r="E33" s="249">
        <v>0</v>
      </c>
      <c r="F33" s="249" t="s">
        <v>1328</v>
      </c>
      <c r="G33" s="116" t="s">
        <v>456</v>
      </c>
      <c r="H33" s="251">
        <v>2</v>
      </c>
      <c r="I33" s="105"/>
      <c r="J33" s="153"/>
    </row>
    <row r="34" spans="2:10" s="100" customFormat="1" ht="18" x14ac:dyDescent="0.25">
      <c r="B34" s="115" t="s">
        <v>457</v>
      </c>
      <c r="C34" s="106" t="s">
        <v>949</v>
      </c>
      <c r="D34" s="116">
        <v>0.34</v>
      </c>
      <c r="E34" s="249">
        <v>0</v>
      </c>
      <c r="F34" s="249" t="s">
        <v>1328</v>
      </c>
      <c r="G34" s="116" t="s">
        <v>456</v>
      </c>
      <c r="H34" s="251">
        <v>2</v>
      </c>
      <c r="I34" s="105"/>
      <c r="J34" s="153"/>
    </row>
    <row r="35" spans="2:10" s="100" customFormat="1" ht="18" x14ac:dyDescent="0.25">
      <c r="B35" s="115" t="s">
        <v>458</v>
      </c>
      <c r="C35" s="106" t="s">
        <v>950</v>
      </c>
      <c r="D35" s="116">
        <v>0.02</v>
      </c>
      <c r="E35" s="249">
        <v>0</v>
      </c>
      <c r="F35" s="249" t="s">
        <v>1328</v>
      </c>
      <c r="G35" s="116" t="s">
        <v>456</v>
      </c>
      <c r="H35" s="251">
        <v>2</v>
      </c>
      <c r="I35" s="105"/>
      <c r="J35" s="153"/>
    </row>
    <row r="36" spans="2:10" s="100" customFormat="1" ht="18" x14ac:dyDescent="0.25">
      <c r="B36" s="115" t="s">
        <v>459</v>
      </c>
      <c r="C36" s="106" t="s">
        <v>410</v>
      </c>
      <c r="D36" s="116">
        <v>1</v>
      </c>
      <c r="E36" s="249">
        <v>0</v>
      </c>
      <c r="F36" s="249" t="s">
        <v>1328</v>
      </c>
      <c r="G36" s="116" t="s">
        <v>440</v>
      </c>
      <c r="H36" s="251">
        <v>1</v>
      </c>
      <c r="I36" s="105"/>
      <c r="J36" s="153"/>
    </row>
    <row r="37" spans="2:10" s="100" customFormat="1" ht="18" x14ac:dyDescent="0.25">
      <c r="B37" s="115" t="s">
        <v>460</v>
      </c>
      <c r="C37" s="106" t="s">
        <v>411</v>
      </c>
      <c r="D37" s="116">
        <v>0.6</v>
      </c>
      <c r="E37" s="249">
        <v>0</v>
      </c>
      <c r="F37" s="249" t="s">
        <v>1328</v>
      </c>
      <c r="G37" s="116" t="s">
        <v>1358</v>
      </c>
      <c r="H37" s="251">
        <v>1</v>
      </c>
      <c r="I37" s="105"/>
      <c r="J37" s="153"/>
    </row>
    <row r="38" spans="2:10" s="100" customFormat="1" ht="18" x14ac:dyDescent="0.25">
      <c r="B38" s="115" t="s">
        <v>461</v>
      </c>
      <c r="C38" s="106" t="s">
        <v>951</v>
      </c>
      <c r="D38" s="116">
        <v>0.01</v>
      </c>
      <c r="E38" s="249">
        <v>0</v>
      </c>
      <c r="F38" s="249" t="s">
        <v>1328</v>
      </c>
      <c r="G38" s="116" t="s">
        <v>952</v>
      </c>
      <c r="H38" s="251">
        <v>1</v>
      </c>
      <c r="I38" s="105"/>
      <c r="J38" s="153"/>
    </row>
    <row r="39" spans="2:10" s="100" customFormat="1" ht="18" x14ac:dyDescent="0.25">
      <c r="B39" s="115" t="s">
        <v>462</v>
      </c>
      <c r="C39" s="106" t="s">
        <v>412</v>
      </c>
      <c r="D39" s="116">
        <v>0.2</v>
      </c>
      <c r="E39" s="249">
        <v>0</v>
      </c>
      <c r="F39" s="249" t="s">
        <v>1328</v>
      </c>
      <c r="G39" s="116" t="s">
        <v>440</v>
      </c>
      <c r="H39" s="251">
        <v>1</v>
      </c>
      <c r="I39" s="105"/>
      <c r="J39" s="153"/>
    </row>
    <row r="40" spans="2:10" s="100" customFormat="1" ht="18" x14ac:dyDescent="0.25">
      <c r="B40" s="115" t="s">
        <v>463</v>
      </c>
      <c r="C40" s="106" t="s">
        <v>953</v>
      </c>
      <c r="D40" s="116">
        <v>0.2</v>
      </c>
      <c r="E40" s="249">
        <v>0</v>
      </c>
      <c r="F40" s="249" t="s">
        <v>1328</v>
      </c>
      <c r="G40" s="116" t="s">
        <v>440</v>
      </c>
      <c r="H40" s="251">
        <v>1</v>
      </c>
      <c r="I40" s="105"/>
      <c r="J40" s="153"/>
    </row>
    <row r="41" spans="2:10" s="100" customFormat="1" ht="18" x14ac:dyDescent="0.25">
      <c r="B41" s="115" t="s">
        <v>464</v>
      </c>
      <c r="C41" s="106" t="s">
        <v>954</v>
      </c>
      <c r="D41" s="116">
        <v>0.2</v>
      </c>
      <c r="E41" s="249">
        <v>0</v>
      </c>
      <c r="F41" s="249" t="s">
        <v>1328</v>
      </c>
      <c r="G41" s="116" t="s">
        <v>440</v>
      </c>
      <c r="H41" s="251">
        <v>1</v>
      </c>
      <c r="I41" s="105"/>
      <c r="J41" s="153"/>
    </row>
    <row r="42" spans="2:10" s="100" customFormat="1" ht="18" x14ac:dyDescent="0.25">
      <c r="B42" s="115" t="s">
        <v>465</v>
      </c>
      <c r="C42" s="106" t="s">
        <v>1344</v>
      </c>
      <c r="D42" s="116">
        <v>4</v>
      </c>
      <c r="E42" s="249">
        <v>0</v>
      </c>
      <c r="F42" s="249" t="s">
        <v>1328</v>
      </c>
      <c r="G42" s="116" t="s">
        <v>1290</v>
      </c>
      <c r="H42" s="251">
        <v>1</v>
      </c>
      <c r="I42" s="105"/>
      <c r="J42" s="153"/>
    </row>
    <row r="43" spans="2:10" s="100" customFormat="1" ht="18" x14ac:dyDescent="0.25">
      <c r="B43" s="115" t="s">
        <v>466</v>
      </c>
      <c r="C43" s="106" t="s">
        <v>405</v>
      </c>
      <c r="D43" s="116">
        <v>0.2</v>
      </c>
      <c r="E43" s="249">
        <v>0</v>
      </c>
      <c r="F43" s="249" t="s">
        <v>1328</v>
      </c>
      <c r="G43" s="116" t="s">
        <v>933</v>
      </c>
      <c r="H43" s="251">
        <v>1</v>
      </c>
      <c r="I43" s="105"/>
      <c r="J43" s="153"/>
    </row>
    <row r="44" spans="2:10" s="100" customFormat="1" ht="18" x14ac:dyDescent="0.25">
      <c r="B44" s="115" t="s">
        <v>467</v>
      </c>
      <c r="C44" s="106" t="s">
        <v>406</v>
      </c>
      <c r="D44" s="116">
        <v>0.5</v>
      </c>
      <c r="E44" s="249">
        <v>0</v>
      </c>
      <c r="F44" s="249" t="s">
        <v>1328</v>
      </c>
      <c r="G44" s="116" t="s">
        <v>438</v>
      </c>
      <c r="H44" s="251">
        <v>1</v>
      </c>
      <c r="I44" s="105"/>
      <c r="J44" s="153"/>
    </row>
    <row r="45" spans="2:10" s="100" customFormat="1" ht="18" x14ac:dyDescent="0.25">
      <c r="B45" s="115" t="s">
        <v>468</v>
      </c>
      <c r="C45" s="106" t="s">
        <v>407</v>
      </c>
      <c r="D45" s="116">
        <v>0.05</v>
      </c>
      <c r="E45" s="249">
        <v>0</v>
      </c>
      <c r="F45" s="249" t="s">
        <v>1328</v>
      </c>
      <c r="G45" s="116" t="s">
        <v>438</v>
      </c>
      <c r="H45" s="251">
        <v>1</v>
      </c>
      <c r="I45" s="105"/>
      <c r="J45" s="153"/>
    </row>
    <row r="46" spans="2:10" s="100" customFormat="1" ht="18" x14ac:dyDescent="0.25">
      <c r="B46" s="115" t="s">
        <v>469</v>
      </c>
      <c r="C46" s="106" t="s">
        <v>955</v>
      </c>
      <c r="D46" s="116">
        <v>0.2</v>
      </c>
      <c r="E46" s="249">
        <v>0</v>
      </c>
      <c r="F46" s="249" t="s">
        <v>1328</v>
      </c>
      <c r="G46" s="116" t="s">
        <v>937</v>
      </c>
      <c r="H46" s="251">
        <v>2</v>
      </c>
      <c r="I46" s="105"/>
      <c r="J46" s="153"/>
    </row>
    <row r="47" spans="2:10" s="100" customFormat="1" ht="18" x14ac:dyDescent="0.25">
      <c r="B47" s="115" t="s">
        <v>470</v>
      </c>
      <c r="C47" s="106" t="s">
        <v>413</v>
      </c>
      <c r="D47" s="116">
        <v>0.01</v>
      </c>
      <c r="E47" s="249">
        <v>0</v>
      </c>
      <c r="F47" s="249" t="s">
        <v>1328</v>
      </c>
      <c r="G47" s="116" t="s">
        <v>937</v>
      </c>
      <c r="H47" s="251">
        <v>2</v>
      </c>
      <c r="I47" s="105"/>
      <c r="J47" s="153"/>
    </row>
    <row r="48" spans="2:10" s="100" customFormat="1" ht="18.75" thickBot="1" x14ac:dyDescent="0.3">
      <c r="B48" s="119" t="s">
        <v>471</v>
      </c>
      <c r="C48" s="127" t="s">
        <v>409</v>
      </c>
      <c r="D48" s="120">
        <v>1E-4</v>
      </c>
      <c r="E48" s="252">
        <v>0</v>
      </c>
      <c r="F48" s="252" t="s">
        <v>1328</v>
      </c>
      <c r="G48" s="120" t="s">
        <v>452</v>
      </c>
      <c r="H48" s="252">
        <v>4</v>
      </c>
      <c r="I48" s="107"/>
      <c r="J48" s="154"/>
    </row>
    <row r="49" spans="1:10" s="100" customFormat="1" ht="15.75" thickBot="1" x14ac:dyDescent="0.3">
      <c r="B49" s="117"/>
      <c r="C49" s="44"/>
      <c r="D49" s="118"/>
      <c r="E49" s="212"/>
      <c r="F49" s="212"/>
      <c r="G49" s="118"/>
      <c r="H49" s="212"/>
      <c r="I49" s="45"/>
    </row>
    <row r="50" spans="1:10" ht="15.75" thickBot="1" x14ac:dyDescent="0.3">
      <c r="A50" s="100"/>
      <c r="B50" s="101"/>
      <c r="C50" s="102" t="s">
        <v>956</v>
      </c>
      <c r="D50" s="101" t="s">
        <v>519</v>
      </c>
      <c r="E50" s="108"/>
      <c r="F50" s="108"/>
      <c r="G50" s="108"/>
      <c r="H50" s="108"/>
      <c r="I50" s="101"/>
    </row>
    <row r="51" spans="1:10" s="100" customFormat="1" ht="15.75" thickBot="1" x14ac:dyDescent="0.3">
      <c r="B51" s="156" t="s">
        <v>0</v>
      </c>
      <c r="C51" s="157" t="s">
        <v>1</v>
      </c>
      <c r="D51" s="139" t="s">
        <v>988</v>
      </c>
      <c r="E51" s="139" t="s">
        <v>578</v>
      </c>
      <c r="F51" s="139" t="s">
        <v>579</v>
      </c>
      <c r="G51" s="158" t="s">
        <v>2</v>
      </c>
      <c r="H51" s="158" t="s">
        <v>545</v>
      </c>
      <c r="I51" s="158" t="s">
        <v>113</v>
      </c>
      <c r="J51" s="159" t="s">
        <v>114</v>
      </c>
    </row>
    <row r="52" spans="1:10" s="100" customFormat="1" ht="18" x14ac:dyDescent="0.25">
      <c r="B52" s="121" t="s">
        <v>472</v>
      </c>
      <c r="C52" s="128" t="s">
        <v>935</v>
      </c>
      <c r="D52" s="122">
        <v>1</v>
      </c>
      <c r="E52" s="249">
        <v>0</v>
      </c>
      <c r="F52" s="249" t="s">
        <v>1328</v>
      </c>
      <c r="G52" s="122" t="s">
        <v>440</v>
      </c>
      <c r="H52" s="249">
        <v>1</v>
      </c>
      <c r="I52" s="125"/>
      <c r="J52" s="151"/>
    </row>
    <row r="53" spans="1:10" s="100" customFormat="1" ht="18" x14ac:dyDescent="0.25">
      <c r="B53" s="115" t="s">
        <v>473</v>
      </c>
      <c r="C53" s="106" t="s">
        <v>936</v>
      </c>
      <c r="D53" s="116">
        <v>0.15</v>
      </c>
      <c r="E53" s="249">
        <v>0</v>
      </c>
      <c r="F53" s="249" t="s">
        <v>1328</v>
      </c>
      <c r="G53" s="116" t="s">
        <v>440</v>
      </c>
      <c r="H53" s="251">
        <v>2</v>
      </c>
      <c r="I53" s="105"/>
      <c r="J53" s="153"/>
    </row>
    <row r="54" spans="1:10" s="100" customFormat="1" ht="18" x14ac:dyDescent="0.25">
      <c r="B54" s="115" t="s">
        <v>1833</v>
      </c>
      <c r="C54" s="106" t="s">
        <v>405</v>
      </c>
      <c r="D54" s="116">
        <v>0.5</v>
      </c>
      <c r="E54" s="249">
        <v>0</v>
      </c>
      <c r="F54" s="249" t="s">
        <v>1328</v>
      </c>
      <c r="G54" s="116" t="s">
        <v>933</v>
      </c>
      <c r="H54" s="251">
        <v>2</v>
      </c>
      <c r="I54" s="105"/>
      <c r="J54" s="153"/>
    </row>
    <row r="55" spans="1:10" s="100" customFormat="1" ht="18" x14ac:dyDescent="0.25">
      <c r="B55" s="115" t="s">
        <v>1834</v>
      </c>
      <c r="C55" s="106" t="s">
        <v>407</v>
      </c>
      <c r="D55" s="116">
        <v>1</v>
      </c>
      <c r="E55" s="249">
        <v>0</v>
      </c>
      <c r="F55" s="249" t="s">
        <v>1328</v>
      </c>
      <c r="G55" s="116" t="s">
        <v>934</v>
      </c>
      <c r="H55" s="251">
        <v>1</v>
      </c>
      <c r="I55" s="105"/>
      <c r="J55" s="153"/>
    </row>
    <row r="56" spans="1:10" s="100" customFormat="1" ht="18" x14ac:dyDescent="0.25">
      <c r="B56" s="115" t="s">
        <v>1835</v>
      </c>
      <c r="C56" s="106" t="s">
        <v>408</v>
      </c>
      <c r="D56" s="116">
        <v>0.01</v>
      </c>
      <c r="E56" s="249">
        <v>0</v>
      </c>
      <c r="F56" s="249" t="s">
        <v>1328</v>
      </c>
      <c r="G56" s="116" t="s">
        <v>937</v>
      </c>
      <c r="H56" s="251">
        <v>2</v>
      </c>
      <c r="I56" s="105"/>
      <c r="J56" s="153"/>
    </row>
    <row r="57" spans="1:10" s="100" customFormat="1" ht="18.75" thickBot="1" x14ac:dyDescent="0.3">
      <c r="B57" s="119" t="s">
        <v>1836</v>
      </c>
      <c r="C57" s="127" t="s">
        <v>409</v>
      </c>
      <c r="D57" s="120">
        <v>5.0000000000000001E-4</v>
      </c>
      <c r="E57" s="252">
        <v>0</v>
      </c>
      <c r="F57" s="252" t="s">
        <v>1328</v>
      </c>
      <c r="G57" s="120" t="s">
        <v>452</v>
      </c>
      <c r="H57" s="252">
        <v>4</v>
      </c>
      <c r="I57" s="107"/>
      <c r="J57" s="154"/>
    </row>
    <row r="58" spans="1:10" s="100" customFormat="1" ht="15.75" thickBot="1" x14ac:dyDescent="0.3">
      <c r="B58" s="117"/>
      <c r="C58" s="44"/>
      <c r="D58" s="118"/>
      <c r="E58" s="212"/>
      <c r="F58" s="212"/>
      <c r="G58" s="118"/>
      <c r="H58" s="212"/>
      <c r="I58" s="45"/>
    </row>
    <row r="59" spans="1:10" ht="15.75" thickBot="1" x14ac:dyDescent="0.3">
      <c r="A59" s="100"/>
      <c r="B59" s="101"/>
      <c r="C59" s="102" t="s">
        <v>517</v>
      </c>
      <c r="D59" s="101" t="s">
        <v>519</v>
      </c>
      <c r="E59" s="108"/>
      <c r="F59" s="108"/>
      <c r="G59" s="108"/>
      <c r="H59" s="108"/>
      <c r="I59" s="101"/>
    </row>
    <row r="60" spans="1:10" s="100" customFormat="1" ht="15.75" thickBot="1" x14ac:dyDescent="0.3">
      <c r="B60" s="156" t="s">
        <v>0</v>
      </c>
      <c r="C60" s="157" t="s">
        <v>1</v>
      </c>
      <c r="D60" s="139" t="s">
        <v>988</v>
      </c>
      <c r="E60" s="139" t="s">
        <v>578</v>
      </c>
      <c r="F60" s="139" t="s">
        <v>579</v>
      </c>
      <c r="G60" s="158" t="s">
        <v>2</v>
      </c>
      <c r="H60" s="158" t="s">
        <v>545</v>
      </c>
      <c r="I60" s="158" t="s">
        <v>113</v>
      </c>
      <c r="J60" s="159" t="s">
        <v>114</v>
      </c>
    </row>
    <row r="61" spans="1:10" s="100" customFormat="1" ht="18" x14ac:dyDescent="0.25">
      <c r="B61" s="121" t="s">
        <v>474</v>
      </c>
      <c r="C61" s="125" t="s">
        <v>217</v>
      </c>
      <c r="D61" s="122">
        <v>1</v>
      </c>
      <c r="E61" s="249">
        <v>0</v>
      </c>
      <c r="F61" s="249" t="s">
        <v>1328</v>
      </c>
      <c r="G61" s="122" t="s">
        <v>475</v>
      </c>
      <c r="H61" s="249">
        <v>1</v>
      </c>
      <c r="I61" s="125"/>
      <c r="J61" s="151"/>
    </row>
    <row r="62" spans="1:10" s="100" customFormat="1" ht="18" x14ac:dyDescent="0.25">
      <c r="B62" s="115" t="s">
        <v>476</v>
      </c>
      <c r="C62" s="105" t="s">
        <v>218</v>
      </c>
      <c r="D62" s="116">
        <v>0.6</v>
      </c>
      <c r="E62" s="249">
        <v>0</v>
      </c>
      <c r="F62" s="249" t="s">
        <v>1328</v>
      </c>
      <c r="G62" s="116" t="s">
        <v>440</v>
      </c>
      <c r="H62" s="251">
        <v>1</v>
      </c>
      <c r="I62" s="105"/>
      <c r="J62" s="153"/>
    </row>
    <row r="63" spans="1:10" s="100" customFormat="1" ht="18.75" thickBot="1" x14ac:dyDescent="0.3">
      <c r="B63" s="119" t="s">
        <v>1837</v>
      </c>
      <c r="C63" s="107" t="s">
        <v>219</v>
      </c>
      <c r="D63" s="120">
        <v>5.0000000000000001E-4</v>
      </c>
      <c r="E63" s="252">
        <v>0</v>
      </c>
      <c r="F63" s="252" t="s">
        <v>1328</v>
      </c>
      <c r="G63" s="120" t="s">
        <v>477</v>
      </c>
      <c r="H63" s="252">
        <v>4</v>
      </c>
      <c r="I63" s="107"/>
      <c r="J63" s="154"/>
    </row>
    <row r="64" spans="1:10" s="100" customFormat="1" ht="15.75" thickBot="1" x14ac:dyDescent="0.3">
      <c r="B64" s="108"/>
      <c r="C64" s="109"/>
      <c r="D64" s="110"/>
      <c r="E64" s="110"/>
      <c r="F64" s="110"/>
      <c r="G64" s="110"/>
      <c r="H64" s="110"/>
      <c r="I64" s="110"/>
    </row>
    <row r="65" spans="2:10" s="100" customFormat="1" ht="15.75" thickBot="1" x14ac:dyDescent="0.3">
      <c r="B65" s="101"/>
      <c r="C65" s="102" t="s">
        <v>520</v>
      </c>
      <c r="D65" s="101" t="s">
        <v>518</v>
      </c>
      <c r="E65" s="108"/>
      <c r="F65" s="108"/>
      <c r="G65" s="108"/>
      <c r="H65" s="108"/>
      <c r="I65" s="101"/>
    </row>
    <row r="66" spans="2:10" s="100" customFormat="1" ht="15.75" thickBot="1" x14ac:dyDescent="0.3">
      <c r="B66" s="156" t="s">
        <v>0</v>
      </c>
      <c r="C66" s="157" t="s">
        <v>1</v>
      </c>
      <c r="D66" s="139" t="s">
        <v>988</v>
      </c>
      <c r="E66" s="139" t="s">
        <v>578</v>
      </c>
      <c r="F66" s="139" t="s">
        <v>579</v>
      </c>
      <c r="G66" s="158" t="s">
        <v>2</v>
      </c>
      <c r="H66" s="158" t="s">
        <v>545</v>
      </c>
      <c r="I66" s="158" t="s">
        <v>113</v>
      </c>
      <c r="J66" s="159" t="s">
        <v>114</v>
      </c>
    </row>
    <row r="67" spans="2:10" s="100" customFormat="1" ht="18" x14ac:dyDescent="0.25">
      <c r="B67" s="121" t="s">
        <v>479</v>
      </c>
      <c r="C67" s="111" t="s">
        <v>938</v>
      </c>
      <c r="D67" s="122">
        <v>0.625</v>
      </c>
      <c r="E67" s="122" t="s">
        <v>1342</v>
      </c>
      <c r="F67" s="122" t="s">
        <v>1328</v>
      </c>
      <c r="G67" s="116" t="s">
        <v>943</v>
      </c>
      <c r="H67" s="122">
        <v>4</v>
      </c>
      <c r="I67" s="125"/>
      <c r="J67" s="151"/>
    </row>
    <row r="68" spans="2:10" s="100" customFormat="1" ht="18" x14ac:dyDescent="0.25">
      <c r="B68" s="115" t="s">
        <v>481</v>
      </c>
      <c r="C68" s="104" t="s">
        <v>958</v>
      </c>
      <c r="D68" s="116">
        <v>0.625</v>
      </c>
      <c r="E68" s="122" t="s">
        <v>1342</v>
      </c>
      <c r="F68" s="122" t="s">
        <v>1328</v>
      </c>
      <c r="G68" s="116" t="s">
        <v>943</v>
      </c>
      <c r="H68" s="254">
        <v>4</v>
      </c>
      <c r="I68" s="113"/>
      <c r="J68" s="153"/>
    </row>
    <row r="69" spans="2:10" s="100" customFormat="1" ht="18" x14ac:dyDescent="0.25">
      <c r="B69" s="115" t="s">
        <v>482</v>
      </c>
      <c r="C69" s="104" t="s">
        <v>959</v>
      </c>
      <c r="D69" s="116">
        <v>0.2</v>
      </c>
      <c r="E69" s="122" t="s">
        <v>1342</v>
      </c>
      <c r="F69" s="122" t="s">
        <v>1328</v>
      </c>
      <c r="G69" s="116" t="s">
        <v>957</v>
      </c>
      <c r="H69" s="116">
        <v>2</v>
      </c>
      <c r="I69" s="116"/>
      <c r="J69" s="153"/>
    </row>
    <row r="70" spans="2:10" s="100" customFormat="1" ht="18" x14ac:dyDescent="0.25">
      <c r="B70" s="115" t="s">
        <v>483</v>
      </c>
      <c r="C70" s="104" t="s">
        <v>960</v>
      </c>
      <c r="D70" s="116">
        <v>0.4</v>
      </c>
      <c r="E70" s="122" t="s">
        <v>1342</v>
      </c>
      <c r="F70" s="122" t="s">
        <v>1328</v>
      </c>
      <c r="G70" s="116" t="s">
        <v>961</v>
      </c>
      <c r="H70" s="116">
        <v>2</v>
      </c>
      <c r="I70" s="105"/>
      <c r="J70" s="153"/>
    </row>
    <row r="71" spans="2:10" s="100" customFormat="1" ht="18.75" thickBot="1" x14ac:dyDescent="0.3">
      <c r="B71" s="119" t="s">
        <v>962</v>
      </c>
      <c r="C71" s="124" t="s">
        <v>939</v>
      </c>
      <c r="D71" s="120">
        <v>0.24</v>
      </c>
      <c r="E71" s="120" t="s">
        <v>1342</v>
      </c>
      <c r="F71" s="120" t="s">
        <v>1328</v>
      </c>
      <c r="G71" s="120" t="s">
        <v>487</v>
      </c>
      <c r="H71" s="120">
        <v>2</v>
      </c>
      <c r="I71" s="107"/>
      <c r="J71" s="154"/>
    </row>
    <row r="72" spans="2:10" s="100" customFormat="1" ht="15.75" thickBot="1" x14ac:dyDescent="0.3">
      <c r="B72" s="108"/>
      <c r="C72" s="109"/>
      <c r="D72" s="110"/>
      <c r="E72" s="110"/>
      <c r="F72" s="110"/>
      <c r="G72" s="110"/>
      <c r="H72" s="110"/>
      <c r="I72" s="110"/>
    </row>
    <row r="73" spans="2:10" s="100" customFormat="1" ht="15.75" thickBot="1" x14ac:dyDescent="0.3">
      <c r="B73" s="101"/>
      <c r="C73" s="102" t="s">
        <v>521</v>
      </c>
      <c r="D73" s="101" t="s">
        <v>518</v>
      </c>
      <c r="E73" s="108"/>
      <c r="F73" s="108"/>
      <c r="G73" s="108"/>
      <c r="H73" s="108"/>
      <c r="I73" s="101"/>
    </row>
    <row r="74" spans="2:10" s="100" customFormat="1" ht="15.75" thickBot="1" x14ac:dyDescent="0.3">
      <c r="B74" s="156" t="s">
        <v>0</v>
      </c>
      <c r="C74" s="157" t="s">
        <v>1</v>
      </c>
      <c r="D74" s="139" t="s">
        <v>988</v>
      </c>
      <c r="E74" s="139" t="s">
        <v>578</v>
      </c>
      <c r="F74" s="139" t="s">
        <v>579</v>
      </c>
      <c r="G74" s="158" t="s">
        <v>2</v>
      </c>
      <c r="H74" s="158" t="s">
        <v>545</v>
      </c>
      <c r="I74" s="158" t="s">
        <v>113</v>
      </c>
      <c r="J74" s="159" t="s">
        <v>114</v>
      </c>
    </row>
    <row r="75" spans="2:10" s="100" customFormat="1" ht="18" x14ac:dyDescent="0.25">
      <c r="B75" s="121" t="s">
        <v>478</v>
      </c>
      <c r="C75" s="111" t="s">
        <v>221</v>
      </c>
      <c r="D75" s="122">
        <v>0</v>
      </c>
      <c r="E75" s="112">
        <v>0</v>
      </c>
      <c r="F75" s="112">
        <v>1</v>
      </c>
      <c r="G75" s="122" t="s">
        <v>943</v>
      </c>
      <c r="H75" s="112">
        <v>2</v>
      </c>
      <c r="I75" s="112"/>
      <c r="J75" s="151"/>
    </row>
    <row r="76" spans="2:10" s="100" customFormat="1" ht="18.75" thickBot="1" x14ac:dyDescent="0.3">
      <c r="B76" s="119" t="s">
        <v>480</v>
      </c>
      <c r="C76" s="124" t="s">
        <v>414</v>
      </c>
      <c r="D76" s="120">
        <v>0.1</v>
      </c>
      <c r="E76" s="120">
        <v>0</v>
      </c>
      <c r="F76" s="120">
        <v>0.5</v>
      </c>
      <c r="G76" s="120" t="s">
        <v>943</v>
      </c>
      <c r="H76" s="120">
        <v>2</v>
      </c>
      <c r="I76" s="107"/>
      <c r="J76" s="154"/>
    </row>
    <row r="77" spans="2:10" s="100" customFormat="1" ht="15.75" thickBot="1" x14ac:dyDescent="0.3">
      <c r="B77" s="117"/>
      <c r="C77" s="126"/>
      <c r="D77" s="118"/>
      <c r="E77" s="118"/>
      <c r="F77" s="118"/>
      <c r="G77" s="118"/>
      <c r="H77" s="118"/>
      <c r="I77" s="45"/>
    </row>
    <row r="78" spans="2:10" s="100" customFormat="1" ht="15.75" thickBot="1" x14ac:dyDescent="0.3">
      <c r="B78" s="101"/>
      <c r="C78" s="102" t="s">
        <v>522</v>
      </c>
      <c r="D78" s="101" t="s">
        <v>518</v>
      </c>
      <c r="E78" s="108"/>
      <c r="F78" s="108"/>
      <c r="G78" s="108"/>
      <c r="H78" s="108"/>
      <c r="I78" s="101"/>
    </row>
    <row r="79" spans="2:10" s="100" customFormat="1" ht="15.75" thickBot="1" x14ac:dyDescent="0.3">
      <c r="B79" s="137" t="s">
        <v>0</v>
      </c>
      <c r="C79" s="138" t="s">
        <v>1</v>
      </c>
      <c r="D79" s="139" t="s">
        <v>988</v>
      </c>
      <c r="E79" s="139" t="s">
        <v>578</v>
      </c>
      <c r="F79" s="139" t="s">
        <v>579</v>
      </c>
      <c r="G79" s="139" t="s">
        <v>2</v>
      </c>
      <c r="H79" s="139" t="s">
        <v>545</v>
      </c>
      <c r="I79" s="139" t="s">
        <v>113</v>
      </c>
      <c r="J79" s="155" t="s">
        <v>114</v>
      </c>
    </row>
    <row r="80" spans="2:10" s="100" customFormat="1" ht="18" x14ac:dyDescent="0.25">
      <c r="B80" s="132" t="s">
        <v>484</v>
      </c>
      <c r="C80" s="111" t="s">
        <v>415</v>
      </c>
      <c r="D80" s="133">
        <v>-3.4451612903225803</v>
      </c>
      <c r="E80" s="112" t="s">
        <v>1343</v>
      </c>
      <c r="F80" s="112" t="s">
        <v>1328</v>
      </c>
      <c r="G80" s="122" t="s">
        <v>1359</v>
      </c>
      <c r="H80" s="112">
        <v>2</v>
      </c>
      <c r="I80" s="134"/>
      <c r="J80" s="151"/>
    </row>
    <row r="81" spans="2:10" s="100" customFormat="1" ht="18.75" thickBot="1" x14ac:dyDescent="0.3">
      <c r="B81" s="129" t="s">
        <v>485</v>
      </c>
      <c r="C81" s="124" t="s">
        <v>416</v>
      </c>
      <c r="D81" s="130">
        <v>4.8645161290322587</v>
      </c>
      <c r="E81" s="144" t="s">
        <v>1343</v>
      </c>
      <c r="F81" s="144" t="s">
        <v>1328</v>
      </c>
      <c r="G81" s="120" t="s">
        <v>1360</v>
      </c>
      <c r="H81" s="144">
        <v>2</v>
      </c>
      <c r="I81" s="131"/>
      <c r="J81" s="154"/>
    </row>
    <row r="82" spans="2:10" s="100" customFormat="1" ht="15.75" thickBot="1" x14ac:dyDescent="0.3">
      <c r="B82" s="117"/>
      <c r="C82" s="126"/>
      <c r="D82" s="118"/>
      <c r="E82" s="118"/>
      <c r="F82" s="118"/>
      <c r="G82" s="118"/>
      <c r="H82" s="118"/>
      <c r="I82" s="45"/>
    </row>
    <row r="83" spans="2:10" s="100" customFormat="1" ht="18.75" thickBot="1" x14ac:dyDescent="0.3">
      <c r="B83" s="101"/>
      <c r="C83" s="102" t="s">
        <v>523</v>
      </c>
      <c r="D83" s="101" t="s">
        <v>518</v>
      </c>
      <c r="E83" s="108"/>
      <c r="F83" s="108"/>
      <c r="G83" s="108"/>
      <c r="H83" s="108"/>
      <c r="I83" s="101"/>
    </row>
    <row r="84" spans="2:10" s="100" customFormat="1" ht="15.75" thickBot="1" x14ac:dyDescent="0.3">
      <c r="B84" s="156" t="s">
        <v>0</v>
      </c>
      <c r="C84" s="157" t="s">
        <v>1</v>
      </c>
      <c r="D84" s="139" t="s">
        <v>988</v>
      </c>
      <c r="E84" s="139" t="s">
        <v>578</v>
      </c>
      <c r="F84" s="139" t="s">
        <v>579</v>
      </c>
      <c r="G84" s="158" t="s">
        <v>2</v>
      </c>
      <c r="H84" s="158" t="s">
        <v>545</v>
      </c>
      <c r="I84" s="158" t="s">
        <v>113</v>
      </c>
      <c r="J84" s="159" t="s">
        <v>114</v>
      </c>
    </row>
    <row r="85" spans="2:10" s="100" customFormat="1" ht="18" x14ac:dyDescent="0.25">
      <c r="B85" s="121" t="s">
        <v>486</v>
      </c>
      <c r="C85" s="111" t="s">
        <v>417</v>
      </c>
      <c r="D85" s="136">
        <v>2.8571428571428572</v>
      </c>
      <c r="E85" s="112" t="s">
        <v>1342</v>
      </c>
      <c r="F85" s="112" t="s">
        <v>1328</v>
      </c>
      <c r="G85" s="122" t="s">
        <v>487</v>
      </c>
      <c r="H85" s="249">
        <v>3</v>
      </c>
      <c r="I85" s="125"/>
      <c r="J85" s="151"/>
    </row>
    <row r="86" spans="2:10" s="100" customFormat="1" ht="18" x14ac:dyDescent="0.25">
      <c r="B86" s="115" t="s">
        <v>488</v>
      </c>
      <c r="C86" s="104" t="s">
        <v>418</v>
      </c>
      <c r="D86" s="123">
        <v>-4.5714285714285712</v>
      </c>
      <c r="E86" s="112" t="s">
        <v>1343</v>
      </c>
      <c r="F86" s="112" t="s">
        <v>1328</v>
      </c>
      <c r="G86" s="116" t="s">
        <v>487</v>
      </c>
      <c r="H86" s="116">
        <v>3</v>
      </c>
      <c r="I86" s="105"/>
      <c r="J86" s="153"/>
    </row>
    <row r="87" spans="2:10" s="100" customFormat="1" ht="18" x14ac:dyDescent="0.25">
      <c r="B87" s="115" t="s">
        <v>489</v>
      </c>
      <c r="C87" s="104" t="s">
        <v>419</v>
      </c>
      <c r="D87" s="123">
        <v>-1.7142857142857142</v>
      </c>
      <c r="E87" s="112" t="s">
        <v>1343</v>
      </c>
      <c r="F87" s="112" t="s">
        <v>1328</v>
      </c>
      <c r="G87" s="116" t="s">
        <v>487</v>
      </c>
      <c r="H87" s="254">
        <v>3</v>
      </c>
      <c r="I87" s="113"/>
      <c r="J87" s="153"/>
    </row>
    <row r="88" spans="2:10" s="100" customFormat="1" ht="18" x14ac:dyDescent="0.25">
      <c r="B88" s="115" t="s">
        <v>490</v>
      </c>
      <c r="C88" s="104" t="s">
        <v>420</v>
      </c>
      <c r="D88" s="255">
        <v>-1.5625E-5</v>
      </c>
      <c r="E88" s="112" t="s">
        <v>1343</v>
      </c>
      <c r="F88" s="112" t="s">
        <v>1328</v>
      </c>
      <c r="G88" s="116" t="s">
        <v>491</v>
      </c>
      <c r="H88" s="251">
        <v>6</v>
      </c>
      <c r="I88" s="105"/>
      <c r="J88" s="153"/>
    </row>
    <row r="89" spans="2:10" s="100" customFormat="1" ht="18" x14ac:dyDescent="0.25">
      <c r="B89" s="115" t="s">
        <v>492</v>
      </c>
      <c r="C89" s="104" t="s">
        <v>421</v>
      </c>
      <c r="D89" s="255">
        <v>7.1428571428571393E-5</v>
      </c>
      <c r="E89" s="112" t="s">
        <v>1343</v>
      </c>
      <c r="F89" s="112" t="s">
        <v>1328</v>
      </c>
      <c r="G89" s="116" t="s">
        <v>493</v>
      </c>
      <c r="H89" s="251">
        <v>6</v>
      </c>
      <c r="I89" s="105"/>
      <c r="J89" s="153"/>
    </row>
    <row r="90" spans="2:10" s="100" customFormat="1" ht="18" x14ac:dyDescent="0.25">
      <c r="B90" s="115" t="s">
        <v>494</v>
      </c>
      <c r="C90" s="104" t="s">
        <v>422</v>
      </c>
      <c r="D90" s="255">
        <v>-7.1428571428571393E-5</v>
      </c>
      <c r="E90" s="112" t="s">
        <v>1343</v>
      </c>
      <c r="F90" s="112" t="s">
        <v>1328</v>
      </c>
      <c r="G90" s="116" t="s">
        <v>493</v>
      </c>
      <c r="H90" s="251">
        <v>6</v>
      </c>
      <c r="I90" s="105"/>
      <c r="J90" s="153"/>
    </row>
    <row r="91" spans="2:10" s="100" customFormat="1" ht="18" x14ac:dyDescent="0.25">
      <c r="B91" s="115" t="s">
        <v>495</v>
      </c>
      <c r="C91" s="104" t="s">
        <v>423</v>
      </c>
      <c r="D91" s="255">
        <v>-4.83870967741935E-5</v>
      </c>
      <c r="E91" s="112" t="s">
        <v>1343</v>
      </c>
      <c r="F91" s="112" t="s">
        <v>1328</v>
      </c>
      <c r="G91" s="116" t="s">
        <v>496</v>
      </c>
      <c r="H91" s="251">
        <v>6</v>
      </c>
      <c r="I91" s="105"/>
      <c r="J91" s="153"/>
    </row>
    <row r="92" spans="2:10" s="100" customFormat="1" ht="18.75" thickBot="1" x14ac:dyDescent="0.3">
      <c r="B92" s="119" t="s">
        <v>497</v>
      </c>
      <c r="C92" s="124" t="s">
        <v>966</v>
      </c>
      <c r="D92" s="256">
        <v>-3.2258064516129E-5</v>
      </c>
      <c r="E92" s="252" t="s">
        <v>1343</v>
      </c>
      <c r="F92" s="252" t="s">
        <v>1328</v>
      </c>
      <c r="G92" s="120" t="s">
        <v>496</v>
      </c>
      <c r="H92" s="252">
        <v>6</v>
      </c>
      <c r="I92" s="107"/>
      <c r="J92" s="154"/>
    </row>
    <row r="93" spans="2:10" s="100" customFormat="1" ht="15.75" thickBot="1" x14ac:dyDescent="0.3">
      <c r="B93" s="117"/>
      <c r="C93" s="126"/>
      <c r="D93" s="118"/>
      <c r="E93" s="118"/>
      <c r="F93" s="118"/>
      <c r="G93" s="118"/>
      <c r="H93" s="118"/>
      <c r="I93" s="45"/>
    </row>
    <row r="94" spans="2:10" s="100" customFormat="1" ht="15.75" thickBot="1" x14ac:dyDescent="0.3">
      <c r="B94" s="101"/>
      <c r="C94" s="102" t="s">
        <v>524</v>
      </c>
      <c r="D94" s="101" t="s">
        <v>518</v>
      </c>
      <c r="E94" s="108"/>
      <c r="F94" s="108"/>
      <c r="G94" s="108"/>
      <c r="H94" s="108"/>
      <c r="I94" s="101"/>
    </row>
    <row r="95" spans="2:10" s="100" customFormat="1" ht="15.75" thickBot="1" x14ac:dyDescent="0.3">
      <c r="B95" s="156" t="s">
        <v>0</v>
      </c>
      <c r="C95" s="157" t="s">
        <v>1</v>
      </c>
      <c r="D95" s="139" t="s">
        <v>988</v>
      </c>
      <c r="E95" s="139" t="s">
        <v>578</v>
      </c>
      <c r="F95" s="139" t="s">
        <v>579</v>
      </c>
      <c r="G95" s="158" t="s">
        <v>2</v>
      </c>
      <c r="H95" s="158" t="s">
        <v>545</v>
      </c>
      <c r="I95" s="158" t="s">
        <v>113</v>
      </c>
      <c r="J95" s="159" t="s">
        <v>114</v>
      </c>
    </row>
    <row r="96" spans="2:10" s="100" customFormat="1" ht="18" x14ac:dyDescent="0.25">
      <c r="B96" s="121" t="s">
        <v>498</v>
      </c>
      <c r="C96" s="111" t="s">
        <v>424</v>
      </c>
      <c r="D96" s="122">
        <v>0.03</v>
      </c>
      <c r="E96" s="249">
        <v>0</v>
      </c>
      <c r="F96" s="249">
        <v>1</v>
      </c>
      <c r="G96" s="122" t="s">
        <v>971</v>
      </c>
      <c r="H96" s="249">
        <v>3</v>
      </c>
      <c r="I96" s="125"/>
      <c r="J96" s="151"/>
    </row>
    <row r="97" spans="2:10" s="100" customFormat="1" ht="18" x14ac:dyDescent="0.25">
      <c r="B97" s="115" t="s">
        <v>499</v>
      </c>
      <c r="C97" s="104" t="s">
        <v>967</v>
      </c>
      <c r="D97" s="116">
        <v>0.01</v>
      </c>
      <c r="E97" s="249">
        <v>0</v>
      </c>
      <c r="F97" s="249">
        <v>1</v>
      </c>
      <c r="G97" s="122" t="s">
        <v>971</v>
      </c>
      <c r="H97" s="251">
        <v>3</v>
      </c>
      <c r="I97" s="105"/>
      <c r="J97" s="153"/>
    </row>
    <row r="98" spans="2:10" s="100" customFormat="1" ht="18" x14ac:dyDescent="0.25">
      <c r="B98" s="115" t="s">
        <v>500</v>
      </c>
      <c r="C98" s="104" t="s">
        <v>968</v>
      </c>
      <c r="D98" s="116">
        <v>0.02</v>
      </c>
      <c r="E98" s="249">
        <v>0</v>
      </c>
      <c r="F98" s="249">
        <v>1</v>
      </c>
      <c r="G98" s="122" t="s">
        <v>971</v>
      </c>
      <c r="H98" s="251">
        <v>3</v>
      </c>
      <c r="I98" s="105"/>
      <c r="J98" s="153"/>
    </row>
    <row r="99" spans="2:10" s="100" customFormat="1" ht="18" x14ac:dyDescent="0.25">
      <c r="B99" s="115" t="s">
        <v>501</v>
      </c>
      <c r="C99" s="104" t="s">
        <v>425</v>
      </c>
      <c r="D99" s="116">
        <v>0.04</v>
      </c>
      <c r="E99" s="249">
        <v>0</v>
      </c>
      <c r="F99" s="249">
        <v>1</v>
      </c>
      <c r="G99" s="122" t="s">
        <v>971</v>
      </c>
      <c r="H99" s="251">
        <v>3</v>
      </c>
      <c r="I99" s="105"/>
      <c r="J99" s="153"/>
    </row>
    <row r="100" spans="2:10" s="100" customFormat="1" ht="18" x14ac:dyDescent="0.25">
      <c r="B100" s="115" t="s">
        <v>502</v>
      </c>
      <c r="C100" s="104" t="s">
        <v>940</v>
      </c>
      <c r="D100" s="116">
        <v>7.0000000000000007E-2</v>
      </c>
      <c r="E100" s="249">
        <v>0</v>
      </c>
      <c r="F100" s="249">
        <v>1</v>
      </c>
      <c r="G100" s="122" t="s">
        <v>971</v>
      </c>
      <c r="H100" s="251">
        <v>3</v>
      </c>
      <c r="I100" s="105"/>
      <c r="J100" s="153"/>
    </row>
    <row r="101" spans="2:10" s="100" customFormat="1" ht="18" x14ac:dyDescent="0.25">
      <c r="B101" s="115" t="s">
        <v>503</v>
      </c>
      <c r="C101" s="104" t="s">
        <v>426</v>
      </c>
      <c r="D101" s="116">
        <v>0.01</v>
      </c>
      <c r="E101" s="249">
        <v>0</v>
      </c>
      <c r="F101" s="249">
        <v>1</v>
      </c>
      <c r="G101" s="116" t="s">
        <v>972</v>
      </c>
      <c r="H101" s="251">
        <v>3</v>
      </c>
      <c r="I101" s="105"/>
      <c r="J101" s="153"/>
    </row>
    <row r="102" spans="2:10" s="100" customFormat="1" ht="18" x14ac:dyDescent="0.25">
      <c r="B102" s="115" t="s">
        <v>504</v>
      </c>
      <c r="C102" s="104" t="s">
        <v>969</v>
      </c>
      <c r="D102" s="116">
        <v>0</v>
      </c>
      <c r="E102" s="249">
        <v>0</v>
      </c>
      <c r="F102" s="249">
        <v>1</v>
      </c>
      <c r="G102" s="116" t="s">
        <v>972</v>
      </c>
      <c r="H102" s="251">
        <v>3</v>
      </c>
      <c r="I102" s="105"/>
      <c r="J102" s="153"/>
    </row>
    <row r="103" spans="2:10" s="100" customFormat="1" ht="18" x14ac:dyDescent="0.25">
      <c r="B103" s="115" t="s">
        <v>505</v>
      </c>
      <c r="C103" s="104" t="s">
        <v>970</v>
      </c>
      <c r="D103" s="116">
        <v>0.01</v>
      </c>
      <c r="E103" s="249">
        <v>0</v>
      </c>
      <c r="F103" s="249">
        <v>1</v>
      </c>
      <c r="G103" s="116" t="s">
        <v>972</v>
      </c>
      <c r="H103" s="251">
        <v>3</v>
      </c>
      <c r="I103" s="105"/>
      <c r="J103" s="153"/>
    </row>
    <row r="104" spans="2:10" s="100" customFormat="1" ht="18" x14ac:dyDescent="0.25">
      <c r="B104" s="115" t="s">
        <v>506</v>
      </c>
      <c r="C104" s="104" t="s">
        <v>427</v>
      </c>
      <c r="D104" s="116">
        <v>0.01</v>
      </c>
      <c r="E104" s="249">
        <v>0</v>
      </c>
      <c r="F104" s="249">
        <v>1</v>
      </c>
      <c r="G104" s="116" t="s">
        <v>972</v>
      </c>
      <c r="H104" s="251">
        <v>3</v>
      </c>
      <c r="I104" s="105"/>
      <c r="J104" s="153"/>
    </row>
    <row r="105" spans="2:10" s="100" customFormat="1" ht="18" x14ac:dyDescent="0.25">
      <c r="B105" s="115" t="s">
        <v>507</v>
      </c>
      <c r="C105" s="104" t="s">
        <v>941</v>
      </c>
      <c r="D105" s="116">
        <v>0.02</v>
      </c>
      <c r="E105" s="249">
        <v>0</v>
      </c>
      <c r="F105" s="249">
        <v>1</v>
      </c>
      <c r="G105" s="116" t="s">
        <v>972</v>
      </c>
      <c r="H105" s="251">
        <v>3</v>
      </c>
      <c r="I105" s="105"/>
      <c r="J105" s="153"/>
    </row>
    <row r="106" spans="2:10" s="100" customFormat="1" ht="18.75" thickBot="1" x14ac:dyDescent="0.3">
      <c r="B106" s="119" t="s">
        <v>508</v>
      </c>
      <c r="C106" s="124" t="s">
        <v>428</v>
      </c>
      <c r="D106" s="135">
        <v>0.2055702917771883</v>
      </c>
      <c r="E106" s="252">
        <v>0</v>
      </c>
      <c r="F106" s="252">
        <v>1</v>
      </c>
      <c r="G106" s="120" t="s">
        <v>509</v>
      </c>
      <c r="H106" s="252">
        <v>3</v>
      </c>
      <c r="I106" s="107"/>
      <c r="J106" s="154"/>
    </row>
    <row r="107" spans="2:10" s="100" customFormat="1" ht="15.75" thickBot="1" x14ac:dyDescent="0.3">
      <c r="B107" s="117"/>
      <c r="C107" s="126"/>
      <c r="D107" s="118"/>
      <c r="E107" s="118"/>
      <c r="F107" s="118"/>
      <c r="G107" s="118"/>
      <c r="H107" s="118"/>
      <c r="I107" s="45"/>
    </row>
    <row r="108" spans="2:10" s="100" customFormat="1" ht="15.75" thickBot="1" x14ac:dyDescent="0.3">
      <c r="B108" s="101"/>
      <c r="C108" s="102" t="s">
        <v>525</v>
      </c>
      <c r="D108" s="101" t="s">
        <v>518</v>
      </c>
      <c r="E108" s="108"/>
      <c r="F108" s="108"/>
      <c r="G108" s="108"/>
      <c r="H108" s="108"/>
      <c r="I108" s="101"/>
    </row>
    <row r="109" spans="2:10" s="100" customFormat="1" ht="15.75" thickBot="1" x14ac:dyDescent="0.3">
      <c r="B109" s="156" t="s">
        <v>0</v>
      </c>
      <c r="C109" s="157" t="s">
        <v>1</v>
      </c>
      <c r="D109" s="139" t="s">
        <v>988</v>
      </c>
      <c r="E109" s="139" t="s">
        <v>578</v>
      </c>
      <c r="F109" s="139" t="s">
        <v>579</v>
      </c>
      <c r="G109" s="158" t="s">
        <v>2</v>
      </c>
      <c r="H109" s="158" t="s">
        <v>545</v>
      </c>
      <c r="I109" s="158" t="s">
        <v>113</v>
      </c>
      <c r="J109" s="159" t="s">
        <v>114</v>
      </c>
    </row>
    <row r="110" spans="2:10" s="100" customFormat="1" ht="18" x14ac:dyDescent="0.25">
      <c r="B110" s="121" t="s">
        <v>510</v>
      </c>
      <c r="C110" s="111" t="s">
        <v>429</v>
      </c>
      <c r="D110" s="122">
        <v>0.75</v>
      </c>
      <c r="E110" s="249">
        <v>0</v>
      </c>
      <c r="F110" s="249" t="s">
        <v>1328</v>
      </c>
      <c r="G110" s="122" t="s">
        <v>973</v>
      </c>
      <c r="H110" s="249">
        <v>2</v>
      </c>
      <c r="I110" s="125"/>
      <c r="J110" s="151"/>
    </row>
    <row r="111" spans="2:10" s="100" customFormat="1" ht="18" x14ac:dyDescent="0.25">
      <c r="B111" s="115" t="s">
        <v>511</v>
      </c>
      <c r="C111" s="104" t="s">
        <v>430</v>
      </c>
      <c r="D111" s="116">
        <v>0.75</v>
      </c>
      <c r="E111" s="251">
        <v>0</v>
      </c>
      <c r="F111" s="251" t="s">
        <v>1328</v>
      </c>
      <c r="G111" s="122" t="s">
        <v>973</v>
      </c>
      <c r="H111" s="251">
        <v>2</v>
      </c>
      <c r="I111" s="105"/>
      <c r="J111" s="153"/>
    </row>
    <row r="112" spans="2:10" s="100" customFormat="1" ht="18" x14ac:dyDescent="0.25">
      <c r="B112" s="115" t="s">
        <v>512</v>
      </c>
      <c r="C112" s="104" t="s">
        <v>976</v>
      </c>
      <c r="D112" s="116">
        <v>0.6</v>
      </c>
      <c r="E112" s="251">
        <v>0</v>
      </c>
      <c r="F112" s="251" t="s">
        <v>1328</v>
      </c>
      <c r="G112" s="122" t="s">
        <v>973</v>
      </c>
      <c r="H112" s="251">
        <v>2</v>
      </c>
      <c r="I112" s="105"/>
      <c r="J112" s="153"/>
    </row>
    <row r="113" spans="2:10" s="100" customFormat="1" ht="18" x14ac:dyDescent="0.25">
      <c r="B113" s="115" t="s">
        <v>513</v>
      </c>
      <c r="C113" s="104" t="s">
        <v>248</v>
      </c>
      <c r="D113" s="116">
        <v>0.9</v>
      </c>
      <c r="E113" s="251">
        <v>0</v>
      </c>
      <c r="F113" s="251" t="s">
        <v>1328</v>
      </c>
      <c r="G113" s="122" t="s">
        <v>973</v>
      </c>
      <c r="H113" s="251">
        <v>2</v>
      </c>
      <c r="I113" s="105"/>
      <c r="J113" s="153"/>
    </row>
    <row r="114" spans="2:10" s="100" customFormat="1" ht="18.75" thickBot="1" x14ac:dyDescent="0.3">
      <c r="B114" s="119" t="s">
        <v>514</v>
      </c>
      <c r="C114" s="124" t="s">
        <v>975</v>
      </c>
      <c r="D114" s="120">
        <v>3.23</v>
      </c>
      <c r="E114" s="252">
        <v>0</v>
      </c>
      <c r="F114" s="252" t="s">
        <v>1328</v>
      </c>
      <c r="G114" s="252" t="s">
        <v>974</v>
      </c>
      <c r="H114" s="252">
        <v>2</v>
      </c>
      <c r="I114" s="107"/>
      <c r="J114" s="154"/>
    </row>
    <row r="115" spans="2:10" s="100" customFormat="1" ht="15.75" thickBot="1" x14ac:dyDescent="0.3">
      <c r="B115" s="117"/>
      <c r="C115" s="126"/>
      <c r="D115" s="118"/>
      <c r="E115" s="118"/>
      <c r="F115" s="118"/>
      <c r="G115" s="118"/>
      <c r="H115" s="118"/>
      <c r="I115" s="45"/>
    </row>
    <row r="116" spans="2:10" s="100" customFormat="1" ht="15.75" thickBot="1" x14ac:dyDescent="0.3">
      <c r="B116" s="101"/>
      <c r="C116" s="102" t="s">
        <v>526</v>
      </c>
      <c r="D116" s="101" t="s">
        <v>518</v>
      </c>
      <c r="E116" s="108"/>
      <c r="F116" s="108"/>
      <c r="G116" s="108"/>
      <c r="H116" s="108"/>
      <c r="I116" s="101"/>
    </row>
    <row r="117" spans="2:10" s="100" customFormat="1" ht="15.75" thickBot="1" x14ac:dyDescent="0.3">
      <c r="B117" s="242" t="s">
        <v>0</v>
      </c>
      <c r="C117" s="243" t="s">
        <v>1</v>
      </c>
      <c r="D117" s="244" t="s">
        <v>988</v>
      </c>
      <c r="E117" s="244" t="s">
        <v>578</v>
      </c>
      <c r="F117" s="244" t="s">
        <v>579</v>
      </c>
      <c r="G117" s="244" t="s">
        <v>2</v>
      </c>
      <c r="H117" s="244" t="s">
        <v>545</v>
      </c>
      <c r="I117" s="244" t="s">
        <v>113</v>
      </c>
      <c r="J117" s="245" t="s">
        <v>114</v>
      </c>
    </row>
    <row r="118" spans="2:10" s="100" customFormat="1" ht="18" x14ac:dyDescent="0.25">
      <c r="B118" s="121" t="s">
        <v>515</v>
      </c>
      <c r="C118" s="111" t="s">
        <v>250</v>
      </c>
      <c r="D118" s="122">
        <v>1.48</v>
      </c>
      <c r="E118" s="122" t="s">
        <v>1342</v>
      </c>
      <c r="F118" s="122" t="s">
        <v>1328</v>
      </c>
      <c r="G118" s="122" t="s">
        <v>431</v>
      </c>
      <c r="H118" s="122">
        <v>2</v>
      </c>
      <c r="I118" s="122"/>
      <c r="J118" s="151"/>
    </row>
    <row r="119" spans="2:10" s="100" customFormat="1" ht="18" x14ac:dyDescent="0.25">
      <c r="B119" s="287" t="s">
        <v>1370</v>
      </c>
      <c r="C119" s="288" t="s">
        <v>1371</v>
      </c>
      <c r="D119" s="289">
        <v>1.0660000000000001</v>
      </c>
      <c r="E119" s="254">
        <v>0</v>
      </c>
      <c r="F119" s="254">
        <v>5</v>
      </c>
      <c r="G119" s="254" t="s">
        <v>1365</v>
      </c>
      <c r="H119" s="254">
        <v>2</v>
      </c>
      <c r="I119" s="105"/>
      <c r="J119" s="153"/>
    </row>
    <row r="120" spans="2:10" s="100" customFormat="1" ht="18" x14ac:dyDescent="0.25">
      <c r="B120" s="287" t="s">
        <v>1369</v>
      </c>
      <c r="C120" s="288" t="s">
        <v>1368</v>
      </c>
      <c r="D120" s="289">
        <v>1.0660000000000001</v>
      </c>
      <c r="E120" s="254">
        <v>0</v>
      </c>
      <c r="F120" s="254">
        <v>5</v>
      </c>
      <c r="G120" s="254" t="s">
        <v>1365</v>
      </c>
      <c r="H120" s="254">
        <v>2</v>
      </c>
      <c r="I120" s="105"/>
      <c r="J120" s="153"/>
    </row>
    <row r="121" spans="2:10" s="100" customFormat="1" ht="18" x14ac:dyDescent="0.25">
      <c r="B121" s="287" t="s">
        <v>1366</v>
      </c>
      <c r="C121" s="288" t="s">
        <v>1367</v>
      </c>
      <c r="D121" s="289">
        <v>0.92600000000000005</v>
      </c>
      <c r="E121" s="254">
        <v>0</v>
      </c>
      <c r="F121" s="254">
        <v>5</v>
      </c>
      <c r="G121" s="254" t="s">
        <v>1365</v>
      </c>
      <c r="H121" s="254">
        <v>2</v>
      </c>
      <c r="I121" s="105"/>
      <c r="J121" s="153"/>
    </row>
    <row r="122" spans="2:10" ht="18.75" thickBot="1" x14ac:dyDescent="0.3">
      <c r="B122" s="143" t="s">
        <v>1375</v>
      </c>
      <c r="C122" s="131" t="s">
        <v>544</v>
      </c>
      <c r="D122" s="144">
        <v>0.65</v>
      </c>
      <c r="E122" s="144">
        <v>0</v>
      </c>
      <c r="F122" s="144">
        <v>1</v>
      </c>
      <c r="G122" s="144" t="s">
        <v>943</v>
      </c>
      <c r="H122" s="144">
        <v>2</v>
      </c>
      <c r="I122" s="144"/>
      <c r="J122" s="152"/>
    </row>
  </sheetData>
  <phoneticPr fontId="1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unka3"/>
  <dimension ref="A1:AD66"/>
  <sheetViews>
    <sheetView showGridLines="0" zoomScaleNormal="100" workbookViewId="0">
      <pane xSplit="4" ySplit="3" topLeftCell="E4" activePane="bottomRight" state="frozen"/>
      <selection pane="topRight" activeCell="E1" sqref="E1"/>
      <selection pane="bottomLeft" activeCell="A4" sqref="A4"/>
      <selection pane="bottomRight" activeCell="A2" sqref="A2"/>
    </sheetView>
  </sheetViews>
  <sheetFormatPr defaultColWidth="9.140625" defaultRowHeight="15" x14ac:dyDescent="0.25"/>
  <cols>
    <col min="1" max="1" width="17.140625" customWidth="1"/>
    <col min="2" max="2" width="3.85546875" customWidth="1"/>
    <col min="3" max="3" width="7.5703125" bestFit="1" customWidth="1"/>
    <col min="4" max="4" width="26.28515625" customWidth="1"/>
    <col min="5" max="5" width="27.5703125" customWidth="1"/>
    <col min="6" max="6" width="8" customWidth="1"/>
    <col min="7" max="7" width="15.42578125" customWidth="1"/>
    <col min="8" max="8" width="32.85546875" customWidth="1"/>
    <col min="9" max="9" width="31.42578125" customWidth="1"/>
    <col min="10" max="10" width="32.85546875" customWidth="1"/>
    <col min="11" max="11" width="9.5703125" customWidth="1"/>
    <col min="12" max="12" width="86.140625" customWidth="1"/>
    <col min="13" max="13" width="28.85546875" customWidth="1"/>
    <col min="21" max="21" width="35.140625" customWidth="1"/>
    <col min="22" max="22" width="17.28515625" customWidth="1"/>
    <col min="23" max="23" width="17.7109375" customWidth="1"/>
    <col min="24" max="24" width="139.140625" bestFit="1" customWidth="1"/>
    <col min="25" max="25" width="8.28515625" bestFit="1" customWidth="1"/>
  </cols>
  <sheetData>
    <row r="1" spans="1:27" s="46" customFormat="1" ht="54" customHeight="1" thickBot="1" x14ac:dyDescent="0.3">
      <c r="A1" s="47"/>
    </row>
    <row r="2" spans="1:27" ht="18.75" customHeight="1" thickBot="1" x14ac:dyDescent="0.3">
      <c r="C2" s="160"/>
      <c r="D2" s="51" t="s">
        <v>125</v>
      </c>
      <c r="E2" s="13"/>
      <c r="F2" s="13"/>
    </row>
    <row r="3" spans="1:27" s="5" customFormat="1" ht="22.5" customHeight="1" thickBot="1" x14ac:dyDescent="0.3">
      <c r="B3" s="161" t="s">
        <v>90</v>
      </c>
      <c r="C3" s="162" t="s">
        <v>0</v>
      </c>
      <c r="D3" s="162" t="s">
        <v>1</v>
      </c>
      <c r="E3" s="163" t="s">
        <v>251</v>
      </c>
      <c r="F3" s="163" t="s">
        <v>252</v>
      </c>
      <c r="G3" s="163" t="s">
        <v>253</v>
      </c>
      <c r="H3" s="163" t="s">
        <v>254</v>
      </c>
      <c r="I3" s="163" t="s">
        <v>255</v>
      </c>
      <c r="J3" s="163" t="s">
        <v>256</v>
      </c>
      <c r="K3" s="163" t="s">
        <v>257</v>
      </c>
      <c r="L3" s="163" t="s">
        <v>258</v>
      </c>
      <c r="M3" s="163" t="s">
        <v>259</v>
      </c>
      <c r="N3" s="163" t="s">
        <v>260</v>
      </c>
      <c r="O3" s="163" t="s">
        <v>261</v>
      </c>
      <c r="P3" s="163" t="s">
        <v>262</v>
      </c>
      <c r="Q3" s="163" t="s">
        <v>263</v>
      </c>
      <c r="R3" s="163" t="s">
        <v>264</v>
      </c>
      <c r="S3" s="163" t="s">
        <v>265</v>
      </c>
      <c r="T3" s="163" t="s">
        <v>266</v>
      </c>
      <c r="U3" s="163" t="s">
        <v>267</v>
      </c>
      <c r="V3" s="163" t="s">
        <v>268</v>
      </c>
      <c r="W3" s="163" t="s">
        <v>269</v>
      </c>
      <c r="X3" s="164" t="s">
        <v>1329</v>
      </c>
      <c r="Y3" s="290" t="s">
        <v>2</v>
      </c>
      <c r="Z3" s="290" t="s">
        <v>9</v>
      </c>
      <c r="AA3" s="165" t="s">
        <v>113</v>
      </c>
    </row>
    <row r="4" spans="1:27" ht="22.5" customHeight="1" x14ac:dyDescent="0.25">
      <c r="B4" s="67">
        <v>1</v>
      </c>
      <c r="C4" s="84" t="s">
        <v>270</v>
      </c>
      <c r="D4" s="85" t="s">
        <v>271</v>
      </c>
      <c r="E4" s="86"/>
      <c r="F4" s="86" t="s">
        <v>272</v>
      </c>
      <c r="G4" s="86"/>
      <c r="H4" s="86" t="s">
        <v>273</v>
      </c>
      <c r="I4" s="86"/>
      <c r="J4" s="69" t="s">
        <v>274</v>
      </c>
      <c r="K4" s="87" t="s">
        <v>220</v>
      </c>
      <c r="L4" s="70" t="s">
        <v>275</v>
      </c>
      <c r="M4" s="86"/>
      <c r="N4" s="86"/>
      <c r="O4" s="86">
        <v>-1</v>
      </c>
      <c r="P4" s="86"/>
      <c r="Q4" s="86"/>
      <c r="R4" s="86"/>
      <c r="S4" s="86"/>
      <c r="T4" s="86"/>
      <c r="U4" s="86" t="s">
        <v>276</v>
      </c>
      <c r="V4" s="86"/>
      <c r="W4" s="86"/>
      <c r="X4" s="182" t="s">
        <v>1067</v>
      </c>
      <c r="Y4" s="248" t="s">
        <v>1373</v>
      </c>
      <c r="Z4" s="248"/>
      <c r="AA4" s="80"/>
    </row>
    <row r="5" spans="1:27" ht="22.5" customHeight="1" x14ac:dyDescent="0.25">
      <c r="B5" s="68">
        <v>2</v>
      </c>
      <c r="C5" s="83" t="s">
        <v>277</v>
      </c>
      <c r="D5" s="88" t="s">
        <v>278</v>
      </c>
      <c r="E5" s="89"/>
      <c r="F5" s="89" t="s">
        <v>272</v>
      </c>
      <c r="G5" s="89"/>
      <c r="H5" s="89" t="s">
        <v>273</v>
      </c>
      <c r="I5" s="89"/>
      <c r="J5" s="89" t="s">
        <v>274</v>
      </c>
      <c r="K5" s="90" t="s">
        <v>220</v>
      </c>
      <c r="L5" s="91" t="s">
        <v>279</v>
      </c>
      <c r="M5" s="89"/>
      <c r="N5" s="89"/>
      <c r="O5" s="89">
        <v>-1</v>
      </c>
      <c r="P5" s="89"/>
      <c r="Q5" s="89"/>
      <c r="R5" s="89"/>
      <c r="S5" s="89"/>
      <c r="T5" s="89"/>
      <c r="U5" s="89" t="s">
        <v>276</v>
      </c>
      <c r="V5" s="89"/>
      <c r="W5" s="89"/>
      <c r="X5" s="183" t="s">
        <v>1068</v>
      </c>
      <c r="Y5" s="248" t="s">
        <v>1373</v>
      </c>
      <c r="Z5" s="248"/>
      <c r="AA5" s="81"/>
    </row>
    <row r="6" spans="1:27" ht="22.5" customHeight="1" x14ac:dyDescent="0.25">
      <c r="B6" s="68">
        <v>3</v>
      </c>
      <c r="C6" s="83" t="s">
        <v>280</v>
      </c>
      <c r="D6" s="88" t="s">
        <v>281</v>
      </c>
      <c r="E6" s="89"/>
      <c r="F6" s="89" t="s">
        <v>272</v>
      </c>
      <c r="G6" s="89"/>
      <c r="H6" s="89" t="s">
        <v>273</v>
      </c>
      <c r="I6" s="89"/>
      <c r="J6" s="89" t="s">
        <v>274</v>
      </c>
      <c r="K6" s="90" t="s">
        <v>220</v>
      </c>
      <c r="L6" s="91" t="s">
        <v>282</v>
      </c>
      <c r="M6" s="89"/>
      <c r="N6" s="89"/>
      <c r="O6" s="89">
        <v>-1</v>
      </c>
      <c r="P6" s="89"/>
      <c r="Q6" s="89"/>
      <c r="R6" s="89"/>
      <c r="S6" s="89"/>
      <c r="T6" s="89"/>
      <c r="U6" s="89" t="s">
        <v>276</v>
      </c>
      <c r="V6" s="89"/>
      <c r="W6" s="89"/>
      <c r="X6" s="183" t="s">
        <v>1069</v>
      </c>
      <c r="Y6" s="248" t="s">
        <v>1373</v>
      </c>
      <c r="Z6" s="248"/>
      <c r="AA6" s="81"/>
    </row>
    <row r="7" spans="1:27" ht="22.5" customHeight="1" x14ac:dyDescent="0.25">
      <c r="B7" s="68">
        <v>4</v>
      </c>
      <c r="C7" s="83" t="s">
        <v>283</v>
      </c>
      <c r="D7" s="88" t="s">
        <v>284</v>
      </c>
      <c r="E7" s="71" t="s">
        <v>285</v>
      </c>
      <c r="F7" s="71" t="s">
        <v>286</v>
      </c>
      <c r="G7" s="71"/>
      <c r="H7" s="72" t="s">
        <v>287</v>
      </c>
      <c r="I7" s="89"/>
      <c r="J7" s="72" t="s">
        <v>288</v>
      </c>
      <c r="K7" s="89"/>
      <c r="L7" s="91" t="s">
        <v>289</v>
      </c>
      <c r="M7" s="89"/>
      <c r="N7" s="89"/>
      <c r="O7" s="89"/>
      <c r="P7" s="89">
        <v>1</v>
      </c>
      <c r="Q7" s="89"/>
      <c r="R7" s="89"/>
      <c r="S7" s="89"/>
      <c r="T7" s="89"/>
      <c r="U7" s="90" t="s">
        <v>247</v>
      </c>
      <c r="V7" s="89"/>
      <c r="W7" s="89"/>
      <c r="X7" s="183" t="s">
        <v>1829</v>
      </c>
      <c r="Y7" s="248" t="s">
        <v>1373</v>
      </c>
      <c r="Z7" s="248"/>
      <c r="AA7" s="81"/>
    </row>
    <row r="8" spans="1:27" ht="22.5" customHeight="1" x14ac:dyDescent="0.25">
      <c r="B8" s="68">
        <v>5</v>
      </c>
      <c r="C8" s="83" t="s">
        <v>290</v>
      </c>
      <c r="D8" s="88" t="s">
        <v>291</v>
      </c>
      <c r="E8" s="71" t="s">
        <v>285</v>
      </c>
      <c r="F8" s="71"/>
      <c r="G8" s="71" t="s">
        <v>286</v>
      </c>
      <c r="H8" s="89" t="s">
        <v>292</v>
      </c>
      <c r="I8" s="89"/>
      <c r="J8" s="89" t="s">
        <v>293</v>
      </c>
      <c r="K8" s="89"/>
      <c r="L8" s="91" t="s">
        <v>294</v>
      </c>
      <c r="M8" s="89"/>
      <c r="N8" s="89"/>
      <c r="O8" s="89"/>
      <c r="P8" s="89">
        <v>1</v>
      </c>
      <c r="Q8" s="89"/>
      <c r="R8" s="89"/>
      <c r="S8" s="89"/>
      <c r="T8" s="89"/>
      <c r="U8" s="90" t="s">
        <v>247</v>
      </c>
      <c r="V8" s="89"/>
      <c r="W8" s="89"/>
      <c r="X8" s="183" t="s">
        <v>1831</v>
      </c>
      <c r="Y8" s="248" t="s">
        <v>1374</v>
      </c>
      <c r="Z8" s="248"/>
      <c r="AA8" s="81"/>
    </row>
    <row r="9" spans="1:27" ht="22.5" customHeight="1" x14ac:dyDescent="0.25">
      <c r="B9" s="68">
        <v>6</v>
      </c>
      <c r="C9" s="83" t="s">
        <v>295</v>
      </c>
      <c r="D9" s="88" t="s">
        <v>296</v>
      </c>
      <c r="E9" s="71"/>
      <c r="F9" s="71" t="s">
        <v>286</v>
      </c>
      <c r="G9" s="71"/>
      <c r="H9" s="72" t="s">
        <v>287</v>
      </c>
      <c r="I9" s="73" t="s">
        <v>297</v>
      </c>
      <c r="J9" s="72" t="s">
        <v>288</v>
      </c>
      <c r="K9" s="89"/>
      <c r="L9" s="91" t="s">
        <v>298</v>
      </c>
      <c r="M9" s="71" t="s">
        <v>299</v>
      </c>
      <c r="N9" s="89"/>
      <c r="O9" s="89"/>
      <c r="P9" s="89">
        <v>1</v>
      </c>
      <c r="Q9" s="89"/>
      <c r="R9" s="89"/>
      <c r="S9" s="89"/>
      <c r="T9" s="89"/>
      <c r="U9" s="90" t="s">
        <v>247</v>
      </c>
      <c r="V9" s="89"/>
      <c r="W9" s="89"/>
      <c r="X9" s="183" t="s">
        <v>1830</v>
      </c>
      <c r="Y9" s="248" t="s">
        <v>1374</v>
      </c>
      <c r="Z9" s="248"/>
      <c r="AA9" s="81"/>
    </row>
    <row r="10" spans="1:27" ht="22.5" customHeight="1" x14ac:dyDescent="0.25">
      <c r="B10" s="68">
        <v>7</v>
      </c>
      <c r="C10" s="83" t="s">
        <v>300</v>
      </c>
      <c r="D10" s="88" t="s">
        <v>301</v>
      </c>
      <c r="E10" s="71"/>
      <c r="F10" s="71"/>
      <c r="G10" s="71" t="s">
        <v>286</v>
      </c>
      <c r="H10" s="89" t="s">
        <v>292</v>
      </c>
      <c r="I10" s="73" t="s">
        <v>297</v>
      </c>
      <c r="J10" s="89" t="s">
        <v>293</v>
      </c>
      <c r="K10" s="89"/>
      <c r="L10" s="91" t="s">
        <v>302</v>
      </c>
      <c r="M10" s="71" t="s">
        <v>299</v>
      </c>
      <c r="N10" s="89"/>
      <c r="O10" s="89"/>
      <c r="P10" s="89">
        <v>1</v>
      </c>
      <c r="Q10" s="89"/>
      <c r="R10" s="89"/>
      <c r="S10" s="89"/>
      <c r="T10" s="89"/>
      <c r="U10" s="90" t="s">
        <v>247</v>
      </c>
      <c r="V10" s="89"/>
      <c r="W10" s="89"/>
      <c r="X10" s="183" t="s">
        <v>1832</v>
      </c>
      <c r="Y10" s="248" t="s">
        <v>1374</v>
      </c>
      <c r="Z10" s="248"/>
      <c r="AA10" s="81"/>
    </row>
    <row r="11" spans="1:27" ht="22.5" customHeight="1" x14ac:dyDescent="0.25">
      <c r="B11" s="68">
        <v>8</v>
      </c>
      <c r="C11" s="83" t="s">
        <v>303</v>
      </c>
      <c r="D11" s="88" t="s">
        <v>304</v>
      </c>
      <c r="E11" s="71"/>
      <c r="F11" s="74" t="s">
        <v>305</v>
      </c>
      <c r="G11" s="74" t="s">
        <v>306</v>
      </c>
      <c r="H11" s="90" t="s">
        <v>233</v>
      </c>
      <c r="I11" s="89"/>
      <c r="J11" s="90" t="s">
        <v>238</v>
      </c>
      <c r="K11" s="89"/>
      <c r="L11" s="91" t="s">
        <v>307</v>
      </c>
      <c r="M11" s="89"/>
      <c r="N11" s="89"/>
      <c r="O11" s="89"/>
      <c r="P11" s="89"/>
      <c r="Q11" s="89"/>
      <c r="R11" s="89"/>
      <c r="S11" s="89"/>
      <c r="T11" s="89"/>
      <c r="U11" s="89"/>
      <c r="V11" s="89"/>
      <c r="W11" s="89"/>
      <c r="X11" s="183" t="s">
        <v>1070</v>
      </c>
      <c r="Y11" s="248" t="s">
        <v>1374</v>
      </c>
      <c r="Z11" s="248"/>
      <c r="AA11" s="81"/>
    </row>
    <row r="12" spans="1:27" ht="22.5" customHeight="1" x14ac:dyDescent="0.25">
      <c r="B12" s="68">
        <v>9</v>
      </c>
      <c r="C12" s="83" t="s">
        <v>308</v>
      </c>
      <c r="D12" s="88" t="s">
        <v>309</v>
      </c>
      <c r="E12" s="71"/>
      <c r="F12" s="89"/>
      <c r="G12" s="89"/>
      <c r="H12" s="89" t="s">
        <v>310</v>
      </c>
      <c r="I12" s="89"/>
      <c r="J12" s="74" t="s">
        <v>311</v>
      </c>
      <c r="K12" s="89"/>
      <c r="L12" s="91" t="s">
        <v>312</v>
      </c>
      <c r="M12" s="89"/>
      <c r="N12" s="90" t="s">
        <v>222</v>
      </c>
      <c r="O12" s="89" t="s">
        <v>313</v>
      </c>
      <c r="P12" s="89">
        <v>-1</v>
      </c>
      <c r="Q12" s="89"/>
      <c r="R12" s="89"/>
      <c r="S12" s="89"/>
      <c r="T12" s="89"/>
      <c r="U12" s="90" t="s">
        <v>314</v>
      </c>
      <c r="V12" s="89"/>
      <c r="W12" s="89"/>
      <c r="X12" s="183" t="s">
        <v>365</v>
      </c>
      <c r="Y12" s="248" t="s">
        <v>1374</v>
      </c>
      <c r="Z12" s="248"/>
      <c r="AA12" s="81"/>
    </row>
    <row r="13" spans="1:27" ht="22.5" customHeight="1" x14ac:dyDescent="0.25">
      <c r="B13" s="68">
        <v>10</v>
      </c>
      <c r="C13" s="83" t="s">
        <v>315</v>
      </c>
      <c r="D13" s="88" t="s">
        <v>316</v>
      </c>
      <c r="E13" s="71"/>
      <c r="F13" s="89"/>
      <c r="G13" s="74" t="s">
        <v>305</v>
      </c>
      <c r="H13" s="89"/>
      <c r="I13" s="89"/>
      <c r="J13" s="90" t="s">
        <v>223</v>
      </c>
      <c r="K13" s="89"/>
      <c r="L13" s="92" t="s">
        <v>317</v>
      </c>
      <c r="M13" s="89"/>
      <c r="N13" s="89"/>
      <c r="O13" s="89"/>
      <c r="P13" s="89"/>
      <c r="Q13" s="89"/>
      <c r="R13" s="89" t="s">
        <v>318</v>
      </c>
      <c r="S13" s="89" t="s">
        <v>306</v>
      </c>
      <c r="T13" s="89"/>
      <c r="U13" s="71" t="s">
        <v>319</v>
      </c>
      <c r="V13" s="89"/>
      <c r="W13" s="89"/>
      <c r="X13" s="183" t="s">
        <v>1071</v>
      </c>
      <c r="Y13" s="248" t="s">
        <v>1374</v>
      </c>
      <c r="Z13" s="248"/>
      <c r="AA13" s="81"/>
    </row>
    <row r="14" spans="1:27" ht="22.5" customHeight="1" x14ac:dyDescent="0.25">
      <c r="B14" s="68">
        <v>11</v>
      </c>
      <c r="C14" s="83" t="s">
        <v>320</v>
      </c>
      <c r="D14" s="88" t="s">
        <v>321</v>
      </c>
      <c r="E14" s="71" t="s">
        <v>322</v>
      </c>
      <c r="F14" s="89"/>
      <c r="G14" s="89"/>
      <c r="H14" s="89"/>
      <c r="I14" s="89"/>
      <c r="J14" s="89" t="s">
        <v>305</v>
      </c>
      <c r="K14" s="89"/>
      <c r="L14" s="92" t="s">
        <v>323</v>
      </c>
      <c r="M14" s="89"/>
      <c r="N14" s="89"/>
      <c r="O14" s="89"/>
      <c r="P14" s="89"/>
      <c r="Q14" s="89"/>
      <c r="R14" s="89" t="s">
        <v>306</v>
      </c>
      <c r="S14" s="89" t="s">
        <v>322</v>
      </c>
      <c r="T14" s="89"/>
      <c r="U14" s="90" t="s">
        <v>324</v>
      </c>
      <c r="V14" s="89"/>
      <c r="W14" s="89"/>
      <c r="X14" s="183" t="s">
        <v>1072</v>
      </c>
      <c r="Y14" s="248" t="s">
        <v>1374</v>
      </c>
      <c r="Z14" s="248"/>
      <c r="AA14" s="81"/>
    </row>
    <row r="15" spans="1:27" ht="22.5" customHeight="1" x14ac:dyDescent="0.25">
      <c r="B15" s="68">
        <v>12</v>
      </c>
      <c r="C15" s="83" t="s">
        <v>325</v>
      </c>
      <c r="D15" s="88" t="s">
        <v>326</v>
      </c>
      <c r="E15" s="71"/>
      <c r="F15" s="89"/>
      <c r="G15" s="89"/>
      <c r="H15" s="89"/>
      <c r="I15" s="74" t="s">
        <v>327</v>
      </c>
      <c r="J15" s="89" t="s">
        <v>305</v>
      </c>
      <c r="K15" s="89"/>
      <c r="L15" s="92" t="s">
        <v>328</v>
      </c>
      <c r="M15" s="90" t="s">
        <v>329</v>
      </c>
      <c r="N15" s="89"/>
      <c r="O15" s="89"/>
      <c r="P15" s="89"/>
      <c r="Q15" s="89"/>
      <c r="R15" s="89" t="s">
        <v>306</v>
      </c>
      <c r="S15" s="89" t="s">
        <v>322</v>
      </c>
      <c r="T15" s="89"/>
      <c r="U15" s="90" t="s">
        <v>324</v>
      </c>
      <c r="V15" s="89"/>
      <c r="W15" s="89"/>
      <c r="X15" s="183" t="s">
        <v>1073</v>
      </c>
      <c r="Y15" s="248" t="s">
        <v>1374</v>
      </c>
      <c r="Z15" s="248"/>
      <c r="AA15" s="81"/>
    </row>
    <row r="16" spans="1:27" ht="22.5" customHeight="1" x14ac:dyDescent="0.25">
      <c r="B16" s="68">
        <v>13</v>
      </c>
      <c r="C16" s="83" t="s">
        <v>330</v>
      </c>
      <c r="D16" s="88" t="s">
        <v>331</v>
      </c>
      <c r="E16" s="71" t="s">
        <v>332</v>
      </c>
      <c r="F16" s="89"/>
      <c r="G16" s="89"/>
      <c r="H16" s="89" t="s">
        <v>292</v>
      </c>
      <c r="I16" s="89"/>
      <c r="J16" s="89" t="s">
        <v>293</v>
      </c>
      <c r="K16" s="89"/>
      <c r="L16" s="91" t="s">
        <v>333</v>
      </c>
      <c r="M16" s="89"/>
      <c r="N16" s="89"/>
      <c r="O16" s="89"/>
      <c r="P16" s="89"/>
      <c r="Q16" s="89" t="s">
        <v>306</v>
      </c>
      <c r="R16" s="89"/>
      <c r="S16" s="71" t="s">
        <v>334</v>
      </c>
      <c r="T16" s="89"/>
      <c r="U16" s="75" t="s">
        <v>335</v>
      </c>
      <c r="V16" s="89"/>
      <c r="W16" s="89"/>
      <c r="X16" s="183" t="s">
        <v>1074</v>
      </c>
      <c r="Y16" s="248" t="s">
        <v>1374</v>
      </c>
      <c r="Z16" s="248"/>
      <c r="AA16" s="81"/>
    </row>
    <row r="17" spans="2:27" ht="22.5" customHeight="1" x14ac:dyDescent="0.25">
      <c r="B17" s="68">
        <v>14</v>
      </c>
      <c r="C17" s="83" t="s">
        <v>336</v>
      </c>
      <c r="D17" s="88" t="s">
        <v>337</v>
      </c>
      <c r="E17" s="71"/>
      <c r="F17" s="89"/>
      <c r="G17" s="89"/>
      <c r="H17" s="89" t="s">
        <v>292</v>
      </c>
      <c r="I17" s="73" t="s">
        <v>338</v>
      </c>
      <c r="J17" s="89" t="s">
        <v>293</v>
      </c>
      <c r="K17" s="89"/>
      <c r="L17" s="91" t="s">
        <v>339</v>
      </c>
      <c r="M17" s="71" t="s">
        <v>340</v>
      </c>
      <c r="N17" s="89"/>
      <c r="O17" s="89"/>
      <c r="P17" s="89"/>
      <c r="Q17" s="89" t="s">
        <v>306</v>
      </c>
      <c r="R17" s="89"/>
      <c r="S17" s="71" t="s">
        <v>334</v>
      </c>
      <c r="T17" s="89"/>
      <c r="U17" s="75" t="s">
        <v>335</v>
      </c>
      <c r="V17" s="89"/>
      <c r="W17" s="89"/>
      <c r="X17" s="183" t="s">
        <v>1075</v>
      </c>
      <c r="Y17" s="248" t="s">
        <v>1374</v>
      </c>
      <c r="Z17" s="248"/>
      <c r="AA17" s="81"/>
    </row>
    <row r="18" spans="2:27" ht="22.5" customHeight="1" x14ac:dyDescent="0.25">
      <c r="B18" s="68">
        <v>15</v>
      </c>
      <c r="C18" s="83" t="s">
        <v>341</v>
      </c>
      <c r="D18" s="88" t="s">
        <v>342</v>
      </c>
      <c r="E18" s="71"/>
      <c r="F18" s="89"/>
      <c r="G18" s="89"/>
      <c r="H18" s="89" t="s">
        <v>310</v>
      </c>
      <c r="I18" s="89"/>
      <c r="J18" s="89" t="s">
        <v>343</v>
      </c>
      <c r="K18" s="89"/>
      <c r="L18" s="91" t="s">
        <v>344</v>
      </c>
      <c r="M18" s="89"/>
      <c r="N18" s="90" t="s">
        <v>222</v>
      </c>
      <c r="O18" s="89" t="s">
        <v>313</v>
      </c>
      <c r="P18" s="89"/>
      <c r="Q18" s="89" t="s">
        <v>305</v>
      </c>
      <c r="R18" s="89"/>
      <c r="S18" s="89"/>
      <c r="T18" s="89"/>
      <c r="U18" s="90" t="s">
        <v>314</v>
      </c>
      <c r="V18" s="89"/>
      <c r="W18" s="89"/>
      <c r="X18" s="183" t="s">
        <v>1076</v>
      </c>
      <c r="Y18" s="248" t="s">
        <v>1374</v>
      </c>
      <c r="Z18" s="248"/>
      <c r="AA18" s="81"/>
    </row>
    <row r="19" spans="2:27" ht="22.5" customHeight="1" x14ac:dyDescent="0.25">
      <c r="B19" s="68">
        <v>16</v>
      </c>
      <c r="C19" s="83" t="s">
        <v>345</v>
      </c>
      <c r="D19" s="88" t="s">
        <v>346</v>
      </c>
      <c r="E19" s="71"/>
      <c r="F19" s="89"/>
      <c r="G19" s="89"/>
      <c r="H19" s="89"/>
      <c r="I19" s="89"/>
      <c r="J19" s="89" t="s">
        <v>306</v>
      </c>
      <c r="K19" s="89"/>
      <c r="L19" s="91" t="s">
        <v>347</v>
      </c>
      <c r="M19" s="89"/>
      <c r="N19" s="89"/>
      <c r="O19" s="89"/>
      <c r="P19" s="89"/>
      <c r="Q19" s="89"/>
      <c r="R19" s="89" t="s">
        <v>305</v>
      </c>
      <c r="S19" s="89"/>
      <c r="T19" s="89"/>
      <c r="U19" s="89" t="s">
        <v>348</v>
      </c>
      <c r="V19" s="89"/>
      <c r="W19" s="89"/>
      <c r="X19" s="183" t="s">
        <v>1077</v>
      </c>
      <c r="Y19" s="248" t="s">
        <v>1374</v>
      </c>
      <c r="Z19" s="248"/>
      <c r="AA19" s="82"/>
    </row>
    <row r="20" spans="2:27" ht="22.5" customHeight="1" x14ac:dyDescent="0.25">
      <c r="B20" s="68">
        <v>17</v>
      </c>
      <c r="C20" s="83" t="s">
        <v>349</v>
      </c>
      <c r="D20" s="88" t="s">
        <v>350</v>
      </c>
      <c r="E20" s="71"/>
      <c r="F20" s="89"/>
      <c r="G20" s="74" t="s">
        <v>306</v>
      </c>
      <c r="H20" s="89"/>
      <c r="I20" s="89"/>
      <c r="J20" s="89"/>
      <c r="K20" s="89"/>
      <c r="L20" s="91" t="s">
        <v>228</v>
      </c>
      <c r="M20" s="89"/>
      <c r="N20" s="89"/>
      <c r="O20" s="89"/>
      <c r="P20" s="89"/>
      <c r="Q20" s="89"/>
      <c r="R20" s="89"/>
      <c r="S20" s="89" t="s">
        <v>305</v>
      </c>
      <c r="T20" s="89"/>
      <c r="U20" s="89" t="s">
        <v>351</v>
      </c>
      <c r="V20" s="89"/>
      <c r="W20" s="89"/>
      <c r="X20" s="183" t="s">
        <v>1078</v>
      </c>
      <c r="Y20" s="248" t="s">
        <v>1374</v>
      </c>
      <c r="Z20" s="248"/>
      <c r="AA20" s="82"/>
    </row>
    <row r="21" spans="2:27" ht="22.5" customHeight="1" x14ac:dyDescent="0.25">
      <c r="B21" s="68">
        <v>18</v>
      </c>
      <c r="C21" s="83" t="s">
        <v>352</v>
      </c>
      <c r="D21" s="88" t="s">
        <v>353</v>
      </c>
      <c r="E21" s="73" t="s">
        <v>965</v>
      </c>
      <c r="F21" s="89"/>
      <c r="G21" s="89"/>
      <c r="H21" s="73" t="s">
        <v>964</v>
      </c>
      <c r="I21" s="71" t="s">
        <v>963</v>
      </c>
      <c r="J21" s="89" t="s">
        <v>293</v>
      </c>
      <c r="K21" s="89"/>
      <c r="L21" s="72" t="s">
        <v>977</v>
      </c>
      <c r="M21" s="89"/>
      <c r="N21" s="89"/>
      <c r="O21" s="89"/>
      <c r="P21" s="89"/>
      <c r="Q21" s="89"/>
      <c r="R21" s="89"/>
      <c r="S21" s="89"/>
      <c r="T21" s="89" t="s">
        <v>306</v>
      </c>
      <c r="U21" s="90" t="s">
        <v>247</v>
      </c>
      <c r="V21" s="89"/>
      <c r="W21" s="89"/>
      <c r="X21" s="183" t="s">
        <v>1079</v>
      </c>
      <c r="Y21" s="248" t="s">
        <v>1374</v>
      </c>
      <c r="Z21" s="248"/>
      <c r="AA21" s="82"/>
    </row>
    <row r="22" spans="2:27" ht="22.5" customHeight="1" x14ac:dyDescent="0.25">
      <c r="B22" s="68">
        <v>19</v>
      </c>
      <c r="C22" s="83" t="s">
        <v>354</v>
      </c>
      <c r="D22" s="88" t="s">
        <v>309</v>
      </c>
      <c r="E22" s="89"/>
      <c r="F22" s="89"/>
      <c r="G22" s="89"/>
      <c r="H22" s="89" t="s">
        <v>310</v>
      </c>
      <c r="I22" s="89"/>
      <c r="J22" s="89" t="s">
        <v>343</v>
      </c>
      <c r="K22" s="89"/>
      <c r="L22" s="91" t="s">
        <v>355</v>
      </c>
      <c r="M22" s="89"/>
      <c r="N22" s="90" t="s">
        <v>222</v>
      </c>
      <c r="O22" s="89" t="s">
        <v>313</v>
      </c>
      <c r="P22" s="89"/>
      <c r="Q22" s="89"/>
      <c r="R22" s="89"/>
      <c r="S22" s="89"/>
      <c r="T22" s="89" t="s">
        <v>305</v>
      </c>
      <c r="U22" s="90" t="s">
        <v>314</v>
      </c>
      <c r="V22" s="89"/>
      <c r="W22" s="89"/>
      <c r="X22" s="183" t="s">
        <v>366</v>
      </c>
      <c r="Y22" s="248" t="s">
        <v>1374</v>
      </c>
      <c r="Z22" s="248"/>
      <c r="AA22" s="82"/>
    </row>
    <row r="23" spans="2:27" ht="22.5" customHeight="1" x14ac:dyDescent="0.35">
      <c r="B23" s="68">
        <v>20</v>
      </c>
      <c r="C23" s="83" t="s">
        <v>356</v>
      </c>
      <c r="D23" s="88" t="s">
        <v>357</v>
      </c>
      <c r="E23" s="89"/>
      <c r="F23" s="89"/>
      <c r="G23" s="89"/>
      <c r="H23" s="89"/>
      <c r="I23" s="89"/>
      <c r="J23" s="89" t="s">
        <v>305</v>
      </c>
      <c r="K23" s="89"/>
      <c r="L23" s="92" t="s">
        <v>358</v>
      </c>
      <c r="M23" s="89"/>
      <c r="N23" s="89"/>
      <c r="O23" s="89"/>
      <c r="P23" s="89"/>
      <c r="Q23" s="89"/>
      <c r="R23" s="89"/>
      <c r="S23" s="89"/>
      <c r="T23" s="89"/>
      <c r="U23" s="76" t="s">
        <v>359</v>
      </c>
      <c r="V23" s="76" t="s">
        <v>224</v>
      </c>
      <c r="W23" s="76" t="s">
        <v>225</v>
      </c>
      <c r="X23" s="183" t="s">
        <v>367</v>
      </c>
      <c r="Y23" s="248" t="s">
        <v>1374</v>
      </c>
      <c r="Z23" s="248"/>
      <c r="AA23" s="82"/>
    </row>
    <row r="24" spans="2:27" ht="22.5" customHeight="1" thickBot="1" x14ac:dyDescent="0.4">
      <c r="B24" s="79">
        <v>21</v>
      </c>
      <c r="C24" s="93" t="s">
        <v>360</v>
      </c>
      <c r="D24" s="94" t="s">
        <v>361</v>
      </c>
      <c r="E24" s="95"/>
      <c r="F24" s="95"/>
      <c r="G24" s="95"/>
      <c r="H24" s="95"/>
      <c r="I24" s="95"/>
      <c r="J24" s="95" t="s">
        <v>306</v>
      </c>
      <c r="K24" s="95"/>
      <c r="L24" s="77" t="s">
        <v>231</v>
      </c>
      <c r="M24" s="95"/>
      <c r="N24" s="95"/>
      <c r="O24" s="95"/>
      <c r="P24" s="95"/>
      <c r="Q24" s="95"/>
      <c r="R24" s="95"/>
      <c r="S24" s="95"/>
      <c r="T24" s="95"/>
      <c r="U24" s="78" t="s">
        <v>362</v>
      </c>
      <c r="V24" s="78" t="s">
        <v>363</v>
      </c>
      <c r="W24" s="78" t="s">
        <v>364</v>
      </c>
      <c r="X24" s="315" t="s">
        <v>1080</v>
      </c>
      <c r="Y24" s="246" t="s">
        <v>1374</v>
      </c>
      <c r="Z24" s="246"/>
      <c r="AA24" s="316"/>
    </row>
    <row r="25" spans="2:27" ht="15.75" thickBot="1" x14ac:dyDescent="0.3"/>
    <row r="26" spans="2:27" ht="15.75" thickBot="1" x14ac:dyDescent="0.3">
      <c r="D26" s="52" t="s">
        <v>5</v>
      </c>
      <c r="E26" s="12"/>
    </row>
    <row r="27" spans="2:27" ht="20.25" customHeight="1" x14ac:dyDescent="0.25">
      <c r="D27" s="231" t="s">
        <v>145</v>
      </c>
      <c r="E27" s="232" t="s">
        <v>305</v>
      </c>
      <c r="F27" s="232" t="s">
        <v>306</v>
      </c>
      <c r="G27" s="232" t="s">
        <v>306</v>
      </c>
      <c r="H27" s="232"/>
      <c r="I27" s="233" t="s">
        <v>226</v>
      </c>
      <c r="J27" s="232"/>
      <c r="K27" s="232">
        <v>1</v>
      </c>
      <c r="L27" s="232"/>
      <c r="M27" s="233" t="s">
        <v>227</v>
      </c>
      <c r="N27" s="232">
        <v>1</v>
      </c>
      <c r="O27" s="232">
        <v>1</v>
      </c>
      <c r="P27" s="232">
        <v>1</v>
      </c>
      <c r="Q27" s="232">
        <v>1</v>
      </c>
      <c r="R27" s="232"/>
      <c r="S27" s="232">
        <v>1</v>
      </c>
      <c r="T27" s="232">
        <v>1</v>
      </c>
      <c r="U27" s="232"/>
      <c r="V27" s="232"/>
      <c r="W27" s="232"/>
    </row>
    <row r="28" spans="2:27" ht="20.25" customHeight="1" x14ac:dyDescent="0.25">
      <c r="D28" s="234" t="s">
        <v>368</v>
      </c>
      <c r="E28" s="235"/>
      <c r="F28" s="236" t="s">
        <v>233</v>
      </c>
      <c r="G28" s="235"/>
      <c r="H28" s="235">
        <v>1</v>
      </c>
      <c r="I28" s="235">
        <v>1</v>
      </c>
      <c r="J28" s="235"/>
      <c r="K28" s="236" t="s">
        <v>234</v>
      </c>
      <c r="L28" s="235"/>
      <c r="M28" s="235">
        <v>1</v>
      </c>
      <c r="N28" s="236" t="s">
        <v>235</v>
      </c>
      <c r="O28" s="236" t="s">
        <v>236</v>
      </c>
      <c r="P28" s="236" t="s">
        <v>237</v>
      </c>
      <c r="Q28" s="236" t="s">
        <v>237</v>
      </c>
      <c r="R28" s="235"/>
      <c r="S28" s="235"/>
      <c r="T28" s="236" t="s">
        <v>237</v>
      </c>
      <c r="U28" s="235"/>
      <c r="V28" s="235"/>
      <c r="W28" s="235"/>
    </row>
    <row r="29" spans="2:27" ht="20.25" customHeight="1" x14ac:dyDescent="0.25">
      <c r="D29" s="237" t="s">
        <v>369</v>
      </c>
      <c r="E29" s="235"/>
      <c r="F29" s="236" t="s">
        <v>238</v>
      </c>
      <c r="G29" s="235"/>
      <c r="H29" s="235"/>
      <c r="I29" s="235"/>
      <c r="J29" s="235">
        <v>1</v>
      </c>
      <c r="K29" s="236" t="s">
        <v>239</v>
      </c>
      <c r="L29" s="235"/>
      <c r="M29" s="235"/>
      <c r="N29" s="236" t="s">
        <v>240</v>
      </c>
      <c r="O29" s="236" t="s">
        <v>241</v>
      </c>
      <c r="P29" s="236" t="s">
        <v>242</v>
      </c>
      <c r="Q29" s="236" t="s">
        <v>242</v>
      </c>
      <c r="R29" s="235">
        <v>1</v>
      </c>
      <c r="S29" s="235"/>
      <c r="T29" s="236" t="s">
        <v>242</v>
      </c>
      <c r="U29" s="235"/>
      <c r="V29" s="235"/>
      <c r="W29" s="238" t="s">
        <v>243</v>
      </c>
    </row>
    <row r="30" spans="2:27" ht="20.25" customHeight="1" x14ac:dyDescent="0.25">
      <c r="D30" s="234" t="s">
        <v>8</v>
      </c>
      <c r="E30" s="235"/>
      <c r="F30" s="235"/>
      <c r="G30" s="238" t="s">
        <v>228</v>
      </c>
      <c r="H30" s="238" t="s">
        <v>229</v>
      </c>
      <c r="I30" s="238" t="s">
        <v>230</v>
      </c>
      <c r="J30" s="238" t="s">
        <v>231</v>
      </c>
      <c r="K30" s="235"/>
      <c r="L30" s="235">
        <v>-1</v>
      </c>
      <c r="M30" s="235"/>
      <c r="N30" s="235"/>
      <c r="O30" s="235"/>
      <c r="P30" s="235"/>
      <c r="Q30" s="235"/>
      <c r="R30" s="236" t="s">
        <v>232</v>
      </c>
      <c r="S30" s="235"/>
      <c r="T30" s="235"/>
      <c r="U30" s="235"/>
      <c r="V30" s="235"/>
      <c r="W30" s="235"/>
    </row>
    <row r="31" spans="2:27" ht="20.25" customHeight="1" thickBot="1" x14ac:dyDescent="0.3">
      <c r="D31" s="239" t="s">
        <v>370</v>
      </c>
      <c r="E31" s="240"/>
      <c r="F31" s="240"/>
      <c r="G31" s="240"/>
      <c r="H31" s="240"/>
      <c r="I31" s="240"/>
      <c r="J31" s="240"/>
      <c r="K31" s="240"/>
      <c r="L31" s="240"/>
      <c r="M31" s="240"/>
      <c r="N31" s="241" t="s">
        <v>244</v>
      </c>
      <c r="O31" s="241" t="s">
        <v>245</v>
      </c>
      <c r="P31" s="241" t="s">
        <v>247</v>
      </c>
      <c r="Q31" s="241" t="s">
        <v>247</v>
      </c>
      <c r="R31" s="241" t="s">
        <v>249</v>
      </c>
      <c r="S31" s="241" t="s">
        <v>246</v>
      </c>
      <c r="T31" s="241" t="s">
        <v>247</v>
      </c>
      <c r="U31" s="240">
        <v>-1</v>
      </c>
      <c r="V31" s="240">
        <v>1</v>
      </c>
      <c r="W31" s="240">
        <v>1</v>
      </c>
    </row>
    <row r="34" spans="2:30" x14ac:dyDescent="0.25">
      <c r="AA34" t="s">
        <v>397</v>
      </c>
    </row>
    <row r="36" spans="2:30" ht="15.75" thickBot="1" x14ac:dyDescent="0.3">
      <c r="Z36" t="s">
        <v>397</v>
      </c>
    </row>
    <row r="37" spans="2:30" ht="75.75" thickBot="1" x14ac:dyDescent="0.3">
      <c r="B37" s="161" t="s">
        <v>90</v>
      </c>
      <c r="C37" s="162"/>
      <c r="D37" s="162" t="s">
        <v>1</v>
      </c>
      <c r="E37" s="163" t="s">
        <v>251</v>
      </c>
      <c r="F37" s="163" t="s">
        <v>252</v>
      </c>
      <c r="G37" s="163" t="s">
        <v>253</v>
      </c>
      <c r="H37" s="163" t="s">
        <v>254</v>
      </c>
      <c r="I37" s="163" t="s">
        <v>255</v>
      </c>
      <c r="J37" s="163" t="s">
        <v>256</v>
      </c>
      <c r="K37" s="163" t="s">
        <v>257</v>
      </c>
      <c r="L37" s="163" t="s">
        <v>258</v>
      </c>
      <c r="M37" s="163" t="s">
        <v>259</v>
      </c>
      <c r="N37" s="163" t="s">
        <v>260</v>
      </c>
      <c r="O37" s="163" t="s">
        <v>261</v>
      </c>
      <c r="P37" s="163" t="s">
        <v>262</v>
      </c>
      <c r="Q37" s="163" t="s">
        <v>263</v>
      </c>
      <c r="R37" s="163" t="s">
        <v>264</v>
      </c>
      <c r="S37" s="163" t="s">
        <v>265</v>
      </c>
      <c r="T37" s="163" t="s">
        <v>266</v>
      </c>
      <c r="U37" s="163" t="s">
        <v>267</v>
      </c>
      <c r="V37" s="163" t="s">
        <v>268</v>
      </c>
      <c r="W37" s="163" t="s">
        <v>269</v>
      </c>
      <c r="X37" s="164" t="s">
        <v>1329</v>
      </c>
      <c r="Z37" s="419" t="s">
        <v>145</v>
      </c>
      <c r="AA37" s="419" t="s">
        <v>368</v>
      </c>
      <c r="AB37" s="420" t="s">
        <v>369</v>
      </c>
      <c r="AC37" s="419" t="s">
        <v>8</v>
      </c>
      <c r="AD37" s="419" t="s">
        <v>370</v>
      </c>
    </row>
    <row r="38" spans="2:30" x14ac:dyDescent="0.25">
      <c r="B38" s="67">
        <v>1</v>
      </c>
      <c r="C38" s="84" t="s">
        <v>270</v>
      </c>
      <c r="D38" s="85" t="s">
        <v>271</v>
      </c>
      <c r="E38" s="403">
        <f>0</f>
        <v>0</v>
      </c>
      <c r="F38" s="403">
        <f>1-f_SI</f>
        <v>1</v>
      </c>
      <c r="G38" s="403">
        <f>0</f>
        <v>0</v>
      </c>
      <c r="H38" s="403">
        <f>-((1-f_SI)*i_N_SF+f_SI*i_N_SI-i_N_XS)</f>
        <v>1.0000000000000002E-2</v>
      </c>
      <c r="I38" s="403">
        <f>0</f>
        <v>0</v>
      </c>
      <c r="J38" s="403">
        <f>-((1-f_SI)*i_P_SF+f_SI*i_P_SI-i_P_XS)</f>
        <v>0</v>
      </c>
      <c r="K38" s="408">
        <f>f_SI</f>
        <v>0</v>
      </c>
      <c r="L38" s="408">
        <f>i_Charge_SNHx*v_1_SNH4+i_Charge_SPO4*v_1_SPO4</f>
        <v>7.142857142857141E-7</v>
      </c>
      <c r="M38" s="403">
        <f>0</f>
        <v>0</v>
      </c>
      <c r="N38" s="403">
        <f>0</f>
        <v>0</v>
      </c>
      <c r="O38" s="403">
        <f>-1</f>
        <v>-1</v>
      </c>
      <c r="P38" s="403">
        <f>0</f>
        <v>0</v>
      </c>
      <c r="Q38" s="403">
        <f>0</f>
        <v>0</v>
      </c>
      <c r="R38" s="403">
        <f>0</f>
        <v>0</v>
      </c>
      <c r="S38" s="403">
        <f>0</f>
        <v>0</v>
      </c>
      <c r="T38" s="403">
        <f>0</f>
        <v>0</v>
      </c>
      <c r="U38" s="412">
        <f>-i_TSS_XS</f>
        <v>-0.75</v>
      </c>
      <c r="V38" s="403">
        <f>0</f>
        <v>0</v>
      </c>
      <c r="W38" s="403">
        <f>0</f>
        <v>0</v>
      </c>
      <c r="X38" s="416">
        <f>K_h*M_satSO2_KO2_HYD*M_RsatXS_XH_KX*X_H</f>
        <v>681.81818181818176</v>
      </c>
      <c r="Z38" s="355">
        <f>E62*E38+F62*F38+G62*G38+H62*H38+I62*I38+J62*J38+K62*K38+L62*L38+M62*M38+N62*N38+O62*O38+P62*P38+Q62*Q38+R62*R38+S62*S38+T62*T38+U62*U38+V62*V38+W62*W38</f>
        <v>0</v>
      </c>
      <c r="AA38" s="355">
        <f>E63*E38+F63*F38+G63*G38+H63*H38+I63*I38+J63*J38+K63*K38+L63*L38+M63*M38+N63*N38+O63*O38+P63*P38+Q63*Q38+R63*R38+S63*S38+T63*T38+U63*U38+V63*V38+W63*W38</f>
        <v>0</v>
      </c>
      <c r="AB38" s="355">
        <f>E64*E38+F64*F38+G64*G38+H64*H38+I64*I38+J64*J38+K64*K38+L64*L38+M64*M38+N64*N38+O64*O38+P64*P38+Q64*Q38+R64*R38+S64*S38+T64*T38+U64*U38+V64*V38+W64*W38</f>
        <v>0</v>
      </c>
      <c r="AC38" s="355">
        <f>E65*E38+F65*F38+G65*G38+H65*H38+I65*I38+J65*J38+K65*K38+L65*L38+M65*M38+N65*N38+O65*O38+P65*P38+Q65*Q38+R65*R38+S65*S38+T65*T38+U65*U38+V65*V38+W65*W38</f>
        <v>0</v>
      </c>
      <c r="AD38" s="355">
        <f>E66*E38+F66*F38+G66*G38+H66*H38+I66*I38+J66*J38+K66*K38+L66*L38+M66*M38+N66*N38+O66*O38+P66*P38+Q66*Q38+R66*R38+S66*S38+T66*T38+U66*U38+V66*V38+W66*W38</f>
        <v>0</v>
      </c>
    </row>
    <row r="39" spans="2:30" x14ac:dyDescent="0.25">
      <c r="B39" s="68">
        <v>2</v>
      </c>
      <c r="C39" s="83" t="s">
        <v>277</v>
      </c>
      <c r="D39" s="88" t="s">
        <v>278</v>
      </c>
      <c r="E39" s="404">
        <f>0</f>
        <v>0</v>
      </c>
      <c r="F39" s="404">
        <f>1-f_SI</f>
        <v>1</v>
      </c>
      <c r="G39" s="404">
        <f>0</f>
        <v>0</v>
      </c>
      <c r="H39" s="404">
        <f>-((1-f_SI)*i_N_SF+f_SI*i_N_SI-i_N_XS)</f>
        <v>1.0000000000000002E-2</v>
      </c>
      <c r="I39" s="404">
        <f>0</f>
        <v>0</v>
      </c>
      <c r="J39" s="404">
        <f>-((1-f_SI)*i_P_SF+f_SI*i_P_SI-i_P_XS)</f>
        <v>0</v>
      </c>
      <c r="K39" s="407">
        <f>f_SI</f>
        <v>0</v>
      </c>
      <c r="L39" s="407">
        <f>i_Charge_SNHx*v_2_SNH4+i_Charge_SPO4*v_2_SPO4</f>
        <v>7.142857142857141E-7</v>
      </c>
      <c r="M39" s="404">
        <f>0</f>
        <v>0</v>
      </c>
      <c r="N39" s="404">
        <f>0</f>
        <v>0</v>
      </c>
      <c r="O39" s="404">
        <f>-1</f>
        <v>-1</v>
      </c>
      <c r="P39" s="404">
        <f>0</f>
        <v>0</v>
      </c>
      <c r="Q39" s="404">
        <f>0</f>
        <v>0</v>
      </c>
      <c r="R39" s="404">
        <f>0</f>
        <v>0</v>
      </c>
      <c r="S39" s="404">
        <f>0</f>
        <v>0</v>
      </c>
      <c r="T39" s="404">
        <f>0</f>
        <v>0</v>
      </c>
      <c r="U39" s="413">
        <f>-i_TSS_XS</f>
        <v>-0.75</v>
      </c>
      <c r="V39" s="404">
        <f>0</f>
        <v>0</v>
      </c>
      <c r="W39" s="404">
        <f>0</f>
        <v>0</v>
      </c>
      <c r="X39" s="417">
        <f>K_h*η_NO3_HYD*M_inhSO2_KO2_HYD*M_satSNO3_KNO3_HYD*M_RsatXS_XH_KX*X_H</f>
        <v>39.589442815249264</v>
      </c>
      <c r="Z39" s="355">
        <f>E62*E39+F62*F39+G62*G39+H62*H39+I62*I39+J62*J39+K62*K39+L62*L39+M62*M39+N62*N39+O62*O39+P62*P39+Q62*Q39+R62*R39+S62*S39+T62*T39+U62*U39+V62*V39+W62*W39</f>
        <v>0</v>
      </c>
      <c r="AA39" s="355">
        <f>E63*E39+F63*F39+G63*G39+H63*H39+I63*I39+J63*J39+K63*K39+L63*L39+M63*M39+N63*N39+O63*O39+P63*P39+Q63*Q39+R63*R39+S63*S39+T63*T39+U63*U39+V63*V39+W63*W39</f>
        <v>0</v>
      </c>
      <c r="AB39" s="355">
        <f>E64*E39+F64*F39+G64*G39+H64*H39+I64*I39+J64*J39+K64*K39+L64*L39+M64*M39+N64*N39+O64*O39+P64*P39+Q64*Q39+R64*R39+S64*S39+T64*T39+U64*U39+V64*V39+W64*W39</f>
        <v>0</v>
      </c>
      <c r="AC39" s="355">
        <f>E65*E39+F65*F39+G65*G39+H65*H39+I65*I39+J65*J39+K65*K39+L65*L39+M65*M39+N65*N39+O65*O39+P65*P39+Q65*Q39+R65*R39+S65*S39+T65*T39+U65*U39+V65*V39+W65*W39</f>
        <v>0</v>
      </c>
      <c r="AD39" s="355">
        <f>E66*E39+F66*F39+G66*G39+H66*H39+I66*I39+J66*J39+K66*K39+L66*L39+M66*M39+N66*N39+O66*O39+P66*P39+Q66*Q39+R66*R39+S66*S39+T66*T39+U66*U39+V66*V39+W66*W39</f>
        <v>0</v>
      </c>
    </row>
    <row r="40" spans="2:30" x14ac:dyDescent="0.25">
      <c r="B40" s="68">
        <v>3</v>
      </c>
      <c r="C40" s="83" t="s">
        <v>280</v>
      </c>
      <c r="D40" s="88" t="s">
        <v>281</v>
      </c>
      <c r="E40" s="404">
        <f>0</f>
        <v>0</v>
      </c>
      <c r="F40" s="404">
        <f>1-f_SI</f>
        <v>1</v>
      </c>
      <c r="G40" s="404">
        <f>0</f>
        <v>0</v>
      </c>
      <c r="H40" s="404">
        <f>-((1-f_SI)*i_N_SF+f_SI*i_N_SI-i_N_XS)</f>
        <v>1.0000000000000002E-2</v>
      </c>
      <c r="I40" s="404">
        <f>0</f>
        <v>0</v>
      </c>
      <c r="J40" s="404">
        <f>-((1-f_SI)*i_P_SF+f_SI*i_P_SI-i_P_XS)</f>
        <v>0</v>
      </c>
      <c r="K40" s="407">
        <f>f_SI</f>
        <v>0</v>
      </c>
      <c r="L40" s="407">
        <f>i_Charge_SNHx*v_3_SNH4+i_Charge_SPO4*v_3_SPO4</f>
        <v>7.142857142857141E-7</v>
      </c>
      <c r="M40" s="404">
        <f>0</f>
        <v>0</v>
      </c>
      <c r="N40" s="404">
        <f>0</f>
        <v>0</v>
      </c>
      <c r="O40" s="404">
        <f>-1</f>
        <v>-1</v>
      </c>
      <c r="P40" s="404">
        <f>0</f>
        <v>0</v>
      </c>
      <c r="Q40" s="404">
        <f>0</f>
        <v>0</v>
      </c>
      <c r="R40" s="404">
        <f>0</f>
        <v>0</v>
      </c>
      <c r="S40" s="404">
        <f>0</f>
        <v>0</v>
      </c>
      <c r="T40" s="404">
        <f>0</f>
        <v>0</v>
      </c>
      <c r="U40" s="413">
        <f>-i_TSS_XS</f>
        <v>-0.75</v>
      </c>
      <c r="V40" s="404">
        <f>0</f>
        <v>0</v>
      </c>
      <c r="W40" s="404">
        <f>0</f>
        <v>0</v>
      </c>
      <c r="X40" s="417">
        <f>K_h*η_fe*M_inhSO2_KO2_HYD*M_inhSNO3_KNO3_HYD*M_RsatXS_XH_KX*X_H</f>
        <v>0.87976539589442826</v>
      </c>
      <c r="Z40" s="355">
        <f>E62*E40+F62*F40+G62*G40+H62*H40+I62*I40+J62*J40+K62*K40+L62*L40+M62*M40+N62*N40+O62*O40+P62*P40+Q62*Q40+R62*R40+S62*S40+T62*T40+U62*U40+V62*V40+W62*W40</f>
        <v>0</v>
      </c>
      <c r="AA40" s="355">
        <f>E63*E40+F63*F40+G63*G40+H63*H40+I63*I40+J63*J40+K63*K40+L63*L40+M63*M40+N63*N40+O63*O40+P63*P40+Q63*Q40+R63*R40+S63*S40+T63*T40+U63*U40+V63*V40+W63*W40</f>
        <v>0</v>
      </c>
      <c r="AB40" s="355">
        <f>E64*E40+F64*F40+G64*G40+H64*H40+I64*I40+J64*J40+K64*K40+L64*L40+M64*M40+N64*N40+O64*O40+P64*P40+Q64*Q40+R64*R40+S64*S40+T64*T40+U64*U40+V64*V40+W64*W40</f>
        <v>0</v>
      </c>
      <c r="AC40" s="355">
        <f>E65*E40+F65*F40+G65*G40+H65*H40+I65*I40+J65*J40+K65*K40+L65*L40+M65*M40+N65*N40+O65*O40+P65*P40+Q65*Q40+R65*R40+S65*S40+T65*T40+U65*U40+V65*V40+W65*W40</f>
        <v>0</v>
      </c>
      <c r="AD40" s="355">
        <f>E66*E40+F66*F40+G66*G40+H66*H40+I66*I40+J66*J40+K66*K40+L66*L40+M66*M40+N66*N40+O66*O40+P66*P40+Q66*Q40+R66*R40+S66*S40+T66*T40+U66*U40+V66*V40+W66*W40</f>
        <v>0</v>
      </c>
    </row>
    <row r="41" spans="2:30" ht="16.5" x14ac:dyDescent="0.25">
      <c r="B41" s="68">
        <v>4</v>
      </c>
      <c r="C41" s="83" t="s">
        <v>283</v>
      </c>
      <c r="D41" s="88" t="s">
        <v>284</v>
      </c>
      <c r="E41" s="404">
        <f>-(1-Y_H)/Y_H</f>
        <v>-0.6</v>
      </c>
      <c r="F41" s="404">
        <f>-1/Y_H</f>
        <v>-1.6</v>
      </c>
      <c r="G41" s="404">
        <f>0</f>
        <v>0</v>
      </c>
      <c r="H41" s="404">
        <f>-(-1/Y_H*i_N_SF+i_N_BM)</f>
        <v>-2.2000000000000006E-2</v>
      </c>
      <c r="I41" s="404">
        <f>0</f>
        <v>0</v>
      </c>
      <c r="J41" s="404">
        <f>-(-1/Y_H*i_P_SF+i_P_BM)</f>
        <v>-4.0000000000000001E-3</v>
      </c>
      <c r="K41" s="404">
        <f>0</f>
        <v>0</v>
      </c>
      <c r="L41" s="407">
        <f>i_Charge_SNHx*v_4_SNH4+i_Charge_SPO4*v_4_SPO4</f>
        <v>-1.3778801843317971E-6</v>
      </c>
      <c r="M41" s="404">
        <f>0</f>
        <v>0</v>
      </c>
      <c r="N41" s="404">
        <f>0</f>
        <v>0</v>
      </c>
      <c r="O41" s="404">
        <f>0</f>
        <v>0</v>
      </c>
      <c r="P41" s="404">
        <f>1</f>
        <v>1</v>
      </c>
      <c r="Q41" s="404">
        <f>0</f>
        <v>0</v>
      </c>
      <c r="R41" s="404">
        <f>0</f>
        <v>0</v>
      </c>
      <c r="S41" s="404">
        <f>0</f>
        <v>0</v>
      </c>
      <c r="T41" s="404">
        <f>0</f>
        <v>0</v>
      </c>
      <c r="U41" s="407">
        <f>i_TSS_BM</f>
        <v>0.9</v>
      </c>
      <c r="V41" s="404">
        <f>0</f>
        <v>0</v>
      </c>
      <c r="W41" s="404">
        <f>0</f>
        <v>0</v>
      </c>
      <c r="X41" s="417">
        <f>μ_H*M_satSO2_KO2_H*M_satSF_KF*S_F/(S_A+S_F)*M_satSNH4_KNH4_H*M_satSPO4_KP_H*M_satSALK_KALK_H*X_H</f>
        <v>1204.5366463712282</v>
      </c>
      <c r="Z41" s="355">
        <f>E62*E41+F62*F41+G62*G41+H62*H41+I62*I41+J62*J41+K62*K41+L62*L41+M62*M41+N62*N41+O62*O41+P62*P41+Q62*Q41+R62*R41+S62*S41+T62*T41+U62*U41+V62*V41+W62*W41</f>
        <v>0</v>
      </c>
      <c r="AA41" s="355">
        <f>E63*E41+F63*F41+G63*G41+H63*H41+I63*I41+J63*J41+K63*K41+L63*L41+M63*M41+N63*N41+O63*O41+P63*P41+Q63*Q41+R63*R41+S63*S41+T63*T41+U63*U41+V63*V41+W63*W41</f>
        <v>0</v>
      </c>
      <c r="AB41" s="355">
        <f>E64*E41+F64*F41+G64*G41+H64*H41+I64*I41+J64*J41+K64*K41+L64*L41+M64*M41+N64*N41+O64*O41+P64*P41+Q64*Q41+R64*R41+S64*S41+T64*T41+U64*U41+V64*V41+W64*W41</f>
        <v>0</v>
      </c>
      <c r="AC41" s="355">
        <f>E65*E41+F65*F41+G65*G41+H65*H41+I65*I41+J65*J41+K65*K41+L65*L41+M65*M41+N65*N41+O65*O41+P65*P41+Q65*Q41+R65*R41+S65*S41+T65*T41+U65*U41+V65*V41+W65*W41</f>
        <v>0</v>
      </c>
      <c r="AD41" s="355">
        <f>E66*E41+F66*F41+G66*G41+H66*H41+I66*I41+J66*J41+K66*K41+L66*L41+M66*M41+N66*N41+O66*O41+P66*P41+Q66*Q41+R66*R41+S66*S41+T66*T41+U66*U41+V66*V41+W66*W41</f>
        <v>0</v>
      </c>
    </row>
    <row r="42" spans="2:30" ht="16.5" x14ac:dyDescent="0.25">
      <c r="B42" s="68">
        <v>5</v>
      </c>
      <c r="C42" s="83" t="s">
        <v>290</v>
      </c>
      <c r="D42" s="88" t="s">
        <v>291</v>
      </c>
      <c r="E42" s="404">
        <f>-(1-Y_H)/Y_H</f>
        <v>-0.6</v>
      </c>
      <c r="F42" s="404">
        <f>0</f>
        <v>0</v>
      </c>
      <c r="G42" s="404">
        <f>-1/Y_H</f>
        <v>-1.6</v>
      </c>
      <c r="H42" s="404">
        <f>-i_N_BM</f>
        <v>-7.0000000000000007E-2</v>
      </c>
      <c r="I42" s="404">
        <f>0</f>
        <v>0</v>
      </c>
      <c r="J42" s="404">
        <f>-i_P_BM</f>
        <v>-0.02</v>
      </c>
      <c r="K42" s="404">
        <f>0</f>
        <v>0</v>
      </c>
      <c r="L42" s="407">
        <f>i_Charge_SNHx*v_5_SNH4+i_Charge_SPO4*v_5_SPO4+i_Charge_SVFA*v_5_SA</f>
        <v>2.0967741935483873E-5</v>
      </c>
      <c r="M42" s="404">
        <f>0</f>
        <v>0</v>
      </c>
      <c r="N42" s="404">
        <f>0</f>
        <v>0</v>
      </c>
      <c r="O42" s="404">
        <f>0</f>
        <v>0</v>
      </c>
      <c r="P42" s="404">
        <f>1</f>
        <v>1</v>
      </c>
      <c r="Q42" s="404">
        <f>0</f>
        <v>0</v>
      </c>
      <c r="R42" s="404">
        <f>0</f>
        <v>0</v>
      </c>
      <c r="S42" s="404">
        <f>0</f>
        <v>0</v>
      </c>
      <c r="T42" s="404">
        <f>0</f>
        <v>0</v>
      </c>
      <c r="U42" s="407">
        <f>i_TSS_BM</f>
        <v>0.9</v>
      </c>
      <c r="V42" s="404">
        <f>0</f>
        <v>0</v>
      </c>
      <c r="W42" s="404">
        <f>0</f>
        <v>0</v>
      </c>
      <c r="X42" s="417">
        <f>μ_H*M_satSO2_KO2_H*M_satSA_KA_H*S_A/(S_A+S_F)*M_satSNH4_KNH4_H*M_satSPO4_KP_H*M_satSALK_KALK_H*X_H</f>
        <v>86.726638538728409</v>
      </c>
      <c r="Z42" s="355">
        <f>E62*E42+F62*F42+G62*G42+H62*H42+I62*I42+J62*J42+K62*K42+L62*L42+M62*M42+N62*N42+O62*O42+P62*P42+Q62*Q42+R62*R42+S62*S42+T62*T42+U62*U42+V62*V42+W62*W42</f>
        <v>0</v>
      </c>
      <c r="AA42" s="355">
        <f>E63*E42+F63*F42+G63*G42+H63*H42+I63*I42+J63*J42+K63*K42+L63*L42+M63*M42+N63*N42+O63*O42+P63*P42+Q63*Q42+R63*R42+S63*S42+T63*T42+U63*U42+V63*V42+W63*W42</f>
        <v>0</v>
      </c>
      <c r="AB42" s="355">
        <f>E64*E42+F64*F42+G64*G42+H64*H42+I64*I42+J64*J42+K64*K42+L64*L42+M64*M42+N64*N42+O64*O42+P64*P42+Q64*Q42+R64*R42+S64*S42+T64*T42+U64*U42+V64*V42+W64*W42</f>
        <v>0</v>
      </c>
      <c r="AC42" s="355">
        <f>E65*E42+F65*F42+G65*G42+H65*H42+I65*I42+J65*J42+K65*K42+L65*L42+M65*M42+N65*N42+O65*O42+P65*P42+Q65*Q42+R65*R42+S65*S42+T65*T42+U65*U42+V65*V42+W65*W42</f>
        <v>3.3881317890172014E-21</v>
      </c>
      <c r="AD42" s="355">
        <f>E66*E42+F66*F42+G66*G42+H66*H42+I66*I42+J66*J42+K66*K42+L66*L42+M66*M42+N66*N42+O66*O42+P66*P42+Q66*Q42+R66*R42+S66*S42+T66*T42+U66*U42+V66*V42+W66*W42</f>
        <v>0</v>
      </c>
    </row>
    <row r="43" spans="2:30" ht="16.5" x14ac:dyDescent="0.25">
      <c r="B43" s="68">
        <v>6</v>
      </c>
      <c r="C43" s="83" t="s">
        <v>295</v>
      </c>
      <c r="D43" s="88" t="s">
        <v>296</v>
      </c>
      <c r="E43" s="404">
        <f>0</f>
        <v>0</v>
      </c>
      <c r="F43" s="404">
        <f>-1/Y_H</f>
        <v>-1.6</v>
      </c>
      <c r="G43" s="404">
        <f>0</f>
        <v>0</v>
      </c>
      <c r="H43" s="404">
        <f>-(-1/Y_H*i_N_SF+i_N_BM)</f>
        <v>-2.2000000000000006E-2</v>
      </c>
      <c r="I43" s="405">
        <f>-(1-Y_H)/(i_NO3_N2*Y_H)</f>
        <v>-0.21</v>
      </c>
      <c r="J43" s="404">
        <f>-(-1/Y_H*i_P_SF+i_P_BM)</f>
        <v>-4.0000000000000001E-3</v>
      </c>
      <c r="K43" s="404">
        <f>0</f>
        <v>0</v>
      </c>
      <c r="L43" s="407">
        <f>i_Charge_SNHx*v_6_SNH4+i_Charge_SPO4*v_6_SPO4+i_Charge_SNOx*v_6_SNO3</f>
        <v>1.3622119815668195E-5</v>
      </c>
      <c r="M43" s="404">
        <f>(1-Y_H)/(i_NO3_N2*Y_H)</f>
        <v>0.21</v>
      </c>
      <c r="N43" s="404">
        <f>0</f>
        <v>0</v>
      </c>
      <c r="O43" s="404">
        <f>0</f>
        <v>0</v>
      </c>
      <c r="P43" s="404">
        <f>1</f>
        <v>1</v>
      </c>
      <c r="Q43" s="404">
        <f>0</f>
        <v>0</v>
      </c>
      <c r="R43" s="404">
        <f>0</f>
        <v>0</v>
      </c>
      <c r="S43" s="404">
        <f>0</f>
        <v>0</v>
      </c>
      <c r="T43" s="404">
        <f>0</f>
        <v>0</v>
      </c>
      <c r="U43" s="407">
        <f>i_TSS_BM</f>
        <v>0.9</v>
      </c>
      <c r="V43" s="404">
        <f>0</f>
        <v>0</v>
      </c>
      <c r="W43" s="404">
        <f>0</f>
        <v>0</v>
      </c>
      <c r="X43" s="417">
        <f>μ_H*η_NO3_H*M_inhSO2_KO2_H*M_satSNO3_KNO3_H*M_satSF_KF*S_F/(S_A+S_F)*M_satSNH4_KNH4_H*M_satSPO4_KP_H*M_satSALK_KALK_H*X_H</f>
        <v>93.254450041643466</v>
      </c>
      <c r="Z43" s="355">
        <f>E62*E43+F62*F43+G62*G43+H62*H43+I62*I43+J62*J43+K62*K43+L62*L43+M62*M43+N62*N43+O62*O43+P62*P43+Q62*Q43+R62*R43+S62*S43+T62*T43+U62*U43+V62*V43+W62*W43</f>
        <v>0</v>
      </c>
      <c r="AA43" s="355">
        <f>E63*E43+F63*F43+G63*G43+H63*H43+I63*I43+J63*J43+K63*K43+L63*L43+M63*M43+N63*N43+O63*O43+P63*P43+Q63*Q43+R63*R43+S63*S43+T63*T43+U63*U43+V63*V43+W63*W43</f>
        <v>-2.7755575615628914E-17</v>
      </c>
      <c r="AB43" s="355">
        <f>E64*E43+F64*F43+G64*G43+H64*H43+I64*I43+J64*J43+K64*K43+L64*L43+M64*M43+N64*N43+O64*O43+P64*P43+Q64*Q43+R64*R43+S64*S43+T64*T43+U64*U43+V64*V43+W64*W43</f>
        <v>0</v>
      </c>
      <c r="AC43" s="355">
        <f>E65*E43+F65*F43+G65*G43+H65*H43+I65*I43+J65*J43+K65*K43+L65*L43+M65*M43+N65*N43+O65*O43+P65*P43+Q65*Q43+R65*R43+S65*S43+T65*T43+U65*U43+V65*V43+W65*W43</f>
        <v>0</v>
      </c>
      <c r="AD43" s="355">
        <f>E66*E43+F66*F43+G66*G43+H66*H43+I66*I43+J66*J43+K66*K43+L66*L43+M66*M43+N66*N43+O66*O43+P66*P43+Q66*Q43+R66*R43+S66*S43+T66*T43+U66*U43+V66*V43+W66*W43</f>
        <v>0</v>
      </c>
    </row>
    <row r="44" spans="2:30" ht="16.5" x14ac:dyDescent="0.25">
      <c r="B44" s="68">
        <v>7</v>
      </c>
      <c r="C44" s="83" t="s">
        <v>300</v>
      </c>
      <c r="D44" s="88" t="s">
        <v>301</v>
      </c>
      <c r="E44" s="404">
        <f>0</f>
        <v>0</v>
      </c>
      <c r="F44" s="404">
        <f>0</f>
        <v>0</v>
      </c>
      <c r="G44" s="404">
        <f>-1/Y_H</f>
        <v>-1.6</v>
      </c>
      <c r="H44" s="404">
        <f>-i_N_BM</f>
        <v>-7.0000000000000007E-2</v>
      </c>
      <c r="I44" s="405">
        <f>-(1-Y_H)/(i_NO3_N2*Y_H)</f>
        <v>-0.21</v>
      </c>
      <c r="J44" s="404">
        <f>-i_P_BM</f>
        <v>-0.02</v>
      </c>
      <c r="K44" s="404">
        <f>0</f>
        <v>0</v>
      </c>
      <c r="L44" s="407">
        <f>i_Charge_SNHx*v_7_SNH4+i_Charge_SPO4*v_7_SPO4+i_Charge_SNOx*v_7_SNO3+i_Charge_SVFA*v_7_SA</f>
        <v>3.5967741935483865E-5</v>
      </c>
      <c r="M44" s="404">
        <f>(1-Y_H)/(i_NO3_N2*Y_H)</f>
        <v>0.21</v>
      </c>
      <c r="N44" s="404">
        <f>0</f>
        <v>0</v>
      </c>
      <c r="O44" s="404">
        <f>0</f>
        <v>0</v>
      </c>
      <c r="P44" s="404">
        <f>1</f>
        <v>1</v>
      </c>
      <c r="Q44" s="404">
        <f>0</f>
        <v>0</v>
      </c>
      <c r="R44" s="404">
        <f>0</f>
        <v>0</v>
      </c>
      <c r="S44" s="404">
        <f>0</f>
        <v>0</v>
      </c>
      <c r="T44" s="404">
        <f>0</f>
        <v>0</v>
      </c>
      <c r="U44" s="407">
        <f>i_TSS_BM</f>
        <v>0.9</v>
      </c>
      <c r="V44" s="404">
        <f>0</f>
        <v>0</v>
      </c>
      <c r="W44" s="404">
        <f>0</f>
        <v>0</v>
      </c>
      <c r="X44" s="417">
        <f>μ_H*η_NO3_H*M_inhSO2_KO2_H*M_satSNO3_KNO3_H*M_satSA_KA_H*S_A/(S_A+S_F)*M_satSNH4_KNH4_H*M_satSPO4_KP_H*M_satSALK_KALK_H*X_H</f>
        <v>6.7143204029983323</v>
      </c>
      <c r="Z44" s="355">
        <f>E62*E44+F62*F44+G62*G44+H62*H44+I62*I44+J62*J44+K62*K44+L62*L44+M62*M44+N62*N44+O62*O44+P62*P44+Q62*Q44+R62*R44+S62*S44+T62*T44+U62*U44+V62*V44+W62*W44</f>
        <v>0</v>
      </c>
      <c r="AA44" s="355">
        <f>E63*E44+F63*F44+G63*G44+H63*H44+I63*I44+J63*J44+K63*K44+L63*L44+M63*M44+N63*N44+O63*O44+P63*P44+Q63*Q44+R63*R44+S63*S44+T63*T44+U63*U44+V63*V44+W63*W44</f>
        <v>-2.7755575615628914E-17</v>
      </c>
      <c r="AB44" s="355">
        <f>E64*E44+F64*F44+G64*G44+H64*H44+I64*I44+J64*J44+K64*K44+L64*L44+M64*M44+N64*N44+O64*O44+P64*P44+Q64*Q44+R64*R44+S64*S44+T64*T44+U64*U44+V64*V44+W64*W44</f>
        <v>0</v>
      </c>
      <c r="AC44" s="355">
        <f>E65*E44+F65*F44+G65*G44+H65*H44+I65*I44+J65*J44+K65*K44+L65*L44+M65*M44+N65*N44+O65*O44+P65*P44+Q65*Q44+R65*R44+S65*S44+T65*T44+U65*U44+V65*V44+W65*W44</f>
        <v>0</v>
      </c>
      <c r="AD44" s="355">
        <f>E66*E44+F66*F44+G66*G44+H66*H44+I66*I44+J66*J44+K66*K44+L66*L44+M66*M44+N66*N44+O66*O44+P66*P44+Q66*Q44+R66*R44+S66*S44+T66*T44+U66*U44+V66*V44+W66*W44</f>
        <v>0</v>
      </c>
    </row>
    <row r="45" spans="2:30" x14ac:dyDescent="0.25">
      <c r="B45" s="68">
        <v>8</v>
      </c>
      <c r="C45" s="83" t="s">
        <v>303</v>
      </c>
      <c r="D45" s="88" t="s">
        <v>304</v>
      </c>
      <c r="E45" s="404">
        <f>0</f>
        <v>0</v>
      </c>
      <c r="F45" s="405">
        <f>-1</f>
        <v>-1</v>
      </c>
      <c r="G45" s="405">
        <f>1</f>
        <v>1</v>
      </c>
      <c r="H45" s="407">
        <f>i_N_SF</f>
        <v>0.03</v>
      </c>
      <c r="I45" s="404">
        <f>0</f>
        <v>0</v>
      </c>
      <c r="J45" s="407">
        <f>i_P_SF</f>
        <v>0.01</v>
      </c>
      <c r="K45" s="404">
        <f>0</f>
        <v>0</v>
      </c>
      <c r="L45" s="407">
        <f>i_Charge_SNHx*v_8_SNH4+i_Charge_SPO4*v_8_SPO4+i_Charge_SVFA</f>
        <v>-1.3966013824884793E-5</v>
      </c>
      <c r="M45" s="404">
        <f>0</f>
        <v>0</v>
      </c>
      <c r="N45" s="404">
        <f>0</f>
        <v>0</v>
      </c>
      <c r="O45" s="404">
        <f>0</f>
        <v>0</v>
      </c>
      <c r="P45" s="404">
        <f>0</f>
        <v>0</v>
      </c>
      <c r="Q45" s="404">
        <f>0</f>
        <v>0</v>
      </c>
      <c r="R45" s="404">
        <f>0</f>
        <v>0</v>
      </c>
      <c r="S45" s="404">
        <f>0</f>
        <v>0</v>
      </c>
      <c r="T45" s="404">
        <f>0</f>
        <v>0</v>
      </c>
      <c r="U45" s="404">
        <f>0</f>
        <v>0</v>
      </c>
      <c r="V45" s="404">
        <f>0</f>
        <v>0</v>
      </c>
      <c r="W45" s="404">
        <f>0</f>
        <v>0</v>
      </c>
      <c r="X45" s="417">
        <f>q_fe*M_inhSO2_KO2_H*M_inhSNO3_KNO3_H*M_satSF_Kfe*M_satSALK_KALK_H*X_H</f>
        <v>2.3939194446106891</v>
      </c>
      <c r="Z45" s="355">
        <f>E62*E45+F62*F45+G62*G45+H62*H45+I62*I45+J62*J45+K62*K45+L62*L45+M62*M45+N62*N45+O62*O45+P62*P45+Q62*Q45+R62*R45+S62*S45+T62*T45+U62*U45+V62*V45+W62*W45</f>
        <v>0</v>
      </c>
      <c r="AA45" s="355">
        <f>E63*E45+F63*F45+G63*G45+H63*H45+I63*I45+J63*J45+K63*K45+L63*L45+M63*M45+N63*N45+O63*O45+P63*P45+Q63*Q45+R63*R45+S63*S45+T63*T45+U63*U45+V63*V45+W63*W45</f>
        <v>0</v>
      </c>
      <c r="AB45" s="355">
        <f>E64*E45+F64*F45+G64*G45+H64*H45+I64*I45+J64*J45+K64*K45+L64*L45+M64*M45+N64*N45+O64*O45+P64*P45+Q64*Q45+R64*R45+S64*S45+T64*T45+U64*U45+V64*V45+W64*W45</f>
        <v>0</v>
      </c>
      <c r="AC45" s="355">
        <f>E65*E45+F65*F45+G65*G45+H65*H45+I65*I45+J65*J45+K65*K45+L65*L45+M65*M45+N65*N45+O65*O45+P65*P45+Q65*Q45+R65*R45+S65*S45+T65*T45+U65*U45+V65*V45+W65*W45</f>
        <v>-1.6940658945086007E-21</v>
      </c>
      <c r="AD45" s="355">
        <f>E66*E45+F66*F45+G66*G45+H66*H45+I66*I45+J66*J45+K66*K45+L66*L45+M66*M45+N66*N45+O66*O45+P66*P45+Q66*Q45+R66*R45+S66*S45+T66*T45+U66*U45+V66*V45+W66*W45</f>
        <v>0</v>
      </c>
    </row>
    <row r="46" spans="2:30" x14ac:dyDescent="0.25">
      <c r="B46" s="68">
        <v>9</v>
      </c>
      <c r="C46" s="83" t="s">
        <v>308</v>
      </c>
      <c r="D46" s="88" t="s">
        <v>309</v>
      </c>
      <c r="E46" s="404">
        <f>0</f>
        <v>0</v>
      </c>
      <c r="F46" s="404">
        <f>0</f>
        <v>0</v>
      </c>
      <c r="G46" s="404">
        <f>0</f>
        <v>0</v>
      </c>
      <c r="H46" s="404">
        <f>-(f_XI*i_N_XI+(1-f_XI)*i_N_XS-i_N_BM)</f>
        <v>3.2000000000000001E-2</v>
      </c>
      <c r="I46" s="404">
        <f>0</f>
        <v>0</v>
      </c>
      <c r="J46" s="405">
        <f>-(f_XI*i_P_XI+(1-f_XI)*i_P_XS-i_P_BM)</f>
        <v>9.9999999999999985E-3</v>
      </c>
      <c r="K46" s="404">
        <f>0</f>
        <v>0</v>
      </c>
      <c r="L46" s="407">
        <f>i_Charge_SNHx*v_9_SNH4+i_Charge_SPO4*v_9_SPO4</f>
        <v>1.8018433179723497E-6</v>
      </c>
      <c r="M46" s="404">
        <f>0</f>
        <v>0</v>
      </c>
      <c r="N46" s="407">
        <f>f_XI</f>
        <v>0.1</v>
      </c>
      <c r="O46" s="404">
        <f>1-f_XI</f>
        <v>0.9</v>
      </c>
      <c r="P46" s="404">
        <f>-1</f>
        <v>-1</v>
      </c>
      <c r="Q46" s="404">
        <f>0</f>
        <v>0</v>
      </c>
      <c r="R46" s="404">
        <f>0</f>
        <v>0</v>
      </c>
      <c r="S46" s="404">
        <f>0</f>
        <v>0</v>
      </c>
      <c r="T46" s="404">
        <f>0</f>
        <v>0</v>
      </c>
      <c r="U46" s="414">
        <f>f_XI*i_TSS_XI+(1-f_XI)*i_TSS_XS-i_TSS_BM</f>
        <v>-0.15000000000000002</v>
      </c>
      <c r="V46" s="404">
        <f>0</f>
        <v>0</v>
      </c>
      <c r="W46" s="404">
        <f>0</f>
        <v>0</v>
      </c>
      <c r="X46" s="417">
        <f>b_H*X_H</f>
        <v>200</v>
      </c>
      <c r="Z46" s="355">
        <f>E62*E46+F62*F46+G62*G46+H62*H46+I62*I46+J62*J46+K62*K46+L62*L46+M62*M46+N62*N46+O62*O46+P62*P46+Q62*Q46+R62*R46+S62*S46+T62*T46+U62*U46+V62*V46+W62*W46</f>
        <v>0</v>
      </c>
      <c r="AA46" s="355">
        <f>E63*E46+F63*F46+G63*G46+H63*H46+I63*I46+J63*J46+K63*K46+L63*L46+M63*M46+N63*N46+O63*O46+P63*P46+Q63*Q46+R63*R46+S63*S46+T63*T46+U63*U46+V63*V46+W63*W46</f>
        <v>0</v>
      </c>
      <c r="AB46" s="355">
        <f>E64*E46+F64*F46+G64*G46+H64*H46+I64*I46+J64*J46+K64*K46+L64*L46+M64*M46+N64*N46+O64*O46+P64*P46+Q64*Q46+R64*R46+S64*S46+T64*T46+U64*U46+V64*V46+W64*W46</f>
        <v>0</v>
      </c>
      <c r="AC46" s="355">
        <f>E65*E46+F65*F46+G65*G46+H65*H46+I65*I46+J65*J46+K65*K46+L65*L46+M65*M46+N65*N46+O65*O46+P65*P46+Q65*Q46+R65*R46+S65*S46+T65*T46+U65*U46+V65*V46+W65*W46</f>
        <v>0</v>
      </c>
      <c r="AD46" s="355">
        <f>E66*E46+F66*F46+G66*G46+H66*H46+I66*I46+J66*J46+K66*K46+L66*L46+M66*M46+N66*N46+O66*O46+P66*P46+Q66*Q46+R66*R46+S66*S46+T66*T46+U66*U46+V66*V46+W66*W46</f>
        <v>0</v>
      </c>
    </row>
    <row r="47" spans="2:30" ht="16.5" x14ac:dyDescent="0.25">
      <c r="B47" s="68">
        <v>10</v>
      </c>
      <c r="C47" s="83" t="s">
        <v>315</v>
      </c>
      <c r="D47" s="88" t="s">
        <v>316</v>
      </c>
      <c r="E47" s="404">
        <f>0</f>
        <v>0</v>
      </c>
      <c r="F47" s="404">
        <f>0</f>
        <v>0</v>
      </c>
      <c r="G47" s="405">
        <f>-1</f>
        <v>-1</v>
      </c>
      <c r="H47" s="404">
        <f>0</f>
        <v>0</v>
      </c>
      <c r="I47" s="404">
        <f>0</f>
        <v>0</v>
      </c>
      <c r="J47" s="407">
        <f>Y_PO4</f>
        <v>0.4</v>
      </c>
      <c r="K47" s="404">
        <f>0</f>
        <v>0</v>
      </c>
      <c r="L47" s="405">
        <f>-i_Charge_SVFA+i_Charge_SPO4*Y_PO4-i_Charge_XPAO_PP*Y_PO4</f>
        <v>9.1733870967742007E-6</v>
      </c>
      <c r="M47" s="404">
        <f>0</f>
        <v>0</v>
      </c>
      <c r="N47" s="404">
        <f>0</f>
        <v>0</v>
      </c>
      <c r="O47" s="404">
        <f>0</f>
        <v>0</v>
      </c>
      <c r="P47" s="404">
        <f>0</f>
        <v>0</v>
      </c>
      <c r="Q47" s="404">
        <f>0</f>
        <v>0</v>
      </c>
      <c r="R47" s="404">
        <f>-Y_PO4</f>
        <v>-0.4</v>
      </c>
      <c r="S47" s="404">
        <f>1</f>
        <v>1</v>
      </c>
      <c r="T47" s="404">
        <f>0</f>
        <v>0</v>
      </c>
      <c r="U47" s="413">
        <f>-Y_PO4*i_TSS_XPP+i_TSS_XPHA</f>
        <v>-0.69200000000000006</v>
      </c>
      <c r="V47" s="404">
        <f>0</f>
        <v>0</v>
      </c>
      <c r="W47" s="404">
        <f>0</f>
        <v>0</v>
      </c>
      <c r="X47" s="417">
        <f>q_PHA*M_satSA_KA_PAO*M_satSALK_KALK_PAO*M_RsatXPP_XPAO_KPP*X_PAO</f>
        <v>173.72071981501961</v>
      </c>
      <c r="Z47" s="355">
        <f>E62*E47+F62*F47+G62*G47+H62*H47+I62*I47+J62*J47+K62*K47+L62*L47+M62*M47+N62*N47+O62*O47+P62*P47+Q62*Q47+R62*R47+S62*S47+T62*T47+U62*U47+V62*V47+W62*W47</f>
        <v>0</v>
      </c>
      <c r="AA47" s="355">
        <f>E63*E47+F63*F47+G63*G47+H63*H47+I63*I47+J63*J47+K63*K47+L63*L47+M63*M47+N63*N47+O63*O47+P63*P47+Q63*Q47+R63*R47+S63*S47+T63*T47+U63*U47+V63*V47+W63*W47</f>
        <v>0</v>
      </c>
      <c r="AB47" s="355">
        <f>E64*E47+F64*F47+G64*G47+H64*H47+I64*I47+J64*J47+K64*K47+L64*L47+M64*M47+N64*N47+O64*O47+P64*P47+Q64*Q47+R64*R47+S64*S47+T64*T47+U64*U47+V64*V47+W64*W47</f>
        <v>0</v>
      </c>
      <c r="AC47" s="355">
        <f>E65*E47+F65*F47+G65*G47+H65*H47+I65*I47+J65*J47+K65*K47+L65*L47+M65*M47+N65*N47+O65*O47+P65*P47+Q65*Q47+R65*R47+S65*S47+T65*T47+U65*U47+V65*V47+W65*W47</f>
        <v>0</v>
      </c>
      <c r="AD47" s="355">
        <f>E66*E47+F66*F47+G66*G47+H66*H47+I66*I47+J66*J47+K66*K47+L66*L47+M66*M47+N66*N47+O66*O47+P66*P47+Q66*Q47+R66*R47+S66*S47+T66*T47+U66*U47+V66*V47+W66*W47</f>
        <v>0</v>
      </c>
    </row>
    <row r="48" spans="2:30" x14ac:dyDescent="0.25">
      <c r="B48" s="68">
        <v>11</v>
      </c>
      <c r="C48" s="83" t="s">
        <v>320</v>
      </c>
      <c r="D48" s="88" t="s">
        <v>321</v>
      </c>
      <c r="E48" s="404">
        <f>-Y_PHA</f>
        <v>-0.2</v>
      </c>
      <c r="F48" s="404">
        <f>0</f>
        <v>0</v>
      </c>
      <c r="G48" s="404">
        <f>0</f>
        <v>0</v>
      </c>
      <c r="H48" s="404">
        <f>0</f>
        <v>0</v>
      </c>
      <c r="I48" s="404">
        <f>0</f>
        <v>0</v>
      </c>
      <c r="J48" s="404">
        <f>-1</f>
        <v>-1</v>
      </c>
      <c r="K48" s="404">
        <f>0</f>
        <v>0</v>
      </c>
      <c r="L48" s="405">
        <f>-i_Charge_SPO4+i_Charge_XPAO_PP</f>
        <v>1.61290322580645E-5</v>
      </c>
      <c r="M48" s="404">
        <f>0</f>
        <v>0</v>
      </c>
      <c r="N48" s="404">
        <f>0</f>
        <v>0</v>
      </c>
      <c r="O48" s="404">
        <f>0</f>
        <v>0</v>
      </c>
      <c r="P48" s="404">
        <f>0</f>
        <v>0</v>
      </c>
      <c r="Q48" s="404">
        <f>0</f>
        <v>0</v>
      </c>
      <c r="R48" s="404">
        <f>1</f>
        <v>1</v>
      </c>
      <c r="S48" s="404">
        <f>-Y_PHA</f>
        <v>-0.2</v>
      </c>
      <c r="T48" s="404">
        <f>0</f>
        <v>0</v>
      </c>
      <c r="U48" s="407">
        <f>i_TSS_XPP-Y_PHA*i_TSS_XPHA</f>
        <v>3.11</v>
      </c>
      <c r="V48" s="404">
        <f>0</f>
        <v>0</v>
      </c>
      <c r="W48" s="404">
        <f>0</f>
        <v>0</v>
      </c>
      <c r="X48" s="417">
        <f>q_PP*M_satSO2_KO2_PAO*M_satSPO4_KPS*M_satSALK_KALK_PAO*M_RsatXPHA_XPAO_KPHA*M_RinhXPP_XPAO_KiPP*X_PAO</f>
        <v>350.47411359255437</v>
      </c>
      <c r="Z48" s="355">
        <f>E62*E48+F62*F48+G62*G48+H62*H48+I62*I48+J62*J48+K62*K48+L62*L48+M62*M48+N62*N48+O62*O48+P62*P48+Q62*Q48+R62*R48+S62*S48+T62*T48+U62*U48+V62*V48+W62*W48</f>
        <v>0</v>
      </c>
      <c r="AA48" s="355">
        <f>E63*E48+F63*F48+G63*G48+H63*H48+I63*I48+J63*J48+K63*K48+L63*L48+M63*M48+N63*N48+O63*O48+P63*P48+Q63*Q48+R63*R48+S63*S48+T63*T48+U63*U48+V63*V48+W63*W48</f>
        <v>0</v>
      </c>
      <c r="AB48" s="355">
        <f>E64*E48+F64*F48+G64*G48+H64*H48+I64*I48+J64*J48+K64*K48+L64*L48+M64*M48+N64*N48+O64*O48+P64*P48+Q64*Q48+R64*R48+S64*S48+T64*T48+U64*U48+V64*V48+W64*W48</f>
        <v>0</v>
      </c>
      <c r="AC48" s="355">
        <f>E65*E48+F65*F48+G65*G48+H65*H48+I65*I48+J65*J48+K65*K48+L65*L48+M65*M48+N65*N48+O65*O48+P65*P48+Q65*Q48+R65*R48+S65*S48+T65*T48+U65*U48+V65*V48+W65*W48</f>
        <v>0</v>
      </c>
      <c r="AD48" s="355">
        <f>E66*E48+F66*F48+G66*G48+H66*H48+I66*I48+J66*J48+K66*K48+L66*L48+M66*M48+N66*N48+O66*O48+P66*P48+Q66*Q48+R66*R48+S66*S48+T66*T48+U66*U48+V66*V48+W66*W48</f>
        <v>0</v>
      </c>
    </row>
    <row r="49" spans="2:30" x14ac:dyDescent="0.25">
      <c r="B49" s="68">
        <v>12</v>
      </c>
      <c r="C49" s="83" t="s">
        <v>325</v>
      </c>
      <c r="D49" s="88" t="s">
        <v>326</v>
      </c>
      <c r="E49" s="404">
        <f>0</f>
        <v>0</v>
      </c>
      <c r="F49" s="404">
        <f>0</f>
        <v>0</v>
      </c>
      <c r="G49" s="404">
        <f>0</f>
        <v>0</v>
      </c>
      <c r="H49" s="404">
        <f>0</f>
        <v>0</v>
      </c>
      <c r="I49" s="405">
        <f>-Y_PHA*(1/i_NO3_N2)</f>
        <v>-6.9999999999999993E-2</v>
      </c>
      <c r="J49" s="404">
        <f>-1</f>
        <v>-1</v>
      </c>
      <c r="K49" s="404">
        <f>0</f>
        <v>0</v>
      </c>
      <c r="L49" s="405">
        <f>-i_Charge_SPO4+i_Charge_SNOx*v_12_SNO3+i_Charge_XPAO_PP</f>
        <v>2.1129032258064499E-5</v>
      </c>
      <c r="M49" s="407">
        <f>Y_PHA*(1/i_NO3_N2)</f>
        <v>6.9999999999999993E-2</v>
      </c>
      <c r="N49" s="404">
        <f>0</f>
        <v>0</v>
      </c>
      <c r="O49" s="404">
        <f>0</f>
        <v>0</v>
      </c>
      <c r="P49" s="404">
        <f>0</f>
        <v>0</v>
      </c>
      <c r="Q49" s="404">
        <f>0</f>
        <v>0</v>
      </c>
      <c r="R49" s="404">
        <f>1</f>
        <v>1</v>
      </c>
      <c r="S49" s="404">
        <f>-Y_PHA</f>
        <v>-0.2</v>
      </c>
      <c r="T49" s="404">
        <f>0</f>
        <v>0</v>
      </c>
      <c r="U49" s="407">
        <f>i_TSS_XPP-Y_PHA*i_TSS_XPHA</f>
        <v>3.11</v>
      </c>
      <c r="V49" s="404">
        <f>0</f>
        <v>0</v>
      </c>
      <c r="W49" s="404">
        <f>0</f>
        <v>0</v>
      </c>
      <c r="X49" s="417">
        <f>q_PP*η_NO3_PAO*M_satSNO3_KNO3_PAO*M_inhSO2_KO2_PAO*M_satSPO4_KPS*M_satSALK_KALK_PAO*M_RsatXPHA_XPAO_KPHA*M_RinhXPP_XPAO_KiPP*X_PAO</f>
        <v>20.350109821503157</v>
      </c>
      <c r="Z49" s="355">
        <f>E62*E49+F62*F49+G62*G49+H62*H49+I62*I49+J62*J49+K62*K49+L62*L49+M62*M49+N62*N49+O62*O49+P62*P49+Q62*Q49+R62*R49+S62*S49+T62*T49+U62*U49+V62*V49+W62*W49</f>
        <v>-5.5511151231257827E-17</v>
      </c>
      <c r="AA49" s="355">
        <f>E63*E49+F63*F49+G63*G49+H63*H49+I63*I49+J63*J49+K63*K49+L63*L49+M63*M49+N63*N49+O63*O49+P63*P49+Q63*Q49+R63*R49+S63*S49+T63*T49+U63*U49+V63*V49+W63*W49</f>
        <v>0</v>
      </c>
      <c r="AB49" s="355">
        <f>E64*E49+F64*F49+G64*G49+H64*H49+I64*I49+J64*J49+K64*K49+L64*L49+M64*M49+N64*N49+O64*O49+P64*P49+Q64*Q49+R64*R49+S64*S49+T64*T49+U64*U49+V64*V49+W64*W49</f>
        <v>0</v>
      </c>
      <c r="AC49" s="355">
        <f>E65*E49+F65*F49+G65*G49+H65*H49+I65*I49+J65*J49+K65*K49+L65*L49+M65*M49+N65*N49+O65*O49+P65*P49+Q65*Q49+R65*R49+S65*S49+T65*T49+U65*U49+V65*V49+W65*W49</f>
        <v>0</v>
      </c>
      <c r="AD49" s="355">
        <f>E66*E49+F66*F49+G66*G49+H66*H49+I66*I49+J66*J49+K66*K49+L66*L49+M66*M49+N66*N49+O66*O49+P66*P49+Q66*Q49+R66*R49+S66*S49+T66*T49+U66*U49+V66*V49+W66*W49</f>
        <v>0</v>
      </c>
    </row>
    <row r="50" spans="2:30" ht="16.5" x14ac:dyDescent="0.25">
      <c r="B50" s="68">
        <v>13</v>
      </c>
      <c r="C50" s="83" t="s">
        <v>330</v>
      </c>
      <c r="D50" s="88" t="s">
        <v>331</v>
      </c>
      <c r="E50" s="404">
        <f>-(1-Y_PAO)/Y_PAO</f>
        <v>-0.6</v>
      </c>
      <c r="F50" s="404">
        <f>0</f>
        <v>0</v>
      </c>
      <c r="G50" s="404">
        <f>0</f>
        <v>0</v>
      </c>
      <c r="H50" s="404">
        <f>-i_N_BM</f>
        <v>-7.0000000000000007E-2</v>
      </c>
      <c r="I50" s="404">
        <f>0</f>
        <v>0</v>
      </c>
      <c r="J50" s="404">
        <f>-i_P_BM</f>
        <v>-0.02</v>
      </c>
      <c r="K50" s="404">
        <f>0</f>
        <v>0</v>
      </c>
      <c r="L50" s="407">
        <f>i_Charge_SNHx*v_13_SNH4-i_P_BM*i_Charge_SPO4</f>
        <v>-4.0322580645161284E-6</v>
      </c>
      <c r="M50" s="404">
        <f>0</f>
        <v>0</v>
      </c>
      <c r="N50" s="404">
        <f>0</f>
        <v>0</v>
      </c>
      <c r="O50" s="404">
        <f>0</f>
        <v>0</v>
      </c>
      <c r="P50" s="404">
        <f>0</f>
        <v>0</v>
      </c>
      <c r="Q50" s="404">
        <f>1</f>
        <v>1</v>
      </c>
      <c r="R50" s="404">
        <f>0</f>
        <v>0</v>
      </c>
      <c r="S50" s="404">
        <f>-1/Y_PAO</f>
        <v>-1.6</v>
      </c>
      <c r="T50" s="404">
        <f>0</f>
        <v>0</v>
      </c>
      <c r="U50" s="414">
        <f>i_TSS_BM-1/Y_PAO*i_TSS_XPHA</f>
        <v>-5.9999999999999942E-2</v>
      </c>
      <c r="V50" s="404">
        <f>0</f>
        <v>0</v>
      </c>
      <c r="W50" s="404">
        <f>0</f>
        <v>0</v>
      </c>
      <c r="X50" s="417">
        <f>μ_PAO*M_satSO2_KO2_PAO*M_satSNH4_KNH4_PAO*M_satSPO4_KP_PAO*M_satSALK_KALK_PAO*M_RsatXPHA_XPAO_KPHA*X_PAO</f>
        <v>256.33489223269481</v>
      </c>
      <c r="Z50" s="355">
        <f>E62*E50+F62*F50+G62*G50+H62*H50+I62*I50+J62*J50+K62*K50+L62*L50+M62*M50+N62*N50+O62*O50+P62*P50+Q62*Q50+R62*R50+S62*S50+T62*T50+U62*U50+V62*V50+W62*W50</f>
        <v>0</v>
      </c>
      <c r="AA50" s="355">
        <f>E63*E50+F63*F50+G63*G50+H63*H50+I63*I50+J63*J50+K63*K50+L63*L50+M63*M50+N63*N50+O63*O50+P63*P50+Q63*Q50+R63*R50+S63*S50+T63*T50+U63*U50+V63*V50+W63*W50</f>
        <v>0</v>
      </c>
      <c r="AB50" s="355">
        <f>E64*E50+F64*F50+G64*G50+H64*H50+I64*I50+J64*J50+K64*K50+L64*L50+M64*M50+N64*N50+O64*O50+P64*P50+Q64*Q50+R64*R50+S64*S50+T64*T50+U64*U50+V64*V50+W64*W50</f>
        <v>0</v>
      </c>
      <c r="AC50" s="355">
        <f>E65*E50+F65*F50+G65*G50+H65*H50+I65*I50+J65*J50+K65*K50+L65*L50+M65*M50+N65*N50+O65*O50+P65*P50+Q65*Q50+R65*R50+S65*S50+T65*T50+U65*U50+V65*V50+W65*W50</f>
        <v>0</v>
      </c>
      <c r="AD50" s="355">
        <f>E66*E50+F66*F50+G66*G50+H66*H50+I66*I50+J66*J50+K66*K50+L66*L50+M66*M50+N66*N50+O66*O50+P66*P50+Q66*Q50+R66*R50+S66*S50+T66*T50+U66*U50+V66*V50+W66*W50</f>
        <v>0</v>
      </c>
    </row>
    <row r="51" spans="2:30" ht="16.5" x14ac:dyDescent="0.25">
      <c r="B51" s="68">
        <v>14</v>
      </c>
      <c r="C51" s="83" t="s">
        <v>336</v>
      </c>
      <c r="D51" s="88" t="s">
        <v>337</v>
      </c>
      <c r="E51" s="404">
        <f>0</f>
        <v>0</v>
      </c>
      <c r="F51" s="404">
        <f>0</f>
        <v>0</v>
      </c>
      <c r="G51" s="404">
        <f>0</f>
        <v>0</v>
      </c>
      <c r="H51" s="404">
        <f>-i_N_BM</f>
        <v>-7.0000000000000007E-2</v>
      </c>
      <c r="I51" s="405">
        <f>-(1-Y_PAO)/Y_PAO*(1/i_NO3_N2)</f>
        <v>-0.21</v>
      </c>
      <c r="J51" s="404">
        <f>-i_P_BM</f>
        <v>-0.02</v>
      </c>
      <c r="K51" s="404">
        <f>0</f>
        <v>0</v>
      </c>
      <c r="L51" s="407">
        <f>i_Charge_SNHx*v_14_SNH4+i_Charge_SNOx*v_14_SNO3-i_P_BM*i_Charge_SPO4</f>
        <v>1.0967741935483864E-5</v>
      </c>
      <c r="M51" s="404">
        <f>(1-Y_PAO)/Y_PAO*(1/i_NO3_N2)</f>
        <v>0.21</v>
      </c>
      <c r="N51" s="404">
        <f>0</f>
        <v>0</v>
      </c>
      <c r="O51" s="404">
        <f>0</f>
        <v>0</v>
      </c>
      <c r="P51" s="404">
        <f>0</f>
        <v>0</v>
      </c>
      <c r="Q51" s="404">
        <f>1</f>
        <v>1</v>
      </c>
      <c r="R51" s="404">
        <f>0</f>
        <v>0</v>
      </c>
      <c r="S51" s="404">
        <f>-1/Y_PAO</f>
        <v>-1.6</v>
      </c>
      <c r="T51" s="404">
        <f>0</f>
        <v>0</v>
      </c>
      <c r="U51" s="414">
        <f>i_TSS_BM-1/Y_PAO*i_TSS_XPHA</f>
        <v>-5.9999999999999942E-2</v>
      </c>
      <c r="V51" s="404">
        <f>0</f>
        <v>0</v>
      </c>
      <c r="W51" s="404">
        <f>0</f>
        <v>0</v>
      </c>
      <c r="X51" s="417">
        <f>μ_PAO*η_NO3_PAO*M_inhSO2_KO2_PAO*M_satSNO3_KNO3_PAO*M_satSNH4_KNH4_PAO*M_satSPO4_KP_PAO*M_satSALK_KALK_PAO*M_RsatXPHA_XPAO_KPHA*X_PAO</f>
        <v>14.883961484479055</v>
      </c>
      <c r="Z51" s="355">
        <f>E62*E51+F62*F51+G62*G51+H62*H51+I62*I51+J62*J51+K62*K51+L62*L51+M62*M51+N62*N51+O62*O51+P62*P51+Q62*Q51+R62*R51+S62*S51+T62*T51+U62*U51+V62*V51+W62*W51</f>
        <v>0</v>
      </c>
      <c r="AA51" s="355">
        <f>E63*E51+F63*F51+G63*G51+H63*H51+I63*I51+J63*J51+K63*K51+L63*L51+M63*M51+N63*N51+O63*O51+P63*P51+Q63*Q51+R63*R51+S63*S51+T63*T51+U63*U51+V63*V51+W63*W51</f>
        <v>-2.7755575615628914E-17</v>
      </c>
      <c r="AB51" s="355">
        <f>E64*E51+F64*F51+G64*G51+H64*H51+I64*I51+J64*J51+K64*K51+L64*L51+M64*M51+N64*N51+O64*O51+P64*P51+Q64*Q51+R64*R51+S64*S51+T64*T51+U64*U51+V64*V51+W64*W51</f>
        <v>0</v>
      </c>
      <c r="AC51" s="355">
        <f>E65*E51+F65*F51+G65*G51+H65*H51+I65*I51+J65*J51+K65*K51+L65*L51+M65*M51+N65*N51+O65*O51+P65*P51+Q65*Q51+R65*R51+S65*S51+T65*T51+U65*U51+V65*V51+W65*W51</f>
        <v>0</v>
      </c>
      <c r="AD51" s="355">
        <f>E66*E51+F66*F51+G66*G51+H66*H51+I66*I51+J66*J51+K66*K51+L66*L51+M66*M51+N66*N51+O66*O51+P66*P51+Q66*Q51+R66*R51+S66*S51+T66*T51+U66*U51+V66*V51+W66*W51</f>
        <v>0</v>
      </c>
    </row>
    <row r="52" spans="2:30" ht="16.5" x14ac:dyDescent="0.25">
      <c r="B52" s="68">
        <v>15</v>
      </c>
      <c r="C52" s="83" t="s">
        <v>341</v>
      </c>
      <c r="D52" s="88" t="s">
        <v>342</v>
      </c>
      <c r="E52" s="404">
        <f>0</f>
        <v>0</v>
      </c>
      <c r="F52" s="404">
        <f>0</f>
        <v>0</v>
      </c>
      <c r="G52" s="404">
        <f>0</f>
        <v>0</v>
      </c>
      <c r="H52" s="404">
        <f>-(f_XI*i_N_XI+(1-f_XI)*i_N_XS-i_N_BM)</f>
        <v>3.2000000000000001E-2</v>
      </c>
      <c r="I52" s="404">
        <f>0</f>
        <v>0</v>
      </c>
      <c r="J52" s="404">
        <f>-(f_XI*i_P_XI+(1-f_XI)*i_P_XS-i_P_BM)</f>
        <v>9.9999999999999985E-3</v>
      </c>
      <c r="K52" s="404">
        <f>0</f>
        <v>0</v>
      </c>
      <c r="L52" s="407">
        <f>i_Charge_SNHx*v_15_SNH4+i_Charge_SPO4*v_15_SPO4</f>
        <v>1.8018433179723497E-6</v>
      </c>
      <c r="M52" s="404">
        <f>0</f>
        <v>0</v>
      </c>
      <c r="N52" s="407">
        <f>f_XI</f>
        <v>0.1</v>
      </c>
      <c r="O52" s="404">
        <f>1-f_XI</f>
        <v>0.9</v>
      </c>
      <c r="P52" s="404">
        <f>0</f>
        <v>0</v>
      </c>
      <c r="Q52" s="404">
        <f>-1</f>
        <v>-1</v>
      </c>
      <c r="R52" s="404">
        <f>0</f>
        <v>0</v>
      </c>
      <c r="S52" s="404">
        <f>0</f>
        <v>0</v>
      </c>
      <c r="T52" s="404">
        <f>0</f>
        <v>0</v>
      </c>
      <c r="U52" s="414">
        <f>f_XI*i_TSS_XI+(1-f_XI)*i_TSS_XS-i_TSS_BM</f>
        <v>-0.15000000000000002</v>
      </c>
      <c r="V52" s="404">
        <f>0</f>
        <v>0</v>
      </c>
      <c r="W52" s="404">
        <f>0</f>
        <v>0</v>
      </c>
      <c r="X52" s="417">
        <f>b_PAO*X_PAO*M_satSALK_KALK_PAO</f>
        <v>58.775510204081634</v>
      </c>
      <c r="Z52" s="355">
        <f>E62*E52+F62*F52+G62*G52+H62*H52+I62*I52+J62*J52+K62*K52+L62*L52+M62*M52+N62*N52+O62*O52+P62*P52+Q62*Q52+R62*R52+S62*S52+T62*T52+U62*U52+V62*V52+W62*W52</f>
        <v>0</v>
      </c>
      <c r="AA52" s="355">
        <f>E63*E52+F63*F52+G63*G52+H63*H52+I63*I52+J63*J52+K63*K52+L63*L52+M63*M52+N63*N52+O63*O52+P63*P52+Q63*Q52+R63*R52+S63*S52+T63*T52+U63*U52+V63*V52+W63*W52</f>
        <v>0</v>
      </c>
      <c r="AB52" s="355">
        <f>E64*E52+F64*F52+G64*G52+H64*H52+I64*I52+J64*J52+K64*K52+L64*L52+M64*M52+N64*N52+O64*O52+P64*P52+Q64*Q52+R64*R52+S64*S52+T64*T52+U64*U52+V64*V52+W64*W52</f>
        <v>0</v>
      </c>
      <c r="AC52" s="355">
        <f>E65*E52+F65*F52+G65*G52+H65*H52+I65*I52+J65*J52+K65*K52+L65*L52+M65*M52+N65*N52+O65*O52+P65*P52+Q65*Q52+R65*R52+S65*S52+T65*T52+U65*U52+V65*V52+W65*W52</f>
        <v>0</v>
      </c>
      <c r="AD52" s="355">
        <f>E66*E52+F66*F52+G66*G52+H66*H52+I66*I52+J66*J52+K66*K52+L66*L52+M66*M52+N66*N52+O66*O52+P66*P52+Q66*Q52+R66*R52+S66*S52+T66*T52+U66*U52+V66*V52+W66*W52</f>
        <v>0</v>
      </c>
    </row>
    <row r="53" spans="2:30" ht="16.5" x14ac:dyDescent="0.25">
      <c r="B53" s="68">
        <v>16</v>
      </c>
      <c r="C53" s="83" t="s">
        <v>345</v>
      </c>
      <c r="D53" s="88" t="s">
        <v>346</v>
      </c>
      <c r="E53" s="404">
        <f>0</f>
        <v>0</v>
      </c>
      <c r="F53" s="404">
        <f>0</f>
        <v>0</v>
      </c>
      <c r="G53" s="404">
        <f>0</f>
        <v>0</v>
      </c>
      <c r="H53" s="404">
        <f>0</f>
        <v>0</v>
      </c>
      <c r="I53" s="404">
        <f>0</f>
        <v>0</v>
      </c>
      <c r="J53" s="404">
        <f>1</f>
        <v>1</v>
      </c>
      <c r="K53" s="404">
        <f>0</f>
        <v>0</v>
      </c>
      <c r="L53" s="407">
        <f>i_Charge_SPO4-i_Charge_XPAO_PP</f>
        <v>-1.61290322580645E-5</v>
      </c>
      <c r="M53" s="404">
        <f>0</f>
        <v>0</v>
      </c>
      <c r="N53" s="404">
        <f>0</f>
        <v>0</v>
      </c>
      <c r="O53" s="404">
        <f>0</f>
        <v>0</v>
      </c>
      <c r="P53" s="404">
        <f>0</f>
        <v>0</v>
      </c>
      <c r="Q53" s="404">
        <f>0</f>
        <v>0</v>
      </c>
      <c r="R53" s="404">
        <f>-1</f>
        <v>-1</v>
      </c>
      <c r="S53" s="404">
        <f>0</f>
        <v>0</v>
      </c>
      <c r="T53" s="404">
        <f>0</f>
        <v>0</v>
      </c>
      <c r="U53" s="413">
        <f>-i_TSS_XPP</f>
        <v>-3.23</v>
      </c>
      <c r="V53" s="404">
        <f>0</f>
        <v>0</v>
      </c>
      <c r="W53" s="404">
        <f>0</f>
        <v>0</v>
      </c>
      <c r="X53" s="417">
        <f>b_PP*M_satSALK_KALK_PAO*(X_PP/X_PAO)*X_PAO</f>
        <v>39.183673469387756</v>
      </c>
      <c r="Z53" s="355">
        <f>E62*E53+F62*F53+G62*G53+H62*H53+I62*I53+J62*J53+K62*K53+L62*L53+M62*M53+N62*N53+O62*O53+P62*P53+Q62*Q53+R62*R53+S62*S53+T62*T53+U62*U53+V62*V53+W62*W53</f>
        <v>0</v>
      </c>
      <c r="AA53" s="355">
        <f>E63*E53+F63*F53+G63*G53+H63*H53+I63*I53+J63*J53+K63*K53+L63*L53+M63*M53+N63*N53+O63*O53+P63*P53+Q63*Q53+R63*R53+S63*S53+T63*T53+U63*U53+V63*V53+W63*W53</f>
        <v>0</v>
      </c>
      <c r="AB53" s="355">
        <f>E64*E53+F64*F53+G64*G53+H64*H53+I64*I53+J64*J53+K64*K53+L64*L53+M64*M53+N64*N53+O64*O53+P64*P53+Q64*Q53+R64*R53+S64*S53+T64*T53+U64*U53+V64*V53+W64*W53</f>
        <v>0</v>
      </c>
      <c r="AC53" s="355">
        <f>E65*E53+F65*F53+G65*G53+H65*H53+I65*I53+J65*J53+K65*K53+L65*L53+M65*M53+N65*N53+O65*O53+P65*P53+Q65*Q53+R65*R53+S65*S53+T65*T53+U65*U53+V65*V53+W65*W53</f>
        <v>0</v>
      </c>
      <c r="AD53" s="355">
        <f>E66*E53+F66*F53+G66*G53+H66*H53+I66*I53+J66*J53+K66*K53+L66*L53+M66*M53+N66*N53+O66*O53+P66*P53+Q66*Q53+R66*R53+S66*S53+T66*T53+U66*U53+V66*V53+W66*W53</f>
        <v>0</v>
      </c>
    </row>
    <row r="54" spans="2:30" ht="16.5" x14ac:dyDescent="0.25">
      <c r="B54" s="68">
        <v>17</v>
      </c>
      <c r="C54" s="83" t="s">
        <v>349</v>
      </c>
      <c r="D54" s="88" t="s">
        <v>350</v>
      </c>
      <c r="E54" s="404">
        <f>0</f>
        <v>0</v>
      </c>
      <c r="F54" s="404">
        <f>0</f>
        <v>0</v>
      </c>
      <c r="G54" s="405">
        <f>1</f>
        <v>1</v>
      </c>
      <c r="H54" s="404">
        <f>0</f>
        <v>0</v>
      </c>
      <c r="I54" s="404">
        <f>0</f>
        <v>0</v>
      </c>
      <c r="J54" s="404">
        <f>0</f>
        <v>0</v>
      </c>
      <c r="K54" s="404">
        <f>0</f>
        <v>0</v>
      </c>
      <c r="L54" s="407">
        <f>i_Charge_SVFA</f>
        <v>-1.5625E-5</v>
      </c>
      <c r="M54" s="404">
        <f>0</f>
        <v>0</v>
      </c>
      <c r="N54" s="404">
        <f>0</f>
        <v>0</v>
      </c>
      <c r="O54" s="404">
        <f>0</f>
        <v>0</v>
      </c>
      <c r="P54" s="404">
        <f>0</f>
        <v>0</v>
      </c>
      <c r="Q54" s="404">
        <f>0</f>
        <v>0</v>
      </c>
      <c r="R54" s="404">
        <f>0</f>
        <v>0</v>
      </c>
      <c r="S54" s="404">
        <f>-1</f>
        <v>-1</v>
      </c>
      <c r="T54" s="404">
        <f>0</f>
        <v>0</v>
      </c>
      <c r="U54" s="413">
        <f>-i_TSS_XPHA</f>
        <v>-0.6</v>
      </c>
      <c r="V54" s="404">
        <f>0</f>
        <v>0</v>
      </c>
      <c r="W54" s="404">
        <f>0</f>
        <v>0</v>
      </c>
      <c r="X54" s="417">
        <f>b_PHA*M_satSALK_KALK_PAO*(X_PHA/X_PAO)*X_PAO</f>
        <v>39.183673469387756</v>
      </c>
      <c r="Z54" s="355">
        <f>E62*E54+F62*F54+G62*G54+H62*H54+I62*I54+J62*J54+K62*K54+L62*L54+M62*M54+N62*N54+O62*O54+P62*P54+Q62*Q54+R62*R54+S62*S54+T62*T54+U62*U54+V62*V54+W62*W54</f>
        <v>0</v>
      </c>
      <c r="AA54" s="355">
        <f>E63*E54+F63*F54+G63*G54+H63*H54+I63*I54+J63*J54+K63*K54+L63*L54+M63*M54+N63*N54+O63*O54+P63*P54+Q63*Q54+R63*R54+S63*S54+T63*T54+U63*U54+V63*V54+W63*W54</f>
        <v>0</v>
      </c>
      <c r="AB54" s="355">
        <f>E64*E54+F64*F54+G64*G54+H64*H54+I64*I54+J64*J54+K64*K54+L64*L54+M64*M54+N64*N54+O64*O54+P64*P54+Q64*Q54+R64*R54+S64*S54+T64*T54+U64*U54+V64*V54+W64*W54</f>
        <v>0</v>
      </c>
      <c r="AC54" s="355">
        <f>E65*E54+F65*F54+G65*G54+H65*H54+I65*I54+J65*J54+K65*K54+L65*L54+M65*M54+N65*N54+O65*O54+P65*P54+Q65*Q54+R65*R54+S65*S54+T65*T54+U65*U54+V65*V54+W65*W54</f>
        <v>0</v>
      </c>
      <c r="AD54" s="355">
        <f>E66*E54+F66*F54+G66*G54+H66*H54+I66*I54+J66*J54+K66*K54+L66*L54+M66*M54+N66*N54+O66*O54+P66*P54+Q66*Q54+R66*R54+S66*S54+T66*T54+U66*U54+V66*V54+W66*W54</f>
        <v>0</v>
      </c>
    </row>
    <row r="55" spans="2:30" ht="16.5" x14ac:dyDescent="0.25">
      <c r="B55" s="68">
        <v>18</v>
      </c>
      <c r="C55" s="83" t="s">
        <v>352</v>
      </c>
      <c r="D55" s="88" t="s">
        <v>353</v>
      </c>
      <c r="E55" s="405">
        <f>-(-i_COD_NO3-Y_AUT)/Y_AUT</f>
        <v>-18.047619047619047</v>
      </c>
      <c r="F55" s="404">
        <f>0</f>
        <v>0</v>
      </c>
      <c r="G55" s="404">
        <f>0</f>
        <v>0</v>
      </c>
      <c r="H55" s="405">
        <f>-i_N_BM-1/Y_AUT</f>
        <v>-4.2366666666666672</v>
      </c>
      <c r="I55" s="404">
        <f>1/Y_AUT</f>
        <v>4.166666666666667</v>
      </c>
      <c r="J55" s="404">
        <f>-i_P_BM</f>
        <v>-0.02</v>
      </c>
      <c r="K55" s="404">
        <f>0</f>
        <v>0</v>
      </c>
      <c r="L55" s="404">
        <f>(-i_N_BM-1/Y_AUT)*i_Charge_SNHx+1/Y_AUT*i_Charge_SNOx-i_P_BM*i_Charge_SPO4</f>
        <v>-5.9927035330261107E-4</v>
      </c>
      <c r="M55" s="404">
        <f>0</f>
        <v>0</v>
      </c>
      <c r="N55" s="404">
        <f>0</f>
        <v>0</v>
      </c>
      <c r="O55" s="404">
        <f>0</f>
        <v>0</v>
      </c>
      <c r="P55" s="404">
        <f>0</f>
        <v>0</v>
      </c>
      <c r="Q55" s="404">
        <f>0</f>
        <v>0</v>
      </c>
      <c r="R55" s="404">
        <f>0</f>
        <v>0</v>
      </c>
      <c r="S55" s="404">
        <f>0</f>
        <v>0</v>
      </c>
      <c r="T55" s="404">
        <f>1</f>
        <v>1</v>
      </c>
      <c r="U55" s="407">
        <f>i_TSS_BM</f>
        <v>0.9</v>
      </c>
      <c r="V55" s="404">
        <f>0</f>
        <v>0</v>
      </c>
      <c r="W55" s="404">
        <f>0</f>
        <v>0</v>
      </c>
      <c r="X55" s="417">
        <f>μ_AUT*M_satSO2_KO2_AUT*M_satSNH4_KNH4_AUT*M_satSPO4_KP_AUT*M_satSALK_KALK_AUT*X_AUT</f>
        <v>26.900803287875963</v>
      </c>
      <c r="Z55" s="355">
        <f>E62*E55+F62*F55+G62*G55+H62*H55+I62*I55+J62*J55+K62*K55+L62*L55+M62*M55+N62*N55+O62*O55+P62*P55+Q62*Q55+R62*R55+S62*S55+T62*T55+U62*U55+V62*V55+W62*W55</f>
        <v>0</v>
      </c>
      <c r="AA55" s="355">
        <f>E63*E55+F63*F55+G63*G55+H63*H55+I63*I55+J63*J55+K63*K55+L63*L55+M63*M55+N63*N55+O63*O55+P63*P55+Q63*Q55+R63*R55+S63*S55+T63*T55+U63*U55+V63*V55+W63*W55</f>
        <v>-2.7755575615628914E-16</v>
      </c>
      <c r="AB55" s="355">
        <f>E64*E55+F64*F55+G64*G55+H64*H55+I64*I55+J64*J55+K64*K55+L64*L55+M64*M55+N64*N55+O64*O55+P64*P55+Q64*Q55+R64*R55+S64*S55+T64*T55+U64*U55+V64*V55+W64*W55</f>
        <v>0</v>
      </c>
      <c r="AC55" s="355">
        <f>E65*E55+F65*F55+G65*G55+H65*H55+I65*I55+J65*J55+K65*K55+L65*L55+M65*M55+N65*N55+O65*O55+P65*P55+Q65*Q55+R65*R55+S65*S55+T65*T55+U65*U55+V65*V55+W65*W55</f>
        <v>0</v>
      </c>
      <c r="AD55" s="355">
        <f>E66*E55+F66*F55+G66*G55+H66*H55+I66*I55+J66*J55+K66*K55+L66*L55+M66*M55+N66*N55+O66*O55+P66*P55+Q66*Q55+R66*R55+S66*S55+T66*T55+U66*U55+V66*V55+W66*W55</f>
        <v>0</v>
      </c>
    </row>
    <row r="56" spans="2:30" x14ac:dyDescent="0.25">
      <c r="B56" s="68">
        <v>19</v>
      </c>
      <c r="C56" s="83" t="s">
        <v>354</v>
      </c>
      <c r="D56" s="88" t="s">
        <v>309</v>
      </c>
      <c r="E56" s="404">
        <f>0</f>
        <v>0</v>
      </c>
      <c r="F56" s="404">
        <f>0</f>
        <v>0</v>
      </c>
      <c r="G56" s="404">
        <f>0</f>
        <v>0</v>
      </c>
      <c r="H56" s="404">
        <f>-(f_XI*i_N_XI+(1-f_XI)*i_N_XS-i_N_BM)</f>
        <v>3.2000000000000001E-2</v>
      </c>
      <c r="I56" s="404">
        <f>0</f>
        <v>0</v>
      </c>
      <c r="J56" s="404">
        <f>-(f_XI*i_P_XI+(1-f_XI)*i_P_XS-i_P_BM)</f>
        <v>9.9999999999999985E-3</v>
      </c>
      <c r="K56" s="404">
        <f>0</f>
        <v>0</v>
      </c>
      <c r="L56" s="407">
        <f>i_Charge_SNHx*v_19_SNH4+i_Charge_SPO4*v_19_SPO4</f>
        <v>1.8018433179723497E-6</v>
      </c>
      <c r="M56" s="404">
        <f>0</f>
        <v>0</v>
      </c>
      <c r="N56" s="407">
        <f>f_XI</f>
        <v>0.1</v>
      </c>
      <c r="O56" s="404">
        <f>1-f_XI</f>
        <v>0.9</v>
      </c>
      <c r="P56" s="404">
        <f>0</f>
        <v>0</v>
      </c>
      <c r="Q56" s="404">
        <f>0</f>
        <v>0</v>
      </c>
      <c r="R56" s="404">
        <f>0</f>
        <v>0</v>
      </c>
      <c r="S56" s="404">
        <f>0</f>
        <v>0</v>
      </c>
      <c r="T56" s="404">
        <f>-1</f>
        <v>-1</v>
      </c>
      <c r="U56" s="414">
        <f>f_XI*i_TSS_XI+(1-f_XI)*i_TSS_XS-i_TSS_BM</f>
        <v>-0.15000000000000002</v>
      </c>
      <c r="V56" s="404">
        <f>0</f>
        <v>0</v>
      </c>
      <c r="W56" s="404">
        <f>0</f>
        <v>0</v>
      </c>
      <c r="X56" s="417">
        <f>b_AUT*X_AUT</f>
        <v>7.5</v>
      </c>
      <c r="Z56" s="355">
        <f>E62*E56+F62*F56+G62*G56+H62*H56+I62*I56+J62*J56+K62*K56+L62*L56+M62*M56+N62*N56+O62*O56+P62*P56+Q62*Q56+R62*R56+S62*S56+T62*T56+U62*U56+V62*V56+W62*W56</f>
        <v>0</v>
      </c>
      <c r="AA56" s="355">
        <f>E63*E56+F63*F56+G63*G56+H63*H56+I63*I56+J63*J56+K63*K56+L63*L56+M63*M56+N63*N56+O63*O56+P63*P56+Q63*Q56+R63*R56+S63*S56+T63*T56+U63*U56+V63*V56+W63*W56</f>
        <v>0</v>
      </c>
      <c r="AB56" s="355">
        <f>E64*E56+F64*F56+G64*G56+H64*H56+I64*I56+J64*J56+K64*K56+L64*L56+M64*M56+N64*N56+O64*O56+P64*P56+Q64*Q56+R64*R56+S64*S56+T64*T56+U64*U56+V64*V56+W64*W56</f>
        <v>0</v>
      </c>
      <c r="AC56" s="355">
        <f>E65*E56+F65*F56+G65*G56+H65*H56+I65*I56+J65*J56+K65*K56+L65*L56+M65*M56+N65*N56+O65*O56+P65*P56+Q65*Q56+R65*R56+S65*S56+T65*T56+U65*U56+V65*V56+W65*W56</f>
        <v>0</v>
      </c>
      <c r="AD56" s="355">
        <f>E66*E56+F66*F56+G66*G56+H66*H56+I66*I56+J66*J56+K66*K56+L66*L56+M66*M56+N66*N56+O66*O56+P66*P56+Q66*Q56+R66*R56+S66*S56+T66*T56+U66*U56+V66*V56+W66*W56</f>
        <v>0</v>
      </c>
    </row>
    <row r="57" spans="2:30" ht="15.75" x14ac:dyDescent="0.25">
      <c r="B57" s="68">
        <v>20</v>
      </c>
      <c r="C57" s="83" t="s">
        <v>356</v>
      </c>
      <c r="D57" s="88" t="s">
        <v>357</v>
      </c>
      <c r="E57" s="404">
        <f>0</f>
        <v>0</v>
      </c>
      <c r="F57" s="404">
        <f>0</f>
        <v>0</v>
      </c>
      <c r="G57" s="404">
        <f>0</f>
        <v>0</v>
      </c>
      <c r="H57" s="404">
        <f>0</f>
        <v>0</v>
      </c>
      <c r="I57" s="404">
        <f>0</f>
        <v>0</v>
      </c>
      <c r="J57" s="404">
        <f>-1</f>
        <v>-1</v>
      </c>
      <c r="K57" s="404">
        <f>0</f>
        <v>0</v>
      </c>
      <c r="L57" s="405">
        <f>-i_Charge_SPO4</f>
        <v>4.83870967741935E-5</v>
      </c>
      <c r="M57" s="404">
        <f>0</f>
        <v>0</v>
      </c>
      <c r="N57" s="404">
        <f>0</f>
        <v>0</v>
      </c>
      <c r="O57" s="404">
        <f>0</f>
        <v>0</v>
      </c>
      <c r="P57" s="404">
        <f>0</f>
        <v>0</v>
      </c>
      <c r="Q57" s="404">
        <f>0</f>
        <v>0</v>
      </c>
      <c r="R57" s="404">
        <f>0</f>
        <v>0</v>
      </c>
      <c r="S57" s="404">
        <f>0</f>
        <v>0</v>
      </c>
      <c r="T57" s="404">
        <f>0</f>
        <v>0</v>
      </c>
      <c r="U57" s="410">
        <f>f_MeOH_PO4_MW+f_MeP_PO4_MW</f>
        <v>1.4193548387096784</v>
      </c>
      <c r="V57" s="410">
        <f>f_MeOH_PO4_MW</f>
        <v>-3.4451612903225803</v>
      </c>
      <c r="W57" s="410">
        <f>f_MeP_PO4_MW</f>
        <v>4.8645161290322587</v>
      </c>
      <c r="X57" s="417">
        <f>k_PRE*S_PO4*X_MeOH</f>
        <v>0</v>
      </c>
      <c r="Z57" s="355">
        <f>E62*E57+F62*F57+G62*G57+H62*H57+I62*I57+J62*J57+K62*K57+L62*L57+M62*M57+N62*N57+O62*O57+P62*P57+Q62*Q57+R62*R57+S62*S57+T62*T57+U62*U57+V62*V57+W62*W57</f>
        <v>0</v>
      </c>
      <c r="AA57" s="355">
        <f>E63*E57+F63*F57+G63*G57+H63*H57+I63*I57+J63*J57+K63*K57+L63*L57+M63*M57+N63*N57+O63*O57+P63*P57+Q63*Q57+R63*R57+S63*S57+T63*T57+U63*U57+V63*V57+W63*W57</f>
        <v>0</v>
      </c>
      <c r="AB57" s="355">
        <f>E64*E57+F64*F57+G64*G57+H64*H57+I64*I57+J64*J57+K64*K57+L64*L57+M64*M57+N64*N57+O64*O57+P64*P57+Q64*Q57+R64*R57+S64*S57+T64*T57+U64*U57+V64*V57+W64*W57</f>
        <v>0</v>
      </c>
      <c r="AC57" s="355">
        <f>E65*E57+F65*F57+G65*G57+H65*H57+I65*I57+J65*J57+K65*K57+L65*L57+M65*M57+N65*N57+O65*O57+P65*P57+Q65*Q57+R65*R57+S65*S57+T65*T57+U65*U57+V65*V57+W65*W57</f>
        <v>0</v>
      </c>
      <c r="AD57" s="355">
        <f>E66*E57+F66*F57+G66*G57+H66*H57+I66*I57+J66*J57+K66*K57+L66*L57+M66*M57+N66*N57+O66*O57+P66*P57+Q66*Q57+R66*R57+S66*S57+T66*T57+U66*U57+V66*V57+W66*W57</f>
        <v>0</v>
      </c>
    </row>
    <row r="58" spans="2:30" ht="15.75" thickBot="1" x14ac:dyDescent="0.3">
      <c r="B58" s="79">
        <v>21</v>
      </c>
      <c r="C58" s="93" t="s">
        <v>360</v>
      </c>
      <c r="D58" s="94" t="s">
        <v>361</v>
      </c>
      <c r="E58" s="406">
        <f>0</f>
        <v>0</v>
      </c>
      <c r="F58" s="406">
        <f>0</f>
        <v>0</v>
      </c>
      <c r="G58" s="406">
        <f>0</f>
        <v>0</v>
      </c>
      <c r="H58" s="406">
        <f>0</f>
        <v>0</v>
      </c>
      <c r="I58" s="406">
        <f>0</f>
        <v>0</v>
      </c>
      <c r="J58" s="406">
        <f>1</f>
        <v>1</v>
      </c>
      <c r="K58" s="406">
        <f>0</f>
        <v>0</v>
      </c>
      <c r="L58" s="409">
        <f>i_Charge_SPO4</f>
        <v>-4.83870967741935E-5</v>
      </c>
      <c r="M58" s="406">
        <f>0</f>
        <v>0</v>
      </c>
      <c r="N58" s="406">
        <f>0</f>
        <v>0</v>
      </c>
      <c r="O58" s="406">
        <f>0</f>
        <v>0</v>
      </c>
      <c r="P58" s="406">
        <f>0</f>
        <v>0</v>
      </c>
      <c r="Q58" s="406">
        <f>0</f>
        <v>0</v>
      </c>
      <c r="R58" s="406">
        <f>0</f>
        <v>0</v>
      </c>
      <c r="S58" s="406">
        <f>0</f>
        <v>0</v>
      </c>
      <c r="T58" s="406">
        <f>0</f>
        <v>0</v>
      </c>
      <c r="U58" s="415">
        <f>-(f_MeOH_PO4_MW+f_MeP_PO4_MW)</f>
        <v>-1.4193548387096784</v>
      </c>
      <c r="V58" s="411">
        <f>-f_MeOH_PO4_MW</f>
        <v>3.4451612903225803</v>
      </c>
      <c r="W58" s="411">
        <f>-f_MeP_PO4_MW</f>
        <v>-4.8645161290322587</v>
      </c>
      <c r="X58" s="418">
        <f>k_RED*X_MeP*M_satSALK_KALK_PRE</f>
        <v>0</v>
      </c>
      <c r="Z58" s="355">
        <f>E62*E58+F62*F58+G62*G58+H62*H58+I62*I58+J62*J58+K62*K58+L62*L58+M62*M58+N62*N58+O62*O58+P62*P58+Q62*Q58+R62*R58+S62*S58+T62*T58+U62*U58+V62*V58+W62*W58</f>
        <v>0</v>
      </c>
      <c r="AA58" s="355">
        <f>E63*E58+F63*F58+G63*G58+H63*H58+I63*I58+J63*J58+K63*K58+L63*L58+M63*M58+N63*N58+O63*O58+P63*P58+Q63*Q58+R63*R58+S63*S58+T63*T58+U63*U58+V63*V58+W63*W58</f>
        <v>0</v>
      </c>
      <c r="AB58" s="355">
        <f>E64*E58+F64*F58+G64*G58+H64*H58+I64*I58+J64*J58+K64*K58+L64*L58+M64*M58+N64*N58+O64*O58+P64*P58+Q64*Q58+R64*R58+S64*S58+T64*T58+U64*U58+V64*V58+W64*W58</f>
        <v>0</v>
      </c>
      <c r="AC58" s="355">
        <f>E65*E58+F65*F58+G65*G58+H65*H58+I65*I58+J65*J58+K65*K58+L65*L58+M65*M58+N65*N58+O65*O58+P65*P58+Q65*Q58+R65*R58+S65*S58+T65*T58+U65*U58+V65*V58+W65*W58</f>
        <v>0</v>
      </c>
      <c r="AD58" s="355">
        <f>E66*E58+F66*F58+G66*G58+H66*H58+I66*I58+J66*J58+K66*K58+L66*L58+M66*M58+N66*N58+O66*O58+P66*P58+Q66*Q58+R66*R58+S66*S58+T66*T58+U66*U58+V66*V58+W66*W58</f>
        <v>0</v>
      </c>
    </row>
    <row r="60" spans="2:30" ht="15.75" thickBot="1" x14ac:dyDescent="0.3"/>
    <row r="61" spans="2:30" ht="15.75" thickBot="1" x14ac:dyDescent="0.3">
      <c r="D61" s="52" t="s">
        <v>5</v>
      </c>
      <c r="E61" s="12"/>
    </row>
    <row r="62" spans="2:30" x14ac:dyDescent="0.25">
      <c r="D62" s="231" t="s">
        <v>145</v>
      </c>
      <c r="E62" s="232" t="s">
        <v>305</v>
      </c>
      <c r="F62" s="232" t="s">
        <v>306</v>
      </c>
      <c r="G62" s="232" t="s">
        <v>306</v>
      </c>
      <c r="H62" s="232"/>
      <c r="I62" s="233">
        <f>i_COD_NO3</f>
        <v>-4.5714285714285712</v>
      </c>
      <c r="J62" s="232"/>
      <c r="K62" s="232">
        <v>1</v>
      </c>
      <c r="L62" s="232"/>
      <c r="M62" s="233">
        <f>i_COD_N2</f>
        <v>-1.7142857142857142</v>
      </c>
      <c r="N62" s="232">
        <v>1</v>
      </c>
      <c r="O62" s="232">
        <v>1</v>
      </c>
      <c r="P62" s="232">
        <v>1</v>
      </c>
      <c r="Q62" s="232">
        <v>1</v>
      </c>
      <c r="R62" s="232"/>
      <c r="S62" s="232">
        <v>1</v>
      </c>
      <c r="T62" s="232">
        <v>1</v>
      </c>
      <c r="U62" s="232"/>
      <c r="V62" s="232"/>
      <c r="W62" s="232"/>
    </row>
    <row r="63" spans="2:30" x14ac:dyDescent="0.25">
      <c r="D63" s="234" t="s">
        <v>368</v>
      </c>
      <c r="E63" s="235"/>
      <c r="F63" s="236">
        <f>i_N_SF</f>
        <v>0.03</v>
      </c>
      <c r="G63" s="235"/>
      <c r="H63" s="235">
        <v>1</v>
      </c>
      <c r="I63" s="235">
        <v>1</v>
      </c>
      <c r="J63" s="235"/>
      <c r="K63" s="236">
        <f>i_N_SI</f>
        <v>0.01</v>
      </c>
      <c r="L63" s="235"/>
      <c r="M63" s="235">
        <v>1</v>
      </c>
      <c r="N63" s="236">
        <f>i_N_XI</f>
        <v>0.02</v>
      </c>
      <c r="O63" s="236">
        <f>i_N_XS</f>
        <v>0.04</v>
      </c>
      <c r="P63" s="236">
        <f>i_N_BM</f>
        <v>7.0000000000000007E-2</v>
      </c>
      <c r="Q63" s="236">
        <f>i_N_BM</f>
        <v>7.0000000000000007E-2</v>
      </c>
      <c r="R63" s="235"/>
      <c r="S63" s="235"/>
      <c r="T63" s="236">
        <f>i_N_BM</f>
        <v>7.0000000000000007E-2</v>
      </c>
      <c r="U63" s="235"/>
      <c r="V63" s="235"/>
      <c r="W63" s="235"/>
    </row>
    <row r="64" spans="2:30" x14ac:dyDescent="0.25">
      <c r="D64" s="237" t="s">
        <v>369</v>
      </c>
      <c r="E64" s="235"/>
      <c r="F64" s="236">
        <f>i_P_SF</f>
        <v>0.01</v>
      </c>
      <c r="G64" s="235"/>
      <c r="H64" s="235"/>
      <c r="I64" s="235"/>
      <c r="J64" s="235">
        <v>1</v>
      </c>
      <c r="K64" s="236">
        <f>i_P_SI</f>
        <v>0</v>
      </c>
      <c r="L64" s="235"/>
      <c r="M64" s="235"/>
      <c r="N64" s="236">
        <f>i_P_XI</f>
        <v>0.01</v>
      </c>
      <c r="O64" s="236">
        <f>i_P_XS</f>
        <v>0.01</v>
      </c>
      <c r="P64" s="236">
        <f>i_P_BM</f>
        <v>0.02</v>
      </c>
      <c r="Q64" s="236">
        <f>i_P_BM</f>
        <v>0.02</v>
      </c>
      <c r="R64" s="235">
        <v>1</v>
      </c>
      <c r="S64" s="235"/>
      <c r="T64" s="236">
        <f>i_P_BM</f>
        <v>0.02</v>
      </c>
      <c r="U64" s="235"/>
      <c r="V64" s="235"/>
      <c r="W64" s="238">
        <f>i_P_MeP</f>
        <v>0.2055702917771883</v>
      </c>
    </row>
    <row r="65" spans="4:23" x14ac:dyDescent="0.25">
      <c r="D65" s="234" t="s">
        <v>8</v>
      </c>
      <c r="E65" s="235"/>
      <c r="F65" s="235"/>
      <c r="G65" s="238">
        <f>i_Charge_SVFA</f>
        <v>-1.5625E-5</v>
      </c>
      <c r="H65" s="238">
        <f>i_Charge_SNHx</f>
        <v>7.1428571428571393E-5</v>
      </c>
      <c r="I65" s="238">
        <f>i_Charge_SNOx</f>
        <v>-7.1428571428571393E-5</v>
      </c>
      <c r="J65" s="238">
        <f>i_Charge_SPO4</f>
        <v>-4.83870967741935E-5</v>
      </c>
      <c r="K65" s="235"/>
      <c r="L65" s="235">
        <v>-1</v>
      </c>
      <c r="M65" s="235"/>
      <c r="N65" s="235"/>
      <c r="O65" s="235"/>
      <c r="P65" s="235"/>
      <c r="Q65" s="235"/>
      <c r="R65" s="236">
        <f>i_Charge_XPAO_PP</f>
        <v>-3.2258064516129E-5</v>
      </c>
      <c r="S65" s="235"/>
      <c r="T65" s="235"/>
      <c r="U65" s="235"/>
      <c r="V65" s="235"/>
      <c r="W65" s="235"/>
    </row>
    <row r="66" spans="4:23" ht="30.75" thickBot="1" x14ac:dyDescent="0.3">
      <c r="D66" s="239" t="s">
        <v>370</v>
      </c>
      <c r="E66" s="240"/>
      <c r="F66" s="240"/>
      <c r="G66" s="240"/>
      <c r="H66" s="240"/>
      <c r="I66" s="240"/>
      <c r="J66" s="240"/>
      <c r="K66" s="240"/>
      <c r="L66" s="240"/>
      <c r="M66" s="240"/>
      <c r="N66" s="241">
        <f>i_TSS_XI</f>
        <v>0.75</v>
      </c>
      <c r="O66" s="241">
        <f>i_TSS_XS</f>
        <v>0.75</v>
      </c>
      <c r="P66" s="241">
        <f>i_TSS_BM</f>
        <v>0.9</v>
      </c>
      <c r="Q66" s="241">
        <f>i_TSS_BM</f>
        <v>0.9</v>
      </c>
      <c r="R66" s="241">
        <f>i_TSS_XPP</f>
        <v>3.23</v>
      </c>
      <c r="S66" s="241">
        <f>i_TSS_XPHA</f>
        <v>0.6</v>
      </c>
      <c r="T66" s="241">
        <f>i_TSS_BM</f>
        <v>0.9</v>
      </c>
      <c r="U66" s="240">
        <v>-1</v>
      </c>
      <c r="V66" s="240">
        <v>1</v>
      </c>
      <c r="W66" s="240">
        <v>1</v>
      </c>
    </row>
  </sheetData>
  <phoneticPr fontId="12" type="noConversion"/>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4"/>
  <dimension ref="A1"/>
  <sheetViews>
    <sheetView showGridLines="0" zoomScale="80" zoomScaleNormal="80" workbookViewId="0">
      <selection activeCell="A15" sqref="A15"/>
    </sheetView>
  </sheetViews>
  <sheetFormatPr defaultColWidth="9.140625" defaultRowHeight="15" x14ac:dyDescent="0.25"/>
  <cols>
    <col min="1" max="1" width="17.7109375" customWidth="1"/>
    <col min="2" max="2" width="3" customWidth="1"/>
    <col min="3" max="3" width="8" bestFit="1" customWidth="1"/>
    <col min="4" max="4" width="31.7109375" bestFit="1" customWidth="1"/>
    <col min="5" max="5" width="14.7109375" customWidth="1"/>
    <col min="6" max="6" width="10.85546875" bestFit="1" customWidth="1"/>
    <col min="7" max="7" width="29.140625" bestFit="1" customWidth="1"/>
  </cols>
  <sheetData>
    <row r="1" spans="1:1" s="46" customFormat="1" ht="48" customHeight="1" x14ac:dyDescent="0.25">
      <c r="A1" s="48"/>
    </row>
  </sheetData>
  <phoneticPr fontId="12"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3"/>
  <dimension ref="B1:I13"/>
  <sheetViews>
    <sheetView showGridLines="0" workbookViewId="0">
      <selection activeCell="L12" sqref="L12"/>
    </sheetView>
  </sheetViews>
  <sheetFormatPr defaultColWidth="9.140625" defaultRowHeight="15" x14ac:dyDescent="0.25"/>
  <cols>
    <col min="1" max="1" width="4" style="20" customWidth="1"/>
    <col min="2" max="2" width="22" style="19" customWidth="1"/>
    <col min="3" max="3" width="9.7109375" style="20" customWidth="1"/>
    <col min="4" max="16384" width="9.140625" style="20"/>
  </cols>
  <sheetData>
    <row r="1" spans="2:9" ht="56.25" customHeight="1" thickBot="1" x14ac:dyDescent="0.3"/>
    <row r="2" spans="2:9" s="19" customFormat="1" ht="15.75" thickBot="1" x14ac:dyDescent="0.3">
      <c r="B2" s="21" t="s">
        <v>131</v>
      </c>
      <c r="C2" s="22" t="s">
        <v>132</v>
      </c>
      <c r="D2" s="22" t="s">
        <v>133</v>
      </c>
      <c r="E2" s="22" t="s">
        <v>134</v>
      </c>
      <c r="F2" s="22" t="s">
        <v>135</v>
      </c>
      <c r="G2" s="22" t="s">
        <v>136</v>
      </c>
      <c r="H2" s="22" t="s">
        <v>137</v>
      </c>
      <c r="I2" s="23" t="s">
        <v>138</v>
      </c>
    </row>
    <row r="3" spans="2:9" ht="15.75" thickBot="1" x14ac:dyDescent="0.3">
      <c r="B3" s="24" t="s">
        <v>8</v>
      </c>
      <c r="C3" s="25">
        <v>1</v>
      </c>
      <c r="D3" s="25">
        <v>0</v>
      </c>
      <c r="E3" s="25">
        <v>-1</v>
      </c>
      <c r="F3" s="25">
        <v>-1</v>
      </c>
      <c r="G3" s="25">
        <v>1</v>
      </c>
      <c r="H3" s="26">
        <v>-1</v>
      </c>
      <c r="I3" s="27"/>
    </row>
    <row r="4" spans="2:9" x14ac:dyDescent="0.25">
      <c r="B4" s="28" t="s">
        <v>132</v>
      </c>
      <c r="C4" s="29">
        <v>1</v>
      </c>
      <c r="D4" s="29"/>
      <c r="E4" s="29"/>
      <c r="F4" s="29"/>
      <c r="G4" s="29"/>
      <c r="H4" s="30"/>
      <c r="I4" s="27"/>
    </row>
    <row r="5" spans="2:9" x14ac:dyDescent="0.25">
      <c r="B5" s="28" t="s">
        <v>133</v>
      </c>
      <c r="C5" s="29"/>
      <c r="D5" s="29">
        <v>1</v>
      </c>
      <c r="E5" s="29"/>
      <c r="F5" s="29"/>
      <c r="G5" s="29"/>
      <c r="H5" s="30"/>
      <c r="I5" s="27"/>
    </row>
    <row r="6" spans="2:9" x14ac:dyDescent="0.25">
      <c r="B6" s="28" t="s">
        <v>139</v>
      </c>
      <c r="C6" s="29"/>
      <c r="D6" s="29"/>
      <c r="E6" s="29">
        <v>1</v>
      </c>
      <c r="F6" s="29"/>
      <c r="G6" s="29"/>
      <c r="H6" s="30"/>
      <c r="I6" s="27"/>
    </row>
    <row r="7" spans="2:9" x14ac:dyDescent="0.25">
      <c r="B7" s="28" t="s">
        <v>140</v>
      </c>
      <c r="C7" s="29"/>
      <c r="D7" s="29"/>
      <c r="E7" s="29"/>
      <c r="F7" s="29">
        <v>1</v>
      </c>
      <c r="G7" s="29"/>
      <c r="H7" s="30"/>
      <c r="I7" s="27"/>
    </row>
    <row r="8" spans="2:9" x14ac:dyDescent="0.25">
      <c r="B8" s="28" t="s">
        <v>136</v>
      </c>
      <c r="C8" s="29"/>
      <c r="D8" s="29"/>
      <c r="E8" s="29"/>
      <c r="F8" s="29"/>
      <c r="G8" s="29">
        <v>1</v>
      </c>
      <c r="H8" s="30"/>
      <c r="I8" s="27"/>
    </row>
    <row r="9" spans="2:9" ht="15.75" thickBot="1" x14ac:dyDescent="0.3">
      <c r="B9" s="31" t="s">
        <v>137</v>
      </c>
      <c r="C9" s="32"/>
      <c r="D9" s="32"/>
      <c r="E9" s="32"/>
      <c r="F9" s="32"/>
      <c r="G9" s="32"/>
      <c r="H9" s="33">
        <v>1</v>
      </c>
    </row>
    <row r="10" spans="2:9" x14ac:dyDescent="0.25">
      <c r="B10" s="28" t="s">
        <v>141</v>
      </c>
      <c r="C10" s="29">
        <v>-1</v>
      </c>
      <c r="D10" s="29">
        <v>0</v>
      </c>
      <c r="E10" s="29">
        <v>0</v>
      </c>
      <c r="F10" s="29">
        <v>0</v>
      </c>
      <c r="G10" s="29">
        <v>0</v>
      </c>
      <c r="H10" s="29">
        <v>0</v>
      </c>
      <c r="I10" s="34">
        <v>-14.163232949999999</v>
      </c>
    </row>
    <row r="11" spans="2:9" ht="15.75" thickBot="1" x14ac:dyDescent="0.3">
      <c r="B11" s="28" t="s">
        <v>142</v>
      </c>
      <c r="C11" s="29">
        <v>1</v>
      </c>
      <c r="D11" s="29">
        <v>1</v>
      </c>
      <c r="E11" s="29">
        <v>0</v>
      </c>
      <c r="F11" s="29">
        <v>0</v>
      </c>
      <c r="G11" s="29">
        <v>0</v>
      </c>
      <c r="H11" s="29">
        <v>0</v>
      </c>
      <c r="I11" s="35">
        <v>9.4016472899999997</v>
      </c>
    </row>
    <row r="12" spans="2:9" x14ac:dyDescent="0.25">
      <c r="B12" s="36" t="s">
        <v>143</v>
      </c>
      <c r="C12" s="39"/>
      <c r="D12" s="39">
        <v>1E-3</v>
      </c>
      <c r="E12" s="39">
        <v>1E-3</v>
      </c>
      <c r="F12" s="39">
        <v>1E-3</v>
      </c>
      <c r="G12" s="39">
        <v>1E-3</v>
      </c>
      <c r="H12" s="37">
        <v>1E-3</v>
      </c>
      <c r="I12" s="27"/>
    </row>
    <row r="13" spans="2:9" ht="15.75" thickBot="1" x14ac:dyDescent="0.3">
      <c r="B13" s="31" t="s">
        <v>144</v>
      </c>
      <c r="C13" s="38">
        <v>9.9999999999999995E-8</v>
      </c>
      <c r="D13" s="38">
        <v>1E-4</v>
      </c>
      <c r="E13" s="32">
        <v>1E-3</v>
      </c>
      <c r="F13" s="32">
        <v>1E-3</v>
      </c>
      <c r="G13" s="32">
        <v>1E-3</v>
      </c>
      <c r="H13" s="33">
        <v>1E-3</v>
      </c>
      <c r="I13" s="27"/>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7"/>
  <dimension ref="A1:S22"/>
  <sheetViews>
    <sheetView showGridLines="0" zoomScaleNormal="100" workbookViewId="0">
      <selection activeCell="B22" sqref="B22:E22"/>
    </sheetView>
  </sheetViews>
  <sheetFormatPr defaultColWidth="9.140625" defaultRowHeight="15" x14ac:dyDescent="0.25"/>
  <cols>
    <col min="1" max="1" width="16.5703125" style="258" customWidth="1"/>
    <col min="2" max="2" width="12.42578125" style="258" customWidth="1"/>
    <col min="3" max="3" width="67.7109375" style="258" bestFit="1" customWidth="1"/>
    <col min="4" max="4" width="11.28515625" style="258" bestFit="1" customWidth="1"/>
    <col min="5" max="6" width="19.85546875" style="258" bestFit="1" customWidth="1"/>
    <col min="7" max="9" width="19" style="258" bestFit="1" customWidth="1"/>
    <col min="10" max="11" width="19.140625" style="258" customWidth="1"/>
    <col min="12" max="12" width="13.7109375" style="258" bestFit="1" customWidth="1"/>
    <col min="13" max="13" width="10.85546875" style="258" customWidth="1"/>
    <col min="14" max="14" width="6.7109375" style="258" bestFit="1" customWidth="1"/>
    <col min="15" max="15" width="12" style="258" bestFit="1" customWidth="1"/>
    <col min="16" max="17" width="11.7109375" style="258" customWidth="1"/>
    <col min="18" max="18" width="22" style="258" customWidth="1"/>
    <col min="19" max="19" width="18.140625" style="258" customWidth="1"/>
    <col min="20" max="16384" width="9.140625" style="258"/>
  </cols>
  <sheetData>
    <row r="1" spans="1:19" s="294" customFormat="1" ht="48" customHeight="1" thickBot="1" x14ac:dyDescent="0.3">
      <c r="A1" s="292"/>
      <c r="B1" s="293"/>
    </row>
    <row r="2" spans="1:19" ht="19.5" customHeight="1" thickBot="1" x14ac:dyDescent="0.3">
      <c r="A2" s="3"/>
      <c r="B2" s="3"/>
      <c r="C2" s="295" t="s">
        <v>989</v>
      </c>
      <c r="D2" s="3"/>
      <c r="E2" s="3"/>
      <c r="F2" s="3"/>
      <c r="G2" s="3"/>
      <c r="H2" s="3"/>
      <c r="I2" s="3"/>
      <c r="J2" s="3"/>
      <c r="K2" s="3"/>
      <c r="L2" s="3"/>
    </row>
    <row r="3" spans="1:19" s="3" customFormat="1" ht="15.75" thickBot="1" x14ac:dyDescent="0.3">
      <c r="A3" s="296"/>
      <c r="B3" s="297" t="s">
        <v>0</v>
      </c>
      <c r="C3" s="298" t="s">
        <v>1</v>
      </c>
      <c r="D3" s="298" t="s">
        <v>11</v>
      </c>
      <c r="E3" s="299" t="s">
        <v>1357</v>
      </c>
      <c r="F3" s="299" t="s">
        <v>1383</v>
      </c>
      <c r="G3" s="299" t="s">
        <v>1283</v>
      </c>
      <c r="H3" s="299" t="s">
        <v>1350</v>
      </c>
      <c r="I3" s="299" t="s">
        <v>1386</v>
      </c>
      <c r="J3" s="300" t="s">
        <v>578</v>
      </c>
      <c r="K3" s="300" t="s">
        <v>579</v>
      </c>
      <c r="L3" s="298" t="s">
        <v>2</v>
      </c>
      <c r="M3" s="298" t="s">
        <v>545</v>
      </c>
      <c r="N3" s="298" t="s">
        <v>12</v>
      </c>
      <c r="O3" s="298" t="s">
        <v>987</v>
      </c>
      <c r="P3" s="298" t="s">
        <v>3</v>
      </c>
      <c r="Q3" s="301" t="s">
        <v>1859</v>
      </c>
      <c r="R3" s="301" t="s">
        <v>113</v>
      </c>
      <c r="S3" s="302" t="s">
        <v>6</v>
      </c>
    </row>
    <row r="4" spans="1:19" ht="18" x14ac:dyDescent="0.25">
      <c r="B4" s="303" t="s">
        <v>1287</v>
      </c>
      <c r="C4" s="111" t="s">
        <v>371</v>
      </c>
      <c r="D4" s="111" t="s">
        <v>1349</v>
      </c>
      <c r="E4" s="111">
        <v>2</v>
      </c>
      <c r="F4" s="111">
        <v>2</v>
      </c>
      <c r="G4" s="111">
        <v>2</v>
      </c>
      <c r="H4" s="111">
        <v>2</v>
      </c>
      <c r="I4" s="111" t="s">
        <v>1349</v>
      </c>
      <c r="J4" s="248" t="s">
        <v>1384</v>
      </c>
      <c r="K4" s="248" t="s">
        <v>1385</v>
      </c>
      <c r="L4" s="304" t="s">
        <v>1288</v>
      </c>
      <c r="M4" s="304">
        <v>1</v>
      </c>
      <c r="N4" s="305" t="s">
        <v>372</v>
      </c>
      <c r="O4" s="305" t="s">
        <v>373</v>
      </c>
      <c r="P4" s="305" t="s">
        <v>375</v>
      </c>
      <c r="Q4" s="306" t="s">
        <v>1860</v>
      </c>
      <c r="R4" s="306"/>
      <c r="S4" s="307"/>
    </row>
    <row r="5" spans="1:19" ht="18" x14ac:dyDescent="0.25">
      <c r="B5" s="308" t="s">
        <v>1289</v>
      </c>
      <c r="C5" s="104" t="s">
        <v>374</v>
      </c>
      <c r="D5" s="104">
        <v>75</v>
      </c>
      <c r="E5" s="104">
        <v>5</v>
      </c>
      <c r="F5" s="104">
        <v>5</v>
      </c>
      <c r="G5" s="104">
        <v>5</v>
      </c>
      <c r="H5" s="104">
        <v>5</v>
      </c>
      <c r="I5" s="111" t="s">
        <v>1349</v>
      </c>
      <c r="J5" s="309" t="s">
        <v>1384</v>
      </c>
      <c r="K5" s="309" t="s">
        <v>1385</v>
      </c>
      <c r="L5" s="104" t="s">
        <v>1290</v>
      </c>
      <c r="M5" s="104">
        <v>1</v>
      </c>
      <c r="N5" s="288" t="s">
        <v>372</v>
      </c>
      <c r="O5" s="288" t="s">
        <v>373</v>
      </c>
      <c r="P5" s="288" t="s">
        <v>375</v>
      </c>
      <c r="Q5" s="381" t="s">
        <v>145</v>
      </c>
      <c r="R5" s="310"/>
      <c r="S5" s="311"/>
    </row>
    <row r="6" spans="1:19" ht="18" x14ac:dyDescent="0.25">
      <c r="B6" s="308" t="s">
        <v>1291</v>
      </c>
      <c r="C6" s="104" t="s">
        <v>376</v>
      </c>
      <c r="D6" s="104">
        <v>45</v>
      </c>
      <c r="E6" s="104">
        <v>1</v>
      </c>
      <c r="F6" s="104">
        <v>1</v>
      </c>
      <c r="G6" s="104">
        <v>1</v>
      </c>
      <c r="H6" s="104">
        <v>1</v>
      </c>
      <c r="I6" s="111" t="s">
        <v>1349</v>
      </c>
      <c r="J6" s="309" t="s">
        <v>1384</v>
      </c>
      <c r="K6" s="309" t="s">
        <v>1385</v>
      </c>
      <c r="L6" s="104" t="s">
        <v>1290</v>
      </c>
      <c r="M6" s="104">
        <v>1</v>
      </c>
      <c r="N6" s="288" t="s">
        <v>372</v>
      </c>
      <c r="O6" s="288" t="s">
        <v>373</v>
      </c>
      <c r="P6" s="288" t="s">
        <v>375</v>
      </c>
      <c r="Q6" s="381" t="s">
        <v>145</v>
      </c>
      <c r="R6" s="310"/>
      <c r="S6" s="311"/>
    </row>
    <row r="7" spans="1:19" ht="18" x14ac:dyDescent="0.25">
      <c r="B7" s="308" t="s">
        <v>1292</v>
      </c>
      <c r="C7" s="104" t="s">
        <v>1284</v>
      </c>
      <c r="D7" s="104">
        <v>23</v>
      </c>
      <c r="E7" s="104">
        <v>3</v>
      </c>
      <c r="F7" s="104">
        <v>3</v>
      </c>
      <c r="G7" s="104">
        <v>3</v>
      </c>
      <c r="H7" s="104">
        <v>3</v>
      </c>
      <c r="I7" s="111" t="s">
        <v>1349</v>
      </c>
      <c r="J7" s="309" t="s">
        <v>1384</v>
      </c>
      <c r="K7" s="309" t="s">
        <v>1385</v>
      </c>
      <c r="L7" s="104" t="s">
        <v>438</v>
      </c>
      <c r="M7" s="104">
        <v>2</v>
      </c>
      <c r="N7" s="288" t="s">
        <v>372</v>
      </c>
      <c r="O7" s="288" t="s">
        <v>373</v>
      </c>
      <c r="P7" s="288" t="s">
        <v>375</v>
      </c>
      <c r="Q7" s="381" t="s">
        <v>368</v>
      </c>
      <c r="R7" s="310"/>
      <c r="S7" s="311"/>
    </row>
    <row r="8" spans="1:19" ht="18" x14ac:dyDescent="0.25">
      <c r="B8" s="308" t="s">
        <v>1293</v>
      </c>
      <c r="C8" s="104" t="s">
        <v>1285</v>
      </c>
      <c r="D8" s="104" t="s">
        <v>1349</v>
      </c>
      <c r="E8" s="104">
        <v>15</v>
      </c>
      <c r="F8" s="104">
        <v>15</v>
      </c>
      <c r="G8" s="104">
        <v>15</v>
      </c>
      <c r="H8" s="104">
        <v>15</v>
      </c>
      <c r="I8" s="111" t="s">
        <v>1349</v>
      </c>
      <c r="J8" s="309" t="s">
        <v>1384</v>
      </c>
      <c r="K8" s="309" t="s">
        <v>1385</v>
      </c>
      <c r="L8" s="104" t="s">
        <v>438</v>
      </c>
      <c r="M8" s="104">
        <v>2</v>
      </c>
      <c r="N8" s="288" t="s">
        <v>372</v>
      </c>
      <c r="O8" s="288" t="s">
        <v>373</v>
      </c>
      <c r="P8" s="288" t="s">
        <v>375</v>
      </c>
      <c r="Q8" s="381" t="s">
        <v>368</v>
      </c>
      <c r="R8" s="310"/>
      <c r="S8" s="311"/>
    </row>
    <row r="9" spans="1:19" ht="18" x14ac:dyDescent="0.25">
      <c r="B9" s="308" t="s">
        <v>1294</v>
      </c>
      <c r="C9" s="104" t="s">
        <v>377</v>
      </c>
      <c r="D9" s="104">
        <v>2.2000000000000002</v>
      </c>
      <c r="E9" s="104">
        <v>1</v>
      </c>
      <c r="F9" s="104">
        <v>1</v>
      </c>
      <c r="G9" s="104">
        <v>1</v>
      </c>
      <c r="H9" s="104">
        <v>1</v>
      </c>
      <c r="I9" s="111" t="s">
        <v>1349</v>
      </c>
      <c r="J9" s="309" t="s">
        <v>1384</v>
      </c>
      <c r="K9" s="309" t="s">
        <v>1385</v>
      </c>
      <c r="L9" s="104" t="s">
        <v>937</v>
      </c>
      <c r="M9" s="104">
        <v>2</v>
      </c>
      <c r="N9" s="288" t="s">
        <v>372</v>
      </c>
      <c r="O9" s="288" t="s">
        <v>373</v>
      </c>
      <c r="P9" s="288" t="s">
        <v>375</v>
      </c>
      <c r="Q9" s="381" t="s">
        <v>369</v>
      </c>
      <c r="R9" s="310"/>
      <c r="S9" s="311"/>
    </row>
    <row r="10" spans="1:19" ht="18" x14ac:dyDescent="0.25">
      <c r="B10" s="308" t="s">
        <v>1295</v>
      </c>
      <c r="C10" s="104" t="s">
        <v>378</v>
      </c>
      <c r="D10" s="104">
        <v>25</v>
      </c>
      <c r="E10" s="104">
        <v>25</v>
      </c>
      <c r="F10" s="104">
        <v>25</v>
      </c>
      <c r="G10" s="104">
        <v>25</v>
      </c>
      <c r="H10" s="104">
        <v>25</v>
      </c>
      <c r="I10" s="111" t="s">
        <v>1349</v>
      </c>
      <c r="J10" s="309" t="s">
        <v>1384</v>
      </c>
      <c r="K10" s="309" t="s">
        <v>1385</v>
      </c>
      <c r="L10" s="104" t="s">
        <v>1290</v>
      </c>
      <c r="M10" s="104">
        <v>1</v>
      </c>
      <c r="N10" s="288" t="s">
        <v>372</v>
      </c>
      <c r="O10" s="288" t="s">
        <v>373</v>
      </c>
      <c r="P10" s="288" t="s">
        <v>375</v>
      </c>
      <c r="Q10" s="381" t="s">
        <v>145</v>
      </c>
      <c r="R10" s="310"/>
      <c r="S10" s="311"/>
    </row>
    <row r="11" spans="1:19" ht="18" x14ac:dyDescent="0.25">
      <c r="B11" s="308" t="s">
        <v>1296</v>
      </c>
      <c r="C11" s="104" t="s">
        <v>1286</v>
      </c>
      <c r="D11" s="104">
        <v>7.0000000000000001E-3</v>
      </c>
      <c r="E11" s="104">
        <v>4.7999999999999996E-3</v>
      </c>
      <c r="F11" s="104">
        <v>4.7999999999999996E-3</v>
      </c>
      <c r="G11" s="104">
        <v>4.7999999999999996E-3</v>
      </c>
      <c r="H11" s="104">
        <v>4.7999999999999996E-3</v>
      </c>
      <c r="I11" s="111" t="s">
        <v>1349</v>
      </c>
      <c r="J11" s="309" t="s">
        <v>1384</v>
      </c>
      <c r="K11" s="309" t="s">
        <v>1385</v>
      </c>
      <c r="L11" s="104" t="s">
        <v>452</v>
      </c>
      <c r="M11" s="104">
        <v>4</v>
      </c>
      <c r="N11" s="288" t="s">
        <v>372</v>
      </c>
      <c r="O11" s="288" t="s">
        <v>373</v>
      </c>
      <c r="P11" s="288" t="s">
        <v>375</v>
      </c>
      <c r="Q11" s="381" t="s">
        <v>1862</v>
      </c>
      <c r="R11" s="310"/>
      <c r="S11" s="311"/>
    </row>
    <row r="12" spans="1:19" ht="18" x14ac:dyDescent="0.25">
      <c r="B12" s="308" t="s">
        <v>1297</v>
      </c>
      <c r="C12" s="104" t="s">
        <v>379</v>
      </c>
      <c r="D12" s="104">
        <v>16</v>
      </c>
      <c r="E12" s="104">
        <v>16</v>
      </c>
      <c r="F12" s="104">
        <v>16</v>
      </c>
      <c r="G12" s="104">
        <v>16</v>
      </c>
      <c r="H12" s="104">
        <v>16</v>
      </c>
      <c r="I12" s="111" t="s">
        <v>1349</v>
      </c>
      <c r="J12" s="309" t="s">
        <v>1384</v>
      </c>
      <c r="K12" s="309" t="s">
        <v>1385</v>
      </c>
      <c r="L12" s="104" t="s">
        <v>438</v>
      </c>
      <c r="M12" s="104">
        <v>1</v>
      </c>
      <c r="N12" s="288" t="s">
        <v>372</v>
      </c>
      <c r="O12" s="288" t="s">
        <v>373</v>
      </c>
      <c r="P12" s="288" t="s">
        <v>375</v>
      </c>
      <c r="Q12" s="381" t="s">
        <v>368</v>
      </c>
      <c r="R12" s="310"/>
      <c r="S12" s="311"/>
    </row>
    <row r="13" spans="1:19" ht="18" x14ac:dyDescent="0.25">
      <c r="B13" s="308" t="s">
        <v>1298</v>
      </c>
      <c r="C13" s="104" t="s">
        <v>380</v>
      </c>
      <c r="D13" s="104">
        <v>67</v>
      </c>
      <c r="E13" s="104">
        <v>700</v>
      </c>
      <c r="F13" s="104">
        <v>700</v>
      </c>
      <c r="G13" s="104">
        <v>700</v>
      </c>
      <c r="H13" s="104">
        <v>700</v>
      </c>
      <c r="I13" s="111" t="s">
        <v>1349</v>
      </c>
      <c r="J13" s="309" t="s">
        <v>1384</v>
      </c>
      <c r="K13" s="309" t="s">
        <v>1385</v>
      </c>
      <c r="L13" s="104" t="s">
        <v>1290</v>
      </c>
      <c r="M13" s="104">
        <v>1</v>
      </c>
      <c r="N13" s="288" t="s">
        <v>372</v>
      </c>
      <c r="O13" s="288" t="s">
        <v>381</v>
      </c>
      <c r="P13" s="288" t="s">
        <v>375</v>
      </c>
      <c r="Q13" s="381" t="s">
        <v>145</v>
      </c>
      <c r="R13" s="310"/>
      <c r="S13" s="311"/>
    </row>
    <row r="14" spans="1:19" ht="18" x14ac:dyDescent="0.25">
      <c r="B14" s="308" t="s">
        <v>1299</v>
      </c>
      <c r="C14" s="104" t="s">
        <v>382</v>
      </c>
      <c r="D14" s="104">
        <v>185.5</v>
      </c>
      <c r="E14" s="104">
        <v>50</v>
      </c>
      <c r="F14" s="104">
        <v>50</v>
      </c>
      <c r="G14" s="104">
        <v>50</v>
      </c>
      <c r="H14" s="104">
        <v>50</v>
      </c>
      <c r="I14" s="111" t="s">
        <v>1349</v>
      </c>
      <c r="J14" s="309" t="s">
        <v>1384</v>
      </c>
      <c r="K14" s="309" t="s">
        <v>1385</v>
      </c>
      <c r="L14" s="104" t="s">
        <v>1290</v>
      </c>
      <c r="M14" s="104">
        <v>1</v>
      </c>
      <c r="N14" s="288" t="s">
        <v>372</v>
      </c>
      <c r="O14" s="288" t="s">
        <v>381</v>
      </c>
      <c r="P14" s="288" t="s">
        <v>375</v>
      </c>
      <c r="Q14" s="381" t="s">
        <v>145</v>
      </c>
      <c r="R14" s="310"/>
      <c r="S14" s="311"/>
    </row>
    <row r="15" spans="1:19" ht="18" x14ac:dyDescent="0.25">
      <c r="B15" s="308" t="s">
        <v>1300</v>
      </c>
      <c r="C15" s="104" t="s">
        <v>383</v>
      </c>
      <c r="D15" s="104">
        <v>21</v>
      </c>
      <c r="E15" s="104">
        <v>500</v>
      </c>
      <c r="F15" s="104">
        <v>500</v>
      </c>
      <c r="G15" s="104">
        <v>500</v>
      </c>
      <c r="H15" s="104">
        <v>500</v>
      </c>
      <c r="I15" s="111" t="s">
        <v>1349</v>
      </c>
      <c r="J15" s="309" t="s">
        <v>1384</v>
      </c>
      <c r="K15" s="309" t="s">
        <v>1385</v>
      </c>
      <c r="L15" s="104" t="s">
        <v>1290</v>
      </c>
      <c r="M15" s="104">
        <v>1</v>
      </c>
      <c r="N15" s="288" t="s">
        <v>372</v>
      </c>
      <c r="O15" s="288" t="s">
        <v>381</v>
      </c>
      <c r="P15" s="288" t="s">
        <v>375</v>
      </c>
      <c r="Q15" s="381" t="s">
        <v>1863</v>
      </c>
      <c r="R15" s="310"/>
      <c r="S15" s="311"/>
    </row>
    <row r="16" spans="1:19" ht="18" x14ac:dyDescent="0.25">
      <c r="B16" s="308" t="s">
        <v>1301</v>
      </c>
      <c r="C16" s="104" t="s">
        <v>384</v>
      </c>
      <c r="D16" s="104">
        <v>0.1</v>
      </c>
      <c r="E16" s="104">
        <v>300</v>
      </c>
      <c r="F16" s="104">
        <v>300</v>
      </c>
      <c r="G16" s="104">
        <v>300</v>
      </c>
      <c r="H16" s="104">
        <v>300</v>
      </c>
      <c r="I16" s="111" t="s">
        <v>1349</v>
      </c>
      <c r="J16" s="309" t="s">
        <v>1384</v>
      </c>
      <c r="K16" s="309" t="s">
        <v>1385</v>
      </c>
      <c r="L16" s="104" t="s">
        <v>1290</v>
      </c>
      <c r="M16" s="104">
        <v>1</v>
      </c>
      <c r="N16" s="288" t="s">
        <v>372</v>
      </c>
      <c r="O16" s="288" t="s">
        <v>381</v>
      </c>
      <c r="P16" s="288" t="s">
        <v>375</v>
      </c>
      <c r="Q16" s="381" t="s">
        <v>1863</v>
      </c>
      <c r="R16" s="310"/>
      <c r="S16" s="311"/>
    </row>
    <row r="17" spans="2:19" ht="18" x14ac:dyDescent="0.25">
      <c r="B17" s="308" t="s">
        <v>1302</v>
      </c>
      <c r="C17" s="104" t="s">
        <v>385</v>
      </c>
      <c r="D17" s="104">
        <v>0.01</v>
      </c>
      <c r="E17" s="104">
        <v>200</v>
      </c>
      <c r="F17" s="104">
        <v>200</v>
      </c>
      <c r="G17" s="104">
        <v>200</v>
      </c>
      <c r="H17" s="104">
        <v>200</v>
      </c>
      <c r="I17" s="111" t="s">
        <v>1349</v>
      </c>
      <c r="J17" s="309" t="s">
        <v>1384</v>
      </c>
      <c r="K17" s="309" t="s">
        <v>1385</v>
      </c>
      <c r="L17" s="104" t="s">
        <v>937</v>
      </c>
      <c r="M17" s="104">
        <v>1</v>
      </c>
      <c r="N17" s="288" t="s">
        <v>372</v>
      </c>
      <c r="O17" s="288" t="s">
        <v>381</v>
      </c>
      <c r="P17" s="288" t="s">
        <v>375</v>
      </c>
      <c r="Q17" s="381" t="s">
        <v>369</v>
      </c>
      <c r="R17" s="310"/>
      <c r="S17" s="311"/>
    </row>
    <row r="18" spans="2:19" ht="18" x14ac:dyDescent="0.25">
      <c r="B18" s="308" t="s">
        <v>1303</v>
      </c>
      <c r="C18" s="104" t="s">
        <v>386</v>
      </c>
      <c r="D18" s="104">
        <v>0.01</v>
      </c>
      <c r="E18" s="104">
        <v>200</v>
      </c>
      <c r="F18" s="104">
        <v>200</v>
      </c>
      <c r="G18" s="104">
        <v>200</v>
      </c>
      <c r="H18" s="104">
        <v>200</v>
      </c>
      <c r="I18" s="111" t="s">
        <v>1349</v>
      </c>
      <c r="J18" s="309" t="s">
        <v>1384</v>
      </c>
      <c r="K18" s="309" t="s">
        <v>1385</v>
      </c>
      <c r="L18" s="104" t="s">
        <v>1290</v>
      </c>
      <c r="M18" s="104">
        <v>1</v>
      </c>
      <c r="N18" s="288" t="s">
        <v>372</v>
      </c>
      <c r="O18" s="288" t="s">
        <v>381</v>
      </c>
      <c r="P18" s="288" t="s">
        <v>375</v>
      </c>
      <c r="Q18" s="381" t="s">
        <v>145</v>
      </c>
      <c r="R18" s="310"/>
      <c r="S18" s="311"/>
    </row>
    <row r="19" spans="2:19" ht="18" x14ac:dyDescent="0.25">
      <c r="B19" s="308" t="s">
        <v>1304</v>
      </c>
      <c r="C19" s="104" t="s">
        <v>387</v>
      </c>
      <c r="D19" s="104">
        <v>0.1</v>
      </c>
      <c r="E19" s="104">
        <v>50</v>
      </c>
      <c r="F19" s="104">
        <v>50</v>
      </c>
      <c r="G19" s="104">
        <v>50</v>
      </c>
      <c r="H19" s="104">
        <v>50</v>
      </c>
      <c r="I19" s="111" t="s">
        <v>1349</v>
      </c>
      <c r="J19" s="309" t="s">
        <v>1384</v>
      </c>
      <c r="K19" s="309" t="s">
        <v>1385</v>
      </c>
      <c r="L19" s="104" t="s">
        <v>1290</v>
      </c>
      <c r="M19" s="104">
        <v>1</v>
      </c>
      <c r="N19" s="288" t="s">
        <v>372</v>
      </c>
      <c r="O19" s="288" t="s">
        <v>381</v>
      </c>
      <c r="P19" s="288" t="s">
        <v>375</v>
      </c>
      <c r="Q19" s="381" t="s">
        <v>1863</v>
      </c>
      <c r="R19" s="310"/>
      <c r="S19" s="311"/>
    </row>
    <row r="20" spans="2:19" ht="18" x14ac:dyDescent="0.25">
      <c r="B20" s="308" t="s">
        <v>1305</v>
      </c>
      <c r="C20" s="104" t="s">
        <v>388</v>
      </c>
      <c r="D20" s="104">
        <v>212</v>
      </c>
      <c r="E20" s="104">
        <v>2000</v>
      </c>
      <c r="F20" s="104">
        <v>2000</v>
      </c>
      <c r="G20" s="104">
        <v>2000</v>
      </c>
      <c r="H20" s="104">
        <v>2000</v>
      </c>
      <c r="I20" s="111" t="s">
        <v>1349</v>
      </c>
      <c r="J20" s="309" t="s">
        <v>1384</v>
      </c>
      <c r="K20" s="309" t="s">
        <v>1385</v>
      </c>
      <c r="L20" s="104" t="s">
        <v>1306</v>
      </c>
      <c r="M20" s="104">
        <v>1</v>
      </c>
      <c r="N20" s="288" t="s">
        <v>372</v>
      </c>
      <c r="O20" s="288" t="s">
        <v>381</v>
      </c>
      <c r="P20" s="288" t="s">
        <v>375</v>
      </c>
      <c r="Q20" s="381" t="s">
        <v>1861</v>
      </c>
      <c r="R20" s="310"/>
      <c r="S20" s="311"/>
    </row>
    <row r="21" spans="2:19" ht="18" x14ac:dyDescent="0.25">
      <c r="B21" s="308" t="s">
        <v>1307</v>
      </c>
      <c r="C21" s="104" t="s">
        <v>389</v>
      </c>
      <c r="D21" s="104" t="s">
        <v>1349</v>
      </c>
      <c r="E21" s="104">
        <v>0</v>
      </c>
      <c r="F21" s="104">
        <v>0</v>
      </c>
      <c r="G21" s="104">
        <v>0</v>
      </c>
      <c r="H21" s="104">
        <v>0</v>
      </c>
      <c r="I21" s="111" t="s">
        <v>1349</v>
      </c>
      <c r="J21" s="309" t="s">
        <v>1384</v>
      </c>
      <c r="K21" s="309" t="s">
        <v>1385</v>
      </c>
      <c r="L21" s="104" t="s">
        <v>1306</v>
      </c>
      <c r="M21" s="104">
        <v>1</v>
      </c>
      <c r="N21" s="288" t="s">
        <v>372</v>
      </c>
      <c r="O21" s="288" t="s">
        <v>381</v>
      </c>
      <c r="P21" s="288" t="s">
        <v>375</v>
      </c>
      <c r="Q21" s="381" t="s">
        <v>1861</v>
      </c>
      <c r="R21" s="310"/>
      <c r="S21" s="311"/>
    </row>
    <row r="22" spans="2:19" ht="18.75" thickBot="1" x14ac:dyDescent="0.3">
      <c r="B22" s="312" t="s">
        <v>1308</v>
      </c>
      <c r="C22" s="124" t="s">
        <v>390</v>
      </c>
      <c r="D22" s="124" t="s">
        <v>1349</v>
      </c>
      <c r="E22" s="124">
        <v>0</v>
      </c>
      <c r="F22" s="124">
        <v>0</v>
      </c>
      <c r="G22" s="124">
        <v>0</v>
      </c>
      <c r="H22" s="124">
        <v>0</v>
      </c>
      <c r="I22" s="124" t="s">
        <v>1349</v>
      </c>
      <c r="J22" s="246" t="s">
        <v>1384</v>
      </c>
      <c r="K22" s="246" t="s">
        <v>1385</v>
      </c>
      <c r="L22" s="124" t="s">
        <v>1306</v>
      </c>
      <c r="M22" s="124">
        <v>1</v>
      </c>
      <c r="N22" s="286" t="s">
        <v>372</v>
      </c>
      <c r="O22" s="286" t="s">
        <v>381</v>
      </c>
      <c r="P22" s="286" t="s">
        <v>375</v>
      </c>
      <c r="Q22" s="382" t="s">
        <v>1861</v>
      </c>
      <c r="R22" s="313"/>
      <c r="S22" s="314"/>
    </row>
  </sheetData>
  <phoneticPr fontId="12"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5"/>
  <dimension ref="B1:G4"/>
  <sheetViews>
    <sheetView showGridLines="0" workbookViewId="0">
      <selection activeCell="D23" sqref="D23"/>
    </sheetView>
  </sheetViews>
  <sheetFormatPr defaultColWidth="9.140625" defaultRowHeight="15" x14ac:dyDescent="0.25"/>
  <cols>
    <col min="1" max="1" width="16.85546875" customWidth="1"/>
    <col min="2" max="2" width="7.5703125" bestFit="1" customWidth="1"/>
    <col min="3" max="3" width="19.42578125" customWidth="1"/>
    <col min="4" max="4" width="51.85546875" customWidth="1"/>
    <col min="5" max="5" width="4.85546875" bestFit="1" customWidth="1"/>
    <col min="6" max="6" width="5" bestFit="1" customWidth="1"/>
    <col min="7" max="7" width="22.28515625" customWidth="1"/>
  </cols>
  <sheetData>
    <row r="1" spans="2:7" s="46" customFormat="1" ht="57.75" customHeight="1" thickBot="1" x14ac:dyDescent="0.3"/>
    <row r="2" spans="2:7" ht="15.75" thickBot="1" x14ac:dyDescent="0.3">
      <c r="B2" s="3"/>
      <c r="C2" s="58" t="s">
        <v>112</v>
      </c>
      <c r="D2" s="59" t="s">
        <v>115</v>
      </c>
      <c r="E2" s="3"/>
      <c r="F2" s="3"/>
      <c r="G2" s="3"/>
    </row>
    <row r="3" spans="2:7" x14ac:dyDescent="0.25">
      <c r="B3" s="53" t="s">
        <v>0</v>
      </c>
      <c r="C3" s="54" t="s">
        <v>1</v>
      </c>
      <c r="D3" s="54" t="s">
        <v>4</v>
      </c>
      <c r="E3" s="55" t="s">
        <v>2</v>
      </c>
      <c r="F3" s="56" t="s">
        <v>113</v>
      </c>
      <c r="G3" s="57" t="s">
        <v>114</v>
      </c>
    </row>
    <row r="4" spans="2:7" x14ac:dyDescent="0.25">
      <c r="B4" s="4"/>
      <c r="C4" s="4"/>
      <c r="D4" s="4"/>
      <c r="E4" s="4"/>
      <c r="F4" s="4"/>
      <c r="G4" s="4"/>
    </row>
  </sheetData>
  <phoneticPr fontId="12"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6"/>
  <dimension ref="B1:G4"/>
  <sheetViews>
    <sheetView showGridLines="0" workbookViewId="0">
      <selection activeCell="G32" sqref="G32"/>
    </sheetView>
  </sheetViews>
  <sheetFormatPr defaultColWidth="9.140625" defaultRowHeight="15" x14ac:dyDescent="0.25"/>
  <cols>
    <col min="2" max="2" width="15.140625" customWidth="1"/>
    <col min="3" max="3" width="24.85546875" customWidth="1"/>
    <col min="4" max="4" width="20.85546875" customWidth="1"/>
    <col min="7" max="7" width="23.42578125" customWidth="1"/>
  </cols>
  <sheetData>
    <row r="1" spans="2:7" s="46" customFormat="1" ht="43.5" customHeight="1" thickBot="1" x14ac:dyDescent="0.3"/>
    <row r="2" spans="2:7" ht="15.75" thickBot="1" x14ac:dyDescent="0.3">
      <c r="B2" s="3"/>
      <c r="C2" s="2" t="s">
        <v>112</v>
      </c>
      <c r="D2" s="11"/>
      <c r="E2" s="3"/>
      <c r="F2" s="3"/>
      <c r="G2" s="3"/>
    </row>
    <row r="3" spans="2:7" x14ac:dyDescent="0.25">
      <c r="B3" s="14" t="s">
        <v>0</v>
      </c>
      <c r="C3" s="15" t="s">
        <v>1</v>
      </c>
      <c r="D3" s="15" t="s">
        <v>4</v>
      </c>
      <c r="E3" s="16" t="s">
        <v>2</v>
      </c>
      <c r="F3" s="17" t="s">
        <v>113</v>
      </c>
      <c r="G3" s="18" t="s">
        <v>114</v>
      </c>
    </row>
    <row r="4" spans="2:7" x14ac:dyDescent="0.25">
      <c r="B4" s="4"/>
      <c r="C4" s="4"/>
      <c r="D4" s="4"/>
      <c r="E4" s="4"/>
      <c r="F4" s="4"/>
      <c r="G4" s="4"/>
    </row>
  </sheetData>
  <phoneticPr fontId="1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8"/>
  <dimension ref="B1:F3"/>
  <sheetViews>
    <sheetView showGridLines="0" workbookViewId="0">
      <selection activeCell="B12" sqref="B12"/>
    </sheetView>
  </sheetViews>
  <sheetFormatPr defaultColWidth="9.140625" defaultRowHeight="15" x14ac:dyDescent="0.25"/>
  <cols>
    <col min="2" max="2" width="24.28515625" customWidth="1"/>
    <col min="3" max="4" width="22.140625" customWidth="1"/>
  </cols>
  <sheetData>
    <row r="1" spans="2:6" s="46" customFormat="1" ht="58.5" customHeight="1" thickBot="1" x14ac:dyDescent="0.3"/>
    <row r="2" spans="2:6" ht="15.75" thickBot="1" x14ac:dyDescent="0.3">
      <c r="C2" s="60" t="s">
        <v>130</v>
      </c>
      <c r="D2" s="1"/>
    </row>
    <row r="3" spans="2:6" ht="20.25" customHeight="1" thickBot="1" x14ac:dyDescent="0.3">
      <c r="B3" s="147" t="s">
        <v>0</v>
      </c>
      <c r="C3" s="148" t="s">
        <v>1</v>
      </c>
      <c r="D3" s="149" t="s">
        <v>4</v>
      </c>
      <c r="E3" s="149" t="s">
        <v>113</v>
      </c>
      <c r="F3" s="150" t="s">
        <v>2</v>
      </c>
    </row>
  </sheetData>
  <phoneticPr fontId="12" type="noConversion"/>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9"/>
  <dimension ref="B1:I58"/>
  <sheetViews>
    <sheetView showGridLines="0" zoomScaleNormal="100" workbookViewId="0"/>
  </sheetViews>
  <sheetFormatPr defaultColWidth="9.140625" defaultRowHeight="15" x14ac:dyDescent="0.25"/>
  <cols>
    <col min="1" max="1" width="3.7109375" customWidth="1"/>
    <col min="2" max="2" width="20.42578125" bestFit="1" customWidth="1"/>
    <col min="3" max="4" width="67.85546875" bestFit="1" customWidth="1"/>
    <col min="5" max="5" width="9.140625" style="258" customWidth="1"/>
    <col min="6" max="6" width="15.140625" style="258" bestFit="1" customWidth="1"/>
    <col min="7" max="7" width="12.28515625" style="258" customWidth="1"/>
    <col min="8" max="8" width="28.5703125" style="258" bestFit="1" customWidth="1"/>
    <col min="9" max="9" width="20.85546875" customWidth="1"/>
  </cols>
  <sheetData>
    <row r="1" spans="2:9" s="46" customFormat="1" ht="62.25" customHeight="1" x14ac:dyDescent="0.25">
      <c r="B1" s="261"/>
      <c r="E1" s="294"/>
      <c r="F1" s="294"/>
      <c r="G1" s="294"/>
      <c r="H1" s="294"/>
    </row>
    <row r="2" spans="2:9" ht="15.75" thickBot="1" x14ac:dyDescent="0.3">
      <c r="D2" s="274"/>
      <c r="E2" s="383"/>
    </row>
    <row r="3" spans="2:9" ht="15.75" thickBot="1" x14ac:dyDescent="0.3">
      <c r="C3" s="333" t="s">
        <v>1827</v>
      </c>
      <c r="D3" s="1" t="s">
        <v>518</v>
      </c>
      <c r="E3" s="384"/>
    </row>
    <row r="4" spans="2:9" ht="15.75" thickBot="1" x14ac:dyDescent="0.3">
      <c r="B4" s="335" t="s">
        <v>0</v>
      </c>
      <c r="C4" s="336" t="s">
        <v>1</v>
      </c>
      <c r="D4" s="336" t="s">
        <v>4</v>
      </c>
      <c r="E4" s="385" t="s">
        <v>149</v>
      </c>
      <c r="F4" s="385" t="s">
        <v>2</v>
      </c>
      <c r="G4" s="385" t="s">
        <v>545</v>
      </c>
      <c r="H4" s="385" t="s">
        <v>113</v>
      </c>
      <c r="I4" s="337" t="s">
        <v>114</v>
      </c>
    </row>
    <row r="5" spans="2:9" ht="18" x14ac:dyDescent="0.25">
      <c r="B5" s="342" t="s">
        <v>1376</v>
      </c>
      <c r="C5" s="343" t="s">
        <v>534</v>
      </c>
      <c r="D5" s="343" t="s">
        <v>542</v>
      </c>
      <c r="E5" s="386">
        <f>S_F+S_A</f>
        <v>6</v>
      </c>
      <c r="F5" s="387" t="s">
        <v>547</v>
      </c>
      <c r="G5" s="386">
        <v>1</v>
      </c>
      <c r="H5" s="388"/>
      <c r="I5" s="344"/>
    </row>
    <row r="6" spans="2:9" ht="18.75" x14ac:dyDescent="0.35">
      <c r="B6" s="345" t="s">
        <v>1377</v>
      </c>
      <c r="C6" s="338" t="s">
        <v>535</v>
      </c>
      <c r="D6" s="339" t="s">
        <v>543</v>
      </c>
      <c r="E6" s="334">
        <f>X_S+X_H+X_PAO+X_PHA+X_AUT</f>
        <v>1100</v>
      </c>
      <c r="F6" s="389" t="s">
        <v>547</v>
      </c>
      <c r="G6" s="334">
        <v>1</v>
      </c>
      <c r="H6" s="390"/>
      <c r="I6" s="346"/>
    </row>
    <row r="7" spans="2:9" ht="18" x14ac:dyDescent="0.25">
      <c r="B7" s="345" t="s">
        <v>1378</v>
      </c>
      <c r="C7" s="338" t="s">
        <v>535</v>
      </c>
      <c r="D7" s="338" t="s">
        <v>1379</v>
      </c>
      <c r="E7" s="334">
        <f>S_BOD_ult+X_BOD_ult</f>
        <v>1106</v>
      </c>
      <c r="F7" s="389" t="s">
        <v>547</v>
      </c>
      <c r="G7" s="334">
        <v>1</v>
      </c>
      <c r="H7" s="390"/>
      <c r="I7" s="346"/>
    </row>
    <row r="8" spans="2:9" ht="18" x14ac:dyDescent="0.25">
      <c r="B8" s="345" t="s">
        <v>527</v>
      </c>
      <c r="C8" s="338" t="s">
        <v>1345</v>
      </c>
      <c r="D8" s="338" t="s">
        <v>1380</v>
      </c>
      <c r="E8" s="334">
        <f>S_BOD_ult*f_BOD5_BODult</f>
        <v>3.9000000000000004</v>
      </c>
      <c r="F8" s="389" t="s">
        <v>547</v>
      </c>
      <c r="G8" s="334">
        <v>1</v>
      </c>
      <c r="H8" s="390"/>
      <c r="I8" s="346"/>
    </row>
    <row r="9" spans="2:9" ht="18" x14ac:dyDescent="0.25">
      <c r="B9" s="345" t="s">
        <v>528</v>
      </c>
      <c r="C9" s="338" t="s">
        <v>1346</v>
      </c>
      <c r="D9" s="338" t="s">
        <v>1381</v>
      </c>
      <c r="E9" s="334">
        <f>X_BOD_ult*f_BOD5_BODult</f>
        <v>715</v>
      </c>
      <c r="F9" s="389" t="s">
        <v>547</v>
      </c>
      <c r="G9" s="334">
        <v>1</v>
      </c>
      <c r="H9" s="390"/>
      <c r="I9" s="346"/>
    </row>
    <row r="10" spans="2:9" ht="18" x14ac:dyDescent="0.25">
      <c r="B10" s="345" t="s">
        <v>529</v>
      </c>
      <c r="C10" s="338" t="s">
        <v>1347</v>
      </c>
      <c r="D10" s="338" t="s">
        <v>1382</v>
      </c>
      <c r="E10" s="334">
        <f>T_BOD_ult*f_BOD5_BODult</f>
        <v>718.9</v>
      </c>
      <c r="F10" s="389" t="s">
        <v>547</v>
      </c>
      <c r="G10" s="334">
        <v>1</v>
      </c>
      <c r="H10" s="390"/>
      <c r="I10" s="346"/>
    </row>
    <row r="11" spans="2:9" ht="18" x14ac:dyDescent="0.25">
      <c r="B11" s="345" t="s">
        <v>530</v>
      </c>
      <c r="C11" s="338" t="s">
        <v>536</v>
      </c>
      <c r="D11" s="338" t="s">
        <v>1203</v>
      </c>
      <c r="E11" s="334">
        <f>S_F+S_A+S_I</f>
        <v>31</v>
      </c>
      <c r="F11" s="389" t="s">
        <v>547</v>
      </c>
      <c r="G11" s="334">
        <v>1</v>
      </c>
      <c r="H11" s="390"/>
      <c r="I11" s="346"/>
    </row>
    <row r="12" spans="2:9" ht="18.75" x14ac:dyDescent="0.35">
      <c r="B12" s="347" t="s">
        <v>393</v>
      </c>
      <c r="C12" s="340" t="s">
        <v>537</v>
      </c>
      <c r="D12" s="339" t="s">
        <v>394</v>
      </c>
      <c r="E12" s="391">
        <f>X_I+X_S+X_H+X_PAO+X_PHA+X_AUT</f>
        <v>1800</v>
      </c>
      <c r="F12" s="389" t="s">
        <v>547</v>
      </c>
      <c r="G12" s="389">
        <v>1</v>
      </c>
      <c r="H12" s="389"/>
      <c r="I12" s="348"/>
    </row>
    <row r="13" spans="2:9" ht="19.5" customHeight="1" x14ac:dyDescent="0.25">
      <c r="B13" s="349" t="s">
        <v>531</v>
      </c>
      <c r="C13" s="340" t="s">
        <v>538</v>
      </c>
      <c r="D13" s="338" t="s">
        <v>1204</v>
      </c>
      <c r="E13" s="334">
        <f>S_COD+X_COD</f>
        <v>1831</v>
      </c>
      <c r="F13" s="389" t="s">
        <v>547</v>
      </c>
      <c r="G13" s="334">
        <v>1</v>
      </c>
      <c r="H13" s="390"/>
      <c r="I13" s="346"/>
    </row>
    <row r="14" spans="2:9" ht="18" x14ac:dyDescent="0.25">
      <c r="B14" s="349" t="s">
        <v>532</v>
      </c>
      <c r="C14" s="340" t="s">
        <v>539</v>
      </c>
      <c r="D14" s="338" t="s">
        <v>546</v>
      </c>
      <c r="E14" s="334">
        <f>S_NH4+i_N_SF*S_F+i_N_SI*S_I+i_N_XI*X_I+i_N_XS*X_S+i_N_BM*(X_H+X_AUT+X_PAO)</f>
        <v>78.900000000000006</v>
      </c>
      <c r="F14" s="389" t="s">
        <v>548</v>
      </c>
      <c r="G14" s="334">
        <v>1</v>
      </c>
      <c r="H14" s="390"/>
      <c r="I14" s="346"/>
    </row>
    <row r="15" spans="2:9" ht="19.5" customHeight="1" x14ac:dyDescent="0.25">
      <c r="B15" s="349" t="s">
        <v>533</v>
      </c>
      <c r="C15" s="340" t="s">
        <v>540</v>
      </c>
      <c r="D15" s="338" t="s">
        <v>1202</v>
      </c>
      <c r="E15" s="334">
        <f>T_KN+S_NO3</f>
        <v>93.9</v>
      </c>
      <c r="F15" s="389" t="s">
        <v>548</v>
      </c>
      <c r="G15" s="334">
        <v>1</v>
      </c>
      <c r="H15" s="390"/>
      <c r="I15" s="346"/>
    </row>
    <row r="16" spans="2:9" ht="18.75" x14ac:dyDescent="0.35">
      <c r="B16" s="347" t="s">
        <v>395</v>
      </c>
      <c r="C16" s="339" t="s">
        <v>541</v>
      </c>
      <c r="D16" s="339" t="s">
        <v>396</v>
      </c>
      <c r="E16" s="391">
        <f>X_COD/i_CV</f>
        <v>1216.2162162162163</v>
      </c>
      <c r="F16" s="389" t="s">
        <v>549</v>
      </c>
      <c r="G16" s="389">
        <v>1</v>
      </c>
      <c r="H16" s="389"/>
      <c r="I16" s="348"/>
    </row>
    <row r="17" spans="2:9" ht="18" x14ac:dyDescent="0.25">
      <c r="B17" s="350" t="s">
        <v>1361</v>
      </c>
      <c r="C17" s="334" t="s">
        <v>1828</v>
      </c>
      <c r="D17" s="341" t="s">
        <v>1362</v>
      </c>
      <c r="E17" s="391">
        <f>X_TSS-X_VSS</f>
        <v>783.78378378378375</v>
      </c>
      <c r="F17" s="389" t="s">
        <v>549</v>
      </c>
      <c r="G17" s="389">
        <v>1</v>
      </c>
      <c r="H17" s="389"/>
      <c r="I17" s="348"/>
    </row>
    <row r="18" spans="2:9" s="108" customFormat="1" ht="36.75" thickBot="1" x14ac:dyDescent="0.3">
      <c r="B18" s="351" t="s">
        <v>1363</v>
      </c>
      <c r="C18" s="352" t="s">
        <v>1364</v>
      </c>
      <c r="D18" s="353" t="s">
        <v>1372</v>
      </c>
      <c r="E18" s="392">
        <f>X_TSS+S_I/i_CV_SI+S_F/i_CV_SF+S_A/i_CV_SA+S_NH4*M_MNH4/A_MN+S_NO3*M_MNO3/A_MN+S_PO4*M_MPO4/A_MP</f>
        <v>2105.9581241031528</v>
      </c>
      <c r="F18" s="352" t="s">
        <v>1306</v>
      </c>
      <c r="G18" s="352">
        <v>1</v>
      </c>
      <c r="H18" s="352"/>
      <c r="I18" s="354"/>
    </row>
    <row r="19" spans="2:9" s="108" customFormat="1" ht="15.75" thickBot="1" x14ac:dyDescent="0.3">
      <c r="B19" s="126"/>
      <c r="C19" s="126"/>
      <c r="D19" s="283"/>
      <c r="E19" s="393"/>
      <c r="F19" s="126"/>
      <c r="G19" s="126"/>
      <c r="H19" s="126"/>
      <c r="I19" s="118"/>
    </row>
    <row r="20" spans="2:9" s="258" customFormat="1" ht="15.75" thickBot="1" x14ac:dyDescent="0.3">
      <c r="B20" s="262"/>
      <c r="C20" s="263" t="s">
        <v>553</v>
      </c>
      <c r="D20" s="291" t="s">
        <v>519</v>
      </c>
      <c r="E20" s="11"/>
      <c r="F20" s="3"/>
      <c r="G20" s="3"/>
      <c r="H20" s="3"/>
      <c r="I20" s="3"/>
    </row>
    <row r="21" spans="2:9" s="258" customFormat="1" ht="15.75" thickBot="1" x14ac:dyDescent="0.3">
      <c r="B21" s="264" t="s">
        <v>0</v>
      </c>
      <c r="C21" s="265" t="s">
        <v>1</v>
      </c>
      <c r="D21" s="265" t="s">
        <v>4</v>
      </c>
      <c r="E21" s="259" t="s">
        <v>149</v>
      </c>
      <c r="F21" s="259" t="s">
        <v>2</v>
      </c>
      <c r="G21" s="259" t="s">
        <v>545</v>
      </c>
      <c r="H21" s="259" t="s">
        <v>113</v>
      </c>
      <c r="I21" s="260" t="s">
        <v>114</v>
      </c>
    </row>
    <row r="22" spans="2:9" ht="18" x14ac:dyDescent="0.35">
      <c r="B22" s="266" t="s">
        <v>391</v>
      </c>
      <c r="C22" s="145" t="s">
        <v>551</v>
      </c>
      <c r="D22" s="267" t="s">
        <v>1280</v>
      </c>
      <c r="E22" s="394">
        <f>-(v_4_SO2*r_4+v_5_SO2*r_5+v_11_SO2*r_11+v_13_SO2*r_13+v_18_SO2*r_18)</f>
        <v>1484.1491788186249</v>
      </c>
      <c r="F22" s="248" t="s">
        <v>1278</v>
      </c>
      <c r="G22" s="395">
        <v>1</v>
      </c>
      <c r="H22" s="395" t="s">
        <v>392</v>
      </c>
      <c r="I22" s="146"/>
    </row>
    <row r="23" spans="2:9" ht="18" x14ac:dyDescent="0.35">
      <c r="B23" s="347" t="s">
        <v>1838</v>
      </c>
      <c r="C23" s="339" t="s">
        <v>1839</v>
      </c>
      <c r="D23" s="269" t="s">
        <v>1281</v>
      </c>
      <c r="E23" s="396">
        <f>-(v_6_SNO3*r_6+v_7_SNO3*r_7+v_12_SNO3*r_12+v_14_SNO3*r_14+v_18_SNO3*r_18)</f>
        <v>-86.543098973529254</v>
      </c>
      <c r="F23" s="309" t="s">
        <v>1279</v>
      </c>
      <c r="G23" s="397">
        <v>1</v>
      </c>
      <c r="H23" s="397" t="s">
        <v>392</v>
      </c>
      <c r="I23" s="141"/>
    </row>
    <row r="24" spans="2:9" ht="18.75" thickBot="1" x14ac:dyDescent="0.4">
      <c r="B24" s="270" t="s">
        <v>550</v>
      </c>
      <c r="C24" s="140" t="s">
        <v>552</v>
      </c>
      <c r="D24" s="271" t="s">
        <v>1282</v>
      </c>
      <c r="E24" s="398">
        <f>-(v_1_SNH4*r_1+v_2_SNH4*r_2+v_3_SNH4*r_3+v_4_SNH4*r_4+v_5_SNH4*r_5+v_6_SNH4*r_6+v_7_SNH4*r_7+v_8_SNH4*r_8+v_9_SNH4*r_9+v_13_SNH4*r_13+v_14_SNH4*r_14+v_15_SNH4*r_15+v_18_SNH4*r_18+v_19_SNH4*r_19)</f>
        <v>152.23181979334521</v>
      </c>
      <c r="F24" s="246" t="s">
        <v>1279</v>
      </c>
      <c r="G24" s="399">
        <v>1</v>
      </c>
      <c r="H24" s="399" t="s">
        <v>392</v>
      </c>
      <c r="I24" s="142"/>
    </row>
    <row r="25" spans="2:9" ht="15.75" thickBot="1" x14ac:dyDescent="0.3">
      <c r="B25" s="181"/>
      <c r="C25" s="181"/>
      <c r="D25" s="272"/>
      <c r="E25" s="400"/>
      <c r="F25" s="401"/>
      <c r="G25" s="401"/>
      <c r="H25" s="401"/>
      <c r="I25" s="181"/>
    </row>
    <row r="26" spans="2:9" ht="15.75" thickBot="1" x14ac:dyDescent="0.3">
      <c r="B26" s="262"/>
      <c r="C26" s="64" t="s">
        <v>1348</v>
      </c>
      <c r="D26" s="291" t="s">
        <v>519</v>
      </c>
      <c r="E26" s="11"/>
      <c r="F26" s="3"/>
      <c r="G26" s="3"/>
      <c r="H26" s="3"/>
      <c r="I26" s="3"/>
    </row>
    <row r="27" spans="2:9" ht="19.5" customHeight="1" thickBot="1" x14ac:dyDescent="0.3">
      <c r="B27" s="242" t="s">
        <v>0</v>
      </c>
      <c r="C27" s="273" t="s">
        <v>1</v>
      </c>
      <c r="D27" s="273" t="s">
        <v>4</v>
      </c>
      <c r="E27" s="402" t="s">
        <v>149</v>
      </c>
      <c r="F27" s="402" t="s">
        <v>2</v>
      </c>
      <c r="G27" s="402" t="s">
        <v>545</v>
      </c>
      <c r="H27" s="402" t="s">
        <v>113</v>
      </c>
      <c r="I27" s="247" t="s">
        <v>114</v>
      </c>
    </row>
    <row r="28" spans="2:9" ht="18" x14ac:dyDescent="0.35">
      <c r="B28" s="266" t="s">
        <v>1007</v>
      </c>
      <c r="C28" s="145" t="s">
        <v>996</v>
      </c>
      <c r="D28" s="267" t="s">
        <v>1020</v>
      </c>
      <c r="E28" s="394">
        <f>S_O2/(K_O2_HYD+S_O2)</f>
        <v>0.90909090909090906</v>
      </c>
      <c r="F28" s="395" t="s">
        <v>214</v>
      </c>
      <c r="G28" s="395">
        <v>2</v>
      </c>
      <c r="H28" s="395"/>
      <c r="I28" s="146"/>
    </row>
    <row r="29" spans="2:9" ht="18" x14ac:dyDescent="0.35">
      <c r="B29" s="268" t="s">
        <v>1008</v>
      </c>
      <c r="C29" s="96" t="s">
        <v>998</v>
      </c>
      <c r="D29" s="269" t="s">
        <v>1021</v>
      </c>
      <c r="E29" s="396">
        <f>S_NO3/(K_NO3_HYD+S_NO3)</f>
        <v>0.967741935483871</v>
      </c>
      <c r="F29" s="397" t="s">
        <v>214</v>
      </c>
      <c r="G29" s="397">
        <v>2</v>
      </c>
      <c r="H29" s="397"/>
      <c r="I29" s="141"/>
    </row>
    <row r="30" spans="2:9" ht="18" x14ac:dyDescent="0.35">
      <c r="B30" s="268" t="s">
        <v>1009</v>
      </c>
      <c r="C30" s="96" t="s">
        <v>1002</v>
      </c>
      <c r="D30" s="269" t="s">
        <v>1022</v>
      </c>
      <c r="E30" s="396">
        <f>S_NO3/(K_NO3_H+S_NO3)</f>
        <v>0.967741935483871</v>
      </c>
      <c r="F30" s="397" t="s">
        <v>214</v>
      </c>
      <c r="G30" s="397">
        <v>2</v>
      </c>
      <c r="H30" s="397"/>
      <c r="I30" s="141"/>
    </row>
    <row r="31" spans="2:9" ht="18" x14ac:dyDescent="0.35">
      <c r="B31" s="268" t="s">
        <v>990</v>
      </c>
      <c r="C31" s="96" t="s">
        <v>991</v>
      </c>
      <c r="D31" s="269" t="s">
        <v>1023</v>
      </c>
      <c r="E31" s="396">
        <f>S_O2/(K_O2_H+S_O2)</f>
        <v>0.90909090909090906</v>
      </c>
      <c r="F31" s="397" t="s">
        <v>214</v>
      </c>
      <c r="G31" s="397">
        <v>2</v>
      </c>
      <c r="H31" s="397"/>
      <c r="I31" s="141"/>
    </row>
    <row r="32" spans="2:9" ht="18" x14ac:dyDescent="0.35">
      <c r="B32" s="268" t="s">
        <v>1010</v>
      </c>
      <c r="C32" s="96" t="s">
        <v>992</v>
      </c>
      <c r="D32" s="269" t="s">
        <v>1024</v>
      </c>
      <c r="E32" s="396">
        <f>S_F/(K_F+S_F)</f>
        <v>0.55555555555555558</v>
      </c>
      <c r="F32" s="397" t="s">
        <v>214</v>
      </c>
      <c r="G32" s="397">
        <v>2</v>
      </c>
      <c r="H32" s="397"/>
      <c r="I32" s="141"/>
    </row>
    <row r="33" spans="2:9" ht="18" x14ac:dyDescent="0.35">
      <c r="B33" s="268" t="s">
        <v>1011</v>
      </c>
      <c r="C33" s="96" t="s">
        <v>993</v>
      </c>
      <c r="D33" s="269" t="s">
        <v>1025</v>
      </c>
      <c r="E33" s="396">
        <f>S_NH4/(K_NH4_H+S_NH4)</f>
        <v>0.98360655737704927</v>
      </c>
      <c r="F33" s="397" t="s">
        <v>214</v>
      </c>
      <c r="G33" s="397">
        <v>2</v>
      </c>
      <c r="H33" s="397"/>
      <c r="I33" s="141"/>
    </row>
    <row r="34" spans="2:9" ht="18" x14ac:dyDescent="0.35">
      <c r="B34" s="268" t="s">
        <v>1012</v>
      </c>
      <c r="C34" s="96" t="s">
        <v>994</v>
      </c>
      <c r="D34" s="269" t="s">
        <v>1026</v>
      </c>
      <c r="E34" s="396">
        <f>S_PO4/(K_P_H+S_PO4)</f>
        <v>0.99009900990099009</v>
      </c>
      <c r="F34" s="397" t="s">
        <v>214</v>
      </c>
      <c r="G34" s="397">
        <v>2</v>
      </c>
      <c r="H34" s="397"/>
      <c r="I34" s="141"/>
    </row>
    <row r="35" spans="2:9" ht="18" x14ac:dyDescent="0.35">
      <c r="B35" s="268" t="s">
        <v>1013</v>
      </c>
      <c r="C35" s="96" t="s">
        <v>995</v>
      </c>
      <c r="D35" s="269" t="s">
        <v>1027</v>
      </c>
      <c r="E35" s="396">
        <f>S_ALK/(K_ALK_H+S_ALK)</f>
        <v>0.97959183673469385</v>
      </c>
      <c r="F35" s="397" t="s">
        <v>214</v>
      </c>
      <c r="G35" s="397">
        <v>2</v>
      </c>
      <c r="H35" s="397"/>
      <c r="I35" s="141"/>
    </row>
    <row r="36" spans="2:9" ht="18" x14ac:dyDescent="0.35">
      <c r="B36" s="268" t="s">
        <v>1014</v>
      </c>
      <c r="C36" s="96" t="s">
        <v>1000</v>
      </c>
      <c r="D36" s="269" t="s">
        <v>1028</v>
      </c>
      <c r="E36" s="396">
        <f>S_A/(K_A_H+S_A)</f>
        <v>0.2</v>
      </c>
      <c r="F36" s="397" t="s">
        <v>214</v>
      </c>
      <c r="G36" s="397">
        <v>2</v>
      </c>
      <c r="H36" s="397"/>
      <c r="I36" s="141"/>
    </row>
    <row r="37" spans="2:9" ht="18" x14ac:dyDescent="0.35">
      <c r="B37" s="268" t="s">
        <v>1015</v>
      </c>
      <c r="C37" s="96" t="s">
        <v>1003</v>
      </c>
      <c r="D37" s="269" t="s">
        <v>1029</v>
      </c>
      <c r="E37" s="396">
        <f>S_F/(K_fe+S_F)</f>
        <v>0.55555555555555558</v>
      </c>
      <c r="F37" s="397" t="s">
        <v>214</v>
      </c>
      <c r="G37" s="397">
        <v>2</v>
      </c>
      <c r="H37" s="397"/>
      <c r="I37" s="141"/>
    </row>
    <row r="38" spans="2:9" ht="18" x14ac:dyDescent="0.35">
      <c r="B38" s="268" t="s">
        <v>1016</v>
      </c>
      <c r="C38" s="96" t="s">
        <v>1005</v>
      </c>
      <c r="D38" s="269" t="s">
        <v>1030</v>
      </c>
      <c r="E38" s="396">
        <f>S_A/(K_A_PAO+S_A)</f>
        <v>0.2</v>
      </c>
      <c r="F38" s="397" t="s">
        <v>214</v>
      </c>
      <c r="G38" s="397">
        <v>2</v>
      </c>
      <c r="H38" s="397"/>
      <c r="I38" s="141"/>
    </row>
    <row r="39" spans="2:9" ht="18" x14ac:dyDescent="0.35">
      <c r="B39" s="268" t="s">
        <v>1017</v>
      </c>
      <c r="C39" s="96" t="s">
        <v>1006</v>
      </c>
      <c r="D39" s="269" t="s">
        <v>1031</v>
      </c>
      <c r="E39" s="396">
        <f>S_ALK/(K_ALK_PAO+S_ALK)</f>
        <v>0.97959183673469385</v>
      </c>
      <c r="F39" s="397" t="s">
        <v>214</v>
      </c>
      <c r="G39" s="397">
        <v>2</v>
      </c>
      <c r="H39" s="397"/>
      <c r="I39" s="141"/>
    </row>
    <row r="40" spans="2:9" ht="18" x14ac:dyDescent="0.35">
      <c r="B40" s="268" t="s">
        <v>1034</v>
      </c>
      <c r="C40" s="96" t="s">
        <v>1035</v>
      </c>
      <c r="D40" s="269" t="s">
        <v>1036</v>
      </c>
      <c r="E40" s="396">
        <f>S_O2/(K_O2_PAO+S_O2)</f>
        <v>0.90909090909090906</v>
      </c>
      <c r="F40" s="397" t="s">
        <v>214</v>
      </c>
      <c r="G40" s="397">
        <v>2</v>
      </c>
      <c r="H40" s="397"/>
      <c r="I40" s="141"/>
    </row>
    <row r="41" spans="2:9" ht="18" x14ac:dyDescent="0.35">
      <c r="B41" s="268" t="s">
        <v>1037</v>
      </c>
      <c r="C41" s="96" t="s">
        <v>1038</v>
      </c>
      <c r="D41" s="269" t="s">
        <v>1039</v>
      </c>
      <c r="E41" s="396">
        <f>S_PO4/(K_PS+S_PO4)</f>
        <v>0.83333333333333337</v>
      </c>
      <c r="F41" s="397" t="s">
        <v>214</v>
      </c>
      <c r="G41" s="397">
        <v>2</v>
      </c>
      <c r="H41" s="397"/>
      <c r="I41" s="141"/>
    </row>
    <row r="42" spans="2:9" ht="18" x14ac:dyDescent="0.35">
      <c r="B42" s="268" t="s">
        <v>1043</v>
      </c>
      <c r="C42" s="96" t="s">
        <v>1044</v>
      </c>
      <c r="D42" s="269" t="s">
        <v>1045</v>
      </c>
      <c r="E42" s="396">
        <f>S_NO3/(K_NO3_PAO+S_NO3)</f>
        <v>0.967741935483871</v>
      </c>
      <c r="F42" s="397" t="s">
        <v>214</v>
      </c>
      <c r="G42" s="397">
        <v>2</v>
      </c>
      <c r="H42" s="397"/>
      <c r="I42" s="141"/>
    </row>
    <row r="43" spans="2:9" ht="18" x14ac:dyDescent="0.35">
      <c r="B43" s="268" t="s">
        <v>1046</v>
      </c>
      <c r="C43" s="96" t="s">
        <v>1047</v>
      </c>
      <c r="D43" s="269" t="s">
        <v>1048</v>
      </c>
      <c r="E43" s="396">
        <f>S_NH4/(K_NH4_PAO+S_NH4)</f>
        <v>0.98360655737704927</v>
      </c>
      <c r="F43" s="397" t="s">
        <v>214</v>
      </c>
      <c r="G43" s="397">
        <v>2</v>
      </c>
      <c r="H43" s="397"/>
      <c r="I43" s="141"/>
    </row>
    <row r="44" spans="2:9" ht="18" x14ac:dyDescent="0.35">
      <c r="B44" s="268" t="s">
        <v>1049</v>
      </c>
      <c r="C44" s="96" t="s">
        <v>1050</v>
      </c>
      <c r="D44" s="269" t="s">
        <v>1051</v>
      </c>
      <c r="E44" s="396">
        <f>S_PO4/(K_P_PAO+S_PO4)</f>
        <v>0.99009900990099009</v>
      </c>
      <c r="F44" s="397" t="s">
        <v>214</v>
      </c>
      <c r="G44" s="397">
        <v>2</v>
      </c>
      <c r="H44" s="397"/>
      <c r="I44" s="141"/>
    </row>
    <row r="45" spans="2:9" ht="18" x14ac:dyDescent="0.35">
      <c r="B45" s="268" t="s">
        <v>1052</v>
      </c>
      <c r="C45" s="96" t="s">
        <v>1053</v>
      </c>
      <c r="D45" s="269" t="s">
        <v>1054</v>
      </c>
      <c r="E45" s="396">
        <f>S_O2/(K_O2_AUT+S_O2)</f>
        <v>0.8</v>
      </c>
      <c r="F45" s="397" t="s">
        <v>214</v>
      </c>
      <c r="G45" s="397">
        <v>2</v>
      </c>
      <c r="H45" s="397"/>
      <c r="I45" s="141"/>
    </row>
    <row r="46" spans="2:9" ht="18" x14ac:dyDescent="0.35">
      <c r="B46" s="268" t="s">
        <v>1055</v>
      </c>
      <c r="C46" s="96" t="s">
        <v>1056</v>
      </c>
      <c r="D46" s="269" t="s">
        <v>1057</v>
      </c>
      <c r="E46" s="396">
        <f>S_NH4/(K_NH4_AUT+S_NH4)</f>
        <v>0.75</v>
      </c>
      <c r="F46" s="397" t="s">
        <v>214</v>
      </c>
      <c r="G46" s="397">
        <v>2</v>
      </c>
      <c r="H46" s="397"/>
      <c r="I46" s="141"/>
    </row>
    <row r="47" spans="2:9" ht="18" x14ac:dyDescent="0.35">
      <c r="B47" s="268" t="s">
        <v>1058</v>
      </c>
      <c r="C47" s="96" t="s">
        <v>1062</v>
      </c>
      <c r="D47" s="269" t="s">
        <v>1063</v>
      </c>
      <c r="E47" s="396">
        <f>S_PO4/(K_P_AUT+S_PO4)</f>
        <v>0.99009900990099009</v>
      </c>
      <c r="F47" s="397" t="s">
        <v>214</v>
      </c>
      <c r="G47" s="397">
        <v>2</v>
      </c>
      <c r="H47" s="397"/>
      <c r="I47" s="141"/>
    </row>
    <row r="48" spans="2:9" ht="18" x14ac:dyDescent="0.35">
      <c r="B48" s="268" t="s">
        <v>1059</v>
      </c>
      <c r="C48" s="96" t="s">
        <v>1060</v>
      </c>
      <c r="D48" s="269" t="s">
        <v>1061</v>
      </c>
      <c r="E48" s="396">
        <f>S_ALK/(K_ALK_AUT+S_ALK)</f>
        <v>0.90566037735849059</v>
      </c>
      <c r="F48" s="397" t="s">
        <v>214</v>
      </c>
      <c r="G48" s="397">
        <v>2</v>
      </c>
      <c r="H48" s="397"/>
      <c r="I48" s="141"/>
    </row>
    <row r="49" spans="2:9" ht="18" x14ac:dyDescent="0.35">
      <c r="B49" s="268" t="s">
        <v>1064</v>
      </c>
      <c r="C49" s="96" t="s">
        <v>1066</v>
      </c>
      <c r="D49" s="269" t="s">
        <v>1065</v>
      </c>
      <c r="E49" s="396">
        <f>S_ALK/(K_ALK_PRE+S_ALK)</f>
        <v>0.90566037735849059</v>
      </c>
      <c r="F49" s="397" t="s">
        <v>214</v>
      </c>
      <c r="G49" s="397">
        <v>2</v>
      </c>
      <c r="H49" s="397"/>
      <c r="I49" s="141"/>
    </row>
    <row r="50" spans="2:9" ht="18" x14ac:dyDescent="0.35">
      <c r="B50" s="268" t="s">
        <v>1018</v>
      </c>
      <c r="C50" s="96" t="s">
        <v>997</v>
      </c>
      <c r="D50" s="269" t="s">
        <v>1032</v>
      </c>
      <c r="E50" s="396">
        <f>(X_S/X_H)/(K_X+(X_S/X_H))</f>
        <v>0.5</v>
      </c>
      <c r="F50" s="397" t="s">
        <v>214</v>
      </c>
      <c r="G50" s="397">
        <v>2</v>
      </c>
      <c r="H50" s="397"/>
      <c r="I50" s="141"/>
    </row>
    <row r="51" spans="2:9" ht="18" x14ac:dyDescent="0.35">
      <c r="B51" s="268" t="s">
        <v>1019</v>
      </c>
      <c r="C51" s="96" t="s">
        <v>1864</v>
      </c>
      <c r="D51" s="269" t="s">
        <v>1330</v>
      </c>
      <c r="E51" s="396">
        <f>(X_PP/X_PAO)/(K_PP+(X_PP/X_PAO))</f>
        <v>0.98522167487684731</v>
      </c>
      <c r="F51" s="397" t="s">
        <v>214</v>
      </c>
      <c r="G51" s="397">
        <v>2</v>
      </c>
      <c r="H51" s="397"/>
      <c r="I51" s="141"/>
    </row>
    <row r="52" spans="2:9" ht="18" x14ac:dyDescent="0.35">
      <c r="B52" s="268" t="s">
        <v>1040</v>
      </c>
      <c r="C52" s="96" t="s">
        <v>1865</v>
      </c>
      <c r="D52" s="269" t="s">
        <v>1041</v>
      </c>
      <c r="E52" s="396">
        <f>(X_PHA/X_PAO)/(K_PHA+(X_PHA/X_PAO))</f>
        <v>0.98522167487684731</v>
      </c>
      <c r="F52" s="397" t="s">
        <v>214</v>
      </c>
      <c r="G52" s="397">
        <v>2</v>
      </c>
      <c r="H52" s="397"/>
      <c r="I52" s="141"/>
    </row>
    <row r="53" spans="2:9" ht="18" x14ac:dyDescent="0.35">
      <c r="B53" s="268" t="s">
        <v>1042</v>
      </c>
      <c r="C53" s="96" t="s">
        <v>1866</v>
      </c>
      <c r="D53" s="269" t="s">
        <v>1081</v>
      </c>
      <c r="E53" s="396">
        <f>(K_MAX-(X_PP/X_PAO))/(K_iPP+K_MAX-(X_PP/X_PAO))</f>
        <v>1.0652173913043479</v>
      </c>
      <c r="F53" s="397" t="s">
        <v>214</v>
      </c>
      <c r="G53" s="397">
        <v>2</v>
      </c>
      <c r="H53" s="397"/>
      <c r="I53" s="141"/>
    </row>
    <row r="54" spans="2:9" ht="18" x14ac:dyDescent="0.35">
      <c r="B54" s="268" t="s">
        <v>1331</v>
      </c>
      <c r="C54" s="96" t="s">
        <v>999</v>
      </c>
      <c r="D54" s="269" t="s">
        <v>1332</v>
      </c>
      <c r="E54" s="396">
        <f>K_O2_HYD/(K_O2_HYD+S_O2)</f>
        <v>9.0909090909090912E-2</v>
      </c>
      <c r="F54" s="397" t="s">
        <v>214</v>
      </c>
      <c r="G54" s="397">
        <v>2</v>
      </c>
      <c r="H54" s="397"/>
      <c r="I54" s="141"/>
    </row>
    <row r="55" spans="2:9" ht="18" x14ac:dyDescent="0.35">
      <c r="B55" s="268" t="s">
        <v>1333</v>
      </c>
      <c r="C55" s="96" t="s">
        <v>1082</v>
      </c>
      <c r="D55" s="269" t="s">
        <v>1334</v>
      </c>
      <c r="E55" s="396">
        <f>K_NO3_HYD/(K_NO3_HYD+S_NO3)</f>
        <v>3.2258064516129031E-2</v>
      </c>
      <c r="F55" s="397" t="s">
        <v>214</v>
      </c>
      <c r="G55" s="397">
        <v>2</v>
      </c>
      <c r="H55" s="397"/>
      <c r="I55" s="141"/>
    </row>
    <row r="56" spans="2:9" ht="18" x14ac:dyDescent="0.35">
      <c r="B56" s="268" t="s">
        <v>1335</v>
      </c>
      <c r="C56" s="96" t="s">
        <v>1004</v>
      </c>
      <c r="D56" s="269" t="s">
        <v>1336</v>
      </c>
      <c r="E56" s="396">
        <f>K_NO3_H/(K_NO3_H+S_NO3)</f>
        <v>3.2258064516129031E-2</v>
      </c>
      <c r="F56" s="397" t="s">
        <v>214</v>
      </c>
      <c r="G56" s="397">
        <v>2</v>
      </c>
      <c r="H56" s="397"/>
      <c r="I56" s="141"/>
    </row>
    <row r="57" spans="2:9" ht="18" x14ac:dyDescent="0.35">
      <c r="B57" s="268" t="s">
        <v>1337</v>
      </c>
      <c r="C57" s="96" t="s">
        <v>1001</v>
      </c>
      <c r="D57" s="269" t="s">
        <v>1338</v>
      </c>
      <c r="E57" s="396">
        <f>K_O2_H/(K_O2_H+S_O2)</f>
        <v>9.0909090909090912E-2</v>
      </c>
      <c r="F57" s="397" t="s">
        <v>214</v>
      </c>
      <c r="G57" s="397">
        <v>2</v>
      </c>
      <c r="H57" s="397"/>
      <c r="I57" s="141"/>
    </row>
    <row r="58" spans="2:9" ht="18.75" thickBot="1" x14ac:dyDescent="0.4">
      <c r="B58" s="270" t="s">
        <v>1339</v>
      </c>
      <c r="C58" s="140" t="s">
        <v>1033</v>
      </c>
      <c r="D58" s="271" t="s">
        <v>1340</v>
      </c>
      <c r="E58" s="398">
        <f>K_O2_PAO/(K_O2_PAO+S_O2)</f>
        <v>9.0909090909090912E-2</v>
      </c>
      <c r="F58" s="399" t="s">
        <v>214</v>
      </c>
      <c r="G58" s="399">
        <v>2</v>
      </c>
      <c r="H58" s="399"/>
      <c r="I58" s="142"/>
    </row>
  </sheetData>
  <phoneticPr fontId="12"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L485"/>
  <sheetViews>
    <sheetView showGridLines="0" zoomScaleNormal="100" zoomScalePageLayoutView="85" workbookViewId="0">
      <selection activeCell="B3" sqref="B3:D485"/>
    </sheetView>
  </sheetViews>
  <sheetFormatPr defaultColWidth="9.140625" defaultRowHeight="15" x14ac:dyDescent="0.25"/>
  <cols>
    <col min="1" max="1" width="9.140625" style="317"/>
    <col min="2" max="2" width="13.140625" style="317" customWidth="1"/>
    <col min="3" max="3" width="58.140625" style="317" bestFit="1" customWidth="1"/>
    <col min="4" max="4" width="29.42578125" style="317" bestFit="1" customWidth="1"/>
    <col min="5" max="6" width="21" style="317" customWidth="1"/>
    <col min="7" max="7" width="18" style="317" bestFit="1" customWidth="1"/>
    <col min="8" max="8" width="18" style="317" customWidth="1"/>
    <col min="9" max="9" width="9.140625" style="317"/>
    <col min="10" max="10" width="76.85546875" style="317" customWidth="1"/>
    <col min="11" max="11" width="9.140625" style="317"/>
    <col min="12" max="12" width="29.42578125" style="317" bestFit="1" customWidth="1"/>
    <col min="13" max="16384" width="9.140625" style="317"/>
  </cols>
  <sheetData>
    <row r="2" spans="2:10" ht="15.75" thickBot="1" x14ac:dyDescent="0.3">
      <c r="C2" s="318" t="s">
        <v>1387</v>
      </c>
    </row>
    <row r="3" spans="2:10" ht="15.75" thickBot="1" x14ac:dyDescent="0.3">
      <c r="B3" s="319" t="s">
        <v>0</v>
      </c>
      <c r="C3" s="320" t="s">
        <v>1</v>
      </c>
      <c r="D3" s="321" t="s">
        <v>149</v>
      </c>
      <c r="E3" s="321" t="s">
        <v>578</v>
      </c>
      <c r="F3" s="321" t="s">
        <v>579</v>
      </c>
      <c r="G3" s="321" t="s">
        <v>2</v>
      </c>
      <c r="H3" s="321" t="s">
        <v>545</v>
      </c>
      <c r="I3" s="321" t="s">
        <v>113</v>
      </c>
      <c r="J3" s="322" t="s">
        <v>114</v>
      </c>
    </row>
    <row r="4" spans="2:10" ht="18" x14ac:dyDescent="0.25">
      <c r="B4" s="323" t="s">
        <v>1118</v>
      </c>
      <c r="C4" s="324" t="s">
        <v>1119</v>
      </c>
      <c r="D4" s="324">
        <v>273.14999999999998</v>
      </c>
      <c r="E4" s="325"/>
      <c r="F4" s="325"/>
      <c r="G4" s="324" t="s">
        <v>583</v>
      </c>
      <c r="H4" s="326"/>
      <c r="I4" s="326"/>
      <c r="J4" s="324" t="s">
        <v>1388</v>
      </c>
    </row>
    <row r="5" spans="2:10" ht="18" x14ac:dyDescent="0.25">
      <c r="B5" s="323" t="s">
        <v>622</v>
      </c>
      <c r="C5" s="324" t="s">
        <v>623</v>
      </c>
      <c r="D5" s="324">
        <v>101325</v>
      </c>
      <c r="E5" s="325"/>
      <c r="F5" s="325"/>
      <c r="G5" s="324" t="s">
        <v>624</v>
      </c>
      <c r="H5" s="326"/>
      <c r="I5" s="326"/>
      <c r="J5" s="324" t="s">
        <v>1388</v>
      </c>
    </row>
    <row r="6" spans="2:10" ht="18" x14ac:dyDescent="0.25">
      <c r="B6" s="323" t="s">
        <v>1318</v>
      </c>
      <c r="C6" s="324" t="s">
        <v>1319</v>
      </c>
      <c r="D6" s="324">
        <v>0</v>
      </c>
      <c r="E6" s="325"/>
      <c r="F6" s="325"/>
      <c r="G6" s="324" t="s">
        <v>1389</v>
      </c>
      <c r="H6" s="326"/>
      <c r="I6" s="326"/>
      <c r="J6" s="324" t="s">
        <v>1388</v>
      </c>
    </row>
    <row r="8" spans="2:10" ht="15.75" thickBot="1" x14ac:dyDescent="0.3">
      <c r="C8" s="327" t="s">
        <v>577</v>
      </c>
    </row>
    <row r="9" spans="2:10" ht="15.75" thickBot="1" x14ac:dyDescent="0.3">
      <c r="B9" s="328" t="s">
        <v>0</v>
      </c>
      <c r="C9" s="329" t="s">
        <v>1</v>
      </c>
      <c r="D9" s="330" t="s">
        <v>149</v>
      </c>
      <c r="E9" s="330" t="s">
        <v>578</v>
      </c>
      <c r="F9" s="330" t="s">
        <v>579</v>
      </c>
      <c r="G9" s="330" t="s">
        <v>2</v>
      </c>
      <c r="H9" s="330" t="s">
        <v>545</v>
      </c>
      <c r="I9" s="330" t="s">
        <v>113</v>
      </c>
      <c r="J9" s="331" t="s">
        <v>114</v>
      </c>
    </row>
    <row r="10" spans="2:10" ht="18" x14ac:dyDescent="0.25">
      <c r="B10" s="323" t="s">
        <v>1097</v>
      </c>
      <c r="C10" s="324" t="s">
        <v>580</v>
      </c>
      <c r="D10" s="324">
        <v>1.2999999999999999E-3</v>
      </c>
      <c r="E10" s="325"/>
      <c r="F10" s="325"/>
      <c r="G10" s="324" t="s">
        <v>581</v>
      </c>
      <c r="H10" s="326"/>
      <c r="I10" s="326"/>
      <c r="J10" s="324" t="s">
        <v>1098</v>
      </c>
    </row>
    <row r="11" spans="2:10" ht="18" x14ac:dyDescent="0.25">
      <c r="B11" s="323" t="s">
        <v>1099</v>
      </c>
      <c r="C11" s="324" t="s">
        <v>582</v>
      </c>
      <c r="D11" s="324">
        <v>1500</v>
      </c>
      <c r="E11" s="325"/>
      <c r="F11" s="325"/>
      <c r="G11" s="324" t="s">
        <v>583</v>
      </c>
      <c r="H11" s="326"/>
      <c r="I11" s="326"/>
      <c r="J11" s="324" t="s">
        <v>1098</v>
      </c>
    </row>
    <row r="12" spans="2:10" ht="18" x14ac:dyDescent="0.25">
      <c r="B12" s="323" t="s">
        <v>1100</v>
      </c>
      <c r="C12" s="324" t="s">
        <v>584</v>
      </c>
      <c r="D12" s="324">
        <v>3.5000000000000003E-2</v>
      </c>
      <c r="E12" s="325"/>
      <c r="F12" s="325"/>
      <c r="G12" s="324" t="s">
        <v>581</v>
      </c>
      <c r="H12" s="326"/>
      <c r="I12" s="326"/>
      <c r="J12" s="324" t="s">
        <v>1101</v>
      </c>
    </row>
    <row r="13" spans="2:10" ht="18" x14ac:dyDescent="0.25">
      <c r="B13" s="323" t="s">
        <v>1102</v>
      </c>
      <c r="C13" s="324" t="s">
        <v>585</v>
      </c>
      <c r="D13" s="324">
        <v>2400</v>
      </c>
      <c r="E13" s="325"/>
      <c r="F13" s="325"/>
      <c r="G13" s="324" t="s">
        <v>583</v>
      </c>
      <c r="H13" s="326"/>
      <c r="I13" s="326"/>
      <c r="J13" s="324" t="s">
        <v>1101</v>
      </c>
    </row>
    <row r="14" spans="2:10" ht="18" x14ac:dyDescent="0.25">
      <c r="B14" s="323" t="s">
        <v>1103</v>
      </c>
      <c r="C14" s="324" t="s">
        <v>586</v>
      </c>
      <c r="D14" s="324">
        <v>1.9E-3</v>
      </c>
      <c r="E14" s="325"/>
      <c r="F14" s="325"/>
      <c r="G14" s="324" t="s">
        <v>581</v>
      </c>
      <c r="H14" s="326"/>
      <c r="I14" s="326"/>
      <c r="J14" s="324" t="s">
        <v>1104</v>
      </c>
    </row>
    <row r="15" spans="2:10" ht="18" x14ac:dyDescent="0.25">
      <c r="B15" s="323" t="s">
        <v>1105</v>
      </c>
      <c r="C15" s="324" t="s">
        <v>587</v>
      </c>
      <c r="D15" s="324">
        <v>1400</v>
      </c>
      <c r="E15" s="325"/>
      <c r="F15" s="325"/>
      <c r="G15" s="324" t="s">
        <v>583</v>
      </c>
      <c r="H15" s="326"/>
      <c r="I15" s="326"/>
      <c r="J15" s="324" t="s">
        <v>1104</v>
      </c>
    </row>
    <row r="16" spans="2:10" ht="18" x14ac:dyDescent="0.25">
      <c r="B16" s="323" t="s">
        <v>1106</v>
      </c>
      <c r="C16" s="324" t="s">
        <v>588</v>
      </c>
      <c r="D16" s="324">
        <v>2.5000000000000001E-2</v>
      </c>
      <c r="E16" s="325"/>
      <c r="F16" s="325"/>
      <c r="G16" s="324" t="s">
        <v>581</v>
      </c>
      <c r="H16" s="326"/>
      <c r="I16" s="326"/>
      <c r="J16" s="324" t="s">
        <v>1107</v>
      </c>
    </row>
    <row r="17" spans="2:10" ht="18" x14ac:dyDescent="0.25">
      <c r="B17" s="323" t="s">
        <v>1108</v>
      </c>
      <c r="C17" s="324" t="s">
        <v>585</v>
      </c>
      <c r="D17" s="324">
        <v>2600</v>
      </c>
      <c r="E17" s="325"/>
      <c r="F17" s="325"/>
      <c r="G17" s="324" t="s">
        <v>583</v>
      </c>
      <c r="H17" s="326"/>
      <c r="I17" s="326"/>
      <c r="J17" s="324" t="s">
        <v>1107</v>
      </c>
    </row>
    <row r="18" spans="2:10" ht="18" x14ac:dyDescent="0.25">
      <c r="B18" s="323" t="s">
        <v>1109</v>
      </c>
      <c r="C18" s="324" t="s">
        <v>589</v>
      </c>
      <c r="D18" s="324">
        <v>6.4999999999999997E-4</v>
      </c>
      <c r="E18" s="325"/>
      <c r="F18" s="325"/>
      <c r="G18" s="324" t="s">
        <v>581</v>
      </c>
      <c r="H18" s="326"/>
      <c r="I18" s="326"/>
      <c r="J18" s="324" t="s">
        <v>1110</v>
      </c>
    </row>
    <row r="19" spans="2:10" ht="18" x14ac:dyDescent="0.25">
      <c r="B19" s="323" t="s">
        <v>1111</v>
      </c>
      <c r="C19" s="324" t="s">
        <v>590</v>
      </c>
      <c r="D19" s="324">
        <v>1300</v>
      </c>
      <c r="E19" s="325"/>
      <c r="F19" s="325"/>
      <c r="G19" s="324" t="s">
        <v>583</v>
      </c>
      <c r="H19" s="326"/>
      <c r="I19" s="326"/>
      <c r="J19" s="324" t="s">
        <v>1110</v>
      </c>
    </row>
    <row r="20" spans="2:10" ht="18" x14ac:dyDescent="0.25">
      <c r="B20" s="323" t="s">
        <v>1112</v>
      </c>
      <c r="C20" s="324" t="s">
        <v>591</v>
      </c>
      <c r="D20" s="324">
        <v>7.7999999999999999E-4</v>
      </c>
      <c r="E20" s="325"/>
      <c r="F20" s="325"/>
      <c r="G20" s="324" t="s">
        <v>581</v>
      </c>
      <c r="H20" s="326"/>
      <c r="I20" s="326"/>
      <c r="J20" s="324" t="s">
        <v>1390</v>
      </c>
    </row>
    <row r="21" spans="2:10" ht="18" x14ac:dyDescent="0.25">
      <c r="B21" s="323" t="s">
        <v>1113</v>
      </c>
      <c r="C21" s="324" t="s">
        <v>592</v>
      </c>
      <c r="D21" s="324">
        <v>500</v>
      </c>
      <c r="E21" s="325"/>
      <c r="F21" s="325"/>
      <c r="G21" s="324" t="s">
        <v>583</v>
      </c>
      <c r="H21" s="326"/>
      <c r="I21" s="326"/>
      <c r="J21" s="324" t="s">
        <v>1390</v>
      </c>
    </row>
    <row r="22" spans="2:10" ht="18" x14ac:dyDescent="0.25">
      <c r="B22" s="323" t="s">
        <v>1114</v>
      </c>
      <c r="C22" s="324" t="s">
        <v>593</v>
      </c>
      <c r="D22" s="324">
        <v>1.4E-3</v>
      </c>
      <c r="E22" s="325"/>
      <c r="F22" s="325"/>
      <c r="G22" s="324" t="s">
        <v>581</v>
      </c>
      <c r="H22" s="326"/>
      <c r="I22" s="326"/>
      <c r="J22" s="324" t="s">
        <v>1391</v>
      </c>
    </row>
    <row r="23" spans="2:10" ht="18" x14ac:dyDescent="0.25">
      <c r="B23" s="323" t="s">
        <v>1115</v>
      </c>
      <c r="C23" s="324" t="s">
        <v>594</v>
      </c>
      <c r="D23" s="324">
        <v>1600</v>
      </c>
      <c r="E23" s="325"/>
      <c r="F23" s="325"/>
      <c r="G23" s="324" t="s">
        <v>583</v>
      </c>
      <c r="H23" s="326"/>
      <c r="I23" s="326"/>
      <c r="J23" s="324" t="s">
        <v>1391</v>
      </c>
    </row>
    <row r="24" spans="2:10" ht="18" x14ac:dyDescent="0.25">
      <c r="B24" s="323" t="s">
        <v>1392</v>
      </c>
      <c r="C24" s="324" t="s">
        <v>1393</v>
      </c>
      <c r="D24" s="324">
        <v>61</v>
      </c>
      <c r="E24" s="325"/>
      <c r="F24" s="325"/>
      <c r="G24" s="324" t="s">
        <v>581</v>
      </c>
      <c r="H24" s="326"/>
      <c r="I24" s="326"/>
      <c r="J24" s="324" t="s">
        <v>1394</v>
      </c>
    </row>
    <row r="25" spans="2:10" ht="18" x14ac:dyDescent="0.25">
      <c r="B25" s="323" t="s">
        <v>1395</v>
      </c>
      <c r="C25" s="324" t="s">
        <v>1396</v>
      </c>
      <c r="D25" s="324">
        <v>4100</v>
      </c>
      <c r="E25" s="325"/>
      <c r="F25" s="325"/>
      <c r="G25" s="324" t="s">
        <v>583</v>
      </c>
      <c r="H25" s="326"/>
      <c r="I25" s="326"/>
      <c r="J25" s="324" t="s">
        <v>1394</v>
      </c>
    </row>
    <row r="26" spans="2:10" ht="18" x14ac:dyDescent="0.25">
      <c r="B26" s="323" t="s">
        <v>1397</v>
      </c>
      <c r="C26" s="324" t="s">
        <v>1398</v>
      </c>
      <c r="D26" s="324">
        <v>0.1</v>
      </c>
      <c r="E26" s="325"/>
      <c r="F26" s="325"/>
      <c r="G26" s="324" t="s">
        <v>581</v>
      </c>
      <c r="H26" s="326"/>
      <c r="I26" s="326"/>
      <c r="J26" s="324" t="s">
        <v>1399</v>
      </c>
    </row>
    <row r="27" spans="2:10" ht="18" x14ac:dyDescent="0.25">
      <c r="B27" s="323" t="s">
        <v>1400</v>
      </c>
      <c r="C27" s="324" t="s">
        <v>1401</v>
      </c>
      <c r="D27" s="324">
        <v>2200</v>
      </c>
      <c r="E27" s="325"/>
      <c r="F27" s="325"/>
      <c r="G27" s="324" t="s">
        <v>583</v>
      </c>
      <c r="H27" s="326"/>
      <c r="I27" s="326"/>
      <c r="J27" s="324" t="s">
        <v>1399</v>
      </c>
    </row>
    <row r="29" spans="2:10" ht="15.75" thickBot="1" x14ac:dyDescent="0.3">
      <c r="C29" s="327" t="s">
        <v>1402</v>
      </c>
    </row>
    <row r="30" spans="2:10" ht="15.75" thickBot="1" x14ac:dyDescent="0.3">
      <c r="B30" s="328" t="s">
        <v>0</v>
      </c>
      <c r="C30" s="329" t="s">
        <v>1</v>
      </c>
      <c r="D30" s="330" t="s">
        <v>149</v>
      </c>
      <c r="E30" s="330" t="s">
        <v>578</v>
      </c>
      <c r="F30" s="330" t="s">
        <v>579</v>
      </c>
      <c r="G30" s="330" t="s">
        <v>2</v>
      </c>
      <c r="H30" s="330" t="s">
        <v>545</v>
      </c>
      <c r="I30" s="330" t="s">
        <v>113</v>
      </c>
      <c r="J30" s="331" t="s">
        <v>114</v>
      </c>
    </row>
    <row r="31" spans="2:10" ht="18" x14ac:dyDescent="0.25">
      <c r="B31" s="323" t="s">
        <v>1403</v>
      </c>
      <c r="C31" s="324" t="s">
        <v>595</v>
      </c>
      <c r="D31" s="324">
        <v>2.0900000000000001E-4</v>
      </c>
      <c r="E31" s="325"/>
      <c r="F31" s="325"/>
      <c r="G31" s="324" t="s">
        <v>596</v>
      </c>
      <c r="H31" s="326">
        <v>2</v>
      </c>
      <c r="I31" s="326"/>
      <c r="J31" s="324"/>
    </row>
    <row r="32" spans="2:10" ht="18" x14ac:dyDescent="0.25">
      <c r="B32" s="323" t="s">
        <v>1404</v>
      </c>
      <c r="C32" s="324" t="s">
        <v>597</v>
      </c>
      <c r="D32" s="324">
        <v>1.73E-4</v>
      </c>
      <c r="E32" s="325"/>
      <c r="F32" s="325"/>
      <c r="G32" s="324" t="s">
        <v>596</v>
      </c>
      <c r="H32" s="326">
        <v>2</v>
      </c>
      <c r="I32" s="326"/>
      <c r="J32" s="324"/>
    </row>
    <row r="33" spans="2:10" ht="18" x14ac:dyDescent="0.25">
      <c r="B33" s="323" t="s">
        <v>1405</v>
      </c>
      <c r="C33" s="324" t="s">
        <v>1225</v>
      </c>
      <c r="D33" s="324">
        <f>0.0000693*216/25</f>
        <v>5.9875200000000003E-4</v>
      </c>
      <c r="E33" s="325"/>
      <c r="F33" s="325"/>
      <c r="G33" s="324" t="s">
        <v>596</v>
      </c>
      <c r="H33" s="326">
        <v>2</v>
      </c>
      <c r="I33" s="326"/>
      <c r="J33" s="324"/>
    </row>
    <row r="34" spans="2:10" ht="18" x14ac:dyDescent="0.25">
      <c r="B34" s="323" t="s">
        <v>1406</v>
      </c>
      <c r="C34" s="324" t="s">
        <v>598</v>
      </c>
      <c r="D34" s="324">
        <v>1.65E-4</v>
      </c>
      <c r="E34" s="325"/>
      <c r="F34" s="325"/>
      <c r="G34" s="324" t="s">
        <v>596</v>
      </c>
      <c r="H34" s="326">
        <v>2</v>
      </c>
      <c r="I34" s="326"/>
      <c r="J34" s="324"/>
    </row>
    <row r="35" spans="2:10" ht="18" x14ac:dyDescent="0.25">
      <c r="B35" s="323" t="s">
        <v>1407</v>
      </c>
      <c r="C35" s="324" t="s">
        <v>599</v>
      </c>
      <c r="D35" s="324">
        <v>4.4999999999999999E-4</v>
      </c>
      <c r="E35" s="325"/>
      <c r="F35" s="325"/>
      <c r="G35" s="324" t="s">
        <v>600</v>
      </c>
      <c r="H35" s="326">
        <v>2</v>
      </c>
      <c r="I35" s="326"/>
      <c r="J35" s="324"/>
    </row>
    <row r="36" spans="2:10" ht="18" x14ac:dyDescent="0.25">
      <c r="B36" s="323" t="s">
        <v>1408</v>
      </c>
      <c r="C36" s="324" t="s">
        <v>601</v>
      </c>
      <c r="D36" s="324">
        <v>1.4899999999999999E-4</v>
      </c>
      <c r="E36" s="325"/>
      <c r="F36" s="325"/>
      <c r="G36" s="324" t="s">
        <v>600</v>
      </c>
      <c r="H36" s="326">
        <v>2</v>
      </c>
      <c r="I36" s="326"/>
      <c r="J36" s="324"/>
    </row>
    <row r="37" spans="2:10" ht="18" x14ac:dyDescent="0.25">
      <c r="B37" s="323" t="s">
        <v>1409</v>
      </c>
      <c r="C37" s="324" t="s">
        <v>602</v>
      </c>
      <c r="D37" s="324">
        <v>2.9499999999999999E-5</v>
      </c>
      <c r="E37" s="325"/>
      <c r="F37" s="325"/>
      <c r="G37" s="324" t="s">
        <v>600</v>
      </c>
      <c r="H37" s="326">
        <v>2</v>
      </c>
      <c r="I37" s="326"/>
      <c r="J37" s="324"/>
    </row>
    <row r="38" spans="2:10" ht="18" x14ac:dyDescent="0.25">
      <c r="B38" s="323" t="s">
        <v>1410</v>
      </c>
      <c r="C38" s="324" t="s">
        <v>1411</v>
      </c>
      <c r="D38" s="324">
        <v>1.8E-5</v>
      </c>
      <c r="E38" s="325"/>
      <c r="F38" s="325"/>
      <c r="G38" s="324" t="s">
        <v>600</v>
      </c>
      <c r="H38" s="326">
        <v>2</v>
      </c>
      <c r="I38" s="326"/>
      <c r="J38" s="324"/>
    </row>
    <row r="39" spans="2:10" ht="18" x14ac:dyDescent="0.25">
      <c r="B39" s="323" t="s">
        <v>1412</v>
      </c>
      <c r="C39" s="324" t="s">
        <v>1413</v>
      </c>
      <c r="D39" s="324">
        <v>1.22E-4</v>
      </c>
      <c r="E39" s="325"/>
      <c r="F39" s="325"/>
      <c r="G39" s="324" t="s">
        <v>596</v>
      </c>
      <c r="H39" s="326">
        <v>2</v>
      </c>
      <c r="I39" s="326"/>
      <c r="J39" s="324"/>
    </row>
    <row r="41" spans="2:10" ht="15.75" thickBot="1" x14ac:dyDescent="0.3">
      <c r="C41" s="327" t="s">
        <v>603</v>
      </c>
    </row>
    <row r="42" spans="2:10" ht="15.75" thickBot="1" x14ac:dyDescent="0.3">
      <c r="B42" s="328" t="s">
        <v>0</v>
      </c>
      <c r="C42" s="329" t="s">
        <v>1</v>
      </c>
      <c r="D42" s="330" t="s">
        <v>149</v>
      </c>
      <c r="E42" s="330" t="s">
        <v>578</v>
      </c>
      <c r="F42" s="330" t="s">
        <v>579</v>
      </c>
      <c r="G42" s="330" t="s">
        <v>2</v>
      </c>
      <c r="H42" s="330" t="s">
        <v>545</v>
      </c>
      <c r="I42" s="330" t="s">
        <v>113</v>
      </c>
      <c r="J42" s="331" t="s">
        <v>114</v>
      </c>
    </row>
    <row r="43" spans="2:10" ht="18" x14ac:dyDescent="0.25">
      <c r="B43" s="323" t="s">
        <v>604</v>
      </c>
      <c r="C43" s="324" t="s">
        <v>605</v>
      </c>
      <c r="D43" s="324">
        <v>8.0713100000000004</v>
      </c>
      <c r="E43" s="325"/>
      <c r="F43" s="325"/>
      <c r="G43" s="324" t="s">
        <v>214</v>
      </c>
      <c r="H43" s="326"/>
      <c r="I43" s="326"/>
      <c r="J43" s="324"/>
    </row>
    <row r="44" spans="2:10" ht="18" x14ac:dyDescent="0.25">
      <c r="B44" s="323" t="s">
        <v>606</v>
      </c>
      <c r="C44" s="324" t="s">
        <v>607</v>
      </c>
      <c r="D44" s="324">
        <v>1730.63</v>
      </c>
      <c r="E44" s="325"/>
      <c r="F44" s="325"/>
      <c r="G44" s="324" t="s">
        <v>214</v>
      </c>
      <c r="H44" s="326"/>
      <c r="I44" s="326"/>
      <c r="J44" s="324"/>
    </row>
    <row r="45" spans="2:10" ht="18" x14ac:dyDescent="0.25">
      <c r="B45" s="323" t="s">
        <v>608</v>
      </c>
      <c r="C45" s="324" t="s">
        <v>609</v>
      </c>
      <c r="D45" s="324">
        <v>233.42599999999999</v>
      </c>
      <c r="E45" s="325"/>
      <c r="F45" s="325"/>
      <c r="G45" s="324" t="s">
        <v>214</v>
      </c>
      <c r="H45" s="326"/>
      <c r="I45" s="326"/>
      <c r="J45" s="324"/>
    </row>
    <row r="46" spans="2:10" ht="18" x14ac:dyDescent="0.25">
      <c r="B46" s="323" t="s">
        <v>1414</v>
      </c>
      <c r="C46" s="324" t="s">
        <v>1415</v>
      </c>
      <c r="D46" s="324">
        <v>7.2800000000000004E-2</v>
      </c>
      <c r="E46" s="325"/>
      <c r="F46" s="325"/>
      <c r="G46" s="324" t="s">
        <v>1416</v>
      </c>
      <c r="H46" s="326"/>
      <c r="I46" s="326"/>
      <c r="J46" s="324"/>
    </row>
    <row r="47" spans="2:10" ht="18" x14ac:dyDescent="0.25">
      <c r="B47" s="323" t="s">
        <v>610</v>
      </c>
      <c r="C47" s="324" t="s">
        <v>1417</v>
      </c>
      <c r="D47" s="324">
        <v>1000000</v>
      </c>
      <c r="E47" s="325"/>
      <c r="F47" s="325"/>
      <c r="G47" s="324" t="s">
        <v>611</v>
      </c>
      <c r="H47" s="326"/>
      <c r="I47" s="326"/>
      <c r="J47" s="324"/>
    </row>
    <row r="48" spans="2:10" ht="18" x14ac:dyDescent="0.25">
      <c r="B48" s="323" t="s">
        <v>1418</v>
      </c>
      <c r="C48" s="324" t="s">
        <v>1419</v>
      </c>
      <c r="D48" s="324">
        <f>10^-3</f>
        <v>1E-3</v>
      </c>
      <c r="E48" s="325"/>
      <c r="F48" s="325"/>
      <c r="G48" s="324" t="s">
        <v>1420</v>
      </c>
      <c r="H48" s="326"/>
      <c r="I48" s="326"/>
      <c r="J48" s="324"/>
    </row>
    <row r="50" spans="2:10" ht="15.75" thickBot="1" x14ac:dyDescent="0.3">
      <c r="C50" s="327" t="s">
        <v>612</v>
      </c>
    </row>
    <row r="51" spans="2:10" ht="15.75" thickBot="1" x14ac:dyDescent="0.3">
      <c r="B51" s="328" t="s">
        <v>0</v>
      </c>
      <c r="C51" s="329" t="s">
        <v>1</v>
      </c>
      <c r="D51" s="330" t="s">
        <v>149</v>
      </c>
      <c r="E51" s="330" t="s">
        <v>578</v>
      </c>
      <c r="F51" s="330" t="s">
        <v>579</v>
      </c>
      <c r="G51" s="330" t="s">
        <v>2</v>
      </c>
      <c r="H51" s="330" t="s">
        <v>545</v>
      </c>
      <c r="I51" s="330" t="s">
        <v>113</v>
      </c>
      <c r="J51" s="331" t="s">
        <v>114</v>
      </c>
    </row>
    <row r="52" spans="2:10" ht="18" x14ac:dyDescent="0.25">
      <c r="B52" s="323" t="s">
        <v>613</v>
      </c>
      <c r="C52" s="324" t="s">
        <v>614</v>
      </c>
      <c r="D52" s="324">
        <v>0.20949999999999999</v>
      </c>
      <c r="E52" s="325">
        <v>0</v>
      </c>
      <c r="F52" s="325">
        <v>1</v>
      </c>
      <c r="G52" s="324" t="s">
        <v>615</v>
      </c>
      <c r="H52" s="326"/>
      <c r="I52" s="326"/>
      <c r="J52" s="324"/>
    </row>
    <row r="53" spans="2:10" ht="18" x14ac:dyDescent="0.25">
      <c r="B53" s="323" t="s">
        <v>616</v>
      </c>
      <c r="C53" s="324" t="s">
        <v>617</v>
      </c>
      <c r="D53" s="324">
        <v>0.78080000000000005</v>
      </c>
      <c r="E53" s="325">
        <v>0</v>
      </c>
      <c r="F53" s="325">
        <v>1</v>
      </c>
      <c r="G53" s="324" t="s">
        <v>615</v>
      </c>
      <c r="H53" s="326"/>
      <c r="I53" s="326"/>
      <c r="J53" s="324"/>
    </row>
    <row r="54" spans="2:10" ht="18" x14ac:dyDescent="0.25">
      <c r="B54" s="323" t="s">
        <v>618</v>
      </c>
      <c r="C54" s="324" t="s">
        <v>619</v>
      </c>
      <c r="D54" s="324">
        <v>9.2999999999999992E-3</v>
      </c>
      <c r="E54" s="325">
        <v>0</v>
      </c>
      <c r="F54" s="325">
        <v>1</v>
      </c>
      <c r="G54" s="324" t="s">
        <v>615</v>
      </c>
      <c r="H54" s="326"/>
      <c r="I54" s="326"/>
      <c r="J54" s="324"/>
    </row>
    <row r="55" spans="2:10" ht="18" x14ac:dyDescent="0.25">
      <c r="B55" s="323" t="s">
        <v>620</v>
      </c>
      <c r="C55" s="324" t="s">
        <v>621</v>
      </c>
      <c r="D55" s="324">
        <v>4.0000000000000002E-4</v>
      </c>
      <c r="E55" s="325">
        <v>0</v>
      </c>
      <c r="F55" s="325">
        <v>1</v>
      </c>
      <c r="G55" s="324" t="s">
        <v>615</v>
      </c>
      <c r="H55" s="326"/>
      <c r="I55" s="326"/>
      <c r="J55" s="324"/>
    </row>
    <row r="56" spans="2:10" ht="18" x14ac:dyDescent="0.25">
      <c r="B56" s="323" t="s">
        <v>1421</v>
      </c>
      <c r="C56" s="324" t="s">
        <v>1422</v>
      </c>
      <c r="D56" s="324">
        <v>1200</v>
      </c>
      <c r="E56" s="325"/>
      <c r="F56" s="325"/>
      <c r="G56" s="324" t="s">
        <v>611</v>
      </c>
      <c r="H56" s="326"/>
      <c r="I56" s="326"/>
      <c r="J56" s="324"/>
    </row>
    <row r="57" spans="2:10" ht="18" x14ac:dyDescent="0.25">
      <c r="B57" s="323" t="s">
        <v>1423</v>
      </c>
      <c r="C57" s="324" t="s">
        <v>623</v>
      </c>
      <c r="D57" s="324">
        <v>101325</v>
      </c>
      <c r="E57" s="325">
        <v>0</v>
      </c>
      <c r="F57" s="325"/>
      <c r="G57" s="324" t="s">
        <v>624</v>
      </c>
      <c r="H57" s="326"/>
      <c r="I57" s="326"/>
      <c r="J57" s="324"/>
    </row>
    <row r="58" spans="2:10" ht="18" x14ac:dyDescent="0.25">
      <c r="B58" s="323" t="s">
        <v>1424</v>
      </c>
      <c r="C58" s="324" t="s">
        <v>1425</v>
      </c>
      <c r="D58" s="324">
        <v>101325</v>
      </c>
      <c r="E58" s="325">
        <v>0</v>
      </c>
      <c r="F58" s="325"/>
      <c r="G58" s="324" t="s">
        <v>624</v>
      </c>
      <c r="H58" s="326"/>
      <c r="I58" s="326"/>
      <c r="J58" s="324"/>
    </row>
    <row r="60" spans="2:10" ht="15.75" thickBot="1" x14ac:dyDescent="0.3">
      <c r="C60" s="327" t="s">
        <v>1426</v>
      </c>
    </row>
    <row r="61" spans="2:10" ht="15.75" thickBot="1" x14ac:dyDescent="0.3">
      <c r="B61" s="328" t="s">
        <v>0</v>
      </c>
      <c r="C61" s="329" t="s">
        <v>1</v>
      </c>
      <c r="D61" s="330" t="s">
        <v>149</v>
      </c>
      <c r="E61" s="330" t="s">
        <v>578</v>
      </c>
      <c r="F61" s="330" t="s">
        <v>579</v>
      </c>
      <c r="G61" s="330" t="s">
        <v>2</v>
      </c>
      <c r="H61" s="330" t="s">
        <v>545</v>
      </c>
      <c r="I61" s="330" t="s">
        <v>113</v>
      </c>
      <c r="J61" s="331" t="s">
        <v>114</v>
      </c>
    </row>
    <row r="62" spans="2:10" ht="18" x14ac:dyDescent="0.25">
      <c r="B62" s="323" t="s">
        <v>1427</v>
      </c>
      <c r="C62" s="324" t="s">
        <v>1428</v>
      </c>
      <c r="D62" s="324">
        <v>0.04</v>
      </c>
      <c r="E62" s="325">
        <v>0</v>
      </c>
      <c r="F62" s="325">
        <v>100</v>
      </c>
      <c r="G62" s="324" t="s">
        <v>1429</v>
      </c>
      <c r="H62" s="326"/>
      <c r="I62" s="326"/>
      <c r="J62" s="324"/>
    </row>
    <row r="63" spans="2:10" ht="18" x14ac:dyDescent="0.25">
      <c r="B63" s="323" t="s">
        <v>1430</v>
      </c>
      <c r="C63" s="324" t="s">
        <v>1431</v>
      </c>
      <c r="D63" s="324" t="s">
        <v>1349</v>
      </c>
      <c r="E63" s="325">
        <v>0</v>
      </c>
      <c r="F63" s="325">
        <v>100</v>
      </c>
      <c r="G63" s="324" t="s">
        <v>1429</v>
      </c>
      <c r="H63" s="326"/>
      <c r="I63" s="326"/>
      <c r="J63" s="324"/>
    </row>
    <row r="64" spans="2:10" ht="18" x14ac:dyDescent="0.25">
      <c r="B64" s="323" t="s">
        <v>1432</v>
      </c>
      <c r="C64" s="324" t="s">
        <v>1433</v>
      </c>
      <c r="D64" s="324" t="s">
        <v>1349</v>
      </c>
      <c r="E64" s="325">
        <v>0</v>
      </c>
      <c r="F64" s="325">
        <v>100</v>
      </c>
      <c r="G64" s="324" t="s">
        <v>1429</v>
      </c>
      <c r="H64" s="326"/>
      <c r="I64" s="326"/>
      <c r="J64" s="324"/>
    </row>
    <row r="65" spans="2:12" ht="18" x14ac:dyDescent="0.25">
      <c r="B65" s="323" t="s">
        <v>1434</v>
      </c>
      <c r="C65" s="324" t="s">
        <v>1435</v>
      </c>
      <c r="D65" s="324">
        <v>20.95</v>
      </c>
      <c r="E65" s="325">
        <v>0</v>
      </c>
      <c r="F65" s="325">
        <v>100</v>
      </c>
      <c r="G65" s="324" t="s">
        <v>1429</v>
      </c>
      <c r="H65" s="326"/>
      <c r="I65" s="326"/>
      <c r="J65" s="324"/>
    </row>
    <row r="66" spans="2:12" ht="18" x14ac:dyDescent="0.25">
      <c r="B66" s="323" t="s">
        <v>1436</v>
      </c>
      <c r="C66" s="324" t="s">
        <v>1437</v>
      </c>
      <c r="D66" s="324" t="s">
        <v>1349</v>
      </c>
      <c r="E66" s="325">
        <v>0</v>
      </c>
      <c r="F66" s="325">
        <v>100</v>
      </c>
      <c r="G66" s="324" t="s">
        <v>1429</v>
      </c>
      <c r="H66" s="326"/>
      <c r="I66" s="326"/>
      <c r="J66" s="324"/>
    </row>
    <row r="67" spans="2:12" ht="18" x14ac:dyDescent="0.25">
      <c r="B67" s="323" t="s">
        <v>1438</v>
      </c>
      <c r="C67" s="324" t="s">
        <v>1439</v>
      </c>
      <c r="D67" s="324">
        <v>79.010000000000005</v>
      </c>
      <c r="E67" s="325">
        <v>0</v>
      </c>
      <c r="F67" s="325">
        <v>100</v>
      </c>
      <c r="G67" s="324" t="s">
        <v>1429</v>
      </c>
      <c r="H67" s="326"/>
      <c r="I67" s="326"/>
      <c r="J67" s="324"/>
    </row>
    <row r="68" spans="2:12" ht="18" x14ac:dyDescent="0.25">
      <c r="B68" s="323" t="s">
        <v>1440</v>
      </c>
      <c r="C68" s="324" t="s">
        <v>1441</v>
      </c>
      <c r="D68" s="324" t="s">
        <v>1349</v>
      </c>
      <c r="E68" s="325">
        <v>0</v>
      </c>
      <c r="F68" s="325">
        <v>100</v>
      </c>
      <c r="G68" s="324" t="s">
        <v>1429</v>
      </c>
      <c r="H68" s="326"/>
      <c r="I68" s="326"/>
      <c r="J68" s="324"/>
    </row>
    <row r="69" spans="2:12" ht="18" x14ac:dyDescent="0.25">
      <c r="B69" s="323" t="s">
        <v>1442</v>
      </c>
      <c r="C69" s="324" t="s">
        <v>1443</v>
      </c>
      <c r="D69" s="324">
        <v>1</v>
      </c>
      <c r="E69" s="325">
        <v>0</v>
      </c>
      <c r="F69" s="325">
        <v>1</v>
      </c>
      <c r="G69" s="324" t="s">
        <v>1444</v>
      </c>
      <c r="H69" s="326"/>
      <c r="I69" s="326"/>
      <c r="J69" s="324" t="s">
        <v>1445</v>
      </c>
    </row>
    <row r="71" spans="2:12" ht="15.75" thickBot="1" x14ac:dyDescent="0.3">
      <c r="C71" s="327" t="s">
        <v>625</v>
      </c>
    </row>
    <row r="72" spans="2:12" ht="15.75" thickBot="1" x14ac:dyDescent="0.3">
      <c r="B72" s="328" t="s">
        <v>0</v>
      </c>
      <c r="C72" s="329" t="s">
        <v>1</v>
      </c>
      <c r="D72" s="330" t="s">
        <v>149</v>
      </c>
      <c r="E72" s="330" t="s">
        <v>578</v>
      </c>
      <c r="F72" s="330" t="s">
        <v>579</v>
      </c>
      <c r="G72" s="330" t="s">
        <v>2</v>
      </c>
      <c r="H72" s="330" t="s">
        <v>545</v>
      </c>
      <c r="I72" s="330" t="s">
        <v>113</v>
      </c>
      <c r="J72" s="331" t="s">
        <v>114</v>
      </c>
    </row>
    <row r="73" spans="2:12" ht="17.25" x14ac:dyDescent="0.25">
      <c r="B73" s="323" t="s">
        <v>626</v>
      </c>
      <c r="C73" s="324" t="s">
        <v>627</v>
      </c>
      <c r="D73" s="324">
        <v>8.3144721500000003</v>
      </c>
      <c r="E73" s="325"/>
      <c r="F73" s="325"/>
      <c r="G73" s="324" t="s">
        <v>628</v>
      </c>
      <c r="H73" s="326"/>
      <c r="I73" s="326"/>
      <c r="J73" s="324"/>
    </row>
    <row r="74" spans="2:12" ht="18" x14ac:dyDescent="0.25">
      <c r="B74" s="323" t="s">
        <v>1446</v>
      </c>
      <c r="C74" s="324" t="s">
        <v>1447</v>
      </c>
      <c r="D74" s="324">
        <v>287.10199999999998</v>
      </c>
      <c r="E74" s="325"/>
      <c r="F74" s="325"/>
      <c r="G74" s="324" t="s">
        <v>1448</v>
      </c>
      <c r="H74" s="326"/>
      <c r="I74" s="326"/>
      <c r="J74" s="324"/>
    </row>
    <row r="75" spans="2:12" ht="18" x14ac:dyDescent="0.25">
      <c r="B75" s="323" t="s">
        <v>1449</v>
      </c>
      <c r="C75" s="324" t="s">
        <v>1450</v>
      </c>
      <c r="D75" s="324">
        <f>(T_STP_K*R__)/p_N</f>
        <v>2.24139952407846E-2</v>
      </c>
      <c r="E75" s="325"/>
      <c r="F75" s="325"/>
      <c r="G75" s="324" t="s">
        <v>1451</v>
      </c>
      <c r="H75" s="326"/>
      <c r="I75" s="326"/>
      <c r="J75" s="324"/>
    </row>
    <row r="76" spans="2:12" x14ac:dyDescent="0.25">
      <c r="B76" s="323" t="s">
        <v>1452</v>
      </c>
      <c r="C76" s="324" t="s">
        <v>1453</v>
      </c>
      <c r="D76" s="324">
        <v>1.4</v>
      </c>
      <c r="E76" s="325"/>
      <c r="F76" s="325"/>
      <c r="G76" s="324" t="s">
        <v>214</v>
      </c>
      <c r="H76" s="326"/>
      <c r="I76" s="326"/>
      <c r="J76" s="324"/>
      <c r="L76" s="317">
        <v>2.24139952407846E-2</v>
      </c>
    </row>
    <row r="77" spans="2:12" ht="17.25" x14ac:dyDescent="0.25">
      <c r="B77" s="323" t="s">
        <v>629</v>
      </c>
      <c r="C77" s="324" t="s">
        <v>630</v>
      </c>
      <c r="D77" s="324">
        <v>96485.339924</v>
      </c>
      <c r="E77" s="325"/>
      <c r="F77" s="325"/>
      <c r="G77" s="324" t="s">
        <v>631</v>
      </c>
      <c r="H77" s="326"/>
      <c r="I77" s="326"/>
      <c r="J77" s="324"/>
    </row>
    <row r="78" spans="2:12" ht="18" x14ac:dyDescent="0.25">
      <c r="B78" s="323" t="s">
        <v>632</v>
      </c>
      <c r="C78" s="324" t="s">
        <v>633</v>
      </c>
      <c r="D78" s="324">
        <v>9.8066499999999994</v>
      </c>
      <c r="E78" s="325"/>
      <c r="F78" s="325"/>
      <c r="G78" s="324" t="s">
        <v>634</v>
      </c>
      <c r="H78" s="326"/>
      <c r="I78" s="326"/>
      <c r="J78" s="324"/>
    </row>
    <row r="79" spans="2:12" ht="18" x14ac:dyDescent="0.25">
      <c r="B79" s="323" t="s">
        <v>1116</v>
      </c>
      <c r="C79" s="324" t="s">
        <v>1117</v>
      </c>
      <c r="D79" s="324">
        <v>4.1813000000000002</v>
      </c>
      <c r="E79" s="325"/>
      <c r="F79" s="325"/>
      <c r="G79" s="324" t="s">
        <v>1454</v>
      </c>
      <c r="H79" s="326"/>
      <c r="I79" s="326"/>
      <c r="J79" s="324"/>
    </row>
    <row r="80" spans="2:12" ht="18" x14ac:dyDescent="0.25">
      <c r="B80" s="323" t="s">
        <v>1455</v>
      </c>
      <c r="C80" s="324" t="s">
        <v>1456</v>
      </c>
      <c r="D80" s="324">
        <v>298.14999999999998</v>
      </c>
      <c r="E80" s="325"/>
      <c r="F80" s="325"/>
      <c r="G80" s="324" t="s">
        <v>583</v>
      </c>
      <c r="H80" s="326"/>
      <c r="I80" s="326"/>
      <c r="J80" s="324" t="s">
        <v>1457</v>
      </c>
    </row>
    <row r="81" spans="2:10" ht="18" x14ac:dyDescent="0.25">
      <c r="B81" s="323" t="s">
        <v>1458</v>
      </c>
      <c r="C81" s="324" t="s">
        <v>1459</v>
      </c>
      <c r="D81" s="324">
        <v>293.14999999999998</v>
      </c>
      <c r="E81" s="325"/>
      <c r="F81" s="325"/>
      <c r="G81" s="324" t="s">
        <v>583</v>
      </c>
      <c r="H81" s="326"/>
      <c r="I81" s="326"/>
      <c r="J81" s="324" t="s">
        <v>1460</v>
      </c>
    </row>
    <row r="82" spans="2:10" ht="18" x14ac:dyDescent="0.25">
      <c r="B82" s="323" t="s">
        <v>1461</v>
      </c>
      <c r="C82" s="324" t="s">
        <v>1462</v>
      </c>
      <c r="D82" s="324">
        <v>273.14999999999998</v>
      </c>
      <c r="E82" s="325"/>
      <c r="F82" s="325"/>
      <c r="G82" s="324" t="s">
        <v>583</v>
      </c>
      <c r="H82" s="326"/>
      <c r="I82" s="326"/>
      <c r="J82" s="324" t="s">
        <v>1463</v>
      </c>
    </row>
    <row r="83" spans="2:10" ht="18" x14ac:dyDescent="0.25">
      <c r="B83" s="323" t="s">
        <v>1464</v>
      </c>
      <c r="C83" s="324" t="s">
        <v>1319</v>
      </c>
      <c r="D83" s="324">
        <v>0</v>
      </c>
      <c r="E83" s="325"/>
      <c r="F83" s="325"/>
      <c r="G83" s="324" t="s">
        <v>1389</v>
      </c>
      <c r="H83" s="326"/>
      <c r="I83" s="326"/>
      <c r="J83" s="324" t="s">
        <v>1465</v>
      </c>
    </row>
    <row r="85" spans="2:10" ht="15.75" thickBot="1" x14ac:dyDescent="0.3">
      <c r="C85" s="327" t="s">
        <v>635</v>
      </c>
    </row>
    <row r="86" spans="2:10" ht="15.75" thickBot="1" x14ac:dyDescent="0.3">
      <c r="B86" s="328" t="s">
        <v>0</v>
      </c>
      <c r="C86" s="329" t="s">
        <v>1</v>
      </c>
      <c r="D86" s="330" t="s">
        <v>149</v>
      </c>
      <c r="E86" s="330" t="s">
        <v>578</v>
      </c>
      <c r="F86" s="330" t="s">
        <v>579</v>
      </c>
      <c r="G86" s="330" t="s">
        <v>2</v>
      </c>
      <c r="H86" s="330" t="s">
        <v>545</v>
      </c>
      <c r="I86" s="330" t="s">
        <v>113</v>
      </c>
      <c r="J86" s="331" t="s">
        <v>114</v>
      </c>
    </row>
    <row r="87" spans="2:10" x14ac:dyDescent="0.25">
      <c r="B87" s="323" t="s">
        <v>636</v>
      </c>
      <c r="C87" s="324" t="s">
        <v>637</v>
      </c>
      <c r="D87" s="324">
        <v>3.1415926500000002</v>
      </c>
      <c r="E87" s="325"/>
      <c r="F87" s="325"/>
      <c r="G87" s="324" t="s">
        <v>214</v>
      </c>
      <c r="H87" s="326"/>
      <c r="I87" s="326"/>
      <c r="J87" s="324"/>
    </row>
    <row r="89" spans="2:10" ht="15.75" thickBot="1" x14ac:dyDescent="0.3">
      <c r="C89" s="327" t="s">
        <v>638</v>
      </c>
    </row>
    <row r="90" spans="2:10" ht="15.75" thickBot="1" x14ac:dyDescent="0.3">
      <c r="B90" s="328" t="s">
        <v>0</v>
      </c>
      <c r="C90" s="329" t="s">
        <v>1</v>
      </c>
      <c r="D90" s="330" t="s">
        <v>149</v>
      </c>
      <c r="E90" s="330" t="s">
        <v>578</v>
      </c>
      <c r="F90" s="330" t="s">
        <v>579</v>
      </c>
      <c r="G90" s="330" t="s">
        <v>2</v>
      </c>
      <c r="H90" s="330" t="s">
        <v>545</v>
      </c>
      <c r="I90" s="330" t="s">
        <v>113</v>
      </c>
      <c r="J90" s="331" t="s">
        <v>114</v>
      </c>
    </row>
    <row r="91" spans="2:10" ht="18" x14ac:dyDescent="0.25">
      <c r="B91" s="323" t="s">
        <v>639</v>
      </c>
      <c r="C91" s="324" t="s">
        <v>640</v>
      </c>
      <c r="D91" s="324">
        <v>1.0079400000000001</v>
      </c>
      <c r="E91" s="325"/>
      <c r="F91" s="325"/>
      <c r="G91" s="324" t="s">
        <v>641</v>
      </c>
      <c r="H91" s="326"/>
      <c r="I91" s="326"/>
      <c r="J91" s="324"/>
    </row>
    <row r="92" spans="2:10" ht="18" x14ac:dyDescent="0.25">
      <c r="B92" s="323" t="s">
        <v>642</v>
      </c>
      <c r="C92" s="324" t="s">
        <v>643</v>
      </c>
      <c r="D92" s="324">
        <v>4.0026020000000004</v>
      </c>
      <c r="E92" s="325"/>
      <c r="F92" s="325"/>
      <c r="G92" s="324" t="s">
        <v>641</v>
      </c>
      <c r="H92" s="326"/>
      <c r="I92" s="326"/>
      <c r="J92" s="324"/>
    </row>
    <row r="93" spans="2:10" ht="18" x14ac:dyDescent="0.25">
      <c r="B93" s="323" t="s">
        <v>644</v>
      </c>
      <c r="C93" s="324" t="s">
        <v>645</v>
      </c>
      <c r="D93" s="324">
        <v>6.9409999999999998</v>
      </c>
      <c r="E93" s="325"/>
      <c r="F93" s="325"/>
      <c r="G93" s="324" t="s">
        <v>641</v>
      </c>
      <c r="H93" s="326"/>
      <c r="I93" s="326"/>
      <c r="J93" s="324"/>
    </row>
    <row r="94" spans="2:10" ht="18" x14ac:dyDescent="0.25">
      <c r="B94" s="323" t="s">
        <v>646</v>
      </c>
      <c r="C94" s="324" t="s">
        <v>647</v>
      </c>
      <c r="D94" s="324">
        <v>9.0121819999999992</v>
      </c>
      <c r="E94" s="325"/>
      <c r="F94" s="325"/>
      <c r="G94" s="324" t="s">
        <v>641</v>
      </c>
      <c r="H94" s="326"/>
      <c r="I94" s="326"/>
      <c r="J94" s="324"/>
    </row>
    <row r="95" spans="2:10" ht="18" x14ac:dyDescent="0.25">
      <c r="B95" s="323" t="s">
        <v>648</v>
      </c>
      <c r="C95" s="324" t="s">
        <v>649</v>
      </c>
      <c r="D95" s="324">
        <v>10.811</v>
      </c>
      <c r="E95" s="325"/>
      <c r="F95" s="325"/>
      <c r="G95" s="324" t="s">
        <v>641</v>
      </c>
      <c r="H95" s="326"/>
      <c r="I95" s="326"/>
      <c r="J95" s="324"/>
    </row>
    <row r="96" spans="2:10" ht="18" x14ac:dyDescent="0.25">
      <c r="B96" s="323" t="s">
        <v>650</v>
      </c>
      <c r="C96" s="324" t="s">
        <v>651</v>
      </c>
      <c r="D96" s="324">
        <v>12.0107</v>
      </c>
      <c r="E96" s="325"/>
      <c r="F96" s="325"/>
      <c r="G96" s="324" t="s">
        <v>641</v>
      </c>
      <c r="H96" s="326"/>
      <c r="I96" s="326"/>
      <c r="J96" s="324"/>
    </row>
    <row r="97" spans="2:10" ht="18" x14ac:dyDescent="0.25">
      <c r="B97" s="323" t="s">
        <v>652</v>
      </c>
      <c r="C97" s="324" t="s">
        <v>653</v>
      </c>
      <c r="D97" s="324">
        <v>14.0067</v>
      </c>
      <c r="E97" s="325"/>
      <c r="F97" s="325"/>
      <c r="G97" s="324" t="s">
        <v>641</v>
      </c>
      <c r="H97" s="326"/>
      <c r="I97" s="326"/>
      <c r="J97" s="324"/>
    </row>
    <row r="98" spans="2:10" ht="18" x14ac:dyDescent="0.25">
      <c r="B98" s="323" t="s">
        <v>654</v>
      </c>
      <c r="C98" s="324" t="s">
        <v>655</v>
      </c>
      <c r="D98" s="324">
        <v>15.9994</v>
      </c>
      <c r="E98" s="325"/>
      <c r="F98" s="325"/>
      <c r="G98" s="324" t="s">
        <v>641</v>
      </c>
      <c r="H98" s="326"/>
      <c r="I98" s="326"/>
      <c r="J98" s="324"/>
    </row>
    <row r="99" spans="2:10" ht="18" x14ac:dyDescent="0.25">
      <c r="B99" s="323" t="s">
        <v>656</v>
      </c>
      <c r="C99" s="324" t="s">
        <v>657</v>
      </c>
      <c r="D99" s="324">
        <v>18.998403</v>
      </c>
      <c r="E99" s="325"/>
      <c r="F99" s="325"/>
      <c r="G99" s="324" t="s">
        <v>641</v>
      </c>
      <c r="H99" s="326"/>
      <c r="I99" s="326"/>
      <c r="J99" s="324"/>
    </row>
    <row r="100" spans="2:10" ht="18" x14ac:dyDescent="0.25">
      <c r="B100" s="323" t="s">
        <v>658</v>
      </c>
      <c r="C100" s="324" t="s">
        <v>659</v>
      </c>
      <c r="D100" s="324">
        <v>20.1797</v>
      </c>
      <c r="E100" s="325"/>
      <c r="F100" s="325"/>
      <c r="G100" s="324" t="s">
        <v>641</v>
      </c>
      <c r="H100" s="326"/>
      <c r="I100" s="326"/>
      <c r="J100" s="324"/>
    </row>
    <row r="101" spans="2:10" ht="18" x14ac:dyDescent="0.25">
      <c r="B101" s="323" t="s">
        <v>660</v>
      </c>
      <c r="C101" s="324" t="s">
        <v>661</v>
      </c>
      <c r="D101" s="324">
        <v>22.989768999999999</v>
      </c>
      <c r="E101" s="325"/>
      <c r="F101" s="325"/>
      <c r="G101" s="324" t="s">
        <v>641</v>
      </c>
      <c r="H101" s="326"/>
      <c r="I101" s="326"/>
      <c r="J101" s="324"/>
    </row>
    <row r="102" spans="2:10" ht="18" x14ac:dyDescent="0.25">
      <c r="B102" s="323" t="s">
        <v>662</v>
      </c>
      <c r="C102" s="324" t="s">
        <v>663</v>
      </c>
      <c r="D102" s="324">
        <v>24.305</v>
      </c>
      <c r="E102" s="325"/>
      <c r="F102" s="325"/>
      <c r="G102" s="324" t="s">
        <v>641</v>
      </c>
      <c r="H102" s="326"/>
      <c r="I102" s="326"/>
      <c r="J102" s="324"/>
    </row>
    <row r="103" spans="2:10" ht="18" x14ac:dyDescent="0.25">
      <c r="B103" s="323" t="s">
        <v>664</v>
      </c>
      <c r="C103" s="324" t="s">
        <v>665</v>
      </c>
      <c r="D103" s="324">
        <v>26.9815</v>
      </c>
      <c r="E103" s="325"/>
      <c r="F103" s="325"/>
      <c r="G103" s="324" t="s">
        <v>641</v>
      </c>
      <c r="H103" s="326"/>
      <c r="I103" s="326"/>
      <c r="J103" s="324"/>
    </row>
    <row r="104" spans="2:10" ht="18" x14ac:dyDescent="0.25">
      <c r="B104" s="323" t="s">
        <v>666</v>
      </c>
      <c r="C104" s="324" t="s">
        <v>667</v>
      </c>
      <c r="D104" s="324">
        <v>28.0855</v>
      </c>
      <c r="E104" s="325"/>
      <c r="F104" s="325"/>
      <c r="G104" s="324" t="s">
        <v>641</v>
      </c>
      <c r="H104" s="326"/>
      <c r="I104" s="326"/>
      <c r="J104" s="324"/>
    </row>
    <row r="105" spans="2:10" ht="18" x14ac:dyDescent="0.25">
      <c r="B105" s="323" t="s">
        <v>668</v>
      </c>
      <c r="C105" s="324" t="s">
        <v>669</v>
      </c>
      <c r="D105" s="324">
        <v>30.973762199999999</v>
      </c>
      <c r="E105" s="325"/>
      <c r="F105" s="325"/>
      <c r="G105" s="324" t="s">
        <v>641</v>
      </c>
      <c r="H105" s="326"/>
      <c r="I105" s="326"/>
      <c r="J105" s="324"/>
    </row>
    <row r="106" spans="2:10" ht="18" x14ac:dyDescent="0.25">
      <c r="B106" s="323" t="s">
        <v>670</v>
      </c>
      <c r="C106" s="324" t="s">
        <v>671</v>
      </c>
      <c r="D106" s="324">
        <v>32.064999999999998</v>
      </c>
      <c r="E106" s="325"/>
      <c r="F106" s="325"/>
      <c r="G106" s="324" t="s">
        <v>641</v>
      </c>
      <c r="H106" s="326"/>
      <c r="I106" s="326"/>
      <c r="J106" s="324"/>
    </row>
    <row r="107" spans="2:10" ht="18" x14ac:dyDescent="0.25">
      <c r="B107" s="323" t="s">
        <v>672</v>
      </c>
      <c r="C107" s="324" t="s">
        <v>673</v>
      </c>
      <c r="D107" s="324">
        <v>35.453000000000003</v>
      </c>
      <c r="E107" s="325"/>
      <c r="F107" s="325"/>
      <c r="G107" s="324" t="s">
        <v>641</v>
      </c>
      <c r="H107" s="326"/>
      <c r="I107" s="326"/>
      <c r="J107" s="324"/>
    </row>
    <row r="108" spans="2:10" ht="18" x14ac:dyDescent="0.25">
      <c r="B108" s="323" t="s">
        <v>674</v>
      </c>
      <c r="C108" s="324" t="s">
        <v>675</v>
      </c>
      <c r="D108" s="324">
        <v>39.948</v>
      </c>
      <c r="E108" s="325"/>
      <c r="F108" s="325"/>
      <c r="G108" s="324" t="s">
        <v>641</v>
      </c>
      <c r="H108" s="326"/>
      <c r="I108" s="326"/>
      <c r="J108" s="324"/>
    </row>
    <row r="109" spans="2:10" ht="18" x14ac:dyDescent="0.25">
      <c r="B109" s="323" t="s">
        <v>676</v>
      </c>
      <c r="C109" s="324" t="s">
        <v>677</v>
      </c>
      <c r="D109" s="324">
        <v>39.098300000000002</v>
      </c>
      <c r="E109" s="325"/>
      <c r="F109" s="325"/>
      <c r="G109" s="324" t="s">
        <v>641</v>
      </c>
      <c r="H109" s="326"/>
      <c r="I109" s="326"/>
      <c r="J109" s="324"/>
    </row>
    <row r="110" spans="2:10" ht="18" x14ac:dyDescent="0.25">
      <c r="B110" s="323" t="s">
        <v>678</v>
      </c>
      <c r="C110" s="324" t="s">
        <v>679</v>
      </c>
      <c r="D110" s="324">
        <v>40.078000000000003</v>
      </c>
      <c r="E110" s="325"/>
      <c r="F110" s="325"/>
      <c r="G110" s="324" t="s">
        <v>641</v>
      </c>
      <c r="H110" s="326"/>
      <c r="I110" s="326"/>
      <c r="J110" s="324"/>
    </row>
    <row r="111" spans="2:10" ht="18" x14ac:dyDescent="0.25">
      <c r="B111" s="323" t="s">
        <v>680</v>
      </c>
      <c r="C111" s="324" t="s">
        <v>681</v>
      </c>
      <c r="D111" s="324">
        <v>44.955911999999998</v>
      </c>
      <c r="E111" s="325"/>
      <c r="F111" s="325"/>
      <c r="G111" s="324" t="s">
        <v>641</v>
      </c>
      <c r="H111" s="326"/>
      <c r="I111" s="326"/>
      <c r="J111" s="324"/>
    </row>
    <row r="112" spans="2:10" ht="18" x14ac:dyDescent="0.25">
      <c r="B112" s="323" t="s">
        <v>682</v>
      </c>
      <c r="C112" s="324" t="s">
        <v>683</v>
      </c>
      <c r="D112" s="324">
        <v>47.866999999999997</v>
      </c>
      <c r="E112" s="325"/>
      <c r="F112" s="325"/>
      <c r="G112" s="324" t="s">
        <v>641</v>
      </c>
      <c r="H112" s="326"/>
      <c r="I112" s="326"/>
      <c r="J112" s="324"/>
    </row>
    <row r="113" spans="2:10" ht="18" x14ac:dyDescent="0.25">
      <c r="B113" s="323" t="s">
        <v>684</v>
      </c>
      <c r="C113" s="324" t="s">
        <v>685</v>
      </c>
      <c r="D113" s="324">
        <v>50.941499999999998</v>
      </c>
      <c r="E113" s="325"/>
      <c r="F113" s="325"/>
      <c r="G113" s="324" t="s">
        <v>641</v>
      </c>
      <c r="H113" s="326"/>
      <c r="I113" s="326"/>
      <c r="J113" s="324"/>
    </row>
    <row r="114" spans="2:10" ht="18" x14ac:dyDescent="0.25">
      <c r="B114" s="323" t="s">
        <v>686</v>
      </c>
      <c r="C114" s="324" t="s">
        <v>687</v>
      </c>
      <c r="D114" s="324">
        <v>51.996099999999998</v>
      </c>
      <c r="E114" s="325"/>
      <c r="F114" s="325"/>
      <c r="G114" s="324" t="s">
        <v>641</v>
      </c>
      <c r="H114" s="326"/>
      <c r="I114" s="326"/>
      <c r="J114" s="324"/>
    </row>
    <row r="115" spans="2:10" ht="18" x14ac:dyDescent="0.25">
      <c r="B115" s="323" t="s">
        <v>688</v>
      </c>
      <c r="C115" s="324" t="s">
        <v>689</v>
      </c>
      <c r="D115" s="324">
        <v>54.938045000000002</v>
      </c>
      <c r="E115" s="325"/>
      <c r="F115" s="325"/>
      <c r="G115" s="324" t="s">
        <v>641</v>
      </c>
      <c r="H115" s="326"/>
      <c r="I115" s="326"/>
      <c r="J115" s="324"/>
    </row>
    <row r="116" spans="2:10" ht="18" x14ac:dyDescent="0.25">
      <c r="B116" s="323" t="s">
        <v>690</v>
      </c>
      <c r="C116" s="324" t="s">
        <v>691</v>
      </c>
      <c r="D116" s="324">
        <v>55.844999999999999</v>
      </c>
      <c r="E116" s="325"/>
      <c r="F116" s="325"/>
      <c r="G116" s="324" t="s">
        <v>641</v>
      </c>
      <c r="H116" s="326"/>
      <c r="I116" s="326"/>
      <c r="J116" s="324"/>
    </row>
    <row r="117" spans="2:10" ht="18" x14ac:dyDescent="0.25">
      <c r="B117" s="323" t="s">
        <v>692</v>
      </c>
      <c r="C117" s="324" t="s">
        <v>693</v>
      </c>
      <c r="D117" s="324">
        <v>58.933194999999998</v>
      </c>
      <c r="E117" s="325"/>
      <c r="F117" s="325"/>
      <c r="G117" s="324" t="s">
        <v>641</v>
      </c>
      <c r="H117" s="326"/>
      <c r="I117" s="326"/>
      <c r="J117" s="324"/>
    </row>
    <row r="118" spans="2:10" ht="18" x14ac:dyDescent="0.25">
      <c r="B118" s="323" t="s">
        <v>694</v>
      </c>
      <c r="C118" s="324" t="s">
        <v>695</v>
      </c>
      <c r="D118" s="324">
        <v>58.693399999999997</v>
      </c>
      <c r="E118" s="325"/>
      <c r="F118" s="325"/>
      <c r="G118" s="324" t="s">
        <v>641</v>
      </c>
      <c r="H118" s="326"/>
      <c r="I118" s="326"/>
      <c r="J118" s="324"/>
    </row>
    <row r="119" spans="2:10" ht="18" x14ac:dyDescent="0.25">
      <c r="B119" s="323" t="s">
        <v>696</v>
      </c>
      <c r="C119" s="324" t="s">
        <v>697</v>
      </c>
      <c r="D119" s="324">
        <v>63.545999999999999</v>
      </c>
      <c r="E119" s="325"/>
      <c r="F119" s="325"/>
      <c r="G119" s="324" t="s">
        <v>641</v>
      </c>
      <c r="H119" s="326"/>
      <c r="I119" s="326"/>
      <c r="J119" s="324"/>
    </row>
    <row r="120" spans="2:10" ht="18" x14ac:dyDescent="0.25">
      <c r="B120" s="323" t="s">
        <v>698</v>
      </c>
      <c r="C120" s="324" t="s">
        <v>699</v>
      </c>
      <c r="D120" s="324">
        <v>65.38</v>
      </c>
      <c r="E120" s="325"/>
      <c r="F120" s="325"/>
      <c r="G120" s="324" t="s">
        <v>641</v>
      </c>
      <c r="H120" s="326"/>
      <c r="I120" s="326"/>
      <c r="J120" s="324"/>
    </row>
    <row r="121" spans="2:10" ht="18" x14ac:dyDescent="0.25">
      <c r="B121" s="323" t="s">
        <v>700</v>
      </c>
      <c r="C121" s="324" t="s">
        <v>701</v>
      </c>
      <c r="D121" s="324">
        <v>69.722999999999999</v>
      </c>
      <c r="E121" s="325"/>
      <c r="F121" s="325"/>
      <c r="G121" s="324" t="s">
        <v>641</v>
      </c>
      <c r="H121" s="326"/>
      <c r="I121" s="326"/>
      <c r="J121" s="324"/>
    </row>
    <row r="122" spans="2:10" ht="18" x14ac:dyDescent="0.25">
      <c r="B122" s="323" t="s">
        <v>702</v>
      </c>
      <c r="C122" s="324" t="s">
        <v>703</v>
      </c>
      <c r="D122" s="324">
        <v>72.64</v>
      </c>
      <c r="E122" s="325"/>
      <c r="F122" s="325"/>
      <c r="G122" s="324" t="s">
        <v>641</v>
      </c>
      <c r="H122" s="326"/>
      <c r="I122" s="326"/>
      <c r="J122" s="324"/>
    </row>
    <row r="123" spans="2:10" ht="18" x14ac:dyDescent="0.25">
      <c r="B123" s="323" t="s">
        <v>704</v>
      </c>
      <c r="C123" s="324" t="s">
        <v>705</v>
      </c>
      <c r="D123" s="324">
        <v>74.921599999999998</v>
      </c>
      <c r="E123" s="325"/>
      <c r="F123" s="325"/>
      <c r="G123" s="324" t="s">
        <v>641</v>
      </c>
      <c r="H123" s="326"/>
      <c r="I123" s="326"/>
      <c r="J123" s="324"/>
    </row>
    <row r="124" spans="2:10" ht="18" x14ac:dyDescent="0.25">
      <c r="B124" s="323" t="s">
        <v>706</v>
      </c>
      <c r="C124" s="324" t="s">
        <v>707</v>
      </c>
      <c r="D124" s="324">
        <v>78.959999999999994</v>
      </c>
      <c r="E124" s="325"/>
      <c r="F124" s="325"/>
      <c r="G124" s="324" t="s">
        <v>641</v>
      </c>
      <c r="H124" s="326"/>
      <c r="I124" s="326"/>
      <c r="J124" s="324"/>
    </row>
    <row r="125" spans="2:10" ht="18" x14ac:dyDescent="0.25">
      <c r="B125" s="323" t="s">
        <v>708</v>
      </c>
      <c r="C125" s="324" t="s">
        <v>709</v>
      </c>
      <c r="D125" s="324">
        <v>79.903999999999996</v>
      </c>
      <c r="E125" s="325"/>
      <c r="F125" s="325"/>
      <c r="G125" s="324" t="s">
        <v>641</v>
      </c>
      <c r="H125" s="326"/>
      <c r="I125" s="326"/>
      <c r="J125" s="324"/>
    </row>
    <row r="126" spans="2:10" ht="18" x14ac:dyDescent="0.25">
      <c r="B126" s="323" t="s">
        <v>710</v>
      </c>
      <c r="C126" s="324" t="s">
        <v>711</v>
      </c>
      <c r="D126" s="324">
        <v>83.798000000000002</v>
      </c>
      <c r="E126" s="325"/>
      <c r="F126" s="325"/>
      <c r="G126" s="324" t="s">
        <v>641</v>
      </c>
      <c r="H126" s="326"/>
      <c r="I126" s="326"/>
      <c r="J126" s="324"/>
    </row>
    <row r="127" spans="2:10" ht="18" x14ac:dyDescent="0.25">
      <c r="B127" s="323" t="s">
        <v>712</v>
      </c>
      <c r="C127" s="324" t="s">
        <v>713</v>
      </c>
      <c r="D127" s="324">
        <v>85.467799999999997</v>
      </c>
      <c r="E127" s="325"/>
      <c r="F127" s="325"/>
      <c r="G127" s="324" t="s">
        <v>641</v>
      </c>
      <c r="H127" s="326"/>
      <c r="I127" s="326"/>
      <c r="J127" s="324"/>
    </row>
    <row r="128" spans="2:10" ht="18" x14ac:dyDescent="0.25">
      <c r="B128" s="323" t="s">
        <v>714</v>
      </c>
      <c r="C128" s="324" t="s">
        <v>715</v>
      </c>
      <c r="D128" s="324">
        <v>87.62</v>
      </c>
      <c r="E128" s="325"/>
      <c r="F128" s="325"/>
      <c r="G128" s="324" t="s">
        <v>641</v>
      </c>
      <c r="H128" s="326"/>
      <c r="I128" s="326"/>
      <c r="J128" s="324"/>
    </row>
    <row r="129" spans="2:10" ht="18" x14ac:dyDescent="0.25">
      <c r="B129" s="323" t="s">
        <v>716</v>
      </c>
      <c r="C129" s="324" t="s">
        <v>717</v>
      </c>
      <c r="D129" s="324">
        <v>88.905850000000001</v>
      </c>
      <c r="E129" s="325"/>
      <c r="F129" s="325"/>
      <c r="G129" s="324" t="s">
        <v>641</v>
      </c>
      <c r="H129" s="326"/>
      <c r="I129" s="326"/>
      <c r="J129" s="324"/>
    </row>
    <row r="130" spans="2:10" ht="18" x14ac:dyDescent="0.25">
      <c r="B130" s="323" t="s">
        <v>718</v>
      </c>
      <c r="C130" s="324" t="s">
        <v>719</v>
      </c>
      <c r="D130" s="324">
        <v>91.224000000000004</v>
      </c>
      <c r="E130" s="325"/>
      <c r="F130" s="325"/>
      <c r="G130" s="324" t="s">
        <v>641</v>
      </c>
      <c r="H130" s="326"/>
      <c r="I130" s="326"/>
      <c r="J130" s="324"/>
    </row>
    <row r="131" spans="2:10" ht="18" x14ac:dyDescent="0.25">
      <c r="B131" s="323" t="s">
        <v>720</v>
      </c>
      <c r="C131" s="324" t="s">
        <v>721</v>
      </c>
      <c r="D131" s="324">
        <v>92.906379999999999</v>
      </c>
      <c r="E131" s="325"/>
      <c r="F131" s="325"/>
      <c r="G131" s="324" t="s">
        <v>641</v>
      </c>
      <c r="H131" s="326"/>
      <c r="I131" s="326"/>
      <c r="J131" s="324"/>
    </row>
    <row r="132" spans="2:10" ht="18" x14ac:dyDescent="0.25">
      <c r="B132" s="323" t="s">
        <v>722</v>
      </c>
      <c r="C132" s="324" t="s">
        <v>723</v>
      </c>
      <c r="D132" s="324">
        <v>95.94</v>
      </c>
      <c r="E132" s="325"/>
      <c r="F132" s="325"/>
      <c r="G132" s="324" t="s">
        <v>641</v>
      </c>
      <c r="H132" s="326"/>
      <c r="I132" s="326"/>
      <c r="J132" s="324"/>
    </row>
    <row r="133" spans="2:10" ht="18" x14ac:dyDescent="0.25">
      <c r="B133" s="323" t="s">
        <v>724</v>
      </c>
      <c r="C133" s="324" t="s">
        <v>725</v>
      </c>
      <c r="D133" s="324">
        <v>98</v>
      </c>
      <c r="E133" s="325"/>
      <c r="F133" s="325"/>
      <c r="G133" s="324" t="s">
        <v>641</v>
      </c>
      <c r="H133" s="326"/>
      <c r="I133" s="326"/>
      <c r="J133" s="324"/>
    </row>
    <row r="134" spans="2:10" ht="18" x14ac:dyDescent="0.25">
      <c r="B134" s="323" t="s">
        <v>726</v>
      </c>
      <c r="C134" s="324" t="s">
        <v>727</v>
      </c>
      <c r="D134" s="324">
        <v>101.07</v>
      </c>
      <c r="E134" s="325"/>
      <c r="F134" s="325"/>
      <c r="G134" s="324" t="s">
        <v>641</v>
      </c>
      <c r="H134" s="326"/>
      <c r="I134" s="326"/>
      <c r="J134" s="324"/>
    </row>
    <row r="135" spans="2:10" ht="18" x14ac:dyDescent="0.25">
      <c r="B135" s="323" t="s">
        <v>728</v>
      </c>
      <c r="C135" s="324" t="s">
        <v>729</v>
      </c>
      <c r="D135" s="324">
        <v>102.9055</v>
      </c>
      <c r="E135" s="325"/>
      <c r="F135" s="325"/>
      <c r="G135" s="324" t="s">
        <v>641</v>
      </c>
      <c r="H135" s="326"/>
      <c r="I135" s="326"/>
      <c r="J135" s="324"/>
    </row>
    <row r="136" spans="2:10" ht="18" x14ac:dyDescent="0.25">
      <c r="B136" s="323" t="s">
        <v>730</v>
      </c>
      <c r="C136" s="324" t="s">
        <v>731</v>
      </c>
      <c r="D136" s="324">
        <v>106.42</v>
      </c>
      <c r="E136" s="325"/>
      <c r="F136" s="325"/>
      <c r="G136" s="324" t="s">
        <v>641</v>
      </c>
      <c r="H136" s="326"/>
      <c r="I136" s="326"/>
      <c r="J136" s="324"/>
    </row>
    <row r="137" spans="2:10" ht="18" x14ac:dyDescent="0.25">
      <c r="B137" s="323" t="s">
        <v>732</v>
      </c>
      <c r="C137" s="324" t="s">
        <v>733</v>
      </c>
      <c r="D137" s="324">
        <v>107.8682</v>
      </c>
      <c r="E137" s="325"/>
      <c r="F137" s="325"/>
      <c r="G137" s="324" t="s">
        <v>641</v>
      </c>
      <c r="H137" s="326"/>
      <c r="I137" s="326"/>
      <c r="J137" s="324"/>
    </row>
    <row r="138" spans="2:10" ht="18" x14ac:dyDescent="0.25">
      <c r="B138" s="323" t="s">
        <v>734</v>
      </c>
      <c r="C138" s="324" t="s">
        <v>735</v>
      </c>
      <c r="D138" s="324">
        <v>112.411</v>
      </c>
      <c r="E138" s="325"/>
      <c r="F138" s="325"/>
      <c r="G138" s="324" t="s">
        <v>641</v>
      </c>
      <c r="H138" s="326"/>
      <c r="I138" s="326"/>
      <c r="J138" s="324"/>
    </row>
    <row r="139" spans="2:10" ht="18" x14ac:dyDescent="0.25">
      <c r="B139" s="323" t="s">
        <v>736</v>
      </c>
      <c r="C139" s="324" t="s">
        <v>737</v>
      </c>
      <c r="D139" s="324">
        <v>114.818</v>
      </c>
      <c r="E139" s="325"/>
      <c r="F139" s="325"/>
      <c r="G139" s="324" t="s">
        <v>641</v>
      </c>
      <c r="H139" s="326"/>
      <c r="I139" s="326"/>
      <c r="J139" s="324"/>
    </row>
    <row r="140" spans="2:10" ht="18" x14ac:dyDescent="0.25">
      <c r="B140" s="323" t="s">
        <v>738</v>
      </c>
      <c r="C140" s="324" t="s">
        <v>739</v>
      </c>
      <c r="D140" s="324">
        <v>118.71</v>
      </c>
      <c r="E140" s="325"/>
      <c r="F140" s="325"/>
      <c r="G140" s="324" t="s">
        <v>641</v>
      </c>
      <c r="H140" s="326"/>
      <c r="I140" s="326"/>
      <c r="J140" s="324"/>
    </row>
    <row r="141" spans="2:10" ht="18" x14ac:dyDescent="0.25">
      <c r="B141" s="323" t="s">
        <v>740</v>
      </c>
      <c r="C141" s="324" t="s">
        <v>741</v>
      </c>
      <c r="D141" s="324">
        <v>121.76</v>
      </c>
      <c r="E141" s="325"/>
      <c r="F141" s="325"/>
      <c r="G141" s="324" t="s">
        <v>641</v>
      </c>
      <c r="H141" s="326"/>
      <c r="I141" s="326"/>
      <c r="J141" s="324"/>
    </row>
    <row r="142" spans="2:10" ht="18" x14ac:dyDescent="0.25">
      <c r="B142" s="323" t="s">
        <v>742</v>
      </c>
      <c r="C142" s="324" t="s">
        <v>743</v>
      </c>
      <c r="D142" s="324">
        <v>127.6</v>
      </c>
      <c r="E142" s="325"/>
      <c r="F142" s="325"/>
      <c r="G142" s="324" t="s">
        <v>641</v>
      </c>
      <c r="H142" s="326"/>
      <c r="I142" s="326"/>
      <c r="J142" s="324"/>
    </row>
    <row r="143" spans="2:10" ht="18" x14ac:dyDescent="0.25">
      <c r="B143" s="323" t="s">
        <v>744</v>
      </c>
      <c r="C143" s="324" t="s">
        <v>745</v>
      </c>
      <c r="D143" s="324">
        <v>126.90447</v>
      </c>
      <c r="E143" s="325"/>
      <c r="F143" s="325"/>
      <c r="G143" s="324" t="s">
        <v>641</v>
      </c>
      <c r="H143" s="326"/>
      <c r="I143" s="326"/>
      <c r="J143" s="324"/>
    </row>
    <row r="144" spans="2:10" ht="18" x14ac:dyDescent="0.25">
      <c r="B144" s="323" t="s">
        <v>746</v>
      </c>
      <c r="C144" s="324" t="s">
        <v>747</v>
      </c>
      <c r="D144" s="324">
        <v>131.29300000000001</v>
      </c>
      <c r="E144" s="325"/>
      <c r="F144" s="325"/>
      <c r="G144" s="324" t="s">
        <v>641</v>
      </c>
      <c r="H144" s="326"/>
      <c r="I144" s="326"/>
      <c r="J144" s="324"/>
    </row>
    <row r="145" spans="2:10" ht="18" x14ac:dyDescent="0.25">
      <c r="B145" s="323" t="s">
        <v>748</v>
      </c>
      <c r="C145" s="324" t="s">
        <v>749</v>
      </c>
      <c r="D145" s="324">
        <v>132.90545</v>
      </c>
      <c r="E145" s="325"/>
      <c r="F145" s="325"/>
      <c r="G145" s="324" t="s">
        <v>641</v>
      </c>
      <c r="H145" s="326"/>
      <c r="I145" s="326"/>
      <c r="J145" s="324"/>
    </row>
    <row r="146" spans="2:10" ht="18" x14ac:dyDescent="0.25">
      <c r="B146" s="323" t="s">
        <v>750</v>
      </c>
      <c r="C146" s="324" t="s">
        <v>751</v>
      </c>
      <c r="D146" s="324">
        <v>137.327</v>
      </c>
      <c r="E146" s="325"/>
      <c r="F146" s="325"/>
      <c r="G146" s="324" t="s">
        <v>641</v>
      </c>
      <c r="H146" s="326"/>
      <c r="I146" s="326"/>
      <c r="J146" s="324"/>
    </row>
    <row r="147" spans="2:10" ht="18" x14ac:dyDescent="0.25">
      <c r="B147" s="323" t="s">
        <v>752</v>
      </c>
      <c r="C147" s="324" t="s">
        <v>753</v>
      </c>
      <c r="D147" s="324">
        <v>138.90547000000001</v>
      </c>
      <c r="E147" s="325"/>
      <c r="F147" s="325"/>
      <c r="G147" s="324" t="s">
        <v>641</v>
      </c>
      <c r="H147" s="326"/>
      <c r="I147" s="326"/>
      <c r="J147" s="324"/>
    </row>
    <row r="148" spans="2:10" ht="18" x14ac:dyDescent="0.25">
      <c r="B148" s="323" t="s">
        <v>754</v>
      </c>
      <c r="C148" s="324" t="s">
        <v>755</v>
      </c>
      <c r="D148" s="324">
        <v>140.11600000000001</v>
      </c>
      <c r="E148" s="325"/>
      <c r="F148" s="325"/>
      <c r="G148" s="324" t="s">
        <v>641</v>
      </c>
      <c r="H148" s="326"/>
      <c r="I148" s="326"/>
      <c r="J148" s="324"/>
    </row>
    <row r="149" spans="2:10" ht="18" x14ac:dyDescent="0.25">
      <c r="B149" s="323" t="s">
        <v>756</v>
      </c>
      <c r="C149" s="324" t="s">
        <v>757</v>
      </c>
      <c r="D149" s="324">
        <v>140.90764999999999</v>
      </c>
      <c r="E149" s="325"/>
      <c r="F149" s="325"/>
      <c r="G149" s="324" t="s">
        <v>641</v>
      </c>
      <c r="H149" s="326"/>
      <c r="I149" s="326"/>
      <c r="J149" s="324"/>
    </row>
    <row r="150" spans="2:10" ht="18" x14ac:dyDescent="0.25">
      <c r="B150" s="323" t="s">
        <v>758</v>
      </c>
      <c r="C150" s="324" t="s">
        <v>759</v>
      </c>
      <c r="D150" s="324">
        <v>144.24199999999999</v>
      </c>
      <c r="E150" s="325"/>
      <c r="F150" s="325"/>
      <c r="G150" s="324" t="s">
        <v>641</v>
      </c>
      <c r="H150" s="326"/>
      <c r="I150" s="326"/>
      <c r="J150" s="324"/>
    </row>
    <row r="151" spans="2:10" ht="18" x14ac:dyDescent="0.25">
      <c r="B151" s="323" t="s">
        <v>760</v>
      </c>
      <c r="C151" s="324" t="s">
        <v>761</v>
      </c>
      <c r="D151" s="324">
        <v>145</v>
      </c>
      <c r="E151" s="325"/>
      <c r="F151" s="325"/>
      <c r="G151" s="324" t="s">
        <v>641</v>
      </c>
      <c r="H151" s="326"/>
      <c r="I151" s="326"/>
      <c r="J151" s="324"/>
    </row>
    <row r="152" spans="2:10" ht="18" x14ac:dyDescent="0.25">
      <c r="B152" s="323" t="s">
        <v>762</v>
      </c>
      <c r="C152" s="324" t="s">
        <v>763</v>
      </c>
      <c r="D152" s="324">
        <v>150.36000000000001</v>
      </c>
      <c r="E152" s="325"/>
      <c r="F152" s="325"/>
      <c r="G152" s="324" t="s">
        <v>641</v>
      </c>
      <c r="H152" s="326"/>
      <c r="I152" s="326"/>
      <c r="J152" s="324"/>
    </row>
    <row r="153" spans="2:10" ht="18" x14ac:dyDescent="0.25">
      <c r="B153" s="323" t="s">
        <v>764</v>
      </c>
      <c r="C153" s="324" t="s">
        <v>765</v>
      </c>
      <c r="D153" s="324">
        <v>151.964</v>
      </c>
      <c r="E153" s="325"/>
      <c r="F153" s="325"/>
      <c r="G153" s="324" t="s">
        <v>641</v>
      </c>
      <c r="H153" s="326"/>
      <c r="I153" s="326"/>
      <c r="J153" s="324"/>
    </row>
    <row r="154" spans="2:10" ht="18" x14ac:dyDescent="0.25">
      <c r="B154" s="323" t="s">
        <v>766</v>
      </c>
      <c r="C154" s="324" t="s">
        <v>767</v>
      </c>
      <c r="D154" s="324">
        <v>157.25</v>
      </c>
      <c r="E154" s="325"/>
      <c r="F154" s="325"/>
      <c r="G154" s="324" t="s">
        <v>641</v>
      </c>
      <c r="H154" s="326"/>
      <c r="I154" s="326"/>
      <c r="J154" s="324"/>
    </row>
    <row r="155" spans="2:10" ht="18" x14ac:dyDescent="0.25">
      <c r="B155" s="323" t="s">
        <v>768</v>
      </c>
      <c r="C155" s="324" t="s">
        <v>769</v>
      </c>
      <c r="D155" s="324">
        <v>158.92535000000001</v>
      </c>
      <c r="E155" s="325"/>
      <c r="F155" s="325"/>
      <c r="G155" s="324" t="s">
        <v>641</v>
      </c>
      <c r="H155" s="326"/>
      <c r="I155" s="326"/>
      <c r="J155" s="324"/>
    </row>
    <row r="156" spans="2:10" ht="18" x14ac:dyDescent="0.25">
      <c r="B156" s="323" t="s">
        <v>770</v>
      </c>
      <c r="C156" s="324" t="s">
        <v>771</v>
      </c>
      <c r="D156" s="324">
        <v>162.5</v>
      </c>
      <c r="E156" s="325"/>
      <c r="F156" s="325"/>
      <c r="G156" s="324" t="s">
        <v>641</v>
      </c>
      <c r="H156" s="326"/>
      <c r="I156" s="326"/>
      <c r="J156" s="324"/>
    </row>
    <row r="157" spans="2:10" ht="18" x14ac:dyDescent="0.25">
      <c r="B157" s="323" t="s">
        <v>772</v>
      </c>
      <c r="C157" s="324" t="s">
        <v>773</v>
      </c>
      <c r="D157" s="324">
        <v>164.93031999999999</v>
      </c>
      <c r="E157" s="325"/>
      <c r="F157" s="325"/>
      <c r="G157" s="324" t="s">
        <v>641</v>
      </c>
      <c r="H157" s="326"/>
      <c r="I157" s="326"/>
      <c r="J157" s="324"/>
    </row>
    <row r="158" spans="2:10" ht="18" x14ac:dyDescent="0.25">
      <c r="B158" s="323" t="s">
        <v>774</v>
      </c>
      <c r="C158" s="324" t="s">
        <v>775</v>
      </c>
      <c r="D158" s="324">
        <v>167.25899999999999</v>
      </c>
      <c r="E158" s="325"/>
      <c r="F158" s="325"/>
      <c r="G158" s="324" t="s">
        <v>641</v>
      </c>
      <c r="H158" s="326"/>
      <c r="I158" s="326"/>
      <c r="J158" s="324"/>
    </row>
    <row r="159" spans="2:10" ht="18" x14ac:dyDescent="0.25">
      <c r="B159" s="323" t="s">
        <v>776</v>
      </c>
      <c r="C159" s="324" t="s">
        <v>777</v>
      </c>
      <c r="D159" s="324">
        <v>168.93421000000001</v>
      </c>
      <c r="E159" s="325"/>
      <c r="F159" s="325"/>
      <c r="G159" s="324" t="s">
        <v>641</v>
      </c>
      <c r="H159" s="326"/>
      <c r="I159" s="326"/>
      <c r="J159" s="324"/>
    </row>
    <row r="160" spans="2:10" ht="18" x14ac:dyDescent="0.25">
      <c r="B160" s="323" t="s">
        <v>778</v>
      </c>
      <c r="C160" s="324" t="s">
        <v>779</v>
      </c>
      <c r="D160" s="324">
        <v>173.04</v>
      </c>
      <c r="E160" s="325"/>
      <c r="F160" s="325"/>
      <c r="G160" s="324" t="s">
        <v>641</v>
      </c>
      <c r="H160" s="326"/>
      <c r="I160" s="326"/>
      <c r="J160" s="324"/>
    </row>
    <row r="161" spans="2:10" ht="18" x14ac:dyDescent="0.25">
      <c r="B161" s="323" t="s">
        <v>780</v>
      </c>
      <c r="C161" s="324" t="s">
        <v>781</v>
      </c>
      <c r="D161" s="324">
        <v>174.96700000000001</v>
      </c>
      <c r="E161" s="325"/>
      <c r="F161" s="325"/>
      <c r="G161" s="324" t="s">
        <v>641</v>
      </c>
      <c r="H161" s="326"/>
      <c r="I161" s="326"/>
      <c r="J161" s="324"/>
    </row>
    <row r="162" spans="2:10" ht="18" x14ac:dyDescent="0.25">
      <c r="B162" s="323" t="s">
        <v>782</v>
      </c>
      <c r="C162" s="324" t="s">
        <v>783</v>
      </c>
      <c r="D162" s="324">
        <v>178.49</v>
      </c>
      <c r="E162" s="325"/>
      <c r="F162" s="325"/>
      <c r="G162" s="324" t="s">
        <v>641</v>
      </c>
      <c r="H162" s="326"/>
      <c r="I162" s="326"/>
      <c r="J162" s="324"/>
    </row>
    <row r="163" spans="2:10" ht="18" x14ac:dyDescent="0.25">
      <c r="B163" s="323" t="s">
        <v>784</v>
      </c>
      <c r="C163" s="324" t="s">
        <v>785</v>
      </c>
      <c r="D163" s="324">
        <v>180.94788</v>
      </c>
      <c r="E163" s="325"/>
      <c r="F163" s="325"/>
      <c r="G163" s="324" t="s">
        <v>641</v>
      </c>
      <c r="H163" s="326"/>
      <c r="I163" s="326"/>
      <c r="J163" s="324"/>
    </row>
    <row r="164" spans="2:10" ht="18" x14ac:dyDescent="0.25">
      <c r="B164" s="323" t="s">
        <v>786</v>
      </c>
      <c r="C164" s="324" t="s">
        <v>787</v>
      </c>
      <c r="D164" s="324">
        <v>183.84</v>
      </c>
      <c r="E164" s="325"/>
      <c r="F164" s="325"/>
      <c r="G164" s="324" t="s">
        <v>641</v>
      </c>
      <c r="H164" s="326"/>
      <c r="I164" s="326"/>
      <c r="J164" s="324"/>
    </row>
    <row r="165" spans="2:10" ht="18" x14ac:dyDescent="0.25">
      <c r="B165" s="323" t="s">
        <v>788</v>
      </c>
      <c r="C165" s="324" t="s">
        <v>789</v>
      </c>
      <c r="D165" s="324">
        <v>186.20699999999999</v>
      </c>
      <c r="E165" s="325"/>
      <c r="F165" s="325"/>
      <c r="G165" s="324" t="s">
        <v>641</v>
      </c>
      <c r="H165" s="326"/>
      <c r="I165" s="326"/>
      <c r="J165" s="324"/>
    </row>
    <row r="166" spans="2:10" ht="18" x14ac:dyDescent="0.25">
      <c r="B166" s="323" t="s">
        <v>790</v>
      </c>
      <c r="C166" s="324" t="s">
        <v>791</v>
      </c>
      <c r="D166" s="324">
        <v>190.23</v>
      </c>
      <c r="E166" s="325"/>
      <c r="F166" s="325"/>
      <c r="G166" s="324" t="s">
        <v>641</v>
      </c>
      <c r="H166" s="326"/>
      <c r="I166" s="326"/>
      <c r="J166" s="324"/>
    </row>
    <row r="167" spans="2:10" ht="18" x14ac:dyDescent="0.25">
      <c r="B167" s="323" t="s">
        <v>792</v>
      </c>
      <c r="C167" s="324" t="s">
        <v>793</v>
      </c>
      <c r="D167" s="324">
        <v>192.21700000000001</v>
      </c>
      <c r="E167" s="325"/>
      <c r="F167" s="325"/>
      <c r="G167" s="324" t="s">
        <v>641</v>
      </c>
      <c r="H167" s="326"/>
      <c r="I167" s="326"/>
      <c r="J167" s="324"/>
    </row>
    <row r="168" spans="2:10" ht="18" x14ac:dyDescent="0.25">
      <c r="B168" s="323" t="s">
        <v>794</v>
      </c>
      <c r="C168" s="324" t="s">
        <v>795</v>
      </c>
      <c r="D168" s="324">
        <v>195.084</v>
      </c>
      <c r="E168" s="325"/>
      <c r="F168" s="325"/>
      <c r="G168" s="324" t="s">
        <v>641</v>
      </c>
      <c r="H168" s="326"/>
      <c r="I168" s="326"/>
      <c r="J168" s="324"/>
    </row>
    <row r="169" spans="2:10" ht="18" x14ac:dyDescent="0.25">
      <c r="B169" s="323" t="s">
        <v>796</v>
      </c>
      <c r="C169" s="324" t="s">
        <v>797</v>
      </c>
      <c r="D169" s="324">
        <v>196.96656999999999</v>
      </c>
      <c r="E169" s="325"/>
      <c r="F169" s="325"/>
      <c r="G169" s="324" t="s">
        <v>641</v>
      </c>
      <c r="H169" s="326"/>
      <c r="I169" s="326"/>
      <c r="J169" s="324"/>
    </row>
    <row r="170" spans="2:10" ht="18" x14ac:dyDescent="0.25">
      <c r="B170" s="323" t="s">
        <v>798</v>
      </c>
      <c r="C170" s="324" t="s">
        <v>799</v>
      </c>
      <c r="D170" s="324">
        <v>200.59</v>
      </c>
      <c r="E170" s="325"/>
      <c r="F170" s="325"/>
      <c r="G170" s="324" t="s">
        <v>641</v>
      </c>
      <c r="H170" s="326"/>
      <c r="I170" s="326"/>
      <c r="J170" s="324"/>
    </row>
    <row r="171" spans="2:10" ht="18" x14ac:dyDescent="0.25">
      <c r="B171" s="323" t="s">
        <v>800</v>
      </c>
      <c r="C171" s="324" t="s">
        <v>801</v>
      </c>
      <c r="D171" s="324">
        <v>204.38329999999999</v>
      </c>
      <c r="E171" s="325"/>
      <c r="F171" s="325"/>
      <c r="G171" s="324" t="s">
        <v>641</v>
      </c>
      <c r="H171" s="326"/>
      <c r="I171" s="326"/>
      <c r="J171" s="324"/>
    </row>
    <row r="172" spans="2:10" ht="18" x14ac:dyDescent="0.25">
      <c r="B172" s="323" t="s">
        <v>802</v>
      </c>
      <c r="C172" s="324" t="s">
        <v>803</v>
      </c>
      <c r="D172" s="324">
        <v>207.2</v>
      </c>
      <c r="E172" s="325"/>
      <c r="F172" s="325"/>
      <c r="G172" s="324" t="s">
        <v>641</v>
      </c>
      <c r="H172" s="326"/>
      <c r="I172" s="326"/>
      <c r="J172" s="324"/>
    </row>
    <row r="173" spans="2:10" ht="18" x14ac:dyDescent="0.25">
      <c r="B173" s="323" t="s">
        <v>804</v>
      </c>
      <c r="C173" s="324" t="s">
        <v>805</v>
      </c>
      <c r="D173" s="324">
        <v>208.9804</v>
      </c>
      <c r="E173" s="325"/>
      <c r="F173" s="325"/>
      <c r="G173" s="324" t="s">
        <v>641</v>
      </c>
      <c r="H173" s="326"/>
      <c r="I173" s="326"/>
      <c r="J173" s="324"/>
    </row>
    <row r="174" spans="2:10" ht="18" x14ac:dyDescent="0.25">
      <c r="B174" s="323" t="s">
        <v>806</v>
      </c>
      <c r="C174" s="324" t="s">
        <v>807</v>
      </c>
      <c r="D174" s="324">
        <v>209</v>
      </c>
      <c r="E174" s="325"/>
      <c r="F174" s="325"/>
      <c r="G174" s="324" t="s">
        <v>641</v>
      </c>
      <c r="H174" s="326"/>
      <c r="I174" s="326"/>
      <c r="J174" s="324"/>
    </row>
    <row r="175" spans="2:10" ht="18" x14ac:dyDescent="0.25">
      <c r="B175" s="323" t="s">
        <v>808</v>
      </c>
      <c r="C175" s="324" t="s">
        <v>809</v>
      </c>
      <c r="D175" s="324">
        <v>210</v>
      </c>
      <c r="E175" s="325"/>
      <c r="F175" s="325"/>
      <c r="G175" s="324" t="s">
        <v>641</v>
      </c>
      <c r="H175" s="326"/>
      <c r="I175" s="326"/>
      <c r="J175" s="324"/>
    </row>
    <row r="176" spans="2:10" ht="18" x14ac:dyDescent="0.25">
      <c r="B176" s="323" t="s">
        <v>810</v>
      </c>
      <c r="C176" s="324" t="s">
        <v>811</v>
      </c>
      <c r="D176" s="324">
        <v>222</v>
      </c>
      <c r="E176" s="325"/>
      <c r="F176" s="325"/>
      <c r="G176" s="324" t="s">
        <v>641</v>
      </c>
      <c r="H176" s="326"/>
      <c r="I176" s="326"/>
      <c r="J176" s="324"/>
    </row>
    <row r="177" spans="2:10" ht="18" x14ac:dyDescent="0.25">
      <c r="B177" s="323" t="s">
        <v>812</v>
      </c>
      <c r="C177" s="324" t="s">
        <v>813</v>
      </c>
      <c r="D177" s="324">
        <v>223</v>
      </c>
      <c r="E177" s="325"/>
      <c r="F177" s="325"/>
      <c r="G177" s="324" t="s">
        <v>641</v>
      </c>
      <c r="H177" s="326"/>
      <c r="I177" s="326"/>
      <c r="J177" s="324"/>
    </row>
    <row r="178" spans="2:10" ht="18" x14ac:dyDescent="0.25">
      <c r="B178" s="323" t="s">
        <v>814</v>
      </c>
      <c r="C178" s="324" t="s">
        <v>815</v>
      </c>
      <c r="D178" s="324">
        <v>226</v>
      </c>
      <c r="E178" s="325"/>
      <c r="F178" s="325"/>
      <c r="G178" s="324" t="s">
        <v>641</v>
      </c>
      <c r="H178" s="326"/>
      <c r="I178" s="326"/>
      <c r="J178" s="324"/>
    </row>
    <row r="179" spans="2:10" ht="18" x14ac:dyDescent="0.25">
      <c r="B179" s="323" t="s">
        <v>816</v>
      </c>
      <c r="C179" s="324" t="s">
        <v>817</v>
      </c>
      <c r="D179" s="324">
        <v>227</v>
      </c>
      <c r="E179" s="325"/>
      <c r="F179" s="325"/>
      <c r="G179" s="324" t="s">
        <v>641</v>
      </c>
      <c r="H179" s="326"/>
      <c r="I179" s="326"/>
      <c r="J179" s="324"/>
    </row>
    <row r="180" spans="2:10" ht="18" x14ac:dyDescent="0.25">
      <c r="B180" s="323" t="s">
        <v>818</v>
      </c>
      <c r="C180" s="324" t="s">
        <v>819</v>
      </c>
      <c r="D180" s="324">
        <v>232.03806</v>
      </c>
      <c r="E180" s="325"/>
      <c r="F180" s="325"/>
      <c r="G180" s="324" t="s">
        <v>641</v>
      </c>
      <c r="H180" s="326"/>
      <c r="I180" s="326"/>
      <c r="J180" s="324"/>
    </row>
    <row r="181" spans="2:10" ht="18" x14ac:dyDescent="0.25">
      <c r="B181" s="323" t="s">
        <v>820</v>
      </c>
      <c r="C181" s="324" t="s">
        <v>821</v>
      </c>
      <c r="D181" s="324">
        <v>231.03587999999999</v>
      </c>
      <c r="E181" s="325"/>
      <c r="F181" s="325"/>
      <c r="G181" s="324" t="s">
        <v>641</v>
      </c>
      <c r="H181" s="326"/>
      <c r="I181" s="326"/>
      <c r="J181" s="324"/>
    </row>
    <row r="182" spans="2:10" ht="18" x14ac:dyDescent="0.25">
      <c r="B182" s="323" t="s">
        <v>822</v>
      </c>
      <c r="C182" s="324" t="s">
        <v>823</v>
      </c>
      <c r="D182" s="324">
        <v>238.02891</v>
      </c>
      <c r="E182" s="325"/>
      <c r="F182" s="325"/>
      <c r="G182" s="324" t="s">
        <v>641</v>
      </c>
      <c r="H182" s="326"/>
      <c r="I182" s="326"/>
      <c r="J182" s="324"/>
    </row>
    <row r="183" spans="2:10" ht="18" x14ac:dyDescent="0.25">
      <c r="B183" s="323" t="s">
        <v>824</v>
      </c>
      <c r="C183" s="324" t="s">
        <v>825</v>
      </c>
      <c r="D183" s="324">
        <v>237</v>
      </c>
      <c r="E183" s="325"/>
      <c r="F183" s="325"/>
      <c r="G183" s="324" t="s">
        <v>641</v>
      </c>
      <c r="H183" s="326"/>
      <c r="I183" s="326"/>
      <c r="J183" s="324"/>
    </row>
    <row r="184" spans="2:10" ht="18" x14ac:dyDescent="0.25">
      <c r="B184" s="323" t="s">
        <v>826</v>
      </c>
      <c r="C184" s="324" t="s">
        <v>827</v>
      </c>
      <c r="D184" s="324">
        <v>244</v>
      </c>
      <c r="E184" s="325"/>
      <c r="F184" s="325"/>
      <c r="G184" s="324" t="s">
        <v>641</v>
      </c>
      <c r="H184" s="326"/>
      <c r="I184" s="326"/>
      <c r="J184" s="324"/>
    </row>
    <row r="185" spans="2:10" ht="18" x14ac:dyDescent="0.25">
      <c r="B185" s="323" t="s">
        <v>828</v>
      </c>
      <c r="C185" s="324" t="s">
        <v>829</v>
      </c>
      <c r="D185" s="324">
        <v>243</v>
      </c>
      <c r="E185" s="325"/>
      <c r="F185" s="325"/>
      <c r="G185" s="324" t="s">
        <v>641</v>
      </c>
      <c r="H185" s="326"/>
      <c r="I185" s="326"/>
      <c r="J185" s="324"/>
    </row>
    <row r="186" spans="2:10" ht="18" x14ac:dyDescent="0.25">
      <c r="B186" s="323" t="s">
        <v>830</v>
      </c>
      <c r="C186" s="324" t="s">
        <v>831</v>
      </c>
      <c r="D186" s="324">
        <v>247</v>
      </c>
      <c r="E186" s="325"/>
      <c r="F186" s="325"/>
      <c r="G186" s="324" t="s">
        <v>641</v>
      </c>
      <c r="H186" s="326"/>
      <c r="I186" s="326"/>
      <c r="J186" s="324"/>
    </row>
    <row r="187" spans="2:10" ht="18" x14ac:dyDescent="0.25">
      <c r="B187" s="323" t="s">
        <v>832</v>
      </c>
      <c r="C187" s="324" t="s">
        <v>833</v>
      </c>
      <c r="D187" s="324">
        <v>247</v>
      </c>
      <c r="E187" s="325"/>
      <c r="F187" s="325"/>
      <c r="G187" s="324" t="s">
        <v>641</v>
      </c>
      <c r="H187" s="326"/>
      <c r="I187" s="326"/>
      <c r="J187" s="324"/>
    </row>
    <row r="188" spans="2:10" ht="18" x14ac:dyDescent="0.25">
      <c r="B188" s="323" t="s">
        <v>834</v>
      </c>
      <c r="C188" s="324" t="s">
        <v>835</v>
      </c>
      <c r="D188" s="324">
        <v>251</v>
      </c>
      <c r="E188" s="325"/>
      <c r="F188" s="325"/>
      <c r="G188" s="324" t="s">
        <v>641</v>
      </c>
      <c r="H188" s="326"/>
      <c r="I188" s="326"/>
      <c r="J188" s="324"/>
    </row>
    <row r="189" spans="2:10" ht="18" x14ac:dyDescent="0.25">
      <c r="B189" s="323" t="s">
        <v>836</v>
      </c>
      <c r="C189" s="324" t="s">
        <v>837</v>
      </c>
      <c r="D189" s="324">
        <v>252</v>
      </c>
      <c r="E189" s="325"/>
      <c r="F189" s="325"/>
      <c r="G189" s="324" t="s">
        <v>641</v>
      </c>
      <c r="H189" s="326"/>
      <c r="I189" s="326"/>
      <c r="J189" s="324"/>
    </row>
    <row r="190" spans="2:10" ht="18" x14ac:dyDescent="0.25">
      <c r="B190" s="323" t="s">
        <v>838</v>
      </c>
      <c r="C190" s="324" t="s">
        <v>839</v>
      </c>
      <c r="D190" s="324">
        <v>257</v>
      </c>
      <c r="E190" s="325"/>
      <c r="F190" s="325"/>
      <c r="G190" s="324" t="s">
        <v>641</v>
      </c>
      <c r="H190" s="326"/>
      <c r="I190" s="326"/>
      <c r="J190" s="324"/>
    </row>
    <row r="191" spans="2:10" ht="18" x14ac:dyDescent="0.25">
      <c r="B191" s="323" t="s">
        <v>840</v>
      </c>
      <c r="C191" s="324" t="s">
        <v>841</v>
      </c>
      <c r="D191" s="324">
        <v>258</v>
      </c>
      <c r="E191" s="325"/>
      <c r="F191" s="325"/>
      <c r="G191" s="324" t="s">
        <v>641</v>
      </c>
      <c r="H191" s="326"/>
      <c r="I191" s="326"/>
      <c r="J191" s="324"/>
    </row>
    <row r="192" spans="2:10" ht="18" x14ac:dyDescent="0.25">
      <c r="B192" s="323" t="s">
        <v>842</v>
      </c>
      <c r="C192" s="324" t="s">
        <v>843</v>
      </c>
      <c r="D192" s="324">
        <v>259</v>
      </c>
      <c r="E192" s="325"/>
      <c r="F192" s="325"/>
      <c r="G192" s="324" t="s">
        <v>641</v>
      </c>
      <c r="H192" s="326"/>
      <c r="I192" s="326"/>
      <c r="J192" s="324"/>
    </row>
    <row r="193" spans="2:10" ht="18" x14ac:dyDescent="0.25">
      <c r="B193" s="323" t="s">
        <v>844</v>
      </c>
      <c r="C193" s="324" t="s">
        <v>845</v>
      </c>
      <c r="D193" s="324">
        <v>262</v>
      </c>
      <c r="E193" s="325"/>
      <c r="F193" s="325"/>
      <c r="G193" s="324" t="s">
        <v>641</v>
      </c>
      <c r="H193" s="326"/>
      <c r="I193" s="326"/>
      <c r="J193" s="324"/>
    </row>
    <row r="194" spans="2:10" ht="18" x14ac:dyDescent="0.25">
      <c r="B194" s="323" t="s">
        <v>846</v>
      </c>
      <c r="C194" s="324" t="s">
        <v>847</v>
      </c>
      <c r="D194" s="324">
        <v>261</v>
      </c>
      <c r="E194" s="325"/>
      <c r="F194" s="325"/>
      <c r="G194" s="324" t="s">
        <v>641</v>
      </c>
      <c r="H194" s="326"/>
      <c r="I194" s="326"/>
      <c r="J194" s="324"/>
    </row>
    <row r="195" spans="2:10" ht="18" x14ac:dyDescent="0.25">
      <c r="B195" s="323" t="s">
        <v>848</v>
      </c>
      <c r="C195" s="324" t="s">
        <v>849</v>
      </c>
      <c r="D195" s="324">
        <v>262</v>
      </c>
      <c r="E195" s="325"/>
      <c r="F195" s="325"/>
      <c r="G195" s="324" t="s">
        <v>641</v>
      </c>
      <c r="H195" s="326"/>
      <c r="I195" s="326"/>
      <c r="J195" s="324"/>
    </row>
    <row r="196" spans="2:10" ht="18" x14ac:dyDescent="0.25">
      <c r="B196" s="323" t="s">
        <v>850</v>
      </c>
      <c r="C196" s="324" t="s">
        <v>851</v>
      </c>
      <c r="D196" s="324">
        <v>266</v>
      </c>
      <c r="E196" s="325"/>
      <c r="F196" s="325"/>
      <c r="G196" s="324" t="s">
        <v>641</v>
      </c>
      <c r="H196" s="326"/>
      <c r="I196" s="326"/>
      <c r="J196" s="324"/>
    </row>
    <row r="197" spans="2:10" ht="18" x14ac:dyDescent="0.25">
      <c r="B197" s="323" t="s">
        <v>852</v>
      </c>
      <c r="C197" s="324" t="s">
        <v>853</v>
      </c>
      <c r="D197" s="324">
        <v>264</v>
      </c>
      <c r="E197" s="325"/>
      <c r="F197" s="325"/>
      <c r="G197" s="324" t="s">
        <v>641</v>
      </c>
      <c r="H197" s="326"/>
      <c r="I197" s="326"/>
      <c r="J197" s="324"/>
    </row>
    <row r="198" spans="2:10" ht="18" x14ac:dyDescent="0.25">
      <c r="B198" s="323" t="s">
        <v>854</v>
      </c>
      <c r="C198" s="324" t="s">
        <v>855</v>
      </c>
      <c r="D198" s="324">
        <v>277</v>
      </c>
      <c r="E198" s="325"/>
      <c r="F198" s="325"/>
      <c r="G198" s="324" t="s">
        <v>641</v>
      </c>
      <c r="H198" s="326"/>
      <c r="I198" s="326"/>
      <c r="J198" s="324"/>
    </row>
    <row r="199" spans="2:10" ht="18" x14ac:dyDescent="0.25">
      <c r="B199" s="323" t="s">
        <v>856</v>
      </c>
      <c r="C199" s="324" t="s">
        <v>857</v>
      </c>
      <c r="D199" s="324">
        <v>268</v>
      </c>
      <c r="E199" s="325"/>
      <c r="F199" s="325"/>
      <c r="G199" s="324" t="s">
        <v>641</v>
      </c>
      <c r="H199" s="326"/>
      <c r="I199" s="326"/>
      <c r="J199" s="324"/>
    </row>
    <row r="200" spans="2:10" ht="18" x14ac:dyDescent="0.25">
      <c r="B200" s="323" t="s">
        <v>858</v>
      </c>
      <c r="C200" s="324" t="s">
        <v>859</v>
      </c>
      <c r="D200" s="324">
        <v>281</v>
      </c>
      <c r="E200" s="325"/>
      <c r="F200" s="325"/>
      <c r="G200" s="324" t="s">
        <v>641</v>
      </c>
      <c r="H200" s="326"/>
      <c r="I200" s="326"/>
      <c r="J200" s="324"/>
    </row>
    <row r="201" spans="2:10" ht="18" x14ac:dyDescent="0.25">
      <c r="B201" s="323" t="s">
        <v>860</v>
      </c>
      <c r="C201" s="324" t="s">
        <v>861</v>
      </c>
      <c r="D201" s="324">
        <v>272</v>
      </c>
      <c r="E201" s="325"/>
      <c r="F201" s="325"/>
      <c r="G201" s="324" t="s">
        <v>641</v>
      </c>
      <c r="H201" s="326"/>
      <c r="I201" s="326"/>
      <c r="J201" s="324"/>
    </row>
    <row r="202" spans="2:10" ht="18" x14ac:dyDescent="0.25">
      <c r="B202" s="323" t="s">
        <v>862</v>
      </c>
      <c r="C202" s="324" t="s">
        <v>863</v>
      </c>
      <c r="D202" s="324">
        <v>285</v>
      </c>
      <c r="E202" s="325"/>
      <c r="F202" s="325"/>
      <c r="G202" s="324" t="s">
        <v>641</v>
      </c>
      <c r="H202" s="326"/>
      <c r="I202" s="326"/>
      <c r="J202" s="324"/>
    </row>
    <row r="203" spans="2:10" ht="18" x14ac:dyDescent="0.25">
      <c r="B203" s="323" t="s">
        <v>864</v>
      </c>
      <c r="C203" s="324" t="s">
        <v>865</v>
      </c>
      <c r="D203" s="324">
        <v>284</v>
      </c>
      <c r="E203" s="325"/>
      <c r="F203" s="325"/>
      <c r="G203" s="324" t="s">
        <v>641</v>
      </c>
      <c r="H203" s="326"/>
      <c r="I203" s="326"/>
      <c r="J203" s="324"/>
    </row>
    <row r="204" spans="2:10" ht="18" x14ac:dyDescent="0.25">
      <c r="B204" s="323" t="s">
        <v>866</v>
      </c>
      <c r="C204" s="324" t="s">
        <v>867</v>
      </c>
      <c r="D204" s="324">
        <v>289</v>
      </c>
      <c r="E204" s="325"/>
      <c r="F204" s="325"/>
      <c r="G204" s="324" t="s">
        <v>641</v>
      </c>
      <c r="H204" s="326"/>
      <c r="I204" s="326"/>
      <c r="J204" s="324"/>
    </row>
    <row r="205" spans="2:10" ht="18" x14ac:dyDescent="0.25">
      <c r="B205" s="323" t="s">
        <v>868</v>
      </c>
      <c r="C205" s="324" t="s">
        <v>869</v>
      </c>
      <c r="D205" s="324">
        <v>288</v>
      </c>
      <c r="E205" s="325"/>
      <c r="F205" s="325"/>
      <c r="G205" s="324" t="s">
        <v>641</v>
      </c>
      <c r="H205" s="326"/>
      <c r="I205" s="326"/>
      <c r="J205" s="324"/>
    </row>
    <row r="206" spans="2:10" ht="18" x14ac:dyDescent="0.25">
      <c r="B206" s="323" t="s">
        <v>870</v>
      </c>
      <c r="C206" s="324" t="s">
        <v>871</v>
      </c>
      <c r="D206" s="324">
        <v>292</v>
      </c>
      <c r="E206" s="325"/>
      <c r="F206" s="325"/>
      <c r="G206" s="324" t="s">
        <v>641</v>
      </c>
      <c r="H206" s="326"/>
      <c r="I206" s="326"/>
      <c r="J206" s="324"/>
    </row>
    <row r="207" spans="2:10" ht="18" x14ac:dyDescent="0.25">
      <c r="B207" s="323" t="s">
        <v>872</v>
      </c>
      <c r="C207" s="324" t="s">
        <v>873</v>
      </c>
      <c r="D207" s="324">
        <v>292</v>
      </c>
      <c r="E207" s="325"/>
      <c r="F207" s="325"/>
      <c r="G207" s="324" t="s">
        <v>641</v>
      </c>
      <c r="H207" s="326"/>
      <c r="I207" s="326"/>
      <c r="J207" s="324"/>
    </row>
    <row r="208" spans="2:10" ht="18" x14ac:dyDescent="0.25">
      <c r="B208" s="323" t="s">
        <v>874</v>
      </c>
      <c r="C208" s="324" t="s">
        <v>875</v>
      </c>
      <c r="D208" s="324">
        <v>294</v>
      </c>
      <c r="E208" s="325"/>
      <c r="F208" s="325"/>
      <c r="G208" s="324" t="s">
        <v>641</v>
      </c>
      <c r="H208" s="326"/>
      <c r="I208" s="326"/>
      <c r="J208" s="324"/>
    </row>
    <row r="210" spans="2:10" ht="15.75" thickBot="1" x14ac:dyDescent="0.3">
      <c r="C210" s="327" t="s">
        <v>876</v>
      </c>
    </row>
    <row r="211" spans="2:10" ht="15.75" thickBot="1" x14ac:dyDescent="0.3">
      <c r="B211" s="328" t="s">
        <v>0</v>
      </c>
      <c r="C211" s="329" t="s">
        <v>1</v>
      </c>
      <c r="D211" s="330" t="s">
        <v>149</v>
      </c>
      <c r="E211" s="330" t="s">
        <v>578</v>
      </c>
      <c r="F211" s="330" t="s">
        <v>579</v>
      </c>
      <c r="G211" s="330" t="s">
        <v>2</v>
      </c>
      <c r="H211" s="330" t="s">
        <v>545</v>
      </c>
      <c r="I211" s="330" t="s">
        <v>113</v>
      </c>
      <c r="J211" s="331" t="s">
        <v>114</v>
      </c>
    </row>
    <row r="212" spans="2:10" ht="18" x14ac:dyDescent="0.25">
      <c r="B212" s="323" t="s">
        <v>1466</v>
      </c>
      <c r="C212" s="324" t="s">
        <v>1467</v>
      </c>
      <c r="D212" s="324">
        <v>28.97</v>
      </c>
      <c r="E212" s="325"/>
      <c r="F212" s="325"/>
      <c r="G212" s="324" t="s">
        <v>641</v>
      </c>
      <c r="H212" s="326"/>
      <c r="I212" s="326"/>
      <c r="J212" s="324"/>
    </row>
    <row r="213" spans="2:10" ht="18" x14ac:dyDescent="0.25">
      <c r="B213" s="323" t="s">
        <v>877</v>
      </c>
      <c r="C213" s="324" t="s">
        <v>878</v>
      </c>
      <c r="D213" s="324">
        <f>2*A_MH</f>
        <v>2.0158800000000001</v>
      </c>
      <c r="E213" s="325"/>
      <c r="F213" s="325"/>
      <c r="G213" s="324" t="s">
        <v>641</v>
      </c>
      <c r="H213" s="326"/>
      <c r="I213" s="326"/>
      <c r="J213" s="324"/>
    </row>
    <row r="214" spans="2:10" ht="18" x14ac:dyDescent="0.25">
      <c r="B214" s="323" t="s">
        <v>879</v>
      </c>
      <c r="C214" s="324" t="s">
        <v>880</v>
      </c>
      <c r="D214" s="324">
        <f>A_MC+4*A_MH</f>
        <v>16.042459999999998</v>
      </c>
      <c r="E214" s="325"/>
      <c r="F214" s="325"/>
      <c r="G214" s="324" t="s">
        <v>641</v>
      </c>
      <c r="H214" s="326"/>
      <c r="I214" s="326"/>
      <c r="J214" s="324"/>
    </row>
    <row r="215" spans="2:10" ht="18" x14ac:dyDescent="0.25">
      <c r="B215" s="323" t="s">
        <v>881</v>
      </c>
      <c r="C215" s="324" t="s">
        <v>882</v>
      </c>
      <c r="D215" s="324">
        <f>A_MC+2*A_MO</f>
        <v>44.009500000000003</v>
      </c>
      <c r="E215" s="325"/>
      <c r="F215" s="325"/>
      <c r="G215" s="324" t="s">
        <v>641</v>
      </c>
      <c r="H215" s="326"/>
      <c r="I215" s="326"/>
      <c r="J215" s="324"/>
    </row>
    <row r="216" spans="2:10" ht="18" x14ac:dyDescent="0.25">
      <c r="B216" s="323" t="s">
        <v>1226</v>
      </c>
      <c r="C216" s="324" t="s">
        <v>898</v>
      </c>
      <c r="D216" s="324">
        <f>A_MN+3*A_MH</f>
        <v>17.030519999999999</v>
      </c>
      <c r="E216" s="325"/>
      <c r="F216" s="325"/>
      <c r="G216" s="324" t="s">
        <v>641</v>
      </c>
      <c r="H216" s="326"/>
      <c r="I216" s="326"/>
      <c r="J216" s="324"/>
    </row>
    <row r="217" spans="2:10" ht="18" x14ac:dyDescent="0.25">
      <c r="B217" s="323" t="s">
        <v>883</v>
      </c>
      <c r="C217" s="324" t="s">
        <v>884</v>
      </c>
      <c r="D217" s="324">
        <f>2*A_MN</f>
        <v>28.013400000000001</v>
      </c>
      <c r="E217" s="325"/>
      <c r="F217" s="325"/>
      <c r="G217" s="324" t="s">
        <v>641</v>
      </c>
      <c r="H217" s="326"/>
      <c r="I217" s="326"/>
      <c r="J217" s="324"/>
    </row>
    <row r="218" spans="2:10" ht="18" x14ac:dyDescent="0.25">
      <c r="B218" s="323" t="s">
        <v>885</v>
      </c>
      <c r="C218" s="324" t="s">
        <v>886</v>
      </c>
      <c r="D218" s="324">
        <f>2*A_MO</f>
        <v>31.998799999999999</v>
      </c>
      <c r="E218" s="325"/>
      <c r="F218" s="325"/>
      <c r="G218" s="324" t="s">
        <v>641</v>
      </c>
      <c r="H218" s="326"/>
      <c r="I218" s="326"/>
      <c r="J218" s="324" t="s">
        <v>887</v>
      </c>
    </row>
    <row r="219" spans="2:10" ht="18" x14ac:dyDescent="0.25">
      <c r="B219" s="323" t="s">
        <v>888</v>
      </c>
      <c r="C219" s="324" t="s">
        <v>889</v>
      </c>
      <c r="D219" s="324">
        <f>A_MN+A_MO</f>
        <v>30.0061</v>
      </c>
      <c r="E219" s="325"/>
      <c r="F219" s="325"/>
      <c r="G219" s="324" t="s">
        <v>641</v>
      </c>
      <c r="H219" s="326"/>
      <c r="I219" s="326"/>
      <c r="J219" s="324" t="s">
        <v>890</v>
      </c>
    </row>
    <row r="220" spans="2:10" ht="18" x14ac:dyDescent="0.25">
      <c r="B220" s="323" t="s">
        <v>891</v>
      </c>
      <c r="C220" s="324" t="s">
        <v>892</v>
      </c>
      <c r="D220" s="324">
        <f>2*A_MN+A_MO</f>
        <v>44.012799999999999</v>
      </c>
      <c r="E220" s="325"/>
      <c r="F220" s="325"/>
      <c r="G220" s="324" t="s">
        <v>641</v>
      </c>
      <c r="H220" s="326"/>
      <c r="I220" s="326"/>
      <c r="J220" s="324" t="s">
        <v>893</v>
      </c>
    </row>
    <row r="221" spans="2:10" ht="18" x14ac:dyDescent="0.25">
      <c r="B221" s="323" t="s">
        <v>1468</v>
      </c>
      <c r="C221" s="324" t="s">
        <v>1469</v>
      </c>
      <c r="D221" s="324">
        <f>M_MH2S</f>
        <v>34.080880000000001</v>
      </c>
      <c r="E221" s="325"/>
      <c r="F221" s="325"/>
      <c r="G221" s="324" t="s">
        <v>641</v>
      </c>
      <c r="H221" s="326"/>
      <c r="I221" s="326"/>
      <c r="J221" s="324"/>
    </row>
    <row r="223" spans="2:10" ht="15.75" thickBot="1" x14ac:dyDescent="0.3">
      <c r="C223" s="327" t="s">
        <v>894</v>
      </c>
    </row>
    <row r="224" spans="2:10" ht="15.75" thickBot="1" x14ac:dyDescent="0.3">
      <c r="B224" s="328" t="s">
        <v>0</v>
      </c>
      <c r="C224" s="329" t="s">
        <v>1</v>
      </c>
      <c r="D224" s="330" t="s">
        <v>149</v>
      </c>
      <c r="E224" s="330" t="s">
        <v>578</v>
      </c>
      <c r="F224" s="330" t="s">
        <v>579</v>
      </c>
      <c r="G224" s="330" t="s">
        <v>2</v>
      </c>
      <c r="H224" s="330" t="s">
        <v>545</v>
      </c>
      <c r="I224" s="330" t="s">
        <v>113</v>
      </c>
      <c r="J224" s="331" t="s">
        <v>114</v>
      </c>
    </row>
    <row r="225" spans="2:10" ht="18" x14ac:dyDescent="0.25">
      <c r="B225" s="323" t="s">
        <v>1227</v>
      </c>
      <c r="C225" s="324" t="s">
        <v>1228</v>
      </c>
      <c r="D225" s="324">
        <f>2*A_MH+A_MO</f>
        <v>18.015280000000001</v>
      </c>
      <c r="E225" s="325"/>
      <c r="F225" s="325"/>
      <c r="G225" s="324" t="s">
        <v>641</v>
      </c>
      <c r="H225" s="326"/>
      <c r="I225" s="326"/>
      <c r="J225" s="324"/>
    </row>
    <row r="226" spans="2:10" ht="18" x14ac:dyDescent="0.25">
      <c r="B226" s="323" t="s">
        <v>895</v>
      </c>
      <c r="C226" s="324" t="s">
        <v>886</v>
      </c>
      <c r="D226" s="324">
        <f>2*A_MO</f>
        <v>31.998799999999999</v>
      </c>
      <c r="E226" s="325"/>
      <c r="F226" s="325"/>
      <c r="G226" s="324" t="s">
        <v>641</v>
      </c>
      <c r="H226" s="326"/>
      <c r="I226" s="326"/>
      <c r="J226" s="324"/>
    </row>
    <row r="227" spans="2:10" ht="18" x14ac:dyDescent="0.25">
      <c r="B227" s="323" t="s">
        <v>896</v>
      </c>
      <c r="C227" s="324" t="s">
        <v>884</v>
      </c>
      <c r="D227" s="324">
        <f>2*A_MN</f>
        <v>28.013400000000001</v>
      </c>
      <c r="E227" s="325"/>
      <c r="F227" s="325"/>
      <c r="G227" s="324" t="s">
        <v>641</v>
      </c>
      <c r="H227" s="326"/>
      <c r="I227" s="326"/>
      <c r="J227" s="324"/>
    </row>
    <row r="228" spans="2:10" ht="18" x14ac:dyDescent="0.25">
      <c r="B228" s="323" t="s">
        <v>897</v>
      </c>
      <c r="C228" s="324" t="s">
        <v>898</v>
      </c>
      <c r="D228" s="324">
        <f>A_MN+3*A_MH</f>
        <v>17.030519999999999</v>
      </c>
      <c r="E228" s="325"/>
      <c r="F228" s="325"/>
      <c r="G228" s="324" t="s">
        <v>641</v>
      </c>
      <c r="H228" s="326"/>
      <c r="I228" s="326"/>
      <c r="J228" s="324"/>
    </row>
    <row r="229" spans="2:10" ht="18" x14ac:dyDescent="0.25">
      <c r="B229" s="323" t="s">
        <v>1120</v>
      </c>
      <c r="C229" s="324" t="s">
        <v>1470</v>
      </c>
      <c r="D229" s="324">
        <f>A_MN+4*A_MH</f>
        <v>18.038460000000001</v>
      </c>
      <c r="E229" s="325"/>
      <c r="F229" s="325"/>
      <c r="G229" s="324" t="s">
        <v>641</v>
      </c>
      <c r="H229" s="326"/>
      <c r="I229" s="326"/>
      <c r="J229" s="324"/>
    </row>
    <row r="230" spans="2:10" ht="18" x14ac:dyDescent="0.25">
      <c r="B230" s="323" t="s">
        <v>1121</v>
      </c>
      <c r="C230" s="324" t="s">
        <v>1471</v>
      </c>
      <c r="D230" s="324">
        <f>A_MN + 2*A_MO</f>
        <v>46.005499999999998</v>
      </c>
      <c r="E230" s="325"/>
      <c r="F230" s="325"/>
      <c r="G230" s="324" t="s">
        <v>641</v>
      </c>
      <c r="H230" s="326"/>
      <c r="I230" s="326"/>
      <c r="J230" s="324"/>
    </row>
    <row r="231" spans="2:10" ht="18" x14ac:dyDescent="0.25">
      <c r="B231" s="323" t="s">
        <v>1122</v>
      </c>
      <c r="C231" s="324" t="s">
        <v>1472</v>
      </c>
      <c r="D231" s="324">
        <f>A_MN + 3*A_MO</f>
        <v>62.004899999999999</v>
      </c>
      <c r="E231" s="325"/>
      <c r="F231" s="325"/>
      <c r="G231" s="324" t="s">
        <v>641</v>
      </c>
      <c r="H231" s="326"/>
      <c r="I231" s="326"/>
      <c r="J231" s="324"/>
    </row>
    <row r="232" spans="2:10" ht="18" x14ac:dyDescent="0.25">
      <c r="B232" s="323" t="s">
        <v>1473</v>
      </c>
      <c r="C232" s="324" t="s">
        <v>1474</v>
      </c>
      <c r="D232" s="324">
        <f>2*A_MFe+3*A_MO</f>
        <v>159.68819999999999</v>
      </c>
      <c r="E232" s="325"/>
      <c r="F232" s="325"/>
      <c r="G232" s="324" t="s">
        <v>641</v>
      </c>
      <c r="H232" s="326"/>
      <c r="I232" s="326"/>
      <c r="J232" s="324"/>
    </row>
    <row r="233" spans="2:10" ht="18" x14ac:dyDescent="0.25">
      <c r="B233" s="323" t="s">
        <v>1475</v>
      </c>
      <c r="C233" s="324" t="s">
        <v>1476</v>
      </c>
      <c r="D233" s="324">
        <f>A_MFe+3*(A_MO+A_MH)</f>
        <v>106.86702</v>
      </c>
      <c r="E233" s="325"/>
      <c r="F233" s="325"/>
      <c r="G233" s="324" t="s">
        <v>641</v>
      </c>
      <c r="H233" s="326"/>
      <c r="I233" s="326"/>
      <c r="J233" s="324"/>
    </row>
    <row r="234" spans="2:10" ht="18" x14ac:dyDescent="0.25">
      <c r="B234" s="323" t="s">
        <v>1477</v>
      </c>
      <c r="C234" s="324" t="s">
        <v>1478</v>
      </c>
      <c r="D234" s="324">
        <f>A_MAl+3*(A_MO+A_MH)</f>
        <v>78.003519999999995</v>
      </c>
      <c r="E234" s="325"/>
      <c r="F234" s="325"/>
      <c r="G234" s="324" t="s">
        <v>641</v>
      </c>
      <c r="H234" s="326"/>
      <c r="I234" s="326"/>
      <c r="J234" s="324"/>
    </row>
    <row r="235" spans="2:10" ht="18" x14ac:dyDescent="0.25">
      <c r="B235" s="323" t="s">
        <v>1479</v>
      </c>
      <c r="C235" s="324" t="s">
        <v>1480</v>
      </c>
      <c r="D235" s="324">
        <f>A_MAl+A_MP+4*A_MO</f>
        <v>121.9528622</v>
      </c>
      <c r="E235" s="325"/>
      <c r="F235" s="325"/>
      <c r="G235" s="324" t="s">
        <v>641</v>
      </c>
      <c r="H235" s="326"/>
      <c r="I235" s="326"/>
      <c r="J235" s="324"/>
    </row>
    <row r="236" spans="2:10" ht="18" x14ac:dyDescent="0.25">
      <c r="B236" s="323" t="s">
        <v>1481</v>
      </c>
      <c r="C236" s="324" t="s">
        <v>899</v>
      </c>
      <c r="D236" s="324">
        <f>A_MP+4*A_MO</f>
        <v>94.971362200000002</v>
      </c>
      <c r="E236" s="325"/>
      <c r="F236" s="325"/>
      <c r="G236" s="324" t="s">
        <v>641</v>
      </c>
      <c r="H236" s="326"/>
      <c r="I236" s="326"/>
      <c r="J236" s="324"/>
    </row>
    <row r="237" spans="2:10" ht="18" x14ac:dyDescent="0.25">
      <c r="B237" s="323" t="s">
        <v>1482</v>
      </c>
      <c r="C237" s="324" t="s">
        <v>882</v>
      </c>
      <c r="D237" s="324">
        <f>A_MC+2*A_MO</f>
        <v>44.009500000000003</v>
      </c>
      <c r="E237" s="325"/>
      <c r="F237" s="325"/>
      <c r="G237" s="324" t="s">
        <v>641</v>
      </c>
      <c r="H237" s="326"/>
      <c r="I237" s="326"/>
      <c r="J237" s="324"/>
    </row>
    <row r="238" spans="2:10" ht="18" x14ac:dyDescent="0.25">
      <c r="B238" s="323" t="s">
        <v>1123</v>
      </c>
      <c r="C238" s="324" t="s">
        <v>1124</v>
      </c>
      <c r="D238" s="324">
        <f>A_MC + 3*A_MO</f>
        <v>60.008899999999997</v>
      </c>
      <c r="E238" s="325"/>
      <c r="F238" s="325"/>
      <c r="G238" s="324" t="s">
        <v>641</v>
      </c>
      <c r="H238" s="326"/>
      <c r="I238" s="326"/>
      <c r="J238" s="324"/>
    </row>
    <row r="239" spans="2:10" ht="18" x14ac:dyDescent="0.25">
      <c r="B239" s="323" t="s">
        <v>1125</v>
      </c>
      <c r="C239" s="324" t="s">
        <v>1126</v>
      </c>
      <c r="D239" s="324">
        <f>A_MH + A_MC + 3*A_MO</f>
        <v>61.016839999999995</v>
      </c>
      <c r="E239" s="325"/>
      <c r="F239" s="325"/>
      <c r="G239" s="324" t="s">
        <v>641</v>
      </c>
      <c r="H239" s="326"/>
      <c r="I239" s="326"/>
      <c r="J239" s="324"/>
    </row>
    <row r="240" spans="2:10" ht="18" x14ac:dyDescent="0.25">
      <c r="B240" s="323" t="s">
        <v>1127</v>
      </c>
      <c r="C240" s="324" t="s">
        <v>1128</v>
      </c>
      <c r="D240" s="324">
        <f>2*A_MH+A_MC + 3*A_MO</f>
        <v>62.024779999999993</v>
      </c>
      <c r="E240" s="325"/>
      <c r="F240" s="325"/>
      <c r="G240" s="324" t="s">
        <v>641</v>
      </c>
      <c r="H240" s="326"/>
      <c r="I240" s="326"/>
      <c r="J240" s="324"/>
    </row>
    <row r="241" spans="2:10" ht="18" x14ac:dyDescent="0.25">
      <c r="B241" s="323" t="s">
        <v>1229</v>
      </c>
      <c r="C241" s="324" t="s">
        <v>1230</v>
      </c>
      <c r="D241" s="324">
        <f>A_MS+4*A_MO</f>
        <v>96.062600000000003</v>
      </c>
      <c r="E241" s="325"/>
      <c r="F241" s="325"/>
      <c r="G241" s="324" t="s">
        <v>641</v>
      </c>
      <c r="H241" s="326"/>
      <c r="I241" s="326"/>
      <c r="J241" s="324"/>
    </row>
    <row r="242" spans="2:10" ht="18" x14ac:dyDescent="0.25">
      <c r="B242" s="323" t="s">
        <v>1231</v>
      </c>
      <c r="C242" s="324" t="s">
        <v>1232</v>
      </c>
      <c r="D242" s="324">
        <f>A_MH + A_MS+4*A_MO</f>
        <v>97.070539999999994</v>
      </c>
      <c r="E242" s="325"/>
      <c r="F242" s="325"/>
      <c r="G242" s="324" t="s">
        <v>641</v>
      </c>
      <c r="H242" s="326"/>
      <c r="I242" s="326"/>
      <c r="J242" s="324"/>
    </row>
    <row r="243" spans="2:10" ht="18" x14ac:dyDescent="0.25">
      <c r="B243" s="323" t="s">
        <v>1233</v>
      </c>
      <c r="C243" s="324" t="s">
        <v>1129</v>
      </c>
      <c r="D243" s="324">
        <f>2*A_MH + A_MS+4*A_MO</f>
        <v>98.078479999999999</v>
      </c>
      <c r="E243" s="325"/>
      <c r="F243" s="325"/>
      <c r="G243" s="324" t="s">
        <v>641</v>
      </c>
      <c r="H243" s="326"/>
      <c r="I243" s="326"/>
      <c r="J243" s="324"/>
    </row>
    <row r="244" spans="2:10" ht="18" x14ac:dyDescent="0.25">
      <c r="B244" s="323" t="s">
        <v>1234</v>
      </c>
      <c r="C244" s="324" t="s">
        <v>1131</v>
      </c>
      <c r="D244" s="324">
        <f>2*A_MH + A_MS</f>
        <v>34.080880000000001</v>
      </c>
      <c r="E244" s="325"/>
      <c r="F244" s="325"/>
      <c r="G244" s="324" t="s">
        <v>641</v>
      </c>
      <c r="H244" s="326"/>
      <c r="I244" s="326"/>
      <c r="J244" s="324"/>
    </row>
    <row r="245" spans="2:10" ht="18" x14ac:dyDescent="0.25">
      <c r="B245" s="323" t="s">
        <v>1130</v>
      </c>
      <c r="C245" s="324" t="s">
        <v>1235</v>
      </c>
      <c r="D245" s="324">
        <f>A_MH + A_MCl</f>
        <v>36.460940000000001</v>
      </c>
      <c r="E245" s="325"/>
      <c r="F245" s="325"/>
      <c r="G245" s="324" t="s">
        <v>641</v>
      </c>
      <c r="H245" s="326"/>
      <c r="I245" s="326"/>
      <c r="J245" s="324"/>
    </row>
    <row r="246" spans="2:10" ht="18" x14ac:dyDescent="0.25">
      <c r="B246" s="323" t="s">
        <v>900</v>
      </c>
      <c r="C246" s="324" t="s">
        <v>901</v>
      </c>
      <c r="D246" s="324">
        <f>A_MC+3*A_MH+A_MO+A_MH</f>
        <v>32.04186</v>
      </c>
      <c r="E246" s="325"/>
      <c r="F246" s="325"/>
      <c r="G246" s="324" t="s">
        <v>641</v>
      </c>
      <c r="H246" s="326"/>
      <c r="I246" s="326"/>
      <c r="J246" s="324"/>
    </row>
    <row r="247" spans="2:10" ht="18" x14ac:dyDescent="0.25">
      <c r="B247" s="323" t="s">
        <v>902</v>
      </c>
      <c r="C247" s="324" t="s">
        <v>903</v>
      </c>
      <c r="D247" s="324">
        <f>A_MC+3*A_MH+A_MC+2*A_MO+A_MH</f>
        <v>60.051960000000001</v>
      </c>
      <c r="E247" s="325"/>
      <c r="F247" s="325"/>
      <c r="G247" s="324" t="s">
        <v>641</v>
      </c>
      <c r="H247" s="326"/>
      <c r="I247" s="326"/>
      <c r="J247" s="324"/>
    </row>
    <row r="248" spans="2:10" ht="18" x14ac:dyDescent="0.25">
      <c r="B248" s="323" t="s">
        <v>1483</v>
      </c>
      <c r="C248" s="324" t="s">
        <v>1132</v>
      </c>
      <c r="D248" s="324">
        <f>A_MCa+A_MC+3*A_MO</f>
        <v>100.0869</v>
      </c>
      <c r="E248" s="325"/>
      <c r="F248" s="325"/>
      <c r="G248" s="324" t="s">
        <v>641</v>
      </c>
      <c r="H248" s="326"/>
      <c r="I248" s="326"/>
      <c r="J248" s="324"/>
    </row>
    <row r="249" spans="2:10" ht="18" x14ac:dyDescent="0.25">
      <c r="B249" s="323" t="s">
        <v>1236</v>
      </c>
      <c r="C249" s="324" t="s">
        <v>1237</v>
      </c>
      <c r="D249" s="324">
        <f>3*A_MCa+2*M_MPO4+4*M_MH2O</f>
        <v>382.23784440000003</v>
      </c>
      <c r="E249" s="325"/>
      <c r="F249" s="325"/>
      <c r="G249" s="324" t="s">
        <v>641</v>
      </c>
      <c r="H249" s="326"/>
      <c r="I249" s="326"/>
      <c r="J249" s="324"/>
    </row>
    <row r="250" spans="2:10" ht="18" x14ac:dyDescent="0.25">
      <c r="B250" s="323" t="s">
        <v>1484</v>
      </c>
      <c r="C250" s="324" t="s">
        <v>1133</v>
      </c>
      <c r="D250" s="324">
        <f>A_MMg+A_MN+4*A_MH+A_MP+4*A_MO+6*(M_MH2O)</f>
        <v>245.40650220000001</v>
      </c>
      <c r="E250" s="325"/>
      <c r="F250" s="325"/>
      <c r="G250" s="324" t="s">
        <v>641</v>
      </c>
      <c r="H250" s="326"/>
      <c r="I250" s="326"/>
      <c r="J250" s="324"/>
    </row>
    <row r="251" spans="2:10" ht="18" x14ac:dyDescent="0.25">
      <c r="B251" s="323" t="s">
        <v>1485</v>
      </c>
      <c r="C251" s="324" t="s">
        <v>1486</v>
      </c>
      <c r="D251" s="324">
        <f>A_MMg+A_MK+A_MP+4*A_MO+6*2*A_MH+6*A_MO</f>
        <v>266.46634219999999</v>
      </c>
      <c r="E251" s="325"/>
      <c r="F251" s="325"/>
      <c r="G251" s="324" t="s">
        <v>641</v>
      </c>
      <c r="H251" s="326"/>
      <c r="I251" s="326"/>
      <c r="J251" s="324"/>
    </row>
    <row r="252" spans="2:10" ht="18" x14ac:dyDescent="0.25">
      <c r="B252" s="323" t="s">
        <v>1238</v>
      </c>
      <c r="C252" s="324" t="s">
        <v>1239</v>
      </c>
      <c r="D252" s="324">
        <f>3*A_MFe+2*(A_MP+4*A_MO)+8*M_MH2O</f>
        <v>501.59996439999998</v>
      </c>
      <c r="E252" s="325"/>
      <c r="F252" s="325"/>
      <c r="G252" s="324" t="s">
        <v>641</v>
      </c>
      <c r="H252" s="326"/>
      <c r="I252" s="326"/>
      <c r="J252" s="324"/>
    </row>
    <row r="253" spans="2:10" ht="18" x14ac:dyDescent="0.25">
      <c r="B253" s="323" t="s">
        <v>1240</v>
      </c>
      <c r="C253" s="324" t="s">
        <v>1241</v>
      </c>
      <c r="D253" s="324">
        <f>A_MFe+A_MS</f>
        <v>87.91</v>
      </c>
      <c r="E253" s="325"/>
      <c r="F253" s="325"/>
      <c r="G253" s="324" t="s">
        <v>641</v>
      </c>
      <c r="H253" s="326"/>
      <c r="I253" s="326"/>
      <c r="J253" s="324"/>
    </row>
    <row r="254" spans="2:10" ht="18" x14ac:dyDescent="0.25">
      <c r="B254" s="323" t="s">
        <v>1487</v>
      </c>
      <c r="C254" s="324" t="s">
        <v>1488</v>
      </c>
      <c r="D254" s="324">
        <f>A_MFe+3*A_MCl</f>
        <v>162.20400000000001</v>
      </c>
      <c r="E254" s="325"/>
      <c r="F254" s="325"/>
      <c r="G254" s="324" t="s">
        <v>641</v>
      </c>
      <c r="H254" s="326"/>
      <c r="I254" s="326"/>
      <c r="J254" s="324"/>
    </row>
    <row r="255" spans="2:10" ht="18" x14ac:dyDescent="0.25">
      <c r="B255" s="323" t="s">
        <v>1489</v>
      </c>
      <c r="C255" s="324" t="s">
        <v>1490</v>
      </c>
      <c r="D255" s="324">
        <f>A_MFe+2*A_MCl</f>
        <v>126.751</v>
      </c>
      <c r="E255" s="325"/>
      <c r="F255" s="325"/>
      <c r="G255" s="324" t="s">
        <v>641</v>
      </c>
      <c r="H255" s="326"/>
      <c r="I255" s="326"/>
      <c r="J255" s="324"/>
    </row>
    <row r="256" spans="2:10" ht="18" x14ac:dyDescent="0.25">
      <c r="B256" s="323" t="s">
        <v>1491</v>
      </c>
      <c r="C256" s="324" t="s">
        <v>1492</v>
      </c>
      <c r="D256" s="324">
        <f>A_MFe+M_MSO4</f>
        <v>151.9076</v>
      </c>
      <c r="E256" s="325"/>
      <c r="F256" s="325"/>
      <c r="G256" s="324" t="s">
        <v>641</v>
      </c>
      <c r="H256" s="326"/>
      <c r="I256" s="326"/>
      <c r="J256" s="324"/>
    </row>
    <row r="257" spans="2:10" ht="18" x14ac:dyDescent="0.25">
      <c r="B257" s="323" t="s">
        <v>1134</v>
      </c>
      <c r="C257" s="324" t="s">
        <v>1135</v>
      </c>
      <c r="D257" s="324">
        <f>A_MSi + 2*A_MO</f>
        <v>60.084299999999999</v>
      </c>
      <c r="E257" s="325"/>
      <c r="F257" s="325"/>
      <c r="G257" s="324" t="s">
        <v>641</v>
      </c>
      <c r="H257" s="326"/>
      <c r="I257" s="326"/>
      <c r="J257" s="324"/>
    </row>
    <row r="258" spans="2:10" ht="18" x14ac:dyDescent="0.25">
      <c r="B258" s="323" t="s">
        <v>1493</v>
      </c>
      <c r="C258" s="324" t="s">
        <v>1494</v>
      </c>
      <c r="D258" s="324">
        <f>2*A_MCa+A_MP+4*A_MO+2*(A_MO+A_MH)</f>
        <v>209.14204219999999</v>
      </c>
      <c r="E258" s="325"/>
      <c r="F258" s="325"/>
      <c r="G258" s="324" t="s">
        <v>641</v>
      </c>
      <c r="H258" s="326"/>
      <c r="I258" s="326"/>
      <c r="J258" s="324"/>
    </row>
    <row r="259" spans="2:10" ht="18" x14ac:dyDescent="0.25">
      <c r="B259" s="323" t="s">
        <v>1495</v>
      </c>
      <c r="C259" s="324" t="s">
        <v>1496</v>
      </c>
      <c r="D259" s="324">
        <f>5*A_MCa+A_MP*3+4*3*A_MO+A_MO+A_MH</f>
        <v>502.3114266</v>
      </c>
      <c r="E259" s="325"/>
      <c r="F259" s="325"/>
      <c r="G259" s="324" t="s">
        <v>641</v>
      </c>
      <c r="H259" s="326"/>
      <c r="I259" s="326"/>
      <c r="J259" s="324"/>
    </row>
    <row r="260" spans="2:10" ht="18" x14ac:dyDescent="0.25">
      <c r="B260" s="323" t="s">
        <v>1497</v>
      </c>
      <c r="C260" s="324" t="s">
        <v>1498</v>
      </c>
      <c r="D260" s="324">
        <f>A_MCa+A_MO+A_MH</f>
        <v>57.085340000000002</v>
      </c>
      <c r="E260" s="325"/>
      <c r="F260" s="325"/>
      <c r="G260" s="324" t="s">
        <v>641</v>
      </c>
      <c r="H260" s="326"/>
      <c r="I260" s="326"/>
      <c r="J260" s="324"/>
    </row>
    <row r="261" spans="2:10" ht="18" x14ac:dyDescent="0.25">
      <c r="B261" s="323" t="s">
        <v>1499</v>
      </c>
      <c r="C261" s="324" t="s">
        <v>1500</v>
      </c>
      <c r="D261" s="324">
        <f>A_MCa+A_MH+A_MC+3*A_MO</f>
        <v>101.09484</v>
      </c>
      <c r="E261" s="325"/>
      <c r="F261" s="325"/>
      <c r="G261" s="324" t="s">
        <v>641</v>
      </c>
      <c r="H261" s="326"/>
      <c r="I261" s="326"/>
      <c r="J261" s="324"/>
    </row>
    <row r="262" spans="2:10" ht="18" x14ac:dyDescent="0.25">
      <c r="B262" s="323" t="s">
        <v>1501</v>
      </c>
      <c r="C262" s="324" t="s">
        <v>1502</v>
      </c>
      <c r="D262" s="324">
        <f>A_MCa+A_MP+4*A_MO</f>
        <v>135.04936219999999</v>
      </c>
      <c r="E262" s="325"/>
      <c r="F262" s="325"/>
      <c r="G262" s="324" t="s">
        <v>641</v>
      </c>
      <c r="H262" s="326"/>
      <c r="I262" s="326"/>
      <c r="J262" s="324"/>
    </row>
    <row r="263" spans="2:10" ht="18" x14ac:dyDescent="0.25">
      <c r="B263" s="323" t="s">
        <v>1503</v>
      </c>
      <c r="C263" s="324" t="s">
        <v>1504</v>
      </c>
      <c r="D263" s="324">
        <f>A_MCa+A_MH+A_MP+4*A_MO</f>
        <v>136.05730220000001</v>
      </c>
      <c r="E263" s="325"/>
      <c r="F263" s="325"/>
      <c r="G263" s="324" t="s">
        <v>641</v>
      </c>
      <c r="H263" s="326"/>
      <c r="I263" s="326"/>
      <c r="J263" s="324"/>
    </row>
    <row r="264" spans="2:10" ht="18" x14ac:dyDescent="0.25">
      <c r="B264" s="323" t="s">
        <v>1505</v>
      </c>
      <c r="C264" s="324" t="s">
        <v>1506</v>
      </c>
      <c r="D264" s="324">
        <f>A_MCa+2*A_MH+A_MP+4*A_MO</f>
        <v>137.0652422</v>
      </c>
      <c r="E264" s="325"/>
      <c r="F264" s="325"/>
      <c r="G264" s="324" t="s">
        <v>641</v>
      </c>
      <c r="H264" s="326"/>
      <c r="I264" s="326"/>
      <c r="J264" s="324"/>
    </row>
    <row r="265" spans="2:10" ht="18" x14ac:dyDescent="0.25">
      <c r="B265" s="323" t="s">
        <v>1507</v>
      </c>
      <c r="C265" s="324" t="s">
        <v>1508</v>
      </c>
      <c r="D265" s="324">
        <f>A_MMg+A_MO+A_MH</f>
        <v>41.312339999999999</v>
      </c>
      <c r="E265" s="325"/>
      <c r="F265" s="325"/>
      <c r="G265" s="324" t="s">
        <v>641</v>
      </c>
      <c r="H265" s="326"/>
      <c r="I265" s="326"/>
      <c r="J265" s="324"/>
    </row>
    <row r="266" spans="2:10" ht="18" x14ac:dyDescent="0.25">
      <c r="B266" s="323" t="s">
        <v>1509</v>
      </c>
      <c r="C266" s="324" t="s">
        <v>1510</v>
      </c>
      <c r="D266" s="324">
        <f>A_MMg+2*(A_MO+A_MH)</f>
        <v>58.319679999999998</v>
      </c>
      <c r="E266" s="325"/>
      <c r="F266" s="325"/>
      <c r="G266" s="324" t="s">
        <v>641</v>
      </c>
      <c r="H266" s="326"/>
      <c r="I266" s="326"/>
      <c r="J266" s="324"/>
    </row>
    <row r="267" spans="2:10" ht="18" x14ac:dyDescent="0.25">
      <c r="B267" s="323" t="s">
        <v>1511</v>
      </c>
      <c r="C267" s="324" t="s">
        <v>1512</v>
      </c>
      <c r="D267" s="324">
        <f>A_MMg+A_MC+3*A_MO</f>
        <v>84.31389999999999</v>
      </c>
      <c r="E267" s="325"/>
      <c r="F267" s="325"/>
      <c r="G267" s="324" t="s">
        <v>641</v>
      </c>
      <c r="H267" s="326"/>
      <c r="I267" s="326"/>
      <c r="J267" s="324"/>
    </row>
    <row r="268" spans="2:10" ht="18" x14ac:dyDescent="0.25">
      <c r="B268" s="323" t="s">
        <v>1513</v>
      </c>
      <c r="C268" s="324" t="s">
        <v>1514</v>
      </c>
      <c r="D268" s="324">
        <f>A_MMg+A_MH+A_MC+3*A_MO</f>
        <v>85.321839999999995</v>
      </c>
      <c r="E268" s="325"/>
      <c r="F268" s="325"/>
      <c r="G268" s="324" t="s">
        <v>641</v>
      </c>
      <c r="H268" s="326"/>
      <c r="I268" s="326"/>
      <c r="J268" s="324"/>
    </row>
    <row r="269" spans="2:10" ht="18" x14ac:dyDescent="0.25">
      <c r="B269" s="323" t="s">
        <v>1515</v>
      </c>
      <c r="C269" s="324" t="s">
        <v>1516</v>
      </c>
      <c r="D269" s="324">
        <f>A_MMg+A_MH+A_MP+4*A_MO</f>
        <v>120.2843022</v>
      </c>
      <c r="E269" s="325"/>
      <c r="F269" s="325"/>
      <c r="G269" s="324" t="s">
        <v>641</v>
      </c>
      <c r="H269" s="326"/>
      <c r="I269" s="326"/>
      <c r="J269" s="324"/>
    </row>
    <row r="270" spans="2:10" ht="18" x14ac:dyDescent="0.25">
      <c r="B270" s="323" t="s">
        <v>1517</v>
      </c>
      <c r="C270" s="324" t="s">
        <v>1518</v>
      </c>
      <c r="D270" s="324">
        <f>A_MMg+A_MP+4*A_MO</f>
        <v>119.27636219999999</v>
      </c>
      <c r="E270" s="325"/>
      <c r="F270" s="325"/>
      <c r="G270" s="324" t="s">
        <v>641</v>
      </c>
      <c r="H270" s="326"/>
      <c r="I270" s="326"/>
      <c r="J270" s="324"/>
    </row>
    <row r="271" spans="2:10" ht="18" x14ac:dyDescent="0.25">
      <c r="B271" s="323" t="s">
        <v>1519</v>
      </c>
      <c r="C271" s="324" t="s">
        <v>1520</v>
      </c>
      <c r="D271" s="324">
        <f>A_MMg+2*A_MH+A_MP+4*A_MO</f>
        <v>121.2922422</v>
      </c>
      <c r="E271" s="325"/>
      <c r="F271" s="325"/>
      <c r="G271" s="324" t="s">
        <v>641</v>
      </c>
      <c r="H271" s="326"/>
      <c r="I271" s="326"/>
      <c r="J271" s="324"/>
    </row>
    <row r="272" spans="2:10" ht="18" x14ac:dyDescent="0.25">
      <c r="B272" s="323" t="s">
        <v>1521</v>
      </c>
      <c r="C272" s="324" t="s">
        <v>1522</v>
      </c>
      <c r="D272" s="324">
        <f>A_MNa+A_MH+A_MP+4*A_MO</f>
        <v>118.9690712</v>
      </c>
      <c r="E272" s="325"/>
      <c r="F272" s="325"/>
      <c r="G272" s="324" t="s">
        <v>641</v>
      </c>
      <c r="H272" s="326"/>
      <c r="I272" s="326"/>
      <c r="J272" s="324"/>
    </row>
    <row r="273" spans="2:10" ht="18" x14ac:dyDescent="0.25">
      <c r="B273" s="323" t="s">
        <v>1523</v>
      </c>
      <c r="C273" s="324" t="s">
        <v>1524</v>
      </c>
      <c r="D273" s="324">
        <f>A_MNa+A_MCl</f>
        <v>58.442768999999998</v>
      </c>
      <c r="E273" s="325"/>
      <c r="F273" s="325"/>
      <c r="G273" s="324" t="s">
        <v>641</v>
      </c>
      <c r="H273" s="326"/>
      <c r="I273" s="326"/>
      <c r="J273" s="324"/>
    </row>
    <row r="274" spans="2:10" ht="18" x14ac:dyDescent="0.25">
      <c r="B274" s="323" t="s">
        <v>1525</v>
      </c>
      <c r="C274" s="324" t="s">
        <v>1526</v>
      </c>
      <c r="D274" s="324">
        <f>A_MNa+A_MH+A_MO</f>
        <v>39.997109000000002</v>
      </c>
      <c r="E274" s="325"/>
      <c r="F274" s="325"/>
      <c r="G274" s="324" t="s">
        <v>641</v>
      </c>
      <c r="H274" s="326"/>
      <c r="I274" s="326"/>
      <c r="J274" s="324"/>
    </row>
    <row r="275" spans="2:10" ht="18" x14ac:dyDescent="0.25">
      <c r="B275" s="323" t="s">
        <v>1527</v>
      </c>
      <c r="C275" s="324" t="s">
        <v>1528</v>
      </c>
      <c r="D275" s="324">
        <f>2*A_MNa+A_MC+3*A_MO</f>
        <v>105.988438</v>
      </c>
      <c r="E275" s="325"/>
      <c r="F275" s="325"/>
      <c r="G275" s="324" t="s">
        <v>641</v>
      </c>
      <c r="H275" s="326"/>
      <c r="I275" s="326"/>
      <c r="J275" s="324"/>
    </row>
    <row r="276" spans="2:10" ht="18" x14ac:dyDescent="0.25">
      <c r="B276" s="323" t="s">
        <v>1529</v>
      </c>
      <c r="C276" s="324" t="s">
        <v>1530</v>
      </c>
      <c r="D276" s="324">
        <f>A_MNa+A_MH+A_MC+3*A_MO</f>
        <v>84.006608999999997</v>
      </c>
      <c r="E276" s="325"/>
      <c r="F276" s="325"/>
      <c r="G276" s="324" t="s">
        <v>641</v>
      </c>
      <c r="H276" s="326"/>
      <c r="I276" s="326"/>
      <c r="J276" s="324"/>
    </row>
    <row r="277" spans="2:10" ht="18" x14ac:dyDescent="0.25">
      <c r="B277" s="323" t="s">
        <v>1531</v>
      </c>
      <c r="C277" s="324" t="s">
        <v>1532</v>
      </c>
      <c r="D277" s="324">
        <f>4*A_MH+A_MC+A_MS</f>
        <v>48.107459999999996</v>
      </c>
      <c r="E277" s="325"/>
      <c r="F277" s="325"/>
      <c r="G277" s="324" t="s">
        <v>641</v>
      </c>
      <c r="H277" s="326"/>
      <c r="I277" s="326"/>
      <c r="J277" s="324"/>
    </row>
    <row r="279" spans="2:10" ht="15.75" thickBot="1" x14ac:dyDescent="0.3">
      <c r="C279" s="327" t="s">
        <v>904</v>
      </c>
    </row>
    <row r="280" spans="2:10" ht="15.75" thickBot="1" x14ac:dyDescent="0.3">
      <c r="B280" s="328" t="s">
        <v>0</v>
      </c>
      <c r="C280" s="329" t="s">
        <v>1</v>
      </c>
      <c r="D280" s="330" t="s">
        <v>149</v>
      </c>
      <c r="E280" s="330" t="s">
        <v>578</v>
      </c>
      <c r="F280" s="330" t="s">
        <v>579</v>
      </c>
      <c r="G280" s="330" t="s">
        <v>2</v>
      </c>
      <c r="H280" s="330" t="s">
        <v>545</v>
      </c>
      <c r="I280" s="330" t="s">
        <v>113</v>
      </c>
      <c r="J280" s="331" t="s">
        <v>114</v>
      </c>
    </row>
    <row r="281" spans="2:10" ht="18" x14ac:dyDescent="0.25">
      <c r="B281" s="323" t="s">
        <v>1533</v>
      </c>
      <c r="C281" s="324" t="s">
        <v>1242</v>
      </c>
      <c r="D281" s="324">
        <f>2*A_MN</f>
        <v>28.013400000000001</v>
      </c>
      <c r="E281" s="325"/>
      <c r="F281" s="325"/>
      <c r="G281" s="324" t="s">
        <v>1534</v>
      </c>
      <c r="H281" s="326"/>
      <c r="I281" s="326"/>
      <c r="J281" s="324"/>
    </row>
    <row r="282" spans="2:10" ht="18" x14ac:dyDescent="0.25">
      <c r="B282" s="323" t="s">
        <v>1535</v>
      </c>
      <c r="C282" s="324" t="s">
        <v>1243</v>
      </c>
      <c r="D282" s="324">
        <f>A_MN</f>
        <v>14.0067</v>
      </c>
      <c r="E282" s="325"/>
      <c r="F282" s="325"/>
      <c r="G282" s="324" t="s">
        <v>1534</v>
      </c>
      <c r="H282" s="326"/>
      <c r="I282" s="326"/>
      <c r="J282" s="324"/>
    </row>
    <row r="283" spans="2:10" ht="18" x14ac:dyDescent="0.25">
      <c r="B283" s="323" t="s">
        <v>1536</v>
      </c>
      <c r="C283" s="324" t="s">
        <v>1244</v>
      </c>
      <c r="D283" s="324">
        <f>A_MN</f>
        <v>14.0067</v>
      </c>
      <c r="E283" s="325"/>
      <c r="F283" s="325"/>
      <c r="G283" s="324" t="s">
        <v>1534</v>
      </c>
      <c r="H283" s="326"/>
      <c r="I283" s="326"/>
      <c r="J283" s="324"/>
    </row>
    <row r="284" spans="2:10" ht="18" x14ac:dyDescent="0.25">
      <c r="B284" s="323" t="s">
        <v>1537</v>
      </c>
      <c r="C284" s="324" t="s">
        <v>1245</v>
      </c>
      <c r="D284" s="324">
        <f>2*A_MN</f>
        <v>28.013400000000001</v>
      </c>
      <c r="E284" s="325"/>
      <c r="F284" s="325"/>
      <c r="G284" s="324" t="s">
        <v>1534</v>
      </c>
      <c r="H284" s="326"/>
      <c r="I284" s="326"/>
      <c r="J284" s="324"/>
    </row>
    <row r="285" spans="2:10" ht="18" x14ac:dyDescent="0.25">
      <c r="B285" s="323" t="s">
        <v>1538</v>
      </c>
      <c r="C285" s="324" t="s">
        <v>1246</v>
      </c>
      <c r="D285" s="324">
        <v>12.0107</v>
      </c>
      <c r="E285" s="325"/>
      <c r="F285" s="325"/>
      <c r="G285" s="324" t="s">
        <v>641</v>
      </c>
      <c r="H285" s="326"/>
      <c r="I285" s="326"/>
      <c r="J285" s="324" t="s">
        <v>1539</v>
      </c>
    </row>
    <row r="286" spans="2:10" ht="18" x14ac:dyDescent="0.25">
      <c r="B286" s="323" t="s">
        <v>1540</v>
      </c>
      <c r="C286" s="324" t="s">
        <v>1247</v>
      </c>
      <c r="D286" s="324">
        <f>2*A_MO</f>
        <v>31.998799999999999</v>
      </c>
      <c r="E286" s="325"/>
      <c r="F286" s="325"/>
      <c r="G286" s="324" t="s">
        <v>641</v>
      </c>
      <c r="H286" s="326"/>
      <c r="I286" s="326"/>
      <c r="J286" s="324"/>
    </row>
    <row r="287" spans="2:10" ht="18" x14ac:dyDescent="0.25">
      <c r="B287" s="323" t="s">
        <v>905</v>
      </c>
      <c r="C287" s="324" t="s">
        <v>1248</v>
      </c>
      <c r="D287" s="324">
        <v>63.997599999999998</v>
      </c>
      <c r="E287" s="325"/>
      <c r="F287" s="325"/>
      <c r="G287" s="324" t="s">
        <v>1541</v>
      </c>
      <c r="H287" s="326"/>
      <c r="I287" s="326"/>
      <c r="J287" s="324"/>
    </row>
    <row r="288" spans="2:10" ht="18" x14ac:dyDescent="0.25">
      <c r="B288" s="323" t="s">
        <v>906</v>
      </c>
      <c r="C288" s="324" t="s">
        <v>1249</v>
      </c>
      <c r="D288" s="324">
        <f>2*7.9997</f>
        <v>15.9994</v>
      </c>
      <c r="E288" s="325"/>
      <c r="F288" s="325"/>
      <c r="G288" s="324" t="s">
        <v>1541</v>
      </c>
      <c r="H288" s="326"/>
      <c r="I288" s="326"/>
      <c r="J288" s="324"/>
    </row>
    <row r="289" spans="2:10" ht="18" x14ac:dyDescent="0.25">
      <c r="B289" s="323" t="s">
        <v>1542</v>
      </c>
      <c r="C289" s="324" t="s">
        <v>1543</v>
      </c>
      <c r="D289" s="324">
        <f>A_MS</f>
        <v>32.064999999999998</v>
      </c>
      <c r="E289" s="325"/>
      <c r="F289" s="325"/>
      <c r="G289" s="324" t="s">
        <v>1544</v>
      </c>
      <c r="H289" s="326"/>
      <c r="I289" s="326"/>
      <c r="J289" s="324"/>
    </row>
    <row r="291" spans="2:10" ht="15.75" thickBot="1" x14ac:dyDescent="0.3">
      <c r="C291" s="327" t="s">
        <v>907</v>
      </c>
    </row>
    <row r="292" spans="2:10" ht="15.75" thickBot="1" x14ac:dyDescent="0.3">
      <c r="B292" s="328" t="s">
        <v>0</v>
      </c>
      <c r="C292" s="329" t="s">
        <v>1</v>
      </c>
      <c r="D292" s="330" t="s">
        <v>149</v>
      </c>
      <c r="E292" s="330" t="s">
        <v>578</v>
      </c>
      <c r="F292" s="330" t="s">
        <v>579</v>
      </c>
      <c r="G292" s="330" t="s">
        <v>2</v>
      </c>
      <c r="H292" s="330" t="s">
        <v>545</v>
      </c>
      <c r="I292" s="330" t="s">
        <v>113</v>
      </c>
      <c r="J292" s="331" t="s">
        <v>114</v>
      </c>
    </row>
    <row r="293" spans="2:10" ht="18" x14ac:dyDescent="0.25">
      <c r="B293" s="323" t="s">
        <v>1136</v>
      </c>
      <c r="C293" s="324" t="s">
        <v>1545</v>
      </c>
      <c r="D293" s="324">
        <f>10^-13.997</f>
        <v>1.0069316688518014E-14</v>
      </c>
      <c r="E293" s="325"/>
      <c r="F293" s="325"/>
      <c r="G293" s="324"/>
      <c r="H293" s="326"/>
      <c r="I293" s="326"/>
      <c r="J293" s="324" t="s">
        <v>1546</v>
      </c>
    </row>
    <row r="294" spans="2:10" ht="18" x14ac:dyDescent="0.25">
      <c r="B294" s="323" t="s">
        <v>1547</v>
      </c>
      <c r="C294" s="324" t="s">
        <v>1548</v>
      </c>
      <c r="D294" s="324">
        <f>10^-9.244</f>
        <v>5.7016427228074759E-10</v>
      </c>
      <c r="E294" s="325"/>
      <c r="F294" s="325"/>
      <c r="G294" s="324"/>
      <c r="H294" s="326"/>
      <c r="I294" s="326"/>
      <c r="J294" s="324" t="s">
        <v>1549</v>
      </c>
    </row>
    <row r="295" spans="2:10" ht="18" x14ac:dyDescent="0.25">
      <c r="B295" s="323" t="s">
        <v>1550</v>
      </c>
      <c r="C295" s="324" t="s">
        <v>1551</v>
      </c>
      <c r="D295" s="324">
        <f>10^-3.35</f>
        <v>4.4668359215096267E-4</v>
      </c>
      <c r="E295" s="325"/>
      <c r="F295" s="325"/>
      <c r="G295" s="324"/>
      <c r="H295" s="326"/>
      <c r="I295" s="326"/>
      <c r="J295" s="324" t="s">
        <v>1552</v>
      </c>
    </row>
    <row r="296" spans="2:10" ht="18" x14ac:dyDescent="0.25">
      <c r="B296" s="323" t="s">
        <v>1137</v>
      </c>
      <c r="C296" s="324" t="s">
        <v>1553</v>
      </c>
      <c r="D296" s="324">
        <f>10^-6.352</f>
        <v>4.4463126746910741E-7</v>
      </c>
      <c r="E296" s="325"/>
      <c r="F296" s="325"/>
      <c r="G296" s="324"/>
      <c r="H296" s="326"/>
      <c r="I296" s="326"/>
      <c r="J296" s="324" t="s">
        <v>1554</v>
      </c>
    </row>
    <row r="297" spans="2:10" ht="18" x14ac:dyDescent="0.25">
      <c r="B297" s="323" t="s">
        <v>1138</v>
      </c>
      <c r="C297" s="324" t="s">
        <v>1555</v>
      </c>
      <c r="D297" s="324">
        <f>10^-10.329</f>
        <v>4.6881338214526346E-11</v>
      </c>
      <c r="E297" s="325"/>
      <c r="F297" s="325"/>
      <c r="G297" s="324"/>
      <c r="H297" s="326"/>
      <c r="I297" s="326"/>
      <c r="J297" s="324" t="s">
        <v>1556</v>
      </c>
    </row>
    <row r="298" spans="2:10" ht="18" x14ac:dyDescent="0.25">
      <c r="B298" s="323" t="s">
        <v>1139</v>
      </c>
      <c r="C298" s="324" t="s">
        <v>1557</v>
      </c>
      <c r="D298" s="324">
        <f>10^-2.148</f>
        <v>7.1121351365332815E-3</v>
      </c>
      <c r="E298" s="325"/>
      <c r="F298" s="325"/>
      <c r="G298" s="324"/>
      <c r="H298" s="326"/>
      <c r="I298" s="326"/>
      <c r="J298" s="324" t="s">
        <v>1558</v>
      </c>
    </row>
    <row r="299" spans="2:10" ht="18" x14ac:dyDescent="0.25">
      <c r="B299" s="323" t="s">
        <v>1140</v>
      </c>
      <c r="C299" s="324" t="s">
        <v>1559</v>
      </c>
      <c r="D299" s="324">
        <f>10^-7.198</f>
        <v>6.3386971125692633E-8</v>
      </c>
      <c r="E299" s="325"/>
      <c r="F299" s="325"/>
      <c r="G299" s="324"/>
      <c r="H299" s="326"/>
      <c r="I299" s="326"/>
      <c r="J299" s="324" t="s">
        <v>1560</v>
      </c>
    </row>
    <row r="300" spans="2:10" ht="18" x14ac:dyDescent="0.25">
      <c r="B300" s="323" t="s">
        <v>1141</v>
      </c>
      <c r="C300" s="324" t="s">
        <v>1561</v>
      </c>
      <c r="D300" s="324">
        <f>10^-12.375</f>
        <v>4.216965034285812E-13</v>
      </c>
      <c r="E300" s="325"/>
      <c r="F300" s="325"/>
      <c r="G300" s="324"/>
      <c r="H300" s="326"/>
      <c r="I300" s="326"/>
      <c r="J300" s="324" t="s">
        <v>1562</v>
      </c>
    </row>
    <row r="301" spans="2:10" ht="18" x14ac:dyDescent="0.25">
      <c r="B301" s="323" t="s">
        <v>1563</v>
      </c>
      <c r="C301" s="324" t="s">
        <v>1564</v>
      </c>
      <c r="D301" s="324">
        <f>10^-4.757</f>
        <v>1.7498466886246563E-5</v>
      </c>
      <c r="E301" s="325"/>
      <c r="F301" s="325"/>
      <c r="G301" s="324"/>
      <c r="H301" s="326"/>
      <c r="I301" s="326"/>
      <c r="J301" s="324" t="s">
        <v>1565</v>
      </c>
    </row>
    <row r="302" spans="2:10" ht="18" x14ac:dyDescent="0.25">
      <c r="B302" s="323" t="s">
        <v>1566</v>
      </c>
      <c r="C302" s="324" t="s">
        <v>1567</v>
      </c>
      <c r="D302" s="324">
        <f>10^(-7.02)</f>
        <v>9.5499258602143556E-8</v>
      </c>
      <c r="E302" s="325"/>
      <c r="F302" s="325"/>
      <c r="G302" s="324"/>
      <c r="H302" s="326"/>
      <c r="I302" s="326"/>
      <c r="J302" s="324" t="s">
        <v>1568</v>
      </c>
    </row>
    <row r="303" spans="2:10" ht="18" x14ac:dyDescent="0.25">
      <c r="B303" s="323" t="s">
        <v>1569</v>
      </c>
      <c r="C303" s="324" t="s">
        <v>1570</v>
      </c>
      <c r="D303" s="324">
        <f>10^(-17.3)</f>
        <v>5.0118723362726963E-18</v>
      </c>
      <c r="E303" s="325"/>
      <c r="F303" s="325"/>
      <c r="G303" s="324"/>
      <c r="H303" s="326"/>
      <c r="I303" s="326"/>
      <c r="J303" s="324" t="s">
        <v>1568</v>
      </c>
    </row>
    <row r="304" spans="2:10" ht="18" x14ac:dyDescent="0.25">
      <c r="B304" s="323" t="s">
        <v>1571</v>
      </c>
      <c r="C304" s="324" t="s">
        <v>1572</v>
      </c>
      <c r="D304" s="324">
        <f>10^(3)</f>
        <v>1000</v>
      </c>
      <c r="E304" s="325"/>
      <c r="F304" s="325"/>
      <c r="G304" s="324"/>
      <c r="H304" s="326"/>
      <c r="I304" s="326"/>
      <c r="J304" s="324" t="s">
        <v>1573</v>
      </c>
    </row>
    <row r="305" spans="2:10" ht="18" x14ac:dyDescent="0.25">
      <c r="B305" s="323" t="s">
        <v>1574</v>
      </c>
      <c r="C305" s="324" t="s">
        <v>1575</v>
      </c>
      <c r="D305" s="324">
        <f>10^(-1.99)</f>
        <v>1.0232929922807535E-2</v>
      </c>
      <c r="E305" s="325"/>
      <c r="F305" s="325"/>
      <c r="G305" s="324"/>
      <c r="H305" s="326"/>
      <c r="I305" s="326"/>
      <c r="J305" s="324" t="s">
        <v>1576</v>
      </c>
    </row>
    <row r="306" spans="2:10" ht="18" x14ac:dyDescent="0.25">
      <c r="B306" s="323" t="s">
        <v>1577</v>
      </c>
      <c r="C306" s="324" t="s">
        <v>1567</v>
      </c>
      <c r="D306" s="324">
        <f>10^(-7.02)</f>
        <v>9.5499258602143556E-8</v>
      </c>
      <c r="E306" s="325"/>
      <c r="F306" s="325"/>
      <c r="G306" s="324"/>
      <c r="H306" s="326"/>
      <c r="I306" s="326"/>
      <c r="J306" s="324" t="s">
        <v>1576</v>
      </c>
    </row>
    <row r="308" spans="2:10" ht="15.75" thickBot="1" x14ac:dyDescent="0.3">
      <c r="C308" s="327" t="s">
        <v>1578</v>
      </c>
    </row>
    <row r="309" spans="2:10" ht="15.75" thickBot="1" x14ac:dyDescent="0.3">
      <c r="B309" s="328" t="s">
        <v>0</v>
      </c>
      <c r="C309" s="329" t="s">
        <v>1</v>
      </c>
      <c r="D309" s="330" t="s">
        <v>149</v>
      </c>
      <c r="E309" s="330" t="s">
        <v>578</v>
      </c>
      <c r="F309" s="330" t="s">
        <v>579</v>
      </c>
      <c r="G309" s="330" t="s">
        <v>2</v>
      </c>
      <c r="H309" s="330" t="s">
        <v>545</v>
      </c>
      <c r="I309" s="330" t="s">
        <v>113</v>
      </c>
      <c r="J309" s="331" t="s">
        <v>114</v>
      </c>
    </row>
    <row r="310" spans="2:10" ht="18" x14ac:dyDescent="0.25">
      <c r="B310" s="323" t="s">
        <v>1579</v>
      </c>
      <c r="C310" s="324" t="s">
        <v>1580</v>
      </c>
      <c r="D310" s="324">
        <f>10^(-6.35)</f>
        <v>4.4668359215096327E-7</v>
      </c>
      <c r="E310" s="325"/>
      <c r="F310" s="325"/>
      <c r="G310" s="324"/>
      <c r="H310" s="326"/>
      <c r="I310" s="326"/>
      <c r="J310" s="324"/>
    </row>
    <row r="311" spans="2:10" ht="18" x14ac:dyDescent="0.25">
      <c r="B311" s="323" t="s">
        <v>1581</v>
      </c>
      <c r="C311" s="324" t="s">
        <v>1582</v>
      </c>
      <c r="D311" s="324">
        <v>6.9180000000000002E-14</v>
      </c>
      <c r="E311" s="325"/>
      <c r="F311" s="325"/>
      <c r="G311" s="324"/>
      <c r="H311" s="326"/>
      <c r="I311" s="326"/>
      <c r="J311" s="324"/>
    </row>
    <row r="312" spans="2:10" ht="18" x14ac:dyDescent="0.25">
      <c r="B312" s="323" t="s">
        <v>1583</v>
      </c>
      <c r="C312" s="324" t="s">
        <v>1584</v>
      </c>
      <c r="D312" s="324">
        <v>3.162277660168363E-26</v>
      </c>
      <c r="E312" s="325"/>
      <c r="F312" s="325"/>
      <c r="G312" s="324"/>
      <c r="H312" s="326"/>
      <c r="I312" s="326"/>
      <c r="J312" s="324" t="s">
        <v>1585</v>
      </c>
    </row>
    <row r="313" spans="2:10" ht="18" x14ac:dyDescent="0.25">
      <c r="B313" s="323" t="s">
        <v>1586</v>
      </c>
      <c r="C313" s="324" t="s">
        <v>1587</v>
      </c>
      <c r="D313" s="324">
        <v>9.9999999999999994E-37</v>
      </c>
      <c r="E313" s="325"/>
      <c r="F313" s="325"/>
      <c r="G313" s="324"/>
      <c r="H313" s="326"/>
      <c r="I313" s="326"/>
      <c r="J313" s="324" t="s">
        <v>1588</v>
      </c>
    </row>
    <row r="314" spans="2:10" ht="18" x14ac:dyDescent="0.25">
      <c r="B314" s="323" t="s">
        <v>1589</v>
      </c>
      <c r="C314" s="324" t="s">
        <v>1590</v>
      </c>
      <c r="D314" s="324">
        <f>3.7*10^-19</f>
        <v>3.7000000000000001E-19</v>
      </c>
      <c r="E314" s="325"/>
      <c r="F314" s="325"/>
      <c r="G314" s="324"/>
      <c r="H314" s="326"/>
      <c r="I314" s="326"/>
      <c r="J314" s="324"/>
    </row>
    <row r="315" spans="2:10" ht="18" x14ac:dyDescent="0.25">
      <c r="B315" s="323" t="s">
        <v>1591</v>
      </c>
      <c r="C315" s="324" t="s">
        <v>1592</v>
      </c>
      <c r="D315" s="324">
        <v>2.7500000000000001E-22</v>
      </c>
      <c r="E315" s="325"/>
      <c r="F315" s="325"/>
      <c r="G315" s="324"/>
      <c r="H315" s="326"/>
      <c r="I315" s="326"/>
      <c r="J315" s="324"/>
    </row>
    <row r="316" spans="2:10" ht="18" x14ac:dyDescent="0.25">
      <c r="B316" s="323" t="s">
        <v>1593</v>
      </c>
      <c r="C316" s="324" t="s">
        <v>1594</v>
      </c>
      <c r="D316" s="324">
        <f>10^(-16)</f>
        <v>9.9999999999999998E-17</v>
      </c>
      <c r="E316" s="325"/>
      <c r="F316" s="325"/>
      <c r="G316" s="324"/>
      <c r="H316" s="326"/>
      <c r="I316" s="326"/>
      <c r="J316" s="324"/>
    </row>
    <row r="318" spans="2:10" ht="15.75" thickBot="1" x14ac:dyDescent="0.3">
      <c r="C318" s="327" t="s">
        <v>908</v>
      </c>
    </row>
    <row r="319" spans="2:10" ht="15.75" thickBot="1" x14ac:dyDescent="0.3">
      <c r="B319" s="328" t="s">
        <v>0</v>
      </c>
      <c r="C319" s="329" t="s">
        <v>1</v>
      </c>
      <c r="D319" s="330" t="s">
        <v>149</v>
      </c>
      <c r="E319" s="330" t="s">
        <v>578</v>
      </c>
      <c r="F319" s="330" t="s">
        <v>579</v>
      </c>
      <c r="G319" s="330" t="s">
        <v>2</v>
      </c>
      <c r="H319" s="330" t="s">
        <v>545</v>
      </c>
      <c r="I319" s="330" t="s">
        <v>113</v>
      </c>
      <c r="J319" s="331" t="s">
        <v>114</v>
      </c>
    </row>
    <row r="320" spans="2:10" ht="18" x14ac:dyDescent="0.25">
      <c r="B320" s="323" t="s">
        <v>909</v>
      </c>
      <c r="C320" s="324" t="s">
        <v>910</v>
      </c>
      <c r="D320" s="324">
        <f>3*A_MO/(2*A_MN)</f>
        <v>1.7134014435948508</v>
      </c>
      <c r="E320" s="325"/>
      <c r="F320" s="325"/>
      <c r="G320" s="324" t="s">
        <v>1595</v>
      </c>
      <c r="H320" s="326"/>
      <c r="I320" s="326"/>
      <c r="J320" s="324" t="s">
        <v>911</v>
      </c>
    </row>
    <row r="321" spans="2:10" ht="18" x14ac:dyDescent="0.25">
      <c r="B321" s="323" t="s">
        <v>912</v>
      </c>
      <c r="C321" s="324" t="s">
        <v>913</v>
      </c>
      <c r="D321" s="324">
        <f>2*A_MO/(A_MN)</f>
        <v>2.2845352581264677</v>
      </c>
      <c r="E321" s="325"/>
      <c r="F321" s="325"/>
      <c r="G321" s="324" t="s">
        <v>1595</v>
      </c>
      <c r="H321" s="326"/>
      <c r="I321" s="326"/>
      <c r="J321" s="324" t="s">
        <v>911</v>
      </c>
    </row>
    <row r="322" spans="2:10" ht="18" x14ac:dyDescent="0.25">
      <c r="B322" s="323" t="s">
        <v>914</v>
      </c>
      <c r="C322" s="324" t="s">
        <v>915</v>
      </c>
      <c r="D322" s="324">
        <f>2.5*A_MO/(A_MN)</f>
        <v>2.8556690726580851</v>
      </c>
      <c r="E322" s="325"/>
      <c r="F322" s="325"/>
      <c r="G322" s="324" t="s">
        <v>1595</v>
      </c>
      <c r="H322" s="326"/>
      <c r="I322" s="326"/>
      <c r="J322" s="324" t="s">
        <v>911</v>
      </c>
    </row>
    <row r="323" spans="2:10" ht="18" x14ac:dyDescent="0.25">
      <c r="B323" s="323" t="s">
        <v>916</v>
      </c>
      <c r="C323" s="324" t="s">
        <v>917</v>
      </c>
      <c r="D323" s="324">
        <f>3*A_MO/A_MN</f>
        <v>3.4268028871897016</v>
      </c>
      <c r="E323" s="325"/>
      <c r="F323" s="325"/>
      <c r="G323" s="324" t="s">
        <v>1595</v>
      </c>
      <c r="H323" s="326"/>
      <c r="I323" s="326"/>
      <c r="J323" s="324" t="s">
        <v>911</v>
      </c>
    </row>
    <row r="324" spans="2:10" ht="18" x14ac:dyDescent="0.25">
      <c r="B324" s="323" t="s">
        <v>918</v>
      </c>
      <c r="C324" s="324" t="s">
        <v>919</v>
      </c>
      <c r="D324" s="324">
        <f>4*A_MO/A_MN</f>
        <v>4.5690705162529355</v>
      </c>
      <c r="E324" s="325"/>
      <c r="F324" s="325"/>
      <c r="G324" s="324" t="s">
        <v>1595</v>
      </c>
      <c r="H324" s="326"/>
      <c r="I324" s="326"/>
      <c r="J324" s="324" t="s">
        <v>911</v>
      </c>
    </row>
    <row r="325" spans="2:10" ht="18" x14ac:dyDescent="0.25">
      <c r="B325" s="323" t="s">
        <v>1142</v>
      </c>
      <c r="C325" s="324" t="s">
        <v>920</v>
      </c>
      <c r="D325" s="324">
        <f>A_MO/A_MN</f>
        <v>1.1422676290632339</v>
      </c>
      <c r="E325" s="325"/>
      <c r="F325" s="325"/>
      <c r="G325" s="324" t="s">
        <v>1595</v>
      </c>
      <c r="H325" s="326"/>
      <c r="I325" s="326"/>
      <c r="J325" s="324"/>
    </row>
    <row r="326" spans="2:10" ht="18" x14ac:dyDescent="0.25">
      <c r="B326" s="323" t="s">
        <v>1143</v>
      </c>
      <c r="C326" s="324" t="s">
        <v>921</v>
      </c>
      <c r="D326" s="324">
        <f>3*A_MO/(2*A_MN)</f>
        <v>1.7134014435948508</v>
      </c>
      <c r="E326" s="325"/>
      <c r="F326" s="325"/>
      <c r="G326" s="324" t="s">
        <v>1595</v>
      </c>
      <c r="H326" s="326"/>
      <c r="I326" s="326"/>
      <c r="J326" s="324"/>
    </row>
    <row r="327" spans="2:10" ht="18" x14ac:dyDescent="0.25">
      <c r="B327" s="323" t="s">
        <v>1144</v>
      </c>
      <c r="C327" s="324" t="s">
        <v>922</v>
      </c>
      <c r="D327" s="324">
        <f>0.5*A_MO/A_MN</f>
        <v>0.57113381453161693</v>
      </c>
      <c r="E327" s="325"/>
      <c r="F327" s="325"/>
      <c r="G327" s="324" t="s">
        <v>1595</v>
      </c>
      <c r="H327" s="326"/>
      <c r="I327" s="326"/>
      <c r="J327" s="324"/>
    </row>
    <row r="328" spans="2:10" ht="18" x14ac:dyDescent="0.25">
      <c r="B328" s="323" t="s">
        <v>1145</v>
      </c>
      <c r="C328" s="324" t="s">
        <v>923</v>
      </c>
      <c r="D328" s="324">
        <f>0.5*A_MO/A_MN</f>
        <v>0.57113381453161693</v>
      </c>
      <c r="E328" s="325"/>
      <c r="F328" s="325"/>
      <c r="G328" s="324" t="s">
        <v>1595</v>
      </c>
      <c r="H328" s="326"/>
      <c r="I328" s="326"/>
      <c r="J328" s="324"/>
    </row>
    <row r="329" spans="2:10" ht="18" x14ac:dyDescent="0.25">
      <c r="B329" s="323" t="s">
        <v>1146</v>
      </c>
      <c r="C329" s="324" t="s">
        <v>924</v>
      </c>
      <c r="D329" s="324">
        <f>0.5*A_MO/A_MN</f>
        <v>0.57113381453161693</v>
      </c>
      <c r="E329" s="325"/>
      <c r="F329" s="325"/>
      <c r="G329" s="324" t="s">
        <v>1595</v>
      </c>
      <c r="H329" s="326"/>
      <c r="I329" s="326"/>
      <c r="J329" s="324"/>
    </row>
    <row r="330" spans="2:10" ht="18" x14ac:dyDescent="0.25">
      <c r="B330" s="323" t="s">
        <v>1250</v>
      </c>
      <c r="C330" s="324" t="s">
        <v>925</v>
      </c>
      <c r="D330" s="324">
        <f>5*A_MO/(2*A_MN)</f>
        <v>2.8556690726580851</v>
      </c>
      <c r="E330" s="325"/>
      <c r="F330" s="325"/>
      <c r="G330" s="324" t="s">
        <v>1595</v>
      </c>
      <c r="H330" s="326"/>
      <c r="I330" s="326"/>
      <c r="J330" s="324"/>
    </row>
    <row r="331" spans="2:10" ht="18" x14ac:dyDescent="0.25">
      <c r="B331" s="323" t="s">
        <v>1596</v>
      </c>
      <c r="C331" s="324" t="s">
        <v>1597</v>
      </c>
      <c r="D331" s="324">
        <f>8/A_MFe</f>
        <v>0.14325364849136002</v>
      </c>
      <c r="E331" s="325"/>
      <c r="F331" s="325"/>
      <c r="G331" s="324" t="s">
        <v>1598</v>
      </c>
      <c r="H331" s="326"/>
      <c r="I331" s="326"/>
      <c r="J331" s="324"/>
    </row>
    <row r="332" spans="2:10" ht="18" x14ac:dyDescent="0.25">
      <c r="B332" s="323" t="s">
        <v>1599</v>
      </c>
      <c r="C332" s="324" t="s">
        <v>1600</v>
      </c>
      <c r="D332" s="324">
        <f>3*A_MO/(A_MS)</f>
        <v>1.4969031654451894</v>
      </c>
      <c r="E332" s="325"/>
      <c r="F332" s="325"/>
      <c r="G332" s="324" t="s">
        <v>1601</v>
      </c>
      <c r="H332" s="326"/>
      <c r="I332" s="326"/>
      <c r="J332" s="324" t="s">
        <v>1602</v>
      </c>
    </row>
    <row r="333" spans="2:10" ht="18" x14ac:dyDescent="0.25">
      <c r="B333" s="323" t="s">
        <v>1320</v>
      </c>
      <c r="C333" s="324" t="s">
        <v>1251</v>
      </c>
      <c r="D333" s="324">
        <f>4*A_MO/(A_MS)</f>
        <v>1.9958708872602526</v>
      </c>
      <c r="E333" s="325"/>
      <c r="F333" s="325"/>
      <c r="G333" s="324" t="s">
        <v>1603</v>
      </c>
      <c r="H333" s="326"/>
      <c r="I333" s="326"/>
      <c r="J333" s="324" t="s">
        <v>1602</v>
      </c>
    </row>
    <row r="335" spans="2:10" ht="15.75" thickBot="1" x14ac:dyDescent="0.3">
      <c r="C335" s="327" t="s">
        <v>1147</v>
      </c>
    </row>
    <row r="336" spans="2:10" ht="15.75" thickBot="1" x14ac:dyDescent="0.3">
      <c r="B336" s="328" t="s">
        <v>0</v>
      </c>
      <c r="C336" s="329" t="s">
        <v>1</v>
      </c>
      <c r="D336" s="330" t="s">
        <v>149</v>
      </c>
      <c r="E336" s="330" t="s">
        <v>578</v>
      </c>
      <c r="F336" s="330" t="s">
        <v>579</v>
      </c>
      <c r="G336" s="330" t="s">
        <v>2</v>
      </c>
      <c r="H336" s="330" t="s">
        <v>545</v>
      </c>
      <c r="I336" s="330" t="s">
        <v>113</v>
      </c>
      <c r="J336" s="331" t="s">
        <v>114</v>
      </c>
    </row>
    <row r="337" spans="2:10" ht="18" x14ac:dyDescent="0.25">
      <c r="B337" s="323" t="s">
        <v>1148</v>
      </c>
      <c r="C337" s="324" t="s">
        <v>1149</v>
      </c>
      <c r="D337" s="324">
        <v>0.5</v>
      </c>
      <c r="E337" s="325"/>
      <c r="F337" s="325"/>
      <c r="G337" s="324"/>
      <c r="H337" s="326"/>
      <c r="I337" s="326"/>
      <c r="J337" s="324" t="s">
        <v>1252</v>
      </c>
    </row>
    <row r="338" spans="2:10" ht="18" x14ac:dyDescent="0.25">
      <c r="B338" s="323" t="s">
        <v>1150</v>
      </c>
      <c r="C338" s="324" t="s">
        <v>1151</v>
      </c>
      <c r="D338" s="324">
        <v>0.5</v>
      </c>
      <c r="E338" s="325"/>
      <c r="F338" s="325"/>
      <c r="G338" s="324"/>
      <c r="H338" s="326"/>
      <c r="I338" s="326"/>
      <c r="J338" s="324" t="s">
        <v>1253</v>
      </c>
    </row>
    <row r="339" spans="2:10" ht="18" x14ac:dyDescent="0.25">
      <c r="B339" s="323" t="s">
        <v>1152</v>
      </c>
      <c r="C339" s="324" t="s">
        <v>1153</v>
      </c>
      <c r="D339" s="324">
        <v>2</v>
      </c>
      <c r="E339" s="325"/>
      <c r="F339" s="325"/>
      <c r="G339" s="324"/>
      <c r="H339" s="326"/>
      <c r="I339" s="326"/>
      <c r="J339" s="324" t="s">
        <v>1254</v>
      </c>
    </row>
    <row r="340" spans="2:10" ht="18" x14ac:dyDescent="0.25">
      <c r="B340" s="323" t="s">
        <v>1154</v>
      </c>
      <c r="C340" s="324" t="s">
        <v>1155</v>
      </c>
      <c r="D340" s="324">
        <v>2</v>
      </c>
      <c r="E340" s="325"/>
      <c r="F340" s="325"/>
      <c r="G340" s="324"/>
      <c r="H340" s="326"/>
      <c r="I340" s="326"/>
      <c r="J340" s="324" t="s">
        <v>1255</v>
      </c>
    </row>
    <row r="341" spans="2:10" ht="18" x14ac:dyDescent="0.25">
      <c r="B341" s="323" t="s">
        <v>1156</v>
      </c>
      <c r="C341" s="324" t="s">
        <v>1157</v>
      </c>
      <c r="D341" s="324">
        <v>4.5</v>
      </c>
      <c r="E341" s="325"/>
      <c r="F341" s="325"/>
      <c r="G341" s="324"/>
      <c r="H341" s="326"/>
      <c r="I341" s="326"/>
      <c r="J341" s="324" t="s">
        <v>1256</v>
      </c>
    </row>
    <row r="342" spans="2:10" ht="18" x14ac:dyDescent="0.25">
      <c r="B342" s="323" t="s">
        <v>1158</v>
      </c>
      <c r="C342" s="324" t="s">
        <v>1159</v>
      </c>
      <c r="D342" s="324">
        <v>4.5</v>
      </c>
      <c r="E342" s="325"/>
      <c r="F342" s="325"/>
      <c r="G342" s="324"/>
      <c r="H342" s="326"/>
      <c r="I342" s="326"/>
      <c r="J342" s="324" t="s">
        <v>1257</v>
      </c>
    </row>
    <row r="344" spans="2:10" ht="15.75" thickBot="1" x14ac:dyDescent="0.3">
      <c r="C344" s="327" t="s">
        <v>1160</v>
      </c>
    </row>
    <row r="345" spans="2:10" ht="15.75" thickBot="1" x14ac:dyDescent="0.3">
      <c r="B345" s="328" t="s">
        <v>0</v>
      </c>
      <c r="C345" s="329" t="s">
        <v>1</v>
      </c>
      <c r="D345" s="330" t="s">
        <v>149</v>
      </c>
      <c r="E345" s="330" t="s">
        <v>578</v>
      </c>
      <c r="F345" s="330" t="s">
        <v>579</v>
      </c>
      <c r="G345" s="330" t="s">
        <v>2</v>
      </c>
      <c r="H345" s="330" t="s">
        <v>545</v>
      </c>
      <c r="I345" s="330" t="s">
        <v>113</v>
      </c>
      <c r="J345" s="331" t="s">
        <v>114</v>
      </c>
    </row>
    <row r="346" spans="2:10" ht="18" x14ac:dyDescent="0.25">
      <c r="B346" s="323" t="s">
        <v>1161</v>
      </c>
      <c r="C346" s="324" t="s">
        <v>1162</v>
      </c>
      <c r="D346" s="324">
        <v>6.4135999999999997E-5</v>
      </c>
      <c r="E346" s="325"/>
      <c r="F346" s="325"/>
      <c r="G346" s="324" t="s">
        <v>1163</v>
      </c>
      <c r="H346" s="326"/>
      <c r="I346" s="326"/>
      <c r="J346" s="324" t="s">
        <v>1604</v>
      </c>
    </row>
    <row r="348" spans="2:10" ht="15.75" thickBot="1" x14ac:dyDescent="0.3">
      <c r="C348" s="327" t="s">
        <v>1160</v>
      </c>
    </row>
    <row r="349" spans="2:10" ht="15.75" thickBot="1" x14ac:dyDescent="0.3">
      <c r="B349" s="328" t="s">
        <v>0</v>
      </c>
      <c r="C349" s="329" t="s">
        <v>1</v>
      </c>
      <c r="D349" s="330" t="s">
        <v>149</v>
      </c>
      <c r="E349" s="330" t="s">
        <v>578</v>
      </c>
      <c r="F349" s="330" t="s">
        <v>579</v>
      </c>
      <c r="G349" s="330" t="s">
        <v>2</v>
      </c>
      <c r="H349" s="330" t="s">
        <v>545</v>
      </c>
      <c r="I349" s="330" t="s">
        <v>113</v>
      </c>
      <c r="J349" s="331" t="s">
        <v>114</v>
      </c>
    </row>
    <row r="350" spans="2:10" ht="18" x14ac:dyDescent="0.25">
      <c r="B350" s="323" t="s">
        <v>1605</v>
      </c>
      <c r="C350" s="324" t="s">
        <v>1606</v>
      </c>
      <c r="D350" s="324">
        <v>0.6</v>
      </c>
      <c r="E350" s="325" t="s">
        <v>1327</v>
      </c>
      <c r="F350" s="325" t="s">
        <v>1607</v>
      </c>
      <c r="G350" s="324" t="s">
        <v>1608</v>
      </c>
      <c r="H350" s="326"/>
      <c r="I350" s="326"/>
      <c r="J350" s="324" t="s">
        <v>1609</v>
      </c>
    </row>
    <row r="352" spans="2:10" ht="15.75" thickBot="1" x14ac:dyDescent="0.3">
      <c r="C352" s="327" t="s">
        <v>1164</v>
      </c>
    </row>
    <row r="353" spans="2:10" ht="15.75" thickBot="1" x14ac:dyDescent="0.3">
      <c r="B353" s="328" t="s">
        <v>0</v>
      </c>
      <c r="C353" s="329" t="s">
        <v>1</v>
      </c>
      <c r="D353" s="330" t="s">
        <v>149</v>
      </c>
      <c r="E353" s="330" t="s">
        <v>578</v>
      </c>
      <c r="F353" s="330" t="s">
        <v>579</v>
      </c>
      <c r="G353" s="330" t="s">
        <v>2</v>
      </c>
      <c r="H353" s="330" t="s">
        <v>545</v>
      </c>
      <c r="I353" s="330" t="s">
        <v>113</v>
      </c>
      <c r="J353" s="331" t="s">
        <v>114</v>
      </c>
    </row>
    <row r="354" spans="2:10" ht="18" x14ac:dyDescent="0.25">
      <c r="B354" s="323" t="s">
        <v>1165</v>
      </c>
      <c r="C354" s="324" t="s">
        <v>1166</v>
      </c>
      <c r="D354" s="324">
        <v>1000000</v>
      </c>
      <c r="E354" s="325"/>
      <c r="F354" s="325"/>
      <c r="G354" s="324" t="s">
        <v>1610</v>
      </c>
      <c r="H354" s="326"/>
      <c r="I354" s="326"/>
      <c r="J354" s="324"/>
    </row>
    <row r="355" spans="2:10" ht="18" x14ac:dyDescent="0.25">
      <c r="B355" s="323" t="s">
        <v>1352</v>
      </c>
      <c r="C355" s="324" t="s">
        <v>1353</v>
      </c>
      <c r="D355" s="324">
        <v>100</v>
      </c>
      <c r="E355" s="325"/>
      <c r="F355" s="325"/>
      <c r="G355" s="324" t="s">
        <v>1611</v>
      </c>
      <c r="H355" s="326"/>
      <c r="I355" s="326"/>
      <c r="J355" s="324"/>
    </row>
    <row r="356" spans="2:10" ht="18" x14ac:dyDescent="0.25">
      <c r="B356" s="323" t="s">
        <v>1354</v>
      </c>
      <c r="C356" s="324" t="s">
        <v>1355</v>
      </c>
      <c r="D356" s="324">
        <v>100</v>
      </c>
      <c r="E356" s="325"/>
      <c r="F356" s="325"/>
      <c r="G356" s="324" t="s">
        <v>1356</v>
      </c>
      <c r="H356" s="326"/>
      <c r="I356" s="326"/>
      <c r="J356" s="324"/>
    </row>
    <row r="357" spans="2:10" ht="18" x14ac:dyDescent="0.25">
      <c r="B357" s="323" t="s">
        <v>1167</v>
      </c>
      <c r="C357" s="324" t="s">
        <v>1612</v>
      </c>
      <c r="D357" s="324">
        <v>86400</v>
      </c>
      <c r="E357" s="325"/>
      <c r="F357" s="325"/>
      <c r="G357" s="324" t="s">
        <v>1613</v>
      </c>
      <c r="H357" s="326"/>
      <c r="I357" s="326"/>
      <c r="J357" s="324"/>
    </row>
    <row r="358" spans="2:10" ht="18" x14ac:dyDescent="0.25">
      <c r="B358" s="323" t="s">
        <v>1614</v>
      </c>
      <c r="C358" s="324" t="s">
        <v>1615</v>
      </c>
      <c r="D358" s="324">
        <v>3600</v>
      </c>
      <c r="E358" s="325"/>
      <c r="F358" s="325"/>
      <c r="G358" s="324" t="s">
        <v>1616</v>
      </c>
      <c r="H358" s="326"/>
      <c r="I358" s="326"/>
      <c r="J358" s="324"/>
    </row>
    <row r="359" spans="2:10" ht="18" x14ac:dyDescent="0.25">
      <c r="B359" s="323" t="s">
        <v>1617</v>
      </c>
      <c r="C359" s="324" t="s">
        <v>1618</v>
      </c>
      <c r="D359" s="324">
        <v>60</v>
      </c>
      <c r="E359" s="325"/>
      <c r="F359" s="325"/>
      <c r="G359" s="324" t="s">
        <v>1619</v>
      </c>
      <c r="H359" s="326"/>
      <c r="I359" s="326"/>
      <c r="J359" s="324"/>
    </row>
    <row r="360" spans="2:10" ht="18" x14ac:dyDescent="0.25">
      <c r="B360" s="323" t="s">
        <v>1620</v>
      </c>
      <c r="C360" s="324" t="s">
        <v>1621</v>
      </c>
      <c r="D360" s="324">
        <v>24</v>
      </c>
      <c r="E360" s="325"/>
      <c r="F360" s="325"/>
      <c r="G360" s="324" t="s">
        <v>1622</v>
      </c>
      <c r="H360" s="326"/>
      <c r="I360" s="326"/>
      <c r="J360" s="324"/>
    </row>
    <row r="361" spans="2:10" ht="18" x14ac:dyDescent="0.25">
      <c r="B361" s="323" t="s">
        <v>1623</v>
      </c>
      <c r="C361" s="324" t="s">
        <v>1624</v>
      </c>
      <c r="D361" s="324">
        <v>86400000</v>
      </c>
      <c r="E361" s="325"/>
      <c r="F361" s="325"/>
      <c r="G361" s="324" t="s">
        <v>1625</v>
      </c>
      <c r="H361" s="326"/>
      <c r="I361" s="326"/>
      <c r="J361" s="324"/>
    </row>
    <row r="362" spans="2:10" ht="18" x14ac:dyDescent="0.25">
      <c r="B362" s="323" t="s">
        <v>1258</v>
      </c>
      <c r="C362" s="324" t="s">
        <v>1259</v>
      </c>
      <c r="D362" s="324">
        <v>3600000</v>
      </c>
      <c r="E362" s="325"/>
      <c r="F362" s="325"/>
      <c r="G362" s="324" t="s">
        <v>1260</v>
      </c>
      <c r="H362" s="326"/>
      <c r="I362" s="326"/>
      <c r="J362" s="324"/>
    </row>
    <row r="363" spans="2:10" ht="18" x14ac:dyDescent="0.25">
      <c r="B363" s="323" t="s">
        <v>1626</v>
      </c>
      <c r="C363" s="324" t="s">
        <v>1627</v>
      </c>
      <c r="D363" s="324">
        <v>60000</v>
      </c>
      <c r="E363" s="325"/>
      <c r="F363" s="325"/>
      <c r="G363" s="324" t="s">
        <v>1628</v>
      </c>
      <c r="H363" s="326"/>
      <c r="I363" s="326"/>
      <c r="J363" s="324"/>
    </row>
    <row r="364" spans="2:10" ht="18" x14ac:dyDescent="0.25">
      <c r="B364" s="323" t="s">
        <v>1629</v>
      </c>
      <c r="C364" s="324" t="s">
        <v>1630</v>
      </c>
      <c r="D364" s="324">
        <v>1000</v>
      </c>
      <c r="E364" s="325"/>
      <c r="F364" s="325"/>
      <c r="G364" s="324" t="s">
        <v>1631</v>
      </c>
      <c r="H364" s="326"/>
      <c r="I364" s="326"/>
      <c r="J364" s="324"/>
    </row>
    <row r="365" spans="2:10" ht="18" x14ac:dyDescent="0.25">
      <c r="B365" s="323" t="s">
        <v>1168</v>
      </c>
      <c r="C365" s="324" t="s">
        <v>1169</v>
      </c>
      <c r="D365" s="324">
        <v>1000</v>
      </c>
      <c r="E365" s="325"/>
      <c r="F365" s="325"/>
      <c r="G365" s="324" t="s">
        <v>1632</v>
      </c>
      <c r="H365" s="326"/>
      <c r="I365" s="326"/>
      <c r="J365" s="324"/>
    </row>
    <row r="366" spans="2:10" ht="18" x14ac:dyDescent="0.25">
      <c r="B366" s="323" t="s">
        <v>1170</v>
      </c>
      <c r="C366" s="324" t="s">
        <v>1171</v>
      </c>
      <c r="D366" s="324">
        <v>1000</v>
      </c>
      <c r="E366" s="325"/>
      <c r="F366" s="325"/>
      <c r="G366" s="324" t="s">
        <v>1633</v>
      </c>
      <c r="H366" s="326"/>
      <c r="I366" s="326"/>
      <c r="J366" s="324"/>
    </row>
    <row r="367" spans="2:10" ht="18" x14ac:dyDescent="0.25">
      <c r="B367" s="323" t="s">
        <v>1172</v>
      </c>
      <c r="C367" s="324" t="s">
        <v>1634</v>
      </c>
      <c r="D367" s="324">
        <v>1000</v>
      </c>
      <c r="E367" s="325"/>
      <c r="F367" s="325"/>
      <c r="G367" s="324" t="s">
        <v>1635</v>
      </c>
      <c r="H367" s="326"/>
      <c r="I367" s="326"/>
      <c r="J367" s="324"/>
    </row>
    <row r="368" spans="2:10" ht="18" x14ac:dyDescent="0.25">
      <c r="B368" s="332" t="s">
        <v>1636</v>
      </c>
      <c r="C368" s="332" t="s">
        <v>1637</v>
      </c>
      <c r="D368" s="332">
        <v>1000</v>
      </c>
      <c r="E368" s="332"/>
      <c r="F368" s="332"/>
      <c r="G368" s="332" t="s">
        <v>1638</v>
      </c>
      <c r="H368" s="332"/>
      <c r="I368" s="332"/>
      <c r="J368" s="332"/>
    </row>
    <row r="369" spans="2:10" ht="18" x14ac:dyDescent="0.25">
      <c r="B369" s="323" t="s">
        <v>1173</v>
      </c>
      <c r="C369" s="324" t="s">
        <v>1639</v>
      </c>
      <c r="D369" s="324">
        <v>133.32236800000001</v>
      </c>
      <c r="E369" s="325"/>
      <c r="F369" s="325"/>
      <c r="G369" s="324" t="s">
        <v>1640</v>
      </c>
      <c r="H369" s="326"/>
      <c r="I369" s="326"/>
      <c r="J369" s="324"/>
    </row>
    <row r="370" spans="2:10" ht="18" x14ac:dyDescent="0.25">
      <c r="B370" s="323" t="s">
        <v>1174</v>
      </c>
      <c r="C370" s="324" t="s">
        <v>1641</v>
      </c>
      <c r="D370" s="324">
        <v>100000</v>
      </c>
      <c r="E370" s="325"/>
      <c r="F370" s="325"/>
      <c r="G370" s="324" t="s">
        <v>1642</v>
      </c>
      <c r="H370" s="326"/>
      <c r="I370" s="326"/>
      <c r="J370" s="324"/>
    </row>
    <row r="371" spans="2:10" ht="18" x14ac:dyDescent="0.25">
      <c r="B371" s="323" t="s">
        <v>1643</v>
      </c>
      <c r="C371" s="324" t="s">
        <v>1644</v>
      </c>
      <c r="D371" s="324">
        <v>100</v>
      </c>
      <c r="E371" s="325"/>
      <c r="F371" s="325"/>
      <c r="G371" s="324" t="s">
        <v>1645</v>
      </c>
      <c r="H371" s="326"/>
      <c r="I371" s="326"/>
      <c r="J371" s="324"/>
    </row>
    <row r="372" spans="2:10" ht="18" x14ac:dyDescent="0.25">
      <c r="B372" s="323" t="s">
        <v>1175</v>
      </c>
      <c r="C372" s="324" t="s">
        <v>1646</v>
      </c>
      <c r="D372" s="324">
        <v>10000</v>
      </c>
      <c r="E372" s="325"/>
      <c r="F372" s="325"/>
      <c r="G372" s="324" t="s">
        <v>1645</v>
      </c>
      <c r="H372" s="326"/>
      <c r="I372" s="326"/>
      <c r="J372" s="324"/>
    </row>
    <row r="373" spans="2:10" ht="18" x14ac:dyDescent="0.25">
      <c r="B373" s="323" t="s">
        <v>1647</v>
      </c>
      <c r="C373" s="324" t="s">
        <v>1648</v>
      </c>
      <c r="D373" s="324">
        <v>1000000</v>
      </c>
      <c r="E373" s="325"/>
      <c r="F373" s="325"/>
      <c r="G373" s="324" t="s">
        <v>1649</v>
      </c>
      <c r="H373" s="326"/>
      <c r="I373" s="326"/>
      <c r="J373" s="324"/>
    </row>
    <row r="375" spans="2:10" ht="15.75" thickBot="1" x14ac:dyDescent="0.3">
      <c r="C375" s="327" t="s">
        <v>1176</v>
      </c>
    </row>
    <row r="376" spans="2:10" ht="15.75" thickBot="1" x14ac:dyDescent="0.3">
      <c r="B376" s="328" t="s">
        <v>0</v>
      </c>
      <c r="C376" s="329" t="s">
        <v>1</v>
      </c>
      <c r="D376" s="330" t="s">
        <v>149</v>
      </c>
      <c r="E376" s="330" t="s">
        <v>578</v>
      </c>
      <c r="F376" s="330" t="s">
        <v>579</v>
      </c>
      <c r="G376" s="330" t="s">
        <v>2</v>
      </c>
      <c r="H376" s="330" t="s">
        <v>545</v>
      </c>
      <c r="I376" s="330" t="s">
        <v>113</v>
      </c>
      <c r="J376" s="331" t="s">
        <v>114</v>
      </c>
    </row>
    <row r="377" spans="2:10" ht="18" x14ac:dyDescent="0.25">
      <c r="B377" s="323" t="s">
        <v>1261</v>
      </c>
      <c r="C377" s="324" t="s">
        <v>1177</v>
      </c>
      <c r="D377" s="324">
        <v>0</v>
      </c>
      <c r="E377" s="325"/>
      <c r="F377" s="325"/>
      <c r="G377" s="324" t="s">
        <v>1650</v>
      </c>
      <c r="H377" s="326"/>
      <c r="I377" s="326"/>
      <c r="J377" s="324" t="s">
        <v>1178</v>
      </c>
    </row>
    <row r="378" spans="2:10" ht="18" x14ac:dyDescent="0.25">
      <c r="B378" s="323" t="s">
        <v>1262</v>
      </c>
      <c r="C378" s="324" t="s">
        <v>1179</v>
      </c>
      <c r="D378" s="324">
        <v>-285840</v>
      </c>
      <c r="E378" s="325"/>
      <c r="F378" s="325"/>
      <c r="G378" s="324" t="s">
        <v>1650</v>
      </c>
      <c r="H378" s="326"/>
      <c r="I378" s="326"/>
      <c r="J378" s="324" t="s">
        <v>1180</v>
      </c>
    </row>
    <row r="379" spans="2:10" ht="18" x14ac:dyDescent="0.25">
      <c r="B379" s="323" t="s">
        <v>1263</v>
      </c>
      <c r="C379" s="324" t="s">
        <v>1181</v>
      </c>
      <c r="D379" s="324">
        <v>-229994</v>
      </c>
      <c r="E379" s="325"/>
      <c r="F379" s="325"/>
      <c r="G379" s="324" t="s">
        <v>1650</v>
      </c>
      <c r="H379" s="326"/>
      <c r="I379" s="326"/>
      <c r="J379" s="324" t="s">
        <v>1178</v>
      </c>
    </row>
    <row r="380" spans="2:10" ht="18" x14ac:dyDescent="0.25">
      <c r="B380" s="323" t="s">
        <v>1264</v>
      </c>
      <c r="C380" s="324" t="s">
        <v>1182</v>
      </c>
      <c r="D380" s="324">
        <v>-80920</v>
      </c>
      <c r="E380" s="325"/>
      <c r="F380" s="325"/>
      <c r="G380" s="324" t="s">
        <v>1650</v>
      </c>
      <c r="H380" s="326"/>
      <c r="I380" s="326"/>
      <c r="J380" s="324" t="s">
        <v>1178</v>
      </c>
    </row>
    <row r="381" spans="2:10" ht="18" x14ac:dyDescent="0.25">
      <c r="B381" s="323" t="s">
        <v>1265</v>
      </c>
      <c r="C381" s="324" t="s">
        <v>1183</v>
      </c>
      <c r="D381" s="324">
        <v>-132510</v>
      </c>
      <c r="E381" s="325"/>
      <c r="F381" s="325"/>
      <c r="G381" s="324" t="s">
        <v>1650</v>
      </c>
      <c r="H381" s="326"/>
      <c r="I381" s="326"/>
      <c r="J381" s="324" t="s">
        <v>1178</v>
      </c>
    </row>
    <row r="382" spans="2:10" ht="18" x14ac:dyDescent="0.25">
      <c r="B382" s="323" t="s">
        <v>1266</v>
      </c>
      <c r="C382" s="324" t="s">
        <v>1184</v>
      </c>
      <c r="D382" s="324">
        <v>-119200</v>
      </c>
      <c r="E382" s="325"/>
      <c r="F382" s="325"/>
      <c r="G382" s="324" t="s">
        <v>1650</v>
      </c>
      <c r="H382" s="326"/>
      <c r="I382" s="326"/>
      <c r="J382" s="324" t="s">
        <v>1178</v>
      </c>
    </row>
    <row r="383" spans="2:10" ht="18" x14ac:dyDescent="0.25">
      <c r="B383" s="323" t="s">
        <v>1267</v>
      </c>
      <c r="C383" s="324" t="s">
        <v>1185</v>
      </c>
      <c r="D383" s="324">
        <v>-106000</v>
      </c>
      <c r="E383" s="325"/>
      <c r="F383" s="325"/>
      <c r="G383" s="324" t="s">
        <v>1650</v>
      </c>
      <c r="H383" s="326"/>
      <c r="I383" s="326"/>
      <c r="J383" s="324" t="s">
        <v>1180</v>
      </c>
    </row>
    <row r="384" spans="2:10" ht="18" x14ac:dyDescent="0.25">
      <c r="B384" s="323" t="s">
        <v>1268</v>
      </c>
      <c r="C384" s="324" t="s">
        <v>1186</v>
      </c>
      <c r="D384" s="324">
        <v>-205000</v>
      </c>
      <c r="E384" s="325"/>
      <c r="F384" s="325"/>
      <c r="G384" s="324" t="s">
        <v>1650</v>
      </c>
      <c r="H384" s="326"/>
      <c r="I384" s="326"/>
      <c r="J384" s="324" t="s">
        <v>1178</v>
      </c>
    </row>
    <row r="385" spans="2:10" ht="18" x14ac:dyDescent="0.25">
      <c r="B385" s="323" t="s">
        <v>1269</v>
      </c>
      <c r="C385" s="324" t="s">
        <v>1187</v>
      </c>
      <c r="D385" s="324">
        <v>-699650</v>
      </c>
      <c r="E385" s="325"/>
      <c r="F385" s="325"/>
      <c r="G385" s="324" t="s">
        <v>1650</v>
      </c>
      <c r="H385" s="326"/>
      <c r="I385" s="326"/>
      <c r="J385" s="324" t="s">
        <v>1178</v>
      </c>
    </row>
    <row r="386" spans="2:10" ht="18" x14ac:dyDescent="0.25">
      <c r="B386" s="323" t="s">
        <v>1270</v>
      </c>
      <c r="C386" s="324" t="s">
        <v>1188</v>
      </c>
      <c r="D386" s="324">
        <v>-691990</v>
      </c>
      <c r="E386" s="325"/>
      <c r="F386" s="325"/>
      <c r="G386" s="324" t="s">
        <v>1650</v>
      </c>
      <c r="H386" s="326"/>
      <c r="I386" s="326"/>
      <c r="J386" s="324" t="s">
        <v>1178</v>
      </c>
    </row>
    <row r="387" spans="2:10" ht="18" x14ac:dyDescent="0.25">
      <c r="B387" s="323" t="s">
        <v>1271</v>
      </c>
      <c r="C387" s="324" t="s">
        <v>1189</v>
      </c>
      <c r="D387" s="324">
        <v>-677140</v>
      </c>
      <c r="E387" s="325"/>
      <c r="F387" s="325"/>
      <c r="G387" s="324" t="s">
        <v>1650</v>
      </c>
      <c r="H387" s="326"/>
      <c r="I387" s="326"/>
      <c r="J387" s="324" t="s">
        <v>1178</v>
      </c>
    </row>
    <row r="388" spans="2:10" ht="18" x14ac:dyDescent="0.25">
      <c r="B388" s="323" t="s">
        <v>1272</v>
      </c>
      <c r="C388" s="324" t="s">
        <v>1190</v>
      </c>
      <c r="D388" s="324">
        <v>-1299144</v>
      </c>
      <c r="E388" s="325"/>
      <c r="F388" s="325"/>
      <c r="G388" s="324" t="s">
        <v>1650</v>
      </c>
      <c r="H388" s="326"/>
      <c r="I388" s="326"/>
      <c r="J388" s="324" t="s">
        <v>1191</v>
      </c>
    </row>
    <row r="389" spans="2:10" ht="18" x14ac:dyDescent="0.25">
      <c r="B389" s="323" t="s">
        <v>1273</v>
      </c>
      <c r="C389" s="324" t="s">
        <v>1192</v>
      </c>
      <c r="D389" s="324">
        <v>1296000</v>
      </c>
      <c r="E389" s="325"/>
      <c r="F389" s="325"/>
      <c r="G389" s="324" t="s">
        <v>1650</v>
      </c>
      <c r="H389" s="326"/>
      <c r="I389" s="326"/>
      <c r="J389" s="324" t="s">
        <v>1193</v>
      </c>
    </row>
    <row r="390" spans="2:10" ht="18" x14ac:dyDescent="0.25">
      <c r="B390" s="323" t="s">
        <v>1274</v>
      </c>
      <c r="C390" s="324" t="s">
        <v>1194</v>
      </c>
      <c r="D390" s="324">
        <v>-1292000</v>
      </c>
      <c r="E390" s="325"/>
      <c r="F390" s="325"/>
      <c r="G390" s="324" t="s">
        <v>1650</v>
      </c>
      <c r="H390" s="326"/>
      <c r="I390" s="326"/>
      <c r="J390" s="324" t="s">
        <v>1193</v>
      </c>
    </row>
    <row r="391" spans="2:10" ht="18" x14ac:dyDescent="0.25">
      <c r="B391" s="323" t="s">
        <v>1275</v>
      </c>
      <c r="C391" s="324" t="s">
        <v>1195</v>
      </c>
      <c r="D391" s="324">
        <v>-1277400</v>
      </c>
      <c r="E391" s="325"/>
      <c r="F391" s="325"/>
      <c r="G391" s="324" t="s">
        <v>1650</v>
      </c>
      <c r="H391" s="326"/>
      <c r="I391" s="326"/>
      <c r="J391" s="324" t="s">
        <v>1178</v>
      </c>
    </row>
    <row r="392" spans="2:10" ht="18" x14ac:dyDescent="0.25">
      <c r="B392" s="323" t="s">
        <v>1276</v>
      </c>
      <c r="C392" s="324" t="s">
        <v>1196</v>
      </c>
      <c r="D392" s="324">
        <v>-488453</v>
      </c>
      <c r="E392" s="325"/>
      <c r="F392" s="325"/>
      <c r="G392" s="324" t="s">
        <v>1650</v>
      </c>
      <c r="H392" s="326"/>
      <c r="I392" s="326"/>
      <c r="J392" s="324" t="s">
        <v>1180</v>
      </c>
    </row>
    <row r="393" spans="2:10" ht="18" x14ac:dyDescent="0.25">
      <c r="B393" s="323" t="s">
        <v>1277</v>
      </c>
      <c r="C393" s="324" t="s">
        <v>1197</v>
      </c>
      <c r="D393" s="324">
        <v>-488871</v>
      </c>
      <c r="E393" s="325"/>
      <c r="F393" s="325"/>
      <c r="G393" s="324" t="s">
        <v>1650</v>
      </c>
      <c r="H393" s="326"/>
      <c r="I393" s="326"/>
      <c r="J393" s="324" t="s">
        <v>1180</v>
      </c>
    </row>
    <row r="394" spans="2:10" ht="18" x14ac:dyDescent="0.25">
      <c r="B394" s="323" t="s">
        <v>1651</v>
      </c>
      <c r="C394" s="324" t="s">
        <v>1652</v>
      </c>
      <c r="D394" s="324">
        <v>-39000</v>
      </c>
      <c r="E394" s="325"/>
      <c r="F394" s="325"/>
      <c r="G394" s="324" t="s">
        <v>1650</v>
      </c>
      <c r="H394" s="326"/>
      <c r="I394" s="326"/>
      <c r="J394" s="324" t="s">
        <v>1180</v>
      </c>
    </row>
    <row r="395" spans="2:10" ht="18" x14ac:dyDescent="0.25">
      <c r="B395" s="323" t="s">
        <v>1653</v>
      </c>
      <c r="C395" s="324" t="s">
        <v>1654</v>
      </c>
      <c r="D395" s="324">
        <v>-17000</v>
      </c>
      <c r="E395" s="325"/>
      <c r="F395" s="325"/>
      <c r="G395" s="324" t="s">
        <v>1650</v>
      </c>
      <c r="H395" s="326"/>
      <c r="I395" s="326"/>
      <c r="J395" s="324" t="s">
        <v>1655</v>
      </c>
    </row>
    <row r="396" spans="2:10" ht="18" x14ac:dyDescent="0.25">
      <c r="B396" s="323" t="s">
        <v>1656</v>
      </c>
      <c r="C396" s="324" t="s">
        <v>1657</v>
      </c>
      <c r="D396" s="324">
        <v>33000</v>
      </c>
      <c r="E396" s="325"/>
      <c r="F396" s="325"/>
      <c r="G396" s="324" t="s">
        <v>1650</v>
      </c>
      <c r="H396" s="326"/>
      <c r="I396" s="326"/>
      <c r="J396" s="324" t="s">
        <v>1180</v>
      </c>
    </row>
    <row r="397" spans="2:10" ht="18" x14ac:dyDescent="0.25">
      <c r="B397" s="323" t="s">
        <v>1658</v>
      </c>
      <c r="C397" s="324" t="s">
        <v>1659</v>
      </c>
      <c r="D397" s="324">
        <v>-909000</v>
      </c>
      <c r="E397" s="325"/>
      <c r="F397" s="325"/>
      <c r="G397" s="324" t="s">
        <v>1650</v>
      </c>
      <c r="H397" s="326"/>
      <c r="I397" s="326"/>
      <c r="J397" s="324" t="s">
        <v>1193</v>
      </c>
    </row>
    <row r="398" spans="2:10" ht="18" x14ac:dyDescent="0.25">
      <c r="B398" s="323" t="s">
        <v>1660</v>
      </c>
      <c r="C398" s="324" t="s">
        <v>1661</v>
      </c>
      <c r="D398" s="324">
        <v>-887000</v>
      </c>
      <c r="E398" s="325"/>
      <c r="F398" s="325"/>
      <c r="G398" s="324" t="s">
        <v>1650</v>
      </c>
      <c r="H398" s="326"/>
      <c r="I398" s="326"/>
      <c r="J398" s="324" t="s">
        <v>1662</v>
      </c>
    </row>
    <row r="399" spans="2:10" ht="18" x14ac:dyDescent="0.25">
      <c r="B399" s="323" t="s">
        <v>1663</v>
      </c>
      <c r="C399" s="324" t="s">
        <v>1664</v>
      </c>
      <c r="D399" s="324">
        <v>-909000</v>
      </c>
      <c r="E399" s="325"/>
      <c r="F399" s="325"/>
      <c r="G399" s="324" t="s">
        <v>1650</v>
      </c>
      <c r="H399" s="326"/>
      <c r="I399" s="326"/>
      <c r="J399" s="324" t="s">
        <v>1193</v>
      </c>
    </row>
    <row r="400" spans="2:10" ht="18" x14ac:dyDescent="0.25">
      <c r="B400" s="323" t="s">
        <v>1665</v>
      </c>
      <c r="C400" s="324" t="s">
        <v>1666</v>
      </c>
      <c r="D400" s="324">
        <v>-542960</v>
      </c>
      <c r="E400" s="325"/>
      <c r="F400" s="325"/>
      <c r="G400" s="324" t="s">
        <v>1650</v>
      </c>
      <c r="H400" s="326"/>
      <c r="I400" s="326"/>
      <c r="J400" s="324" t="s">
        <v>1180</v>
      </c>
    </row>
    <row r="401" spans="2:12" ht="18" x14ac:dyDescent="0.25">
      <c r="B401" s="323" t="s">
        <v>1667</v>
      </c>
      <c r="C401" s="324" t="s">
        <v>1668</v>
      </c>
      <c r="D401" s="324">
        <v>-461960</v>
      </c>
      <c r="E401" s="325"/>
      <c r="F401" s="325"/>
      <c r="G401" s="324" t="s">
        <v>1650</v>
      </c>
      <c r="H401" s="326"/>
      <c r="I401" s="326"/>
      <c r="J401" s="324" t="s">
        <v>1180</v>
      </c>
    </row>
    <row r="402" spans="2:12" ht="18" x14ac:dyDescent="0.25">
      <c r="B402" s="323" t="s">
        <v>1669</v>
      </c>
      <c r="C402" s="324" t="s">
        <v>1670</v>
      </c>
      <c r="D402" s="324">
        <v>-239660</v>
      </c>
      <c r="E402" s="325"/>
      <c r="F402" s="325"/>
      <c r="G402" s="324" t="s">
        <v>1650</v>
      </c>
      <c r="H402" s="326"/>
      <c r="I402" s="326"/>
      <c r="J402" s="324" t="s">
        <v>1180</v>
      </c>
    </row>
    <row r="404" spans="2:12" ht="15.75" thickBot="1" x14ac:dyDescent="0.3">
      <c r="C404" s="327" t="s">
        <v>1198</v>
      </c>
    </row>
    <row r="405" spans="2:12" ht="15.75" thickBot="1" x14ac:dyDescent="0.3">
      <c r="B405" s="328" t="s">
        <v>0</v>
      </c>
      <c r="C405" s="329" t="s">
        <v>1</v>
      </c>
      <c r="D405" s="330" t="s">
        <v>149</v>
      </c>
      <c r="E405" s="330" t="s">
        <v>578</v>
      </c>
      <c r="F405" s="330" t="s">
        <v>579</v>
      </c>
      <c r="G405" s="330" t="s">
        <v>2</v>
      </c>
      <c r="H405" s="330" t="s">
        <v>545</v>
      </c>
      <c r="I405" s="330" t="s">
        <v>113</v>
      </c>
      <c r="J405" s="331" t="s">
        <v>114</v>
      </c>
    </row>
    <row r="406" spans="2:12" ht="18" x14ac:dyDescent="0.25">
      <c r="B406" s="323" t="s">
        <v>1199</v>
      </c>
      <c r="C406" s="324" t="s">
        <v>1200</v>
      </c>
      <c r="D406" s="324">
        <v>-286933.08</v>
      </c>
      <c r="E406" s="325"/>
      <c r="F406" s="325"/>
      <c r="G406" s="324" t="s">
        <v>1650</v>
      </c>
      <c r="H406" s="326"/>
      <c r="I406" s="326"/>
      <c r="J406" s="324" t="s">
        <v>1201</v>
      </c>
    </row>
    <row r="408" spans="2:12" ht="15.75" thickBot="1" x14ac:dyDescent="0.3">
      <c r="C408" s="327" t="s">
        <v>1671</v>
      </c>
    </row>
    <row r="409" spans="2:12" ht="15.75" thickBot="1" x14ac:dyDescent="0.3">
      <c r="B409" s="328" t="s">
        <v>0</v>
      </c>
      <c r="C409" s="329" t="s">
        <v>1</v>
      </c>
      <c r="D409" s="330" t="s">
        <v>149</v>
      </c>
      <c r="E409" s="330" t="s">
        <v>578</v>
      </c>
      <c r="F409" s="330" t="s">
        <v>579</v>
      </c>
      <c r="G409" s="330" t="s">
        <v>2</v>
      </c>
      <c r="H409" s="330" t="s">
        <v>545</v>
      </c>
      <c r="I409" s="330" t="s">
        <v>113</v>
      </c>
      <c r="J409" s="331" t="s">
        <v>114</v>
      </c>
      <c r="L409" s="317" t="s">
        <v>1672</v>
      </c>
    </row>
    <row r="410" spans="2:12" ht="18" x14ac:dyDescent="0.25">
      <c r="B410" s="323" t="s">
        <v>1673</v>
      </c>
      <c r="C410" s="324" t="s">
        <v>1674</v>
      </c>
      <c r="D410" s="324">
        <v>58032.160000000098</v>
      </c>
      <c r="E410" s="325"/>
      <c r="F410" s="325"/>
      <c r="G410" s="324" t="s">
        <v>1650</v>
      </c>
      <c r="H410" s="326">
        <v>1</v>
      </c>
      <c r="I410" s="326"/>
      <c r="J410" s="324" t="s">
        <v>1675</v>
      </c>
      <c r="L410" s="317">
        <f>(H_OHm+H_H3Op) - 2*H_H2O</f>
        <v>58032.160000000033</v>
      </c>
    </row>
    <row r="411" spans="2:12" ht="18" x14ac:dyDescent="0.25">
      <c r="B411" s="323" t="s">
        <v>1676</v>
      </c>
      <c r="C411" s="324" t="s">
        <v>1677</v>
      </c>
      <c r="D411" s="324">
        <v>5349.0800000000099</v>
      </c>
      <c r="E411" s="325"/>
      <c r="F411" s="325"/>
      <c r="G411" s="324" t="s">
        <v>1650</v>
      </c>
      <c r="H411" s="326">
        <v>1</v>
      </c>
      <c r="I411" s="326"/>
      <c r="J411" s="324" t="s">
        <v>1678</v>
      </c>
      <c r="L411" s="317">
        <f>(H_NH4p + H_OHm) - (H_NH3 + H_H2O)</f>
        <v>5349.0800000000163</v>
      </c>
    </row>
    <row r="412" spans="2:12" ht="18" x14ac:dyDescent="0.25">
      <c r="B412" s="323" t="s">
        <v>1679</v>
      </c>
      <c r="C412" s="324" t="s">
        <v>1680</v>
      </c>
      <c r="D412" s="324">
        <v>14293.080000000031</v>
      </c>
      <c r="E412" s="325"/>
      <c r="F412" s="325"/>
      <c r="G412" s="324" t="s">
        <v>1650</v>
      </c>
      <c r="H412" s="326">
        <v>1</v>
      </c>
      <c r="I412" s="326"/>
      <c r="J412" s="324" t="s">
        <v>1681</v>
      </c>
      <c r="L412" s="317">
        <f>(H_H3Op+H_NO2m)-(H_HNO2+H_H2O)</f>
        <v>14293.080000000016</v>
      </c>
    </row>
    <row r="413" spans="2:12" ht="18" x14ac:dyDescent="0.25">
      <c r="B413" s="323" t="s">
        <v>1682</v>
      </c>
      <c r="C413" s="324" t="s">
        <v>1683</v>
      </c>
      <c r="D413" s="324">
        <v>8753.0800000000672</v>
      </c>
      <c r="E413" s="325"/>
      <c r="F413" s="325"/>
      <c r="G413" s="324" t="s">
        <v>1650</v>
      </c>
      <c r="H413" s="326">
        <v>1</v>
      </c>
      <c r="I413" s="326"/>
      <c r="J413" s="324" t="s">
        <v>1684</v>
      </c>
      <c r="L413" s="317">
        <f>(H_HCO3m + H_H3Op) - (H_H2CO3 + H_H2O)</f>
        <v>8753.0800000000745</v>
      </c>
    </row>
    <row r="414" spans="2:12" ht="18" x14ac:dyDescent="0.25">
      <c r="B414" s="323" t="s">
        <v>1685</v>
      </c>
      <c r="C414" s="324" t="s">
        <v>1686</v>
      </c>
      <c r="D414" s="324">
        <v>15943.080000000009</v>
      </c>
      <c r="E414" s="325"/>
      <c r="F414" s="325"/>
      <c r="G414" s="324" t="s">
        <v>1650</v>
      </c>
      <c r="H414" s="326">
        <v>1</v>
      </c>
      <c r="I414" s="326"/>
      <c r="J414" s="324" t="s">
        <v>1687</v>
      </c>
      <c r="L414" s="317">
        <f>(H_H3Op + H_CO32m) - (H_HCO3m + H_H2O)</f>
        <v>15943.080000000075</v>
      </c>
    </row>
    <row r="415" spans="2:12" ht="18" x14ac:dyDescent="0.25">
      <c r="B415" s="323" t="s">
        <v>1688</v>
      </c>
      <c r="C415" s="324" t="s">
        <v>1689</v>
      </c>
      <c r="D415" s="324">
        <v>2596237.08</v>
      </c>
      <c r="E415" s="325"/>
      <c r="F415" s="325"/>
      <c r="G415" s="324" t="s">
        <v>1650</v>
      </c>
      <c r="H415" s="326">
        <v>1</v>
      </c>
      <c r="I415" s="326"/>
      <c r="J415" s="324" t="s">
        <v>1690</v>
      </c>
      <c r="L415" s="317">
        <f>(H_H3Op + H_H2PO4m) - (H_H3PO4 + H_H2O)</f>
        <v>2596237.08</v>
      </c>
    </row>
    <row r="416" spans="2:12" ht="18" x14ac:dyDescent="0.25">
      <c r="B416" s="323" t="s">
        <v>1691</v>
      </c>
      <c r="C416" s="324" t="s">
        <v>1692</v>
      </c>
      <c r="D416" s="324">
        <v>-2586906.92</v>
      </c>
      <c r="E416" s="325"/>
      <c r="F416" s="325"/>
      <c r="G416" s="324" t="s">
        <v>1650</v>
      </c>
      <c r="H416" s="326">
        <v>1</v>
      </c>
      <c r="I416" s="326"/>
      <c r="J416" s="324" t="s">
        <v>1693</v>
      </c>
      <c r="L416" s="317">
        <f>(H_H3Op + H_HPO42m) - (H_H2PO4m + H_H2O)</f>
        <v>-2586906.92</v>
      </c>
    </row>
    <row r="417" spans="2:12" ht="18" x14ac:dyDescent="0.25">
      <c r="B417" s="323" t="s">
        <v>1694</v>
      </c>
      <c r="C417" s="324" t="s">
        <v>1695</v>
      </c>
      <c r="D417" s="324">
        <v>15693.080000000009</v>
      </c>
      <c r="E417" s="325"/>
      <c r="F417" s="325"/>
      <c r="G417" s="324" t="s">
        <v>1650</v>
      </c>
      <c r="H417" s="326">
        <v>1</v>
      </c>
      <c r="I417" s="326"/>
      <c r="J417" s="324" t="s">
        <v>1696</v>
      </c>
      <c r="L417" s="317">
        <f>(H_H3Op + H_PO43m) - (H_HPO42m + H_H2O)</f>
        <v>15693.080000000075</v>
      </c>
    </row>
    <row r="418" spans="2:12" ht="18" x14ac:dyDescent="0.25">
      <c r="B418" s="323" t="s">
        <v>1697</v>
      </c>
      <c r="C418" s="324" t="s">
        <v>1698</v>
      </c>
      <c r="D418" s="324">
        <v>675.07999999997992</v>
      </c>
      <c r="E418" s="325"/>
      <c r="F418" s="325"/>
      <c r="G418" s="324" t="s">
        <v>1650</v>
      </c>
      <c r="H418" s="326">
        <v>1</v>
      </c>
      <c r="I418" s="326"/>
      <c r="J418" s="324" t="s">
        <v>1699</v>
      </c>
      <c r="L418" s="317">
        <f>(H_H3Op + H_Acm) - (H_HAc + H_H2O)</f>
        <v>675.08000000007451</v>
      </c>
    </row>
    <row r="419" spans="2:12" ht="18" x14ac:dyDescent="0.25">
      <c r="B419" s="323" t="s">
        <v>1700</v>
      </c>
      <c r="C419" s="324" t="s">
        <v>1701</v>
      </c>
      <c r="D419" s="324">
        <v>23093.080000000042</v>
      </c>
      <c r="E419" s="325"/>
      <c r="F419" s="325"/>
      <c r="G419" s="324" t="s">
        <v>1650</v>
      </c>
      <c r="H419" s="326">
        <v>1</v>
      </c>
      <c r="I419" s="326"/>
      <c r="J419" s="324" t="s">
        <v>1702</v>
      </c>
      <c r="L419" s="317">
        <f>(H_HSm+H_H3Op)-(H_H2S+H_H2O)</f>
        <v>23093.080000000016</v>
      </c>
    </row>
    <row r="420" spans="2:12" ht="18" x14ac:dyDescent="0.25">
      <c r="B420" s="323" t="s">
        <v>1703</v>
      </c>
      <c r="C420" s="324" t="s">
        <v>1704</v>
      </c>
      <c r="D420" s="324">
        <v>51093.080000000045</v>
      </c>
      <c r="E420" s="325"/>
      <c r="F420" s="325"/>
      <c r="G420" s="324" t="s">
        <v>1650</v>
      </c>
      <c r="H420" s="326">
        <v>1</v>
      </c>
      <c r="I420" s="326"/>
      <c r="J420" s="324" t="s">
        <v>1705</v>
      </c>
      <c r="L420" s="317">
        <f>(H_H3Op+H_S2m)-(H_HSm+H_H2O)</f>
        <v>51093.080000000016</v>
      </c>
    </row>
    <row r="421" spans="2:12" ht="18" x14ac:dyDescent="0.25">
      <c r="B421" s="323" t="s">
        <v>1706</v>
      </c>
      <c r="C421" s="324" t="s">
        <v>1707</v>
      </c>
      <c r="D421" s="324">
        <v>23093.0800000001</v>
      </c>
      <c r="E421" s="325"/>
      <c r="F421" s="325"/>
      <c r="G421" s="324" t="s">
        <v>1650</v>
      </c>
      <c r="H421" s="326">
        <v>1</v>
      </c>
      <c r="I421" s="326"/>
      <c r="J421" s="324" t="s">
        <v>1708</v>
      </c>
      <c r="L421" s="317">
        <f>(H_HSO4m+H_H3Op)-(H_H2SO4+H_H2O)</f>
        <v>23093.080000000075</v>
      </c>
    </row>
    <row r="422" spans="2:12" ht="18" x14ac:dyDescent="0.25">
      <c r="B422" s="323" t="s">
        <v>1709</v>
      </c>
      <c r="C422" s="324" t="s">
        <v>1710</v>
      </c>
      <c r="D422" s="324">
        <v>-20906.9199999999</v>
      </c>
      <c r="E422" s="325"/>
      <c r="F422" s="325"/>
      <c r="G422" s="324" t="s">
        <v>1650</v>
      </c>
      <c r="H422" s="326">
        <v>1</v>
      </c>
      <c r="I422" s="326"/>
      <c r="J422" s="324" t="s">
        <v>1711</v>
      </c>
      <c r="L422" s="317">
        <f>(H_H3Op+H_SO42m)-(H_HSO4m+H_H2O)</f>
        <v>-20906.919999999925</v>
      </c>
    </row>
    <row r="423" spans="2:12" ht="18" x14ac:dyDescent="0.25">
      <c r="B423" s="323" t="s">
        <v>1712</v>
      </c>
      <c r="C423" s="324" t="s">
        <v>1713</v>
      </c>
      <c r="D423" s="324">
        <v>64110</v>
      </c>
      <c r="E423" s="325"/>
      <c r="F423" s="325"/>
      <c r="G423" s="324" t="s">
        <v>1650</v>
      </c>
      <c r="H423" s="326">
        <v>1</v>
      </c>
      <c r="I423" s="326"/>
      <c r="J423" s="324"/>
    </row>
    <row r="424" spans="2:12" ht="18" x14ac:dyDescent="0.25">
      <c r="B424" s="323" t="s">
        <v>1714</v>
      </c>
      <c r="C424" s="324" t="s">
        <v>1715</v>
      </c>
      <c r="D424" s="324">
        <v>16000</v>
      </c>
      <c r="E424" s="325"/>
      <c r="F424" s="325"/>
      <c r="G424" s="324" t="s">
        <v>1650</v>
      </c>
      <c r="H424" s="326">
        <v>1</v>
      </c>
      <c r="I424" s="326"/>
      <c r="J424" s="324"/>
    </row>
    <row r="425" spans="2:12" ht="18" x14ac:dyDescent="0.25">
      <c r="B425" s="323" t="s">
        <v>1716</v>
      </c>
      <c r="C425" s="324" t="s">
        <v>1717</v>
      </c>
      <c r="D425" s="324">
        <v>5400</v>
      </c>
      <c r="E425" s="325"/>
      <c r="F425" s="325"/>
      <c r="G425" s="324" t="s">
        <v>1650</v>
      </c>
      <c r="H425" s="326">
        <v>1</v>
      </c>
      <c r="I425" s="326"/>
      <c r="J425" s="324"/>
    </row>
    <row r="426" spans="2:12" ht="18" x14ac:dyDescent="0.25">
      <c r="B426" s="323" t="s">
        <v>1718</v>
      </c>
      <c r="C426" s="324" t="s">
        <v>1719</v>
      </c>
      <c r="D426" s="324">
        <v>12970.4</v>
      </c>
      <c r="E426" s="325"/>
      <c r="F426" s="325"/>
      <c r="G426" s="324" t="s">
        <v>1650</v>
      </c>
      <c r="H426" s="326">
        <v>1</v>
      </c>
      <c r="I426" s="326"/>
      <c r="J426" s="324"/>
    </row>
    <row r="427" spans="2:12" ht="18" x14ac:dyDescent="0.25">
      <c r="B427" s="323" t="s">
        <v>1720</v>
      </c>
      <c r="C427" s="324" t="s">
        <v>1721</v>
      </c>
      <c r="D427" s="324">
        <v>-3000</v>
      </c>
      <c r="E427" s="325"/>
      <c r="F427" s="325"/>
      <c r="G427" s="324" t="s">
        <v>1650</v>
      </c>
      <c r="H427" s="326">
        <v>1</v>
      </c>
      <c r="I427" s="326"/>
      <c r="J427" s="324"/>
    </row>
    <row r="428" spans="2:12" ht="18" x14ac:dyDescent="0.25">
      <c r="B428" s="323" t="s">
        <v>1722</v>
      </c>
      <c r="C428" s="324" t="s">
        <v>1723</v>
      </c>
      <c r="D428" s="324">
        <v>-6000</v>
      </c>
      <c r="E428" s="325"/>
      <c r="F428" s="325"/>
      <c r="G428" s="324" t="s">
        <v>1650</v>
      </c>
      <c r="H428" s="326">
        <v>1</v>
      </c>
      <c r="I428" s="326"/>
      <c r="J428" s="324"/>
    </row>
    <row r="429" spans="2:12" ht="18" x14ac:dyDescent="0.25">
      <c r="B429" s="323" t="s">
        <v>1724</v>
      </c>
      <c r="C429" s="324" t="s">
        <v>1725</v>
      </c>
      <c r="D429" s="324">
        <v>67810</v>
      </c>
      <c r="E429" s="325"/>
      <c r="F429" s="325"/>
      <c r="G429" s="324" t="s">
        <v>1650</v>
      </c>
      <c r="H429" s="326">
        <v>1</v>
      </c>
      <c r="I429" s="326"/>
      <c r="J429" s="324"/>
    </row>
    <row r="430" spans="2:12" ht="18" x14ac:dyDescent="0.25">
      <c r="B430" s="323" t="s">
        <v>1726</v>
      </c>
      <c r="C430" s="324" t="s">
        <v>1727</v>
      </c>
      <c r="D430" s="324">
        <v>12000</v>
      </c>
      <c r="E430" s="325"/>
      <c r="F430" s="325"/>
      <c r="G430" s="324" t="s">
        <v>1650</v>
      </c>
      <c r="H430" s="326">
        <v>1</v>
      </c>
      <c r="I430" s="326"/>
      <c r="J430" s="324"/>
    </row>
    <row r="431" spans="2:12" ht="18" x14ac:dyDescent="0.25">
      <c r="B431" s="323" t="s">
        <v>1728</v>
      </c>
      <c r="C431" s="324" t="s">
        <v>1729</v>
      </c>
      <c r="D431" s="324">
        <v>-10600</v>
      </c>
      <c r="E431" s="325"/>
      <c r="F431" s="325"/>
      <c r="G431" s="324" t="s">
        <v>1650</v>
      </c>
      <c r="H431" s="326">
        <v>1</v>
      </c>
      <c r="I431" s="326"/>
      <c r="J431" s="324"/>
    </row>
    <row r="432" spans="2:12" ht="18" x14ac:dyDescent="0.25">
      <c r="B432" s="323" t="s">
        <v>1730</v>
      </c>
      <c r="C432" s="324" t="s">
        <v>1731</v>
      </c>
      <c r="D432" s="324">
        <v>-3000</v>
      </c>
      <c r="E432" s="325"/>
      <c r="F432" s="325"/>
      <c r="G432" s="324" t="s">
        <v>1650</v>
      </c>
      <c r="H432" s="326">
        <v>1</v>
      </c>
      <c r="I432" s="326"/>
      <c r="J432" s="324"/>
    </row>
    <row r="433" spans="2:12" ht="18" x14ac:dyDescent="0.25">
      <c r="B433" s="323" t="s">
        <v>1732</v>
      </c>
      <c r="C433" s="324" t="s">
        <v>1733</v>
      </c>
      <c r="D433" s="324">
        <v>12970.4</v>
      </c>
      <c r="E433" s="325"/>
      <c r="F433" s="325"/>
      <c r="G433" s="324" t="s">
        <v>1650</v>
      </c>
      <c r="H433" s="326">
        <v>1</v>
      </c>
      <c r="I433" s="326"/>
      <c r="J433" s="324"/>
    </row>
    <row r="434" spans="2:12" ht="18" x14ac:dyDescent="0.25">
      <c r="B434" s="323" t="s">
        <v>1734</v>
      </c>
      <c r="C434" s="324" t="s">
        <v>1735</v>
      </c>
      <c r="D434" s="324">
        <v>21256.1</v>
      </c>
      <c r="E434" s="325"/>
      <c r="F434" s="325"/>
      <c r="G434" s="324" t="s">
        <v>1650</v>
      </c>
      <c r="H434" s="326">
        <v>1</v>
      </c>
      <c r="I434" s="326"/>
      <c r="J434" s="324"/>
    </row>
    <row r="435" spans="2:12" ht="18" x14ac:dyDescent="0.25">
      <c r="B435" s="323" t="s">
        <v>1736</v>
      </c>
      <c r="C435" s="324" t="s">
        <v>1737</v>
      </c>
      <c r="D435" s="324">
        <v>0</v>
      </c>
      <c r="E435" s="325"/>
      <c r="F435" s="325"/>
      <c r="G435" s="324" t="s">
        <v>1650</v>
      </c>
      <c r="H435" s="326">
        <v>1</v>
      </c>
      <c r="I435" s="326"/>
      <c r="J435" s="324"/>
    </row>
    <row r="437" spans="2:12" ht="15.75" thickBot="1" x14ac:dyDescent="0.3">
      <c r="C437" s="327" t="s">
        <v>1738</v>
      </c>
    </row>
    <row r="438" spans="2:12" ht="15.75" thickBot="1" x14ac:dyDescent="0.3">
      <c r="B438" s="328" t="s">
        <v>0</v>
      </c>
      <c r="C438" s="329" t="s">
        <v>1</v>
      </c>
      <c r="D438" s="330" t="s">
        <v>149</v>
      </c>
      <c r="E438" s="330" t="s">
        <v>578</v>
      </c>
      <c r="F438" s="330" t="s">
        <v>579</v>
      </c>
      <c r="G438" s="330" t="s">
        <v>2</v>
      </c>
      <c r="H438" s="330" t="s">
        <v>545</v>
      </c>
      <c r="I438" s="330" t="s">
        <v>113</v>
      </c>
      <c r="J438" s="331" t="s">
        <v>114</v>
      </c>
      <c r="L438" s="317" t="s">
        <v>1672</v>
      </c>
    </row>
    <row r="439" spans="2:12" ht="18" x14ac:dyDescent="0.25">
      <c r="B439" s="323" t="s">
        <v>1739</v>
      </c>
      <c r="C439" s="324" t="s">
        <v>1740</v>
      </c>
      <c r="D439" s="324">
        <v>2.5000000000000001E-5</v>
      </c>
      <c r="E439" s="325" t="s">
        <v>1327</v>
      </c>
      <c r="F439" s="325" t="s">
        <v>1328</v>
      </c>
      <c r="G439" s="324" t="s">
        <v>1741</v>
      </c>
      <c r="H439" s="326">
        <v>2</v>
      </c>
      <c r="I439" s="326"/>
      <c r="J439" s="324" t="s">
        <v>1742</v>
      </c>
    </row>
    <row r="440" spans="2:12" ht="18" x14ac:dyDescent="0.25">
      <c r="B440" s="323" t="s">
        <v>1743</v>
      </c>
      <c r="C440" s="324" t="s">
        <v>1740</v>
      </c>
      <c r="D440" s="324">
        <v>2.5000000000000001E-5</v>
      </c>
      <c r="E440" s="325" t="s">
        <v>1327</v>
      </c>
      <c r="F440" s="325" t="s">
        <v>1328</v>
      </c>
      <c r="G440" s="324" t="s">
        <v>1741</v>
      </c>
      <c r="H440" s="326">
        <v>2</v>
      </c>
      <c r="I440" s="326"/>
      <c r="J440" s="324" t="s">
        <v>1742</v>
      </c>
    </row>
    <row r="441" spans="2:12" ht="18" x14ac:dyDescent="0.25">
      <c r="B441" s="323" t="s">
        <v>1744</v>
      </c>
      <c r="C441" s="324" t="s">
        <v>1740</v>
      </c>
      <c r="D441" s="324">
        <v>2.5000000000000001E-5</v>
      </c>
      <c r="E441" s="325" t="s">
        <v>1327</v>
      </c>
      <c r="F441" s="325" t="s">
        <v>1328</v>
      </c>
      <c r="G441" s="324" t="s">
        <v>1741</v>
      </c>
      <c r="H441" s="326">
        <v>2</v>
      </c>
      <c r="I441" s="326"/>
      <c r="J441" s="324" t="s">
        <v>1742</v>
      </c>
    </row>
    <row r="442" spans="2:12" ht="18" x14ac:dyDescent="0.25">
      <c r="B442" s="323" t="s">
        <v>1745</v>
      </c>
      <c r="C442" s="324" t="s">
        <v>1746</v>
      </c>
      <c r="D442" s="324">
        <v>1.24E-5</v>
      </c>
      <c r="E442" s="325" t="s">
        <v>1327</v>
      </c>
      <c r="F442" s="325" t="s">
        <v>1328</v>
      </c>
      <c r="G442" s="324" t="s">
        <v>1741</v>
      </c>
      <c r="H442" s="326">
        <v>2</v>
      </c>
      <c r="I442" s="326"/>
      <c r="J442" s="324" t="s">
        <v>1742</v>
      </c>
    </row>
    <row r="443" spans="2:12" ht="18" x14ac:dyDescent="0.25">
      <c r="B443" s="323" t="s">
        <v>1747</v>
      </c>
      <c r="C443" s="324" t="s">
        <v>1748</v>
      </c>
      <c r="D443" s="324">
        <v>1.24E-5</v>
      </c>
      <c r="E443" s="325" t="s">
        <v>1327</v>
      </c>
      <c r="F443" s="325" t="s">
        <v>1328</v>
      </c>
      <c r="G443" s="324" t="s">
        <v>1741</v>
      </c>
      <c r="H443" s="326">
        <v>2</v>
      </c>
      <c r="I443" s="326"/>
      <c r="J443" s="324" t="s">
        <v>1742</v>
      </c>
    </row>
    <row r="444" spans="2:12" ht="18" x14ac:dyDescent="0.25">
      <c r="B444" s="323" t="s">
        <v>1749</v>
      </c>
      <c r="C444" s="324" t="s">
        <v>1750</v>
      </c>
      <c r="D444" s="324">
        <v>1.24E-5</v>
      </c>
      <c r="E444" s="325" t="s">
        <v>1327</v>
      </c>
      <c r="F444" s="325" t="s">
        <v>1328</v>
      </c>
      <c r="G444" s="324" t="s">
        <v>1741</v>
      </c>
      <c r="H444" s="326">
        <v>2</v>
      </c>
      <c r="I444" s="326"/>
      <c r="J444" s="324" t="s">
        <v>1742</v>
      </c>
    </row>
    <row r="445" spans="2:12" ht="18" x14ac:dyDescent="0.25">
      <c r="B445" s="323" t="s">
        <v>1751</v>
      </c>
      <c r="C445" s="324" t="s">
        <v>1746</v>
      </c>
      <c r="D445" s="324">
        <v>1.24E-5</v>
      </c>
      <c r="E445" s="325" t="s">
        <v>1327</v>
      </c>
      <c r="F445" s="325" t="s">
        <v>1328</v>
      </c>
      <c r="G445" s="324" t="s">
        <v>1741</v>
      </c>
      <c r="H445" s="326">
        <v>2</v>
      </c>
      <c r="I445" s="326"/>
      <c r="J445" s="324" t="s">
        <v>1742</v>
      </c>
    </row>
    <row r="446" spans="2:12" ht="18" x14ac:dyDescent="0.25">
      <c r="B446" s="323" t="s">
        <v>1752</v>
      </c>
      <c r="C446" s="324" t="s">
        <v>1753</v>
      </c>
      <c r="D446" s="324">
        <v>1.24E-5</v>
      </c>
      <c r="E446" s="325" t="s">
        <v>1327</v>
      </c>
      <c r="F446" s="325" t="s">
        <v>1328</v>
      </c>
      <c r="G446" s="324" t="s">
        <v>1741</v>
      </c>
      <c r="H446" s="326">
        <v>2</v>
      </c>
      <c r="I446" s="326"/>
      <c r="J446" s="324" t="s">
        <v>1742</v>
      </c>
    </row>
    <row r="447" spans="2:12" ht="18" x14ac:dyDescent="0.25">
      <c r="B447" s="323" t="s">
        <v>1754</v>
      </c>
      <c r="C447" s="324" t="s">
        <v>1753</v>
      </c>
      <c r="D447" s="324">
        <v>1.24E-5</v>
      </c>
      <c r="E447" s="325" t="s">
        <v>1327</v>
      </c>
      <c r="F447" s="325" t="s">
        <v>1328</v>
      </c>
      <c r="G447" s="324" t="s">
        <v>1741</v>
      </c>
      <c r="H447" s="326">
        <v>2</v>
      </c>
      <c r="I447" s="326"/>
      <c r="J447" s="324" t="s">
        <v>1742</v>
      </c>
    </row>
    <row r="448" spans="2:12" ht="18" x14ac:dyDescent="0.25">
      <c r="B448" s="323" t="s">
        <v>1755</v>
      </c>
      <c r="C448" s="324" t="s">
        <v>1756</v>
      </c>
      <c r="D448" s="324">
        <v>1.24E-5</v>
      </c>
      <c r="E448" s="325" t="s">
        <v>1327</v>
      </c>
      <c r="F448" s="325" t="s">
        <v>1328</v>
      </c>
      <c r="G448" s="324" t="s">
        <v>1741</v>
      </c>
      <c r="H448" s="326">
        <v>2</v>
      </c>
      <c r="I448" s="326"/>
      <c r="J448" s="324" t="s">
        <v>1742</v>
      </c>
    </row>
    <row r="449" spans="2:10" ht="18" x14ac:dyDescent="0.25">
      <c r="B449" s="323" t="s">
        <v>1757</v>
      </c>
      <c r="C449" s="324" t="s">
        <v>1758</v>
      </c>
      <c r="D449" s="324">
        <v>1.0000000000000001E-5</v>
      </c>
      <c r="E449" s="325" t="s">
        <v>1327</v>
      </c>
      <c r="F449" s="325" t="s">
        <v>1328</v>
      </c>
      <c r="G449" s="324" t="s">
        <v>1741</v>
      </c>
      <c r="H449" s="326">
        <v>2</v>
      </c>
      <c r="I449" s="326"/>
      <c r="J449" s="324"/>
    </row>
    <row r="450" spans="2:10" ht="18" x14ac:dyDescent="0.25">
      <c r="B450" s="323" t="s">
        <v>1759</v>
      </c>
      <c r="C450" s="324" t="s">
        <v>1758</v>
      </c>
      <c r="D450" s="324">
        <v>1.0000000000000001E-5</v>
      </c>
      <c r="E450" s="325" t="s">
        <v>1327</v>
      </c>
      <c r="F450" s="325" t="s">
        <v>1328</v>
      </c>
      <c r="G450" s="324" t="s">
        <v>1741</v>
      </c>
      <c r="H450" s="326">
        <v>2</v>
      </c>
      <c r="I450" s="326"/>
      <c r="J450" s="324"/>
    </row>
    <row r="451" spans="2:10" ht="18" x14ac:dyDescent="0.25">
      <c r="B451" s="323" t="s">
        <v>1760</v>
      </c>
      <c r="C451" s="324" t="s">
        <v>1761</v>
      </c>
      <c r="D451" s="324">
        <v>2.5000000000000002E-6</v>
      </c>
      <c r="E451" s="325" t="s">
        <v>1327</v>
      </c>
      <c r="F451" s="325" t="s">
        <v>1328</v>
      </c>
      <c r="G451" s="324" t="s">
        <v>1741</v>
      </c>
      <c r="H451" s="326">
        <v>2</v>
      </c>
      <c r="I451" s="326"/>
      <c r="J451" s="324" t="s">
        <v>1742</v>
      </c>
    </row>
    <row r="452" spans="2:10" ht="18" x14ac:dyDescent="0.25">
      <c r="B452" s="323" t="s">
        <v>1762</v>
      </c>
      <c r="C452" s="324" t="s">
        <v>1763</v>
      </c>
      <c r="D452" s="324">
        <v>2.5000000000000002E-6</v>
      </c>
      <c r="E452" s="325" t="s">
        <v>1327</v>
      </c>
      <c r="F452" s="325" t="s">
        <v>1328</v>
      </c>
      <c r="G452" s="324" t="s">
        <v>1741</v>
      </c>
      <c r="H452" s="326">
        <v>2</v>
      </c>
      <c r="I452" s="326"/>
      <c r="J452" s="324" t="s">
        <v>1742</v>
      </c>
    </row>
    <row r="453" spans="2:10" ht="18" x14ac:dyDescent="0.25">
      <c r="B453" s="323" t="s">
        <v>1764</v>
      </c>
      <c r="C453" s="324" t="s">
        <v>1765</v>
      </c>
      <c r="D453" s="324">
        <v>2.0000000000000002E-5</v>
      </c>
      <c r="E453" s="325" t="s">
        <v>1327</v>
      </c>
      <c r="F453" s="325" t="s">
        <v>1328</v>
      </c>
      <c r="G453" s="324" t="s">
        <v>1741</v>
      </c>
      <c r="H453" s="326">
        <v>2</v>
      </c>
      <c r="I453" s="326"/>
      <c r="J453" s="324" t="s">
        <v>1766</v>
      </c>
    </row>
    <row r="454" spans="2:10" ht="18" x14ac:dyDescent="0.25">
      <c r="B454" s="323" t="s">
        <v>1767</v>
      </c>
      <c r="C454" s="324" t="s">
        <v>1765</v>
      </c>
      <c r="D454" s="324">
        <v>2.0000000000000002E-5</v>
      </c>
      <c r="E454" s="325" t="s">
        <v>1327</v>
      </c>
      <c r="F454" s="325" t="s">
        <v>1328</v>
      </c>
      <c r="G454" s="324" t="s">
        <v>1741</v>
      </c>
      <c r="H454" s="326">
        <v>2</v>
      </c>
      <c r="I454" s="326"/>
      <c r="J454" s="324" t="s">
        <v>1766</v>
      </c>
    </row>
    <row r="455" spans="2:10" ht="18" x14ac:dyDescent="0.25">
      <c r="B455" s="323" t="s">
        <v>1768</v>
      </c>
      <c r="C455" s="324" t="s">
        <v>1765</v>
      </c>
      <c r="D455" s="324">
        <v>2.0000000000000002E-5</v>
      </c>
      <c r="E455" s="325" t="s">
        <v>1327</v>
      </c>
      <c r="F455" s="325" t="s">
        <v>1328</v>
      </c>
      <c r="G455" s="324" t="s">
        <v>1741</v>
      </c>
      <c r="H455" s="326">
        <v>2</v>
      </c>
      <c r="I455" s="326"/>
      <c r="J455" s="324" t="s">
        <v>1766</v>
      </c>
    </row>
    <row r="456" spans="2:10" ht="18" x14ac:dyDescent="0.25">
      <c r="B456" s="323" t="s">
        <v>1769</v>
      </c>
      <c r="C456" s="324" t="s">
        <v>1770</v>
      </c>
      <c r="D456" s="324">
        <v>2.0000000000000002E-5</v>
      </c>
      <c r="E456" s="325" t="s">
        <v>1327</v>
      </c>
      <c r="F456" s="325" t="s">
        <v>1607</v>
      </c>
      <c r="G456" s="324" t="s">
        <v>1741</v>
      </c>
      <c r="H456" s="326">
        <v>2</v>
      </c>
      <c r="I456" s="326"/>
      <c r="J456" s="324" t="s">
        <v>1771</v>
      </c>
    </row>
    <row r="457" spans="2:10" ht="18" x14ac:dyDescent="0.25">
      <c r="B457" s="323" t="s">
        <v>1772</v>
      </c>
      <c r="C457" s="324" t="s">
        <v>1773</v>
      </c>
      <c r="D457" s="324">
        <v>1.0000000000000001E-5</v>
      </c>
      <c r="E457" s="325" t="s">
        <v>1327</v>
      </c>
      <c r="F457" s="325" t="s">
        <v>1607</v>
      </c>
      <c r="G457" s="324" t="s">
        <v>1741</v>
      </c>
      <c r="H457" s="326">
        <v>2</v>
      </c>
      <c r="I457" s="326"/>
      <c r="J457" s="324" t="s">
        <v>1742</v>
      </c>
    </row>
    <row r="458" spans="2:10" ht="18" x14ac:dyDescent="0.25">
      <c r="B458" s="323" t="s">
        <v>1774</v>
      </c>
      <c r="C458" s="324" t="s">
        <v>1775</v>
      </c>
      <c r="D458" s="324">
        <v>1.24E-5</v>
      </c>
      <c r="E458" s="325" t="s">
        <v>1327</v>
      </c>
      <c r="F458" s="325" t="s">
        <v>1607</v>
      </c>
      <c r="G458" s="324" t="s">
        <v>1741</v>
      </c>
      <c r="H458" s="326">
        <v>2</v>
      </c>
      <c r="I458" s="326"/>
      <c r="J458" s="324" t="s">
        <v>1742</v>
      </c>
    </row>
    <row r="459" spans="2:10" ht="18" x14ac:dyDescent="0.25">
      <c r="B459" s="323" t="s">
        <v>1776</v>
      </c>
      <c r="C459" s="324" t="s">
        <v>1777</v>
      </c>
      <c r="D459" s="324">
        <v>1.9000000000000001E-5</v>
      </c>
      <c r="E459" s="325" t="s">
        <v>1327</v>
      </c>
      <c r="F459" s="325" t="s">
        <v>1607</v>
      </c>
      <c r="G459" s="324" t="s">
        <v>1741</v>
      </c>
      <c r="H459" s="326">
        <v>2</v>
      </c>
      <c r="I459" s="326"/>
      <c r="J459" s="324" t="s">
        <v>1778</v>
      </c>
    </row>
    <row r="460" spans="2:10" ht="18" x14ac:dyDescent="0.25">
      <c r="B460" s="323" t="s">
        <v>1779</v>
      </c>
      <c r="C460" s="324" t="s">
        <v>1780</v>
      </c>
      <c r="D460" s="324">
        <v>1.24E-5</v>
      </c>
      <c r="E460" s="325" t="s">
        <v>1327</v>
      </c>
      <c r="F460" s="325" t="s">
        <v>1607</v>
      </c>
      <c r="G460" s="324" t="s">
        <v>1741</v>
      </c>
      <c r="H460" s="326">
        <v>2</v>
      </c>
      <c r="I460" s="326"/>
      <c r="J460" s="324" t="s">
        <v>1781</v>
      </c>
    </row>
    <row r="461" spans="2:10" ht="18" x14ac:dyDescent="0.25">
      <c r="B461" s="323" t="s">
        <v>1782</v>
      </c>
      <c r="C461" s="324" t="s">
        <v>1783</v>
      </c>
      <c r="D461" s="324">
        <v>1.24E-5</v>
      </c>
      <c r="E461" s="325" t="s">
        <v>1327</v>
      </c>
      <c r="F461" s="325" t="s">
        <v>1607</v>
      </c>
      <c r="G461" s="324" t="s">
        <v>1741</v>
      </c>
      <c r="H461" s="326">
        <v>2</v>
      </c>
      <c r="I461" s="326"/>
      <c r="J461" s="324" t="s">
        <v>1781</v>
      </c>
    </row>
    <row r="462" spans="2:10" ht="18" x14ac:dyDescent="0.25">
      <c r="B462" s="323" t="s">
        <v>1784</v>
      </c>
      <c r="C462" s="324" t="s">
        <v>1758</v>
      </c>
      <c r="D462" s="324">
        <v>1.0000000000000001E-5</v>
      </c>
      <c r="E462" s="325" t="s">
        <v>1327</v>
      </c>
      <c r="F462" s="325" t="s">
        <v>1607</v>
      </c>
      <c r="G462" s="324" t="s">
        <v>1741</v>
      </c>
      <c r="H462" s="326">
        <v>2</v>
      </c>
      <c r="I462" s="326"/>
      <c r="J462" s="324" t="s">
        <v>1742</v>
      </c>
    </row>
    <row r="463" spans="2:10" ht="18" x14ac:dyDescent="0.25">
      <c r="B463" s="323" t="s">
        <v>1785</v>
      </c>
      <c r="C463" s="324" t="s">
        <v>1773</v>
      </c>
      <c r="D463" s="324">
        <v>1.0000000000000001E-5</v>
      </c>
      <c r="E463" s="325" t="s">
        <v>1327</v>
      </c>
      <c r="F463" s="325" t="s">
        <v>1328</v>
      </c>
      <c r="G463" s="324" t="s">
        <v>1741</v>
      </c>
      <c r="H463" s="326">
        <v>2</v>
      </c>
      <c r="I463" s="326"/>
      <c r="J463" s="324"/>
    </row>
    <row r="464" spans="2:10" ht="18" x14ac:dyDescent="0.25">
      <c r="B464" s="323" t="s">
        <v>1786</v>
      </c>
      <c r="C464" s="324" t="s">
        <v>1773</v>
      </c>
      <c r="D464" s="324">
        <v>1.0000000000000001E-5</v>
      </c>
      <c r="E464" s="325" t="s">
        <v>1327</v>
      </c>
      <c r="F464" s="325" t="s">
        <v>1328</v>
      </c>
      <c r="G464" s="324" t="s">
        <v>1741</v>
      </c>
      <c r="H464" s="326">
        <v>2</v>
      </c>
      <c r="I464" s="326"/>
      <c r="J464" s="324"/>
    </row>
    <row r="465" spans="2:10" ht="18" x14ac:dyDescent="0.25">
      <c r="B465" s="323" t="s">
        <v>1787</v>
      </c>
      <c r="C465" s="324" t="s">
        <v>1788</v>
      </c>
      <c r="D465" s="324">
        <v>1.0000000000000001E-5</v>
      </c>
      <c r="E465" s="325" t="s">
        <v>1327</v>
      </c>
      <c r="F465" s="325" t="s">
        <v>1607</v>
      </c>
      <c r="G465" s="324" t="s">
        <v>1741</v>
      </c>
      <c r="H465" s="326">
        <v>2</v>
      </c>
      <c r="I465" s="326"/>
      <c r="J465" s="324"/>
    </row>
    <row r="466" spans="2:10" ht="18" x14ac:dyDescent="0.25">
      <c r="B466" s="323" t="s">
        <v>1789</v>
      </c>
      <c r="C466" s="324" t="s">
        <v>1790</v>
      </c>
      <c r="D466" s="324">
        <v>1.0000000000000001E-5</v>
      </c>
      <c r="E466" s="325" t="s">
        <v>1327</v>
      </c>
      <c r="F466" s="325" t="s">
        <v>1607</v>
      </c>
      <c r="G466" s="324" t="s">
        <v>1741</v>
      </c>
      <c r="H466" s="326">
        <v>2</v>
      </c>
      <c r="I466" s="326"/>
      <c r="J466" s="324"/>
    </row>
    <row r="467" spans="2:10" ht="18" x14ac:dyDescent="0.25">
      <c r="B467" s="323" t="s">
        <v>1791</v>
      </c>
      <c r="C467" s="324" t="s">
        <v>1792</v>
      </c>
      <c r="D467" s="324">
        <v>1.24E-5</v>
      </c>
      <c r="E467" s="325" t="s">
        <v>1327</v>
      </c>
      <c r="F467" s="325" t="s">
        <v>1328</v>
      </c>
      <c r="G467" s="324" t="s">
        <v>1741</v>
      </c>
      <c r="H467" s="326">
        <v>2</v>
      </c>
      <c r="I467" s="326"/>
      <c r="J467" s="324" t="s">
        <v>1781</v>
      </c>
    </row>
    <row r="468" spans="2:10" ht="18" x14ac:dyDescent="0.25">
      <c r="B468" s="323" t="s">
        <v>1793</v>
      </c>
      <c r="C468" s="324" t="s">
        <v>1792</v>
      </c>
      <c r="D468" s="324">
        <v>1.24E-5</v>
      </c>
      <c r="E468" s="325" t="s">
        <v>1327</v>
      </c>
      <c r="F468" s="325" t="s">
        <v>1328</v>
      </c>
      <c r="G468" s="324" t="s">
        <v>1741</v>
      </c>
      <c r="H468" s="326">
        <v>2</v>
      </c>
      <c r="I468" s="326"/>
      <c r="J468" s="324" t="s">
        <v>1781</v>
      </c>
    </row>
    <row r="469" spans="2:10" ht="18" x14ac:dyDescent="0.25">
      <c r="B469" s="323" t="s">
        <v>1794</v>
      </c>
      <c r="C469" s="324" t="s">
        <v>1775</v>
      </c>
      <c r="D469" s="324">
        <v>1.24E-5</v>
      </c>
      <c r="E469" s="325" t="s">
        <v>1327</v>
      </c>
      <c r="F469" s="325" t="s">
        <v>1328</v>
      </c>
      <c r="G469" s="324" t="s">
        <v>1741</v>
      </c>
      <c r="H469" s="326">
        <v>2</v>
      </c>
      <c r="I469" s="326"/>
      <c r="J469" s="324" t="s">
        <v>1742</v>
      </c>
    </row>
    <row r="470" spans="2:10" ht="18" x14ac:dyDescent="0.25">
      <c r="B470" s="323" t="s">
        <v>1795</v>
      </c>
      <c r="C470" s="324" t="s">
        <v>1775</v>
      </c>
      <c r="D470" s="324">
        <v>1.24E-5</v>
      </c>
      <c r="E470" s="325" t="s">
        <v>1327</v>
      </c>
      <c r="F470" s="325" t="s">
        <v>1328</v>
      </c>
      <c r="G470" s="324" t="s">
        <v>1741</v>
      </c>
      <c r="H470" s="326">
        <v>2</v>
      </c>
      <c r="I470" s="326"/>
      <c r="J470" s="324" t="s">
        <v>1742</v>
      </c>
    </row>
    <row r="471" spans="2:10" ht="18" x14ac:dyDescent="0.25">
      <c r="B471" s="323" t="s">
        <v>1796</v>
      </c>
      <c r="C471" s="324" t="s">
        <v>1797</v>
      </c>
      <c r="D471" s="324">
        <v>1.24E-5</v>
      </c>
      <c r="E471" s="325" t="s">
        <v>1327</v>
      </c>
      <c r="F471" s="325" t="s">
        <v>1328</v>
      </c>
      <c r="G471" s="324" t="s">
        <v>1741</v>
      </c>
      <c r="H471" s="326">
        <v>2</v>
      </c>
      <c r="I471" s="326"/>
      <c r="J471" s="324" t="s">
        <v>1781</v>
      </c>
    </row>
    <row r="472" spans="2:10" ht="18" x14ac:dyDescent="0.25">
      <c r="B472" s="323" t="s">
        <v>1798</v>
      </c>
      <c r="C472" s="324" t="s">
        <v>1799</v>
      </c>
      <c r="D472" s="324">
        <v>2.5000000000000001E-5</v>
      </c>
      <c r="E472" s="325" t="s">
        <v>1327</v>
      </c>
      <c r="F472" s="325" t="s">
        <v>1328</v>
      </c>
      <c r="G472" s="324" t="s">
        <v>1741</v>
      </c>
      <c r="H472" s="326">
        <v>2</v>
      </c>
      <c r="I472" s="326"/>
      <c r="J472" s="324" t="s">
        <v>1800</v>
      </c>
    </row>
    <row r="473" spans="2:10" ht="18" x14ac:dyDescent="0.25">
      <c r="B473" s="323" t="s">
        <v>1801</v>
      </c>
      <c r="C473" s="324" t="s">
        <v>1802</v>
      </c>
      <c r="D473" s="324">
        <v>2.5000000000000001E-5</v>
      </c>
      <c r="E473" s="325" t="s">
        <v>1327</v>
      </c>
      <c r="F473" s="325" t="s">
        <v>1328</v>
      </c>
      <c r="G473" s="324" t="s">
        <v>1741</v>
      </c>
      <c r="H473" s="326">
        <v>2</v>
      </c>
      <c r="I473" s="326"/>
      <c r="J473" s="324" t="s">
        <v>1742</v>
      </c>
    </row>
    <row r="474" spans="2:10" ht="18" x14ac:dyDescent="0.25">
      <c r="B474" s="323" t="s">
        <v>1803</v>
      </c>
      <c r="C474" s="324" t="s">
        <v>1804</v>
      </c>
      <c r="D474" s="324">
        <v>2.5000000000000001E-5</v>
      </c>
      <c r="E474" s="325" t="s">
        <v>1327</v>
      </c>
      <c r="F474" s="325" t="s">
        <v>1328</v>
      </c>
      <c r="G474" s="324" t="s">
        <v>1741</v>
      </c>
      <c r="H474" s="326">
        <v>2</v>
      </c>
      <c r="I474" s="326"/>
      <c r="J474" s="324" t="s">
        <v>1742</v>
      </c>
    </row>
    <row r="475" spans="2:10" ht="18" x14ac:dyDescent="0.25">
      <c r="B475" s="323" t="s">
        <v>1805</v>
      </c>
      <c r="C475" s="324" t="s">
        <v>1806</v>
      </c>
      <c r="D475" s="324">
        <v>1.0000000000000001E-5</v>
      </c>
      <c r="E475" s="325" t="s">
        <v>1327</v>
      </c>
      <c r="F475" s="325" t="s">
        <v>1328</v>
      </c>
      <c r="G475" s="324" t="s">
        <v>1741</v>
      </c>
      <c r="H475" s="326">
        <v>2</v>
      </c>
      <c r="I475" s="326"/>
      <c r="J475" s="324" t="s">
        <v>1742</v>
      </c>
    </row>
    <row r="476" spans="2:10" ht="18" x14ac:dyDescent="0.25">
      <c r="B476" s="323" t="s">
        <v>1807</v>
      </c>
      <c r="C476" s="324" t="s">
        <v>1808</v>
      </c>
      <c r="D476" s="324">
        <v>1.9000000000000001E-5</v>
      </c>
      <c r="E476" s="325" t="s">
        <v>1327</v>
      </c>
      <c r="F476" s="325" t="s">
        <v>1328</v>
      </c>
      <c r="G476" s="324" t="s">
        <v>1741</v>
      </c>
      <c r="H476" s="326">
        <v>2</v>
      </c>
      <c r="I476" s="326"/>
      <c r="J476" s="324" t="s">
        <v>1742</v>
      </c>
    </row>
    <row r="477" spans="2:10" ht="18" x14ac:dyDescent="0.25">
      <c r="B477" s="323" t="s">
        <v>1809</v>
      </c>
      <c r="C477" s="324" t="s">
        <v>1810</v>
      </c>
      <c r="D477" s="324">
        <v>1.9000000000000001E-5</v>
      </c>
      <c r="E477" s="325" t="s">
        <v>1327</v>
      </c>
      <c r="F477" s="325" t="s">
        <v>1328</v>
      </c>
      <c r="G477" s="324" t="s">
        <v>1741</v>
      </c>
      <c r="H477" s="326">
        <v>2</v>
      </c>
      <c r="I477" s="326"/>
      <c r="J477" s="324" t="s">
        <v>1742</v>
      </c>
    </row>
    <row r="478" spans="2:10" ht="18" x14ac:dyDescent="0.25">
      <c r="B478" s="323" t="s">
        <v>1811</v>
      </c>
      <c r="C478" s="324" t="s">
        <v>1812</v>
      </c>
      <c r="D478" s="324">
        <v>1.9000000000000001E-5</v>
      </c>
      <c r="E478" s="325" t="s">
        <v>1327</v>
      </c>
      <c r="F478" s="325" t="s">
        <v>1328</v>
      </c>
      <c r="G478" s="324" t="s">
        <v>1741</v>
      </c>
      <c r="H478" s="326">
        <v>2</v>
      </c>
      <c r="I478" s="326"/>
      <c r="J478" s="324" t="s">
        <v>1742</v>
      </c>
    </row>
    <row r="479" spans="2:10" ht="18" x14ac:dyDescent="0.25">
      <c r="B479" s="323" t="s">
        <v>1813</v>
      </c>
      <c r="C479" s="324" t="s">
        <v>1814</v>
      </c>
      <c r="D479" s="324">
        <v>1.9000000000000001E-5</v>
      </c>
      <c r="E479" s="325" t="s">
        <v>1327</v>
      </c>
      <c r="F479" s="325" t="s">
        <v>1328</v>
      </c>
      <c r="G479" s="324" t="s">
        <v>1741</v>
      </c>
      <c r="H479" s="326">
        <v>2</v>
      </c>
      <c r="I479" s="326"/>
      <c r="J479" s="324" t="s">
        <v>1742</v>
      </c>
    </row>
    <row r="480" spans="2:10" ht="18" x14ac:dyDescent="0.25">
      <c r="B480" s="323" t="s">
        <v>1815</v>
      </c>
      <c r="C480" s="324" t="s">
        <v>1816</v>
      </c>
      <c r="D480" s="324">
        <v>1.9000000000000001E-5</v>
      </c>
      <c r="E480" s="325" t="s">
        <v>1327</v>
      </c>
      <c r="F480" s="325" t="s">
        <v>1328</v>
      </c>
      <c r="G480" s="324" t="s">
        <v>1741</v>
      </c>
      <c r="H480" s="326">
        <v>2</v>
      </c>
      <c r="I480" s="326"/>
      <c r="J480" s="324" t="s">
        <v>1742</v>
      </c>
    </row>
    <row r="481" spans="2:10" ht="18" x14ac:dyDescent="0.25">
      <c r="B481" s="323" t="s">
        <v>1817</v>
      </c>
      <c r="C481" s="324" t="s">
        <v>1818</v>
      </c>
      <c r="D481" s="324">
        <v>1.9000000000000001E-5</v>
      </c>
      <c r="E481" s="325" t="s">
        <v>1327</v>
      </c>
      <c r="F481" s="325" t="s">
        <v>1328</v>
      </c>
      <c r="G481" s="324" t="s">
        <v>1741</v>
      </c>
      <c r="H481" s="326">
        <v>2</v>
      </c>
      <c r="I481" s="326"/>
      <c r="J481" s="324" t="s">
        <v>1742</v>
      </c>
    </row>
    <row r="482" spans="2:10" ht="18" x14ac:dyDescent="0.25">
      <c r="B482" s="323" t="s">
        <v>1819</v>
      </c>
      <c r="C482" s="324" t="s">
        <v>1820</v>
      </c>
      <c r="D482" s="324">
        <v>1.9000000000000001E-5</v>
      </c>
      <c r="E482" s="325" t="s">
        <v>1327</v>
      </c>
      <c r="F482" s="325" t="s">
        <v>1328</v>
      </c>
      <c r="G482" s="324" t="s">
        <v>1741</v>
      </c>
      <c r="H482" s="326">
        <v>2</v>
      </c>
      <c r="I482" s="326"/>
      <c r="J482" s="324" t="s">
        <v>1742</v>
      </c>
    </row>
    <row r="483" spans="2:10" ht="18" x14ac:dyDescent="0.25">
      <c r="B483" s="323" t="s">
        <v>1821</v>
      </c>
      <c r="C483" s="324" t="s">
        <v>1822</v>
      </c>
      <c r="D483" s="324">
        <v>1.9000000000000001E-5</v>
      </c>
      <c r="E483" s="325" t="s">
        <v>1327</v>
      </c>
      <c r="F483" s="325" t="s">
        <v>1328</v>
      </c>
      <c r="G483" s="324" t="s">
        <v>1741</v>
      </c>
      <c r="H483" s="326">
        <v>2</v>
      </c>
      <c r="I483" s="326"/>
      <c r="J483" s="324" t="s">
        <v>1742</v>
      </c>
    </row>
    <row r="484" spans="2:10" ht="18" x14ac:dyDescent="0.25">
      <c r="B484" s="323" t="s">
        <v>1823</v>
      </c>
      <c r="C484" s="324" t="s">
        <v>1824</v>
      </c>
      <c r="D484" s="324">
        <v>1.0000000000000001E-5</v>
      </c>
      <c r="E484" s="325" t="s">
        <v>1327</v>
      </c>
      <c r="F484" s="325" t="s">
        <v>1607</v>
      </c>
      <c r="G484" s="324" t="s">
        <v>1741</v>
      </c>
      <c r="H484" s="326"/>
      <c r="I484" s="326"/>
      <c r="J484" s="324"/>
    </row>
    <row r="485" spans="2:10" ht="18" x14ac:dyDescent="0.25">
      <c r="B485" s="323" t="s">
        <v>1825</v>
      </c>
      <c r="C485" s="324" t="s">
        <v>1826</v>
      </c>
      <c r="D485" s="324">
        <v>1.9000000000000001E-5</v>
      </c>
      <c r="E485" s="325" t="s">
        <v>1327</v>
      </c>
      <c r="F485" s="325" t="s">
        <v>1607</v>
      </c>
      <c r="G485" s="324" t="s">
        <v>1741</v>
      </c>
      <c r="H485" s="326">
        <v>2</v>
      </c>
      <c r="I485" s="326"/>
      <c r="J485" s="324" t="s">
        <v>1742</v>
      </c>
    </row>
  </sheetData>
  <conditionalFormatting sqref="E52:F52 E439:F485">
    <cfRule type="cellIs" dxfId="23" priority="18" stopIfTrue="1" operator="notEqual">
      <formula>INDIRECT("Dummy_for_Comparison3!"&amp;ADDRESS(ROW(),COLUMN()))</formula>
    </cfRule>
  </conditionalFormatting>
  <conditionalFormatting sqref="E4:F6 E11:F27 E32:F39 E44:F48 E53:F58 E63:F69 E74:F83 E92:F208 E213:F221 E226:F277 E282:F289 E294:F306 E311:F316 E321:F333 E338:F342 E355:F367 E378:F402 E411:F435 E369:F373">
    <cfRule type="cellIs" dxfId="22" priority="22" stopIfTrue="1" operator="notEqual">
      <formula>INDIRECT("Dummy_for_Comparison3!"&amp;ADDRESS(ROW(),COLUMN()))</formula>
    </cfRule>
  </conditionalFormatting>
  <conditionalFormatting sqref="E10:F10">
    <cfRule type="cellIs" dxfId="21" priority="21" stopIfTrue="1" operator="notEqual">
      <formula>INDIRECT("Dummy_for_Comparison3!"&amp;ADDRESS(ROW(),COLUMN()))</formula>
    </cfRule>
  </conditionalFormatting>
  <conditionalFormatting sqref="E31:F31">
    <cfRule type="cellIs" dxfId="20" priority="20" stopIfTrue="1" operator="notEqual">
      <formula>INDIRECT("Dummy_for_Comparison3!"&amp;ADDRESS(ROW(),COLUMN()))</formula>
    </cfRule>
  </conditionalFormatting>
  <conditionalFormatting sqref="E43:F43">
    <cfRule type="cellIs" dxfId="19" priority="19" stopIfTrue="1" operator="notEqual">
      <formula>INDIRECT("Dummy_for_Comparison3!"&amp;ADDRESS(ROW(),COLUMN()))</formula>
    </cfRule>
  </conditionalFormatting>
  <conditionalFormatting sqref="E62:F62">
    <cfRule type="cellIs" dxfId="18" priority="17" stopIfTrue="1" operator="notEqual">
      <formula>INDIRECT("Dummy_for_Comparison3!"&amp;ADDRESS(ROW(),COLUMN()))</formula>
    </cfRule>
  </conditionalFormatting>
  <conditionalFormatting sqref="E73:F73">
    <cfRule type="cellIs" dxfId="17" priority="16" stopIfTrue="1" operator="notEqual">
      <formula>INDIRECT("Dummy_for_Comparison3!"&amp;ADDRESS(ROW(),COLUMN()))</formula>
    </cfRule>
  </conditionalFormatting>
  <conditionalFormatting sqref="E87:F87">
    <cfRule type="cellIs" dxfId="16" priority="15" stopIfTrue="1" operator="notEqual">
      <formula>INDIRECT("Dummy_for_Comparison3!"&amp;ADDRESS(ROW(),COLUMN()))</formula>
    </cfRule>
  </conditionalFormatting>
  <conditionalFormatting sqref="E91:F91">
    <cfRule type="cellIs" dxfId="15" priority="14" stopIfTrue="1" operator="notEqual">
      <formula>INDIRECT("Dummy_for_Comparison3!"&amp;ADDRESS(ROW(),COLUMN()))</formula>
    </cfRule>
  </conditionalFormatting>
  <conditionalFormatting sqref="E212:F212">
    <cfRule type="cellIs" dxfId="14" priority="13" stopIfTrue="1" operator="notEqual">
      <formula>INDIRECT("Dummy_for_Comparison3!"&amp;ADDRESS(ROW(),COLUMN()))</formula>
    </cfRule>
  </conditionalFormatting>
  <conditionalFormatting sqref="E225:F225">
    <cfRule type="cellIs" dxfId="13" priority="12" stopIfTrue="1" operator="notEqual">
      <formula>INDIRECT("Dummy_for_Comparison3!"&amp;ADDRESS(ROW(),COLUMN()))</formula>
    </cfRule>
  </conditionalFormatting>
  <conditionalFormatting sqref="E281:F281">
    <cfRule type="cellIs" dxfId="12" priority="11" stopIfTrue="1" operator="notEqual">
      <formula>INDIRECT("Dummy_for_Comparison3!"&amp;ADDRESS(ROW(),COLUMN()))</formula>
    </cfRule>
  </conditionalFormatting>
  <conditionalFormatting sqref="E293:F293">
    <cfRule type="cellIs" dxfId="11" priority="10" stopIfTrue="1" operator="notEqual">
      <formula>INDIRECT("Dummy_for_Comparison3!"&amp;ADDRESS(ROW(),COLUMN()))</formula>
    </cfRule>
  </conditionalFormatting>
  <conditionalFormatting sqref="E310:F310">
    <cfRule type="cellIs" dxfId="10" priority="9" stopIfTrue="1" operator="notEqual">
      <formula>INDIRECT("Dummy_for_Comparison3!"&amp;ADDRESS(ROW(),COLUMN()))</formula>
    </cfRule>
  </conditionalFormatting>
  <conditionalFormatting sqref="E320:F320">
    <cfRule type="cellIs" dxfId="9" priority="8" stopIfTrue="1" operator="notEqual">
      <formula>INDIRECT("Dummy_for_Comparison3!"&amp;ADDRESS(ROW(),COLUMN()))</formula>
    </cfRule>
  </conditionalFormatting>
  <conditionalFormatting sqref="E337:F337">
    <cfRule type="cellIs" dxfId="8" priority="7" stopIfTrue="1" operator="notEqual">
      <formula>INDIRECT("Dummy_for_Comparison3!"&amp;ADDRESS(ROW(),COLUMN()))</formula>
    </cfRule>
  </conditionalFormatting>
  <conditionalFormatting sqref="E346:F346">
    <cfRule type="cellIs" dxfId="7" priority="6" stopIfTrue="1" operator="notEqual">
      <formula>INDIRECT("Dummy_for_Comparison3!"&amp;ADDRESS(ROW(),COLUMN()))</formula>
    </cfRule>
  </conditionalFormatting>
  <conditionalFormatting sqref="E350:F350">
    <cfRule type="cellIs" dxfId="6" priority="5" stopIfTrue="1" operator="notEqual">
      <formula>INDIRECT("Dummy_for_Comparison3!"&amp;ADDRESS(ROW(),COLUMN()))</formula>
    </cfRule>
  </conditionalFormatting>
  <conditionalFormatting sqref="E354:F354">
    <cfRule type="cellIs" dxfId="5" priority="4" stopIfTrue="1" operator="notEqual">
      <formula>INDIRECT("Dummy_for_Comparison3!"&amp;ADDRESS(ROW(),COLUMN()))</formula>
    </cfRule>
  </conditionalFormatting>
  <conditionalFormatting sqref="E377:F377">
    <cfRule type="cellIs" dxfId="4" priority="3" stopIfTrue="1" operator="notEqual">
      <formula>INDIRECT("Dummy_for_Comparison3!"&amp;ADDRESS(ROW(),COLUMN()))</formula>
    </cfRule>
  </conditionalFormatting>
  <conditionalFormatting sqref="E406:F406">
    <cfRule type="cellIs" dxfId="3" priority="2" stopIfTrue="1" operator="notEqual">
      <formula>INDIRECT("Dummy_for_Comparison3!"&amp;ADDRESS(ROW(),COLUMN()))</formula>
    </cfRule>
  </conditionalFormatting>
  <conditionalFormatting sqref="E410:F410">
    <cfRule type="cellIs" dxfId="2" priority="1" stopIfTrue="1" operator="notEqual">
      <formula>INDIRECT("Dummy_for_Comparison3!"&amp;ADDRESS(ROW(),COLUMN()))</formula>
    </cfRule>
  </conditionalFormatting>
  <hyperlinks>
    <hyperlink ref="J10" r:id="rId1"/>
    <hyperlink ref="J24" r:id="rId2"/>
    <hyperlink ref="J25" r:id="rId3"/>
    <hyperlink ref="J26" r:id="rId4"/>
    <hyperlink ref="J27" r:id="rId5"/>
    <hyperlink ref="J20" r:id="rId6"/>
    <hyperlink ref="J21" r:id="rId7"/>
    <hyperlink ref="J22" r:id="rId8"/>
    <hyperlink ref="J23" r:id="rId9"/>
    <hyperlink ref="J400" r:id="rId10"/>
    <hyperlink ref="J13" r:id="rId11"/>
  </hyperlinks>
  <pageMargins left="0.7" right="0.7" top="0.75" bottom="0.75" header="0.3" footer="0.3"/>
  <pageSetup orientation="portrait" r:id="rId1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28"/>
  <sheetViews>
    <sheetView zoomScaleNormal="100" workbookViewId="0">
      <selection activeCell="C7" sqref="C7"/>
    </sheetView>
  </sheetViews>
  <sheetFormatPr defaultColWidth="9.140625" defaultRowHeight="15" x14ac:dyDescent="0.25"/>
  <cols>
    <col min="1" max="1" width="5.85546875" customWidth="1"/>
    <col min="2" max="2" width="47" bestFit="1" customWidth="1"/>
    <col min="3" max="3" width="52" customWidth="1"/>
    <col min="4" max="4" width="82.7109375" customWidth="1"/>
    <col min="5" max="5" width="17.7109375" customWidth="1"/>
    <col min="6" max="6" width="9.28515625" customWidth="1"/>
    <col min="8" max="8" width="56.85546875" style="11" customWidth="1"/>
    <col min="9" max="9" width="22.7109375" customWidth="1"/>
  </cols>
  <sheetData>
    <row r="1" spans="2:8" ht="53.25" customHeight="1" thickBot="1" x14ac:dyDescent="0.3"/>
    <row r="2" spans="2:8" ht="15.75" thickBot="1" x14ac:dyDescent="0.3">
      <c r="C2" s="208" t="s">
        <v>554</v>
      </c>
      <c r="D2" s="1"/>
      <c r="E2" s="1"/>
    </row>
    <row r="3" spans="2:8" ht="15.75" thickBot="1" x14ac:dyDescent="0.3">
      <c r="B3" s="193" t="s">
        <v>0</v>
      </c>
      <c r="C3" s="194" t="s">
        <v>1</v>
      </c>
      <c r="D3" s="195" t="s">
        <v>4</v>
      </c>
      <c r="E3" s="195" t="s">
        <v>113</v>
      </c>
      <c r="F3" s="196" t="s">
        <v>2</v>
      </c>
      <c r="H3" s="209" t="s">
        <v>555</v>
      </c>
    </row>
    <row r="4" spans="2:8" ht="18.75" customHeight="1" x14ac:dyDescent="0.25">
      <c r="B4" s="197" t="s">
        <v>162</v>
      </c>
      <c r="C4" s="125" t="s">
        <v>163</v>
      </c>
      <c r="D4" s="198" t="s">
        <v>164</v>
      </c>
      <c r="E4" s="198"/>
      <c r="F4" s="199"/>
    </row>
    <row r="5" spans="2:8" x14ac:dyDescent="0.25">
      <c r="B5" s="200" t="s">
        <v>1083</v>
      </c>
      <c r="C5" s="106" t="s">
        <v>556</v>
      </c>
      <c r="D5" s="201" t="s">
        <v>1084</v>
      </c>
      <c r="E5" s="201"/>
      <c r="F5" s="202"/>
    </row>
    <row r="6" spans="2:8" x14ac:dyDescent="0.25">
      <c r="B6" s="200" t="s">
        <v>165</v>
      </c>
      <c r="C6" s="105" t="s">
        <v>166</v>
      </c>
      <c r="D6" s="105" t="s">
        <v>167</v>
      </c>
      <c r="E6" s="105"/>
      <c r="F6" s="202"/>
    </row>
    <row r="7" spans="2:8" x14ac:dyDescent="0.25">
      <c r="B7" s="200" t="s">
        <v>1085</v>
      </c>
      <c r="C7" s="106" t="s">
        <v>557</v>
      </c>
      <c r="D7" s="201" t="s">
        <v>1086</v>
      </c>
      <c r="E7" s="105"/>
      <c r="F7" s="202"/>
    </row>
    <row r="8" spans="2:8" x14ac:dyDescent="0.25">
      <c r="B8" s="200" t="s">
        <v>558</v>
      </c>
      <c r="C8" s="105" t="s">
        <v>559</v>
      </c>
      <c r="D8" s="105" t="s">
        <v>560</v>
      </c>
      <c r="E8" s="105"/>
      <c r="F8" s="202"/>
    </row>
    <row r="9" spans="2:8" x14ac:dyDescent="0.25">
      <c r="B9" s="200" t="s">
        <v>561</v>
      </c>
      <c r="C9" s="105" t="s">
        <v>562</v>
      </c>
      <c r="D9" s="105" t="s">
        <v>1309</v>
      </c>
      <c r="E9" s="105"/>
      <c r="F9" s="202"/>
    </row>
    <row r="10" spans="2:8" x14ac:dyDescent="0.25">
      <c r="B10" s="200" t="s">
        <v>168</v>
      </c>
      <c r="C10" s="105" t="s">
        <v>169</v>
      </c>
      <c r="D10" s="105" t="s">
        <v>170</v>
      </c>
      <c r="E10" s="105"/>
      <c r="F10" s="202"/>
    </row>
    <row r="11" spans="2:8" x14ac:dyDescent="0.25">
      <c r="B11" s="200" t="s">
        <v>563</v>
      </c>
      <c r="C11" s="106" t="s">
        <v>564</v>
      </c>
      <c r="D11" s="201" t="s">
        <v>978</v>
      </c>
      <c r="E11" s="105"/>
      <c r="F11" s="202"/>
    </row>
    <row r="12" spans="2:8" x14ac:dyDescent="0.25">
      <c r="B12" s="200" t="s">
        <v>171</v>
      </c>
      <c r="C12" s="105" t="s">
        <v>172</v>
      </c>
      <c r="D12" s="105" t="s">
        <v>1215</v>
      </c>
      <c r="E12" s="105"/>
      <c r="F12" s="202"/>
    </row>
    <row r="13" spans="2:8" x14ac:dyDescent="0.25">
      <c r="B13" s="200" t="s">
        <v>1087</v>
      </c>
      <c r="C13" s="105" t="s">
        <v>1088</v>
      </c>
      <c r="D13" s="105" t="s">
        <v>1089</v>
      </c>
      <c r="E13" s="105"/>
      <c r="F13" s="202"/>
    </row>
    <row r="14" spans="2:8" x14ac:dyDescent="0.25">
      <c r="B14" s="200" t="s">
        <v>174</v>
      </c>
      <c r="C14" s="105" t="s">
        <v>175</v>
      </c>
      <c r="D14" s="105" t="s">
        <v>1216</v>
      </c>
      <c r="E14" s="105"/>
      <c r="F14" s="202"/>
    </row>
    <row r="15" spans="2:8" x14ac:dyDescent="0.25">
      <c r="B15" s="200" t="s">
        <v>1217</v>
      </c>
      <c r="C15" s="105" t="s">
        <v>1218</v>
      </c>
      <c r="D15" s="105" t="s">
        <v>1219</v>
      </c>
      <c r="E15" s="105"/>
      <c r="F15" s="202"/>
    </row>
    <row r="16" spans="2:8" x14ac:dyDescent="0.25">
      <c r="B16" s="203" t="s">
        <v>1220</v>
      </c>
      <c r="C16" s="204" t="s">
        <v>1221</v>
      </c>
      <c r="D16" s="204" t="s">
        <v>1310</v>
      </c>
      <c r="E16" s="204"/>
      <c r="F16" s="205"/>
    </row>
    <row r="17" spans="2:8" x14ac:dyDescent="0.25">
      <c r="B17" s="200" t="s">
        <v>1222</v>
      </c>
      <c r="C17" s="204" t="s">
        <v>1223</v>
      </c>
      <c r="D17" s="204" t="s">
        <v>1224</v>
      </c>
      <c r="E17" s="204"/>
      <c r="F17" s="205"/>
    </row>
    <row r="18" spans="2:8" x14ac:dyDescent="0.25">
      <c r="B18" s="200" t="s">
        <v>177</v>
      </c>
      <c r="C18" s="105" t="s">
        <v>178</v>
      </c>
      <c r="D18" s="105" t="s">
        <v>179</v>
      </c>
      <c r="E18" s="105"/>
      <c r="F18" s="202"/>
      <c r="H18" s="210" t="s">
        <v>569</v>
      </c>
    </row>
    <row r="19" spans="2:8" x14ac:dyDescent="0.25">
      <c r="B19" s="200" t="s">
        <v>180</v>
      </c>
      <c r="C19" s="105" t="s">
        <v>181</v>
      </c>
      <c r="D19" s="105" t="s">
        <v>565</v>
      </c>
      <c r="E19" s="105"/>
      <c r="F19" s="202"/>
    </row>
    <row r="20" spans="2:8" x14ac:dyDescent="0.25">
      <c r="B20" s="200" t="s">
        <v>148</v>
      </c>
      <c r="C20" s="105" t="s">
        <v>146</v>
      </c>
      <c r="D20" s="105" t="s">
        <v>147</v>
      </c>
      <c r="E20" s="105"/>
      <c r="F20" s="202"/>
    </row>
    <row r="21" spans="2:8" x14ac:dyDescent="0.25">
      <c r="B21" s="200" t="s">
        <v>566</v>
      </c>
      <c r="C21" s="104" t="s">
        <v>567</v>
      </c>
      <c r="D21" s="201" t="s">
        <v>568</v>
      </c>
      <c r="E21" s="105"/>
      <c r="F21" s="202"/>
    </row>
    <row r="22" spans="2:8" ht="18" x14ac:dyDescent="0.35">
      <c r="B22" s="200" t="s">
        <v>1090</v>
      </c>
      <c r="C22" s="104" t="s">
        <v>570</v>
      </c>
      <c r="D22" s="201" t="s">
        <v>1311</v>
      </c>
      <c r="E22" s="105"/>
      <c r="F22" s="202"/>
    </row>
    <row r="23" spans="2:8" ht="18" x14ac:dyDescent="0.35">
      <c r="B23" s="200" t="s">
        <v>1091</v>
      </c>
      <c r="C23" s="104" t="s">
        <v>571</v>
      </c>
      <c r="D23" s="201" t="s">
        <v>1312</v>
      </c>
      <c r="E23" s="105"/>
      <c r="F23" s="202"/>
    </row>
    <row r="24" spans="2:8" ht="18" x14ac:dyDescent="0.35">
      <c r="B24" s="200" t="s">
        <v>1092</v>
      </c>
      <c r="C24" s="104" t="s">
        <v>572</v>
      </c>
      <c r="D24" s="201" t="s">
        <v>1313</v>
      </c>
      <c r="E24" s="105"/>
      <c r="F24" s="202"/>
    </row>
    <row r="25" spans="2:8" ht="18" x14ac:dyDescent="0.35">
      <c r="B25" s="200" t="s">
        <v>1093</v>
      </c>
      <c r="C25" s="104" t="s">
        <v>573</v>
      </c>
      <c r="D25" s="201" t="s">
        <v>1314</v>
      </c>
      <c r="E25" s="105"/>
      <c r="F25" s="202"/>
    </row>
    <row r="26" spans="2:8" ht="18" x14ac:dyDescent="0.35">
      <c r="B26" s="200" t="s">
        <v>1094</v>
      </c>
      <c r="C26" s="104" t="s">
        <v>574</v>
      </c>
      <c r="D26" s="201" t="s">
        <v>1315</v>
      </c>
      <c r="E26" s="105"/>
      <c r="F26" s="202"/>
    </row>
    <row r="27" spans="2:8" ht="15.75" customHeight="1" x14ac:dyDescent="0.35">
      <c r="B27" s="200" t="s">
        <v>1095</v>
      </c>
      <c r="C27" s="104" t="s">
        <v>575</v>
      </c>
      <c r="D27" s="201" t="s">
        <v>1316</v>
      </c>
      <c r="E27" s="105"/>
      <c r="F27" s="202"/>
    </row>
    <row r="28" spans="2:8" ht="16.5" customHeight="1" thickBot="1" x14ac:dyDescent="0.4">
      <c r="B28" s="206" t="s">
        <v>1096</v>
      </c>
      <c r="C28" s="124" t="s">
        <v>576</v>
      </c>
      <c r="D28" s="207" t="s">
        <v>1317</v>
      </c>
      <c r="E28" s="107"/>
      <c r="F28" s="152"/>
    </row>
  </sheetData>
  <conditionalFormatting sqref="D43">
    <cfRule type="cellIs" dxfId="1" priority="2" stopIfTrue="1" operator="notEqual">
      <formula>INDIRECT("Dummy_for_Comparison5!"&amp;ADDRESS(ROW(),COLUMN()))</formula>
    </cfRule>
  </conditionalFormatting>
  <conditionalFormatting sqref="D44">
    <cfRule type="cellIs" dxfId="0" priority="1" stopIfTrue="1" operator="notEqual">
      <formula>INDIRECT("Dummy_for_Comparison5!"&amp;ADDRESS(ROW(),COLUMN()))</formula>
    </cfRule>
  </conditionalFormatting>
  <hyperlinks>
    <hyperlink ref="B87" r:id="rId1" display="http://www.cplusplus.com/reference/cmath/cos/"/>
    <hyperlink ref="B88" r:id="rId2" display="http://www.cplusplus.com/reference/cmath/sin/"/>
    <hyperlink ref="B89" r:id="rId3" display="http://www.cplusplus.com/reference/cmath/tan/"/>
    <hyperlink ref="B90" r:id="rId4" display="http://www.cplusplus.com/reference/cmath/acos/"/>
    <hyperlink ref="B91" r:id="rId5" display="http://www.cplusplus.com/reference/cmath/asin/"/>
    <hyperlink ref="B92" r:id="rId6" display="http://www.cplusplus.com/reference/cmath/atan/"/>
    <hyperlink ref="B93" r:id="rId7" display="http://www.cplusplus.com/reference/cmath/atan2/"/>
    <hyperlink ref="B94" r:id="rId8" display="http://www.cplusplus.com/reference/cmath/cosh/"/>
    <hyperlink ref="B95" r:id="rId9" display="http://www.cplusplus.com/reference/cmath/sinh/"/>
    <hyperlink ref="B96" r:id="rId10" display="http://www.cplusplus.com/reference/cmath/tanh/"/>
    <hyperlink ref="B97" r:id="rId11" display="http://www.cplusplus.com/reference/cmath/exp/"/>
    <hyperlink ref="B98" r:id="rId12" display="http://www.cplusplus.com/reference/cmath/ldexp/"/>
    <hyperlink ref="B99" r:id="rId13" display="http://www.cplusplus.com/reference/cmath/log/"/>
    <hyperlink ref="B100" r:id="rId14" display="http://www.cplusplus.com/reference/cmath/log10/"/>
    <hyperlink ref="B101" r:id="rId15" display="http://www.cplusplus.com/reference/cmath/sqrt/"/>
    <hyperlink ref="B102" r:id="rId16" display="http://www.cplusplus.com/reference/cmath/ceil/"/>
    <hyperlink ref="B103" r:id="rId17" display="http://www.cplusplus.com/reference/cmath/fabs/"/>
    <hyperlink ref="B104" r:id="rId18" display="http://www.cplusplus.com/reference/cmath/floor/"/>
    <hyperlink ref="B105" r:id="rId19" display="http://www.cplusplus.com/reference/cmath/fmod/"/>
    <hyperlink ref="D87" r:id="rId20" display="http://www.cplusplus.com/reference/cmath/cos/"/>
    <hyperlink ref="D88" r:id="rId21" display="http://www.cplusplus.com/reference/cmath/sin/"/>
    <hyperlink ref="D89" r:id="rId22" display="http://www.cplusplus.com/reference/cmath/tan/"/>
    <hyperlink ref="D90" r:id="rId23" display="http://www.cplusplus.com/reference/cmath/acos/"/>
    <hyperlink ref="D91" r:id="rId24" display="http://www.cplusplus.com/reference/cmath/asin/"/>
    <hyperlink ref="D92" r:id="rId25" display="http://www.cplusplus.com/reference/cmath/atan/"/>
    <hyperlink ref="D93" r:id="rId26" display="http://www.cplusplus.com/reference/cmath/atan2/"/>
    <hyperlink ref="D94" r:id="rId27" display="http://www.cplusplus.com/reference/cmath/cosh/"/>
    <hyperlink ref="D95" r:id="rId28" display="http://www.cplusplus.com/reference/cmath/sinh/"/>
    <hyperlink ref="D96" r:id="rId29" display="http://www.cplusplus.com/reference/cmath/tanh/"/>
    <hyperlink ref="D97" r:id="rId30" display="http://www.cplusplus.com/reference/cmath/exp/"/>
    <hyperlink ref="D98" r:id="rId31" display="http://www.cplusplus.com/reference/cmath/ldexp/"/>
    <hyperlink ref="D99" r:id="rId32" display="http://www.cplusplus.com/reference/cmath/log/"/>
    <hyperlink ref="D100" r:id="rId33" display="http://www.cplusplus.com/reference/cmath/log10/"/>
    <hyperlink ref="D101" r:id="rId34" display="http://www.cplusplus.com/reference/cmath/sqrt/"/>
    <hyperlink ref="D102" r:id="rId35" display="http://www.cplusplus.com/reference/cmath/ceil/"/>
    <hyperlink ref="D103" r:id="rId36" display="http://www.cplusplus.com/reference/cmath/fabs/"/>
    <hyperlink ref="D104" r:id="rId37" display="http://www.cplusplus.com/reference/cmath/floor/"/>
    <hyperlink ref="D105" r:id="rId38" display="http://www.cplusplus.com/reference/cmath/fmod/"/>
  </hyperlinks>
  <pageMargins left="0.7" right="0.7" top="0.75" bottom="0.75" header="0.3" footer="0.3"/>
  <pageSetup paperSize="9" orientation="portrait" r:id="rId39"/>
  <drawing r:id="rId4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14"/>
  <sheetViews>
    <sheetView workbookViewId="0">
      <selection activeCell="B3" sqref="B3:D14"/>
    </sheetView>
  </sheetViews>
  <sheetFormatPr defaultColWidth="9.140625" defaultRowHeight="15" x14ac:dyDescent="0.25"/>
  <cols>
    <col min="1" max="1" width="9.140625" style="166"/>
    <col min="2" max="2" width="19.28515625" style="166" bestFit="1" customWidth="1"/>
    <col min="3" max="3" width="43.140625" style="166" bestFit="1" customWidth="1"/>
    <col min="4" max="5" width="9.140625" style="166"/>
    <col min="6" max="6" width="17.85546875" style="166" customWidth="1"/>
    <col min="7" max="8" width="9.140625" style="166"/>
    <col min="9" max="9" width="12.85546875" style="166" bestFit="1" customWidth="1"/>
    <col min="10" max="16384" width="9.140625" style="166"/>
  </cols>
  <sheetData>
    <row r="1" spans="2:9" ht="15.75" thickBot="1" x14ac:dyDescent="0.3"/>
    <row r="2" spans="2:9" ht="15.75" thickBot="1" x14ac:dyDescent="0.3">
      <c r="B2" s="167"/>
      <c r="C2" s="168" t="s">
        <v>926</v>
      </c>
      <c r="D2" s="167"/>
      <c r="E2" s="167"/>
      <c r="F2" s="167"/>
      <c r="G2" s="167"/>
      <c r="H2" s="167"/>
      <c r="I2" s="167"/>
    </row>
    <row r="3" spans="2:9" ht="15.75" thickBot="1" x14ac:dyDescent="0.3">
      <c r="B3" s="169" t="s">
        <v>0</v>
      </c>
      <c r="C3" s="170" t="s">
        <v>1</v>
      </c>
      <c r="D3" s="170" t="s">
        <v>149</v>
      </c>
      <c r="E3" s="171" t="s">
        <v>578</v>
      </c>
      <c r="F3" s="171" t="s">
        <v>579</v>
      </c>
      <c r="G3" s="170" t="s">
        <v>2</v>
      </c>
      <c r="H3" s="170" t="s">
        <v>545</v>
      </c>
      <c r="I3" s="172" t="s">
        <v>113</v>
      </c>
    </row>
    <row r="4" spans="2:9" ht="15.75" thickBot="1" x14ac:dyDescent="0.3">
      <c r="B4" s="126"/>
      <c r="C4" s="211"/>
      <c r="D4" s="212"/>
      <c r="E4" s="213"/>
      <c r="F4" s="214"/>
      <c r="G4" s="212"/>
      <c r="H4" s="212"/>
      <c r="I4" s="215"/>
    </row>
    <row r="5" spans="2:9" ht="15.75" thickBot="1" x14ac:dyDescent="0.3">
      <c r="B5" s="126"/>
      <c r="C5" s="168" t="s">
        <v>1321</v>
      </c>
      <c r="D5" s="212"/>
      <c r="E5" s="213"/>
      <c r="F5" s="214"/>
      <c r="G5" s="212"/>
      <c r="H5" s="212"/>
      <c r="I5" s="215"/>
    </row>
    <row r="6" spans="2:9" ht="15.75" thickBot="1" x14ac:dyDescent="0.3">
      <c r="B6" s="216" t="s">
        <v>0</v>
      </c>
      <c r="C6" s="217" t="s">
        <v>1</v>
      </c>
      <c r="D6" s="217" t="s">
        <v>149</v>
      </c>
      <c r="E6" s="218" t="s">
        <v>578</v>
      </c>
      <c r="F6" s="218" t="s">
        <v>579</v>
      </c>
      <c r="G6" s="217" t="s">
        <v>2</v>
      </c>
      <c r="H6" s="217" t="s">
        <v>545</v>
      </c>
      <c r="I6" s="219" t="s">
        <v>113</v>
      </c>
    </row>
    <row r="7" spans="2:9" ht="15.75" thickBot="1" x14ac:dyDescent="0.3">
      <c r="B7" s="220" t="s">
        <v>979</v>
      </c>
      <c r="C7" s="221" t="s">
        <v>927</v>
      </c>
      <c r="D7" s="222" t="b">
        <v>0</v>
      </c>
      <c r="E7" s="221"/>
      <c r="F7" s="221"/>
      <c r="G7" s="221"/>
      <c r="H7" s="221"/>
      <c r="I7" s="223" t="s">
        <v>928</v>
      </c>
    </row>
    <row r="8" spans="2:9" ht="15.75" thickBot="1" x14ac:dyDescent="0.3"/>
    <row r="9" spans="2:9" ht="15.75" thickBot="1" x14ac:dyDescent="0.3">
      <c r="B9" s="224" t="s">
        <v>1322</v>
      </c>
      <c r="C9" s="168" t="s">
        <v>1323</v>
      </c>
      <c r="D9" s="167"/>
      <c r="E9" s="167"/>
      <c r="F9" s="167"/>
      <c r="G9" s="167"/>
      <c r="H9" s="167"/>
      <c r="I9" s="167"/>
    </row>
    <row r="10" spans="2:9" ht="15.75" thickBot="1" x14ac:dyDescent="0.3">
      <c r="B10" s="216" t="s">
        <v>0</v>
      </c>
      <c r="C10" s="217" t="s">
        <v>1</v>
      </c>
      <c r="D10" s="217" t="s">
        <v>149</v>
      </c>
      <c r="E10" s="218" t="s">
        <v>578</v>
      </c>
      <c r="F10" s="218" t="s">
        <v>579</v>
      </c>
      <c r="G10" s="217" t="s">
        <v>2</v>
      </c>
      <c r="H10" s="217" t="s">
        <v>545</v>
      </c>
      <c r="I10" s="219" t="s">
        <v>113</v>
      </c>
    </row>
    <row r="11" spans="2:9" x14ac:dyDescent="0.25">
      <c r="B11" s="173" t="s">
        <v>1283</v>
      </c>
      <c r="C11" s="174"/>
      <c r="D11" s="174" t="b">
        <v>0</v>
      </c>
      <c r="E11" s="174"/>
      <c r="F11" s="174"/>
      <c r="G11" s="174"/>
      <c r="H11" s="174"/>
      <c r="I11" s="175" t="s">
        <v>1325</v>
      </c>
    </row>
    <row r="12" spans="2:9" x14ac:dyDescent="0.25">
      <c r="B12" s="173" t="s">
        <v>1324</v>
      </c>
      <c r="C12" s="174"/>
      <c r="D12" s="174" t="b">
        <v>0</v>
      </c>
      <c r="E12" s="174"/>
      <c r="F12" s="174"/>
      <c r="G12" s="174"/>
      <c r="H12" s="174"/>
      <c r="I12" s="175" t="s">
        <v>1325</v>
      </c>
    </row>
    <row r="13" spans="2:9" x14ac:dyDescent="0.25">
      <c r="B13" s="225" t="s">
        <v>1326</v>
      </c>
      <c r="C13" s="226"/>
      <c r="D13" s="226" t="b">
        <v>1</v>
      </c>
      <c r="E13" s="226"/>
      <c r="F13" s="226"/>
      <c r="G13" s="226"/>
      <c r="H13" s="226"/>
      <c r="I13" s="227" t="s">
        <v>1325</v>
      </c>
    </row>
    <row r="14" spans="2:9" ht="15.75" thickBot="1" x14ac:dyDescent="0.3">
      <c r="B14" s="228" t="s">
        <v>392</v>
      </c>
      <c r="C14" s="229"/>
      <c r="D14" s="229" t="b">
        <v>1</v>
      </c>
      <c r="E14" s="229"/>
      <c r="F14" s="229"/>
      <c r="G14" s="229"/>
      <c r="H14" s="229"/>
      <c r="I14" s="230" t="s">
        <v>1325</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0"/>
  <dimension ref="B1:G21"/>
  <sheetViews>
    <sheetView showGridLines="0" zoomScale="110" zoomScaleNormal="110" workbookViewId="0">
      <selection activeCell="B21" sqref="B21"/>
    </sheetView>
  </sheetViews>
  <sheetFormatPr defaultColWidth="9.140625" defaultRowHeight="15" x14ac:dyDescent="0.25"/>
  <cols>
    <col min="1" max="1" width="3.140625" customWidth="1"/>
    <col min="2" max="2" width="10.42578125" customWidth="1"/>
    <col min="3" max="3" width="26.42578125" customWidth="1"/>
    <col min="4" max="4" width="30" customWidth="1"/>
    <col min="5" max="5" width="12.28515625" customWidth="1"/>
    <col min="6" max="6" width="9.85546875" customWidth="1"/>
    <col min="7" max="7" width="20.85546875" customWidth="1"/>
  </cols>
  <sheetData>
    <row r="1" spans="2:7" s="46" customFormat="1" ht="44.25" customHeight="1" thickBot="1" x14ac:dyDescent="0.3"/>
    <row r="2" spans="2:7" ht="16.5" customHeight="1" thickBot="1" x14ac:dyDescent="0.3">
      <c r="B2" s="3"/>
      <c r="C2" s="60"/>
      <c r="D2" s="59"/>
      <c r="E2" s="3"/>
      <c r="F2" s="3"/>
      <c r="G2" s="3"/>
    </row>
    <row r="3" spans="2:7" ht="13.5" customHeight="1" thickBot="1" x14ac:dyDescent="0.3">
      <c r="B3" s="61"/>
      <c r="C3" s="62" t="s">
        <v>1</v>
      </c>
      <c r="D3" s="62" t="s">
        <v>4</v>
      </c>
      <c r="E3" s="65" t="s">
        <v>2</v>
      </c>
      <c r="F3" s="66" t="s">
        <v>113</v>
      </c>
      <c r="G3" s="63" t="s">
        <v>114</v>
      </c>
    </row>
    <row r="4" spans="2:7" ht="20.25" customHeight="1" x14ac:dyDescent="0.25">
      <c r="B4" s="41"/>
      <c r="C4" s="41"/>
      <c r="D4" s="40"/>
      <c r="E4" s="42"/>
      <c r="F4" s="43"/>
      <c r="G4" s="43"/>
    </row>
    <row r="21" spans="2:2" x14ac:dyDescent="0.25">
      <c r="B21" t="s">
        <v>398</v>
      </c>
    </row>
  </sheetData>
  <phoneticPr fontId="1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2"/>
  <dimension ref="A1:BU18"/>
  <sheetViews>
    <sheetView workbookViewId="0">
      <selection activeCell="J15" sqref="J15"/>
    </sheetView>
  </sheetViews>
  <sheetFormatPr defaultColWidth="9.140625" defaultRowHeight="15" x14ac:dyDescent="0.25"/>
  <cols>
    <col min="1" max="1" width="9.140625" style="7"/>
    <col min="2" max="7" width="16.42578125" style="7" customWidth="1"/>
    <col min="8" max="73" width="9.140625" style="7"/>
  </cols>
  <sheetData>
    <row r="1" spans="2:7" ht="15.75" thickBot="1" x14ac:dyDescent="0.3"/>
    <row r="2" spans="2:7" x14ac:dyDescent="0.25">
      <c r="B2" s="8"/>
      <c r="C2" s="9"/>
      <c r="D2" s="9"/>
      <c r="E2" s="9"/>
      <c r="F2" s="9"/>
      <c r="G2" s="10"/>
    </row>
    <row r="3" spans="2:7" x14ac:dyDescent="0.25">
      <c r="B3" s="434" t="s">
        <v>106</v>
      </c>
      <c r="C3" s="435"/>
      <c r="D3" s="435"/>
      <c r="E3" s="435"/>
      <c r="F3" s="435"/>
      <c r="G3" s="436"/>
    </row>
    <row r="4" spans="2:7" x14ac:dyDescent="0.25">
      <c r="B4" s="434"/>
      <c r="C4" s="435"/>
      <c r="D4" s="435"/>
      <c r="E4" s="435"/>
      <c r="F4" s="435"/>
      <c r="G4" s="436"/>
    </row>
    <row r="5" spans="2:7" x14ac:dyDescent="0.25">
      <c r="B5" s="434"/>
      <c r="C5" s="435"/>
      <c r="D5" s="435"/>
      <c r="E5" s="435"/>
      <c r="F5" s="435"/>
      <c r="G5" s="436"/>
    </row>
    <row r="6" spans="2:7" x14ac:dyDescent="0.25">
      <c r="B6" s="434"/>
      <c r="C6" s="435"/>
      <c r="D6" s="435"/>
      <c r="E6" s="435"/>
      <c r="F6" s="435"/>
      <c r="G6" s="436"/>
    </row>
    <row r="7" spans="2:7" x14ac:dyDescent="0.25">
      <c r="B7" s="434"/>
      <c r="C7" s="435"/>
      <c r="D7" s="435"/>
      <c r="E7" s="435"/>
      <c r="F7" s="435"/>
      <c r="G7" s="436"/>
    </row>
    <row r="8" spans="2:7" ht="15.75" thickBot="1" x14ac:dyDescent="0.3">
      <c r="B8" s="437"/>
      <c r="C8" s="438"/>
      <c r="D8" s="438"/>
      <c r="E8" s="438"/>
      <c r="F8" s="438"/>
      <c r="G8" s="439"/>
    </row>
    <row r="10" spans="2:7" x14ac:dyDescent="0.25">
      <c r="B10" s="440"/>
      <c r="C10" s="440"/>
      <c r="D10" s="440"/>
      <c r="E10" s="440"/>
      <c r="F10" s="440"/>
      <c r="G10" s="440"/>
    </row>
    <row r="11" spans="2:7" x14ac:dyDescent="0.25">
      <c r="B11" s="440"/>
      <c r="C11" s="440"/>
      <c r="D11" s="440"/>
      <c r="E11" s="440"/>
      <c r="F11" s="440"/>
      <c r="G11" s="440"/>
    </row>
    <row r="12" spans="2:7" x14ac:dyDescent="0.25">
      <c r="B12" s="440"/>
      <c r="C12" s="440"/>
      <c r="D12" s="440"/>
      <c r="E12" s="440"/>
      <c r="F12" s="440"/>
      <c r="G12" s="440"/>
    </row>
    <row r="13" spans="2:7" x14ac:dyDescent="0.25">
      <c r="B13" s="440"/>
      <c r="C13" s="440"/>
      <c r="D13" s="440"/>
      <c r="E13" s="440"/>
      <c r="F13" s="440"/>
      <c r="G13" s="440"/>
    </row>
    <row r="14" spans="2:7" x14ac:dyDescent="0.25">
      <c r="B14" s="440"/>
      <c r="C14" s="440"/>
      <c r="D14" s="440"/>
      <c r="E14" s="440"/>
      <c r="F14" s="440"/>
      <c r="G14" s="440"/>
    </row>
    <row r="15" spans="2:7" x14ac:dyDescent="0.25">
      <c r="B15" s="440"/>
      <c r="C15" s="440"/>
      <c r="D15" s="440"/>
      <c r="E15" s="440"/>
      <c r="F15" s="440"/>
      <c r="G15" s="440"/>
    </row>
    <row r="16" spans="2:7" x14ac:dyDescent="0.25">
      <c r="B16" s="440"/>
      <c r="C16" s="440"/>
      <c r="D16" s="440"/>
      <c r="E16" s="440"/>
      <c r="F16" s="440"/>
      <c r="G16" s="440"/>
    </row>
    <row r="17" spans="2:7" x14ac:dyDescent="0.25">
      <c r="B17" s="440"/>
      <c r="C17" s="440"/>
      <c r="D17" s="440"/>
      <c r="E17" s="440"/>
      <c r="F17" s="440"/>
      <c r="G17" s="440"/>
    </row>
    <row r="18" spans="2:7" x14ac:dyDescent="0.25">
      <c r="B18" s="440"/>
      <c r="C18" s="440"/>
      <c r="D18" s="440"/>
      <c r="E18" s="440"/>
      <c r="F18" s="440"/>
      <c r="G18" s="440"/>
    </row>
  </sheetData>
  <sheetProtection selectLockedCells="1" selectUnlockedCells="1"/>
  <mergeCells count="2">
    <mergeCell ref="B3:G8"/>
    <mergeCell ref="B10:G18"/>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1"/>
  <dimension ref="A1:C9"/>
  <sheetViews>
    <sheetView workbookViewId="0">
      <selection activeCell="A10" sqref="A10"/>
    </sheetView>
  </sheetViews>
  <sheetFormatPr defaultColWidth="9.140625" defaultRowHeight="15" x14ac:dyDescent="0.25"/>
  <cols>
    <col min="1" max="1" width="14.140625" bestFit="1" customWidth="1"/>
    <col min="2" max="2" width="4" bestFit="1" customWidth="1"/>
    <col min="3" max="3" width="12.85546875" bestFit="1" customWidth="1"/>
  </cols>
  <sheetData>
    <row r="1" spans="1:3" x14ac:dyDescent="0.25">
      <c r="A1" t="s">
        <v>104</v>
      </c>
      <c r="B1" s="6">
        <v>387</v>
      </c>
    </row>
    <row r="2" spans="1:3" x14ac:dyDescent="0.25">
      <c r="A2" t="s">
        <v>105</v>
      </c>
      <c r="B2" s="6">
        <v>441</v>
      </c>
    </row>
    <row r="3" spans="1:3" x14ac:dyDescent="0.25">
      <c r="A3" t="s">
        <v>107</v>
      </c>
      <c r="B3">
        <v>517</v>
      </c>
    </row>
    <row r="4" spans="1:3" x14ac:dyDescent="0.25">
      <c r="A4" t="s">
        <v>110</v>
      </c>
      <c r="B4">
        <v>444</v>
      </c>
    </row>
    <row r="5" spans="1:3" x14ac:dyDescent="0.25">
      <c r="A5" t="s">
        <v>117</v>
      </c>
      <c r="B5">
        <v>364</v>
      </c>
    </row>
    <row r="6" spans="1:3" x14ac:dyDescent="0.25">
      <c r="A6" t="s">
        <v>123</v>
      </c>
      <c r="B6">
        <v>418</v>
      </c>
    </row>
    <row r="7" spans="1:3" x14ac:dyDescent="0.25">
      <c r="A7" t="s">
        <v>124</v>
      </c>
      <c r="B7">
        <v>510</v>
      </c>
    </row>
    <row r="8" spans="1:3" x14ac:dyDescent="0.25">
      <c r="A8" t="s">
        <v>126</v>
      </c>
      <c r="B8">
        <v>452</v>
      </c>
      <c r="C8" t="s">
        <v>127</v>
      </c>
    </row>
    <row r="9" spans="1:3" x14ac:dyDescent="0.25">
      <c r="A9" t="s">
        <v>128</v>
      </c>
      <c r="B9">
        <v>611</v>
      </c>
      <c r="C9" t="s">
        <v>129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3"/>
  <sheetViews>
    <sheetView workbookViewId="0">
      <selection activeCell="C7" sqref="C7"/>
    </sheetView>
  </sheetViews>
  <sheetFormatPr defaultColWidth="9.140625" defaultRowHeight="15" x14ac:dyDescent="0.25"/>
  <cols>
    <col min="3" max="3" width="23" customWidth="1"/>
    <col min="6" max="6" width="9.5703125" customWidth="1"/>
    <col min="8" max="8" width="22.5703125" customWidth="1"/>
  </cols>
  <sheetData>
    <row r="1" spans="2:8" ht="51" customHeight="1" thickBot="1" x14ac:dyDescent="0.3"/>
    <row r="2" spans="2:8" ht="15.75" thickBot="1" x14ac:dyDescent="0.3">
      <c r="B2" s="108"/>
      <c r="C2" s="176" t="s">
        <v>7</v>
      </c>
      <c r="D2" s="108"/>
      <c r="E2" s="108"/>
      <c r="F2" s="108"/>
      <c r="G2" s="103"/>
      <c r="H2" s="103"/>
    </row>
    <row r="3" spans="2:8" ht="15.75" thickBot="1" x14ac:dyDescent="0.3">
      <c r="B3" s="177" t="s">
        <v>0</v>
      </c>
      <c r="C3" s="178" t="s">
        <v>1</v>
      </c>
      <c r="D3" s="179" t="s">
        <v>149</v>
      </c>
      <c r="E3" s="178" t="s">
        <v>2</v>
      </c>
      <c r="F3" s="178" t="s">
        <v>545</v>
      </c>
      <c r="G3" s="178" t="s">
        <v>113</v>
      </c>
      <c r="H3" s="180" t="s">
        <v>114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Munkalapok</vt:lpstr>
      </vt:variant>
      <vt:variant>
        <vt:i4>15</vt:i4>
      </vt:variant>
      <vt:variant>
        <vt:lpstr>Névvel ellátott tartományok</vt:lpstr>
      </vt:variant>
      <vt:variant>
        <vt:i4>986</vt:i4>
      </vt:variant>
    </vt:vector>
  </HeadingPairs>
  <TitlesOfParts>
    <vt:vector size="1001" baseType="lpstr">
      <vt:lpstr>Help</vt:lpstr>
      <vt:lpstr>Parameters</vt:lpstr>
      <vt:lpstr>Model</vt:lpstr>
      <vt:lpstr>pH</vt:lpstr>
      <vt:lpstr>Tableau</vt:lpstr>
      <vt:lpstr>Components</vt:lpstr>
      <vt:lpstr>Algebraic model</vt:lpstr>
      <vt:lpstr>Expert knowledge</vt:lpstr>
      <vt:lpstr>Functions</vt:lpstr>
      <vt:lpstr>Calculated variables</vt:lpstr>
      <vt:lpstr>systemcode_constants</vt:lpstr>
      <vt:lpstr>systemcode_functions</vt:lpstr>
      <vt:lpstr>other parameters</vt:lpstr>
      <vt:lpstr>Code</vt:lpstr>
      <vt:lpstr>Species</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A_MCu</vt:lpstr>
      <vt:lpstr>A_MCs</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A_UR</vt:lpstr>
      <vt:lpstr>b_AUT</vt:lpstr>
      <vt:lpstr>b_H</vt:lpstr>
      <vt:lpstr>B_H2O</vt:lpstr>
      <vt:lpstr>b_PAO</vt:lpstr>
      <vt:lpstr>b_PHA</vt:lpstr>
      <vt:lpstr>b_PP</vt:lpstr>
      <vt:lpstr>c_cm_m</vt:lpstr>
      <vt:lpstr>c_cm2_m2</vt:lpstr>
      <vt:lpstr>c_cm3_m3</vt:lpstr>
      <vt:lpstr>c_g_kg</vt:lpstr>
      <vt:lpstr>c_h_d</vt:lpstr>
      <vt:lpstr>C_H2O</vt:lpstr>
      <vt:lpstr>c_kJ_MJ</vt:lpstr>
      <vt:lpstr>c_L_m3</vt:lpstr>
      <vt:lpstr>c_mg_g</vt:lpstr>
      <vt:lpstr>c_min_h</vt:lpstr>
      <vt:lpstr>c_ms_d</vt:lpstr>
      <vt:lpstr>c_ms_h</vt:lpstr>
      <vt:lpstr>c_ms_min</vt:lpstr>
      <vt:lpstr>c_ms_s</vt:lpstr>
      <vt:lpstr>c_p_water</vt:lpstr>
      <vt:lpstr>c_Pa_bar</vt:lpstr>
      <vt:lpstr>c_Pa_Hgmm</vt:lpstr>
      <vt:lpstr>c_percent_fraction</vt:lpstr>
      <vt:lpstr>c_percent_Vconc</vt:lpstr>
      <vt:lpstr>c_ppm_Vconc</vt:lpstr>
      <vt:lpstr>c_s_d</vt:lpstr>
      <vt:lpstr>c_s_h</vt:lpstr>
      <vt:lpstr>conc_Hp_Ieq</vt:lpstr>
      <vt:lpstr>D_CB</vt:lpstr>
      <vt:lpstr>D_CU</vt:lpstr>
      <vt:lpstr>D_GCH4_25</vt:lpstr>
      <vt:lpstr>D_GCO2_25</vt:lpstr>
      <vt:lpstr>D_GH2_25</vt:lpstr>
      <vt:lpstr>D_GH2S_25</vt:lpstr>
      <vt:lpstr>D_GN2_25</vt:lpstr>
      <vt:lpstr>D_GN2O_25</vt:lpstr>
      <vt:lpstr>D_GNH3_25</vt:lpstr>
      <vt:lpstr>D_GNO_25</vt:lpstr>
      <vt:lpstr>D_GO2_25</vt:lpstr>
      <vt:lpstr>d_HCaCO3</vt:lpstr>
      <vt:lpstr>d_HCaH2PO4p</vt:lpstr>
      <vt:lpstr>d_HCaHCO3p</vt:lpstr>
      <vt:lpstr>d_HCaHPO4</vt:lpstr>
      <vt:lpstr>d_HCaOHp</vt:lpstr>
      <vt:lpstr>d_HCaPO4m</vt:lpstr>
      <vt:lpstr>d_Hdiss_CO2_1</vt:lpstr>
      <vt:lpstr>d_Hdiss_CO2_2</vt:lpstr>
      <vt:lpstr>d_Hdiss_H2O</vt:lpstr>
      <vt:lpstr>d_Hdiss_NO2</vt:lpstr>
      <vt:lpstr>d_Hdiss_PO4_1</vt:lpstr>
      <vt:lpstr>d_Hdiss_PO4_2</vt:lpstr>
      <vt:lpstr>d_Hdiss_PO4_3</vt:lpstr>
      <vt:lpstr>d_Hdiss_S_1</vt:lpstr>
      <vt:lpstr>d_Hdiss_S_2</vt:lpstr>
      <vt:lpstr>d_Hdiss_SO4_1</vt:lpstr>
      <vt:lpstr>d_Hdiss_SO4_2</vt:lpstr>
      <vt:lpstr>d_Hdiss_VFA</vt:lpstr>
      <vt:lpstr>d_Hion_amm</vt:lpstr>
      <vt:lpstr>d_HMgCO3</vt:lpstr>
      <vt:lpstr>d_HMgH2PO4p</vt:lpstr>
      <vt:lpstr>d_HMgHCO3p</vt:lpstr>
      <vt:lpstr>d_HMgHPO4</vt:lpstr>
      <vt:lpstr>d_HMgOHp</vt:lpstr>
      <vt:lpstr>d_HMgPO4m</vt:lpstr>
      <vt:lpstr>d_HNaHPO4m</vt:lpstr>
      <vt:lpstr>D_NBS</vt:lpstr>
      <vt:lpstr>D_NH3</vt:lpstr>
      <vt:lpstr>D_NO3</vt:lpstr>
      <vt:lpstr>D_NUS</vt:lpstr>
      <vt:lpstr>D_PO4</vt:lpstr>
      <vt:lpstr>D_SA</vt:lpstr>
      <vt:lpstr>D_SALK</vt:lpstr>
      <vt:lpstr>D_SAN</vt:lpstr>
      <vt:lpstr>D_SB</vt:lpstr>
      <vt:lpstr>D_SB_mono</vt:lpstr>
      <vt:lpstr>D_SB_poly</vt:lpstr>
      <vt:lpstr>D_SBSA</vt:lpstr>
      <vt:lpstr>D_SBSC</vt:lpstr>
      <vt:lpstr>D_SCa</vt:lpstr>
      <vt:lpstr>D_SCAT</vt:lpstr>
      <vt:lpstr>D_SCH4</vt:lpstr>
      <vt:lpstr>D_SCO2</vt:lpstr>
      <vt:lpstr>D_SF</vt:lpstr>
      <vt:lpstr>D_SFe2</vt:lpstr>
      <vt:lpstr>D_SH2</vt:lpstr>
      <vt:lpstr>D_SH2S</vt:lpstr>
      <vt:lpstr>D_SI</vt:lpstr>
      <vt:lpstr>D_SK</vt:lpstr>
      <vt:lpstr>D_SMEOL</vt:lpstr>
      <vt:lpstr>D_SMg</vt:lpstr>
      <vt:lpstr>D_SMM_index</vt:lpstr>
      <vt:lpstr>D_SN_B</vt:lpstr>
      <vt:lpstr>D_SN2</vt:lpstr>
      <vt:lpstr>D_SND</vt:lpstr>
      <vt:lpstr>D_SNH</vt:lpstr>
      <vt:lpstr>D_SNH4</vt:lpstr>
      <vt:lpstr>D_SNHx</vt:lpstr>
      <vt:lpstr>D_SNO2</vt:lpstr>
      <vt:lpstr>D_SNO3</vt:lpstr>
      <vt:lpstr>D_SNOx</vt:lpstr>
      <vt:lpstr>D_SO2</vt:lpstr>
      <vt:lpstr>D_SP_B</vt:lpstr>
      <vt:lpstr>D_SPO</vt:lpstr>
      <vt:lpstr>D_SPO4</vt:lpstr>
      <vt:lpstr>D_SS</vt:lpstr>
      <vt:lpstr>D_SSO4</vt:lpstr>
      <vt:lpstr>D_SU</vt:lpstr>
      <vt:lpstr>D_SUS</vt:lpstr>
      <vt:lpstr>D_SVFA</vt:lpstr>
      <vt:lpstr>E_EQFe2</vt:lpstr>
      <vt:lpstr>E_EQH2S</vt:lpstr>
      <vt:lpstr>E_EQN2</vt:lpstr>
      <vt:lpstr>E_EQN2_N2O</vt:lpstr>
      <vt:lpstr>E_EQN2_NO2</vt:lpstr>
      <vt:lpstr>E_EQN2_NO3</vt:lpstr>
      <vt:lpstr>E_EQN2O</vt:lpstr>
      <vt:lpstr>E_EQN2O_NO</vt:lpstr>
      <vt:lpstr>E_EQNO</vt:lpstr>
      <vt:lpstr>E_EQNO_NO2</vt:lpstr>
      <vt:lpstr>E_EQNO2</vt:lpstr>
      <vt:lpstr>E_EQNO2_NO3</vt:lpstr>
      <vt:lpstr>E_EQNO3</vt:lpstr>
      <vt:lpstr>E_EQS</vt:lpstr>
      <vt:lpstr>F__</vt:lpstr>
      <vt:lpstr>f_Ar_air</vt:lpstr>
      <vt:lpstr>f_BOD5_BODult</vt:lpstr>
      <vt:lpstr>f_CO2_air</vt:lpstr>
      <vt:lpstr>f_di_IS_an</vt:lpstr>
      <vt:lpstr>f_di_IS_cat</vt:lpstr>
      <vt:lpstr>f_MeOH_PO4_MW</vt:lpstr>
      <vt:lpstr>f_MeP_PO4_MW</vt:lpstr>
      <vt:lpstr>f_mono_IS_an</vt:lpstr>
      <vt:lpstr>f_mono_IS_cat</vt:lpstr>
      <vt:lpstr>f_N2_air</vt:lpstr>
      <vt:lpstr>f_O2_air</vt:lpstr>
      <vt:lpstr>f_SI</vt:lpstr>
      <vt:lpstr>f_tri_IS_an</vt:lpstr>
      <vt:lpstr>f_tri_IS_cat</vt:lpstr>
      <vt:lpstr>f_XI</vt:lpstr>
      <vt:lpstr>G_CH4_atm</vt:lpstr>
      <vt:lpstr>G_CO2_atm</vt:lpstr>
      <vt:lpstr>g_grav</vt:lpstr>
      <vt:lpstr>G_H2_atm</vt:lpstr>
      <vt:lpstr>G_H2S_atm</vt:lpstr>
      <vt:lpstr>G_N2_atm</vt:lpstr>
      <vt:lpstr>G_NH3_atm</vt:lpstr>
      <vt:lpstr>G_O2_atm</vt:lpstr>
      <vt:lpstr>H_Acm</vt:lpstr>
      <vt:lpstr>H_Ca2p</vt:lpstr>
      <vt:lpstr>H_CO32m</vt:lpstr>
      <vt:lpstr>H_enryGCH4_25</vt:lpstr>
      <vt:lpstr>H_enryGCH4_dt</vt:lpstr>
      <vt:lpstr>H_enryGCO2_25</vt:lpstr>
      <vt:lpstr>H_enryGCO2_dt</vt:lpstr>
      <vt:lpstr>H_enryGH2_25</vt:lpstr>
      <vt:lpstr>H_enryGH2_dt</vt:lpstr>
      <vt:lpstr>H_enryGH2S_25</vt:lpstr>
      <vt:lpstr>H_enryGH2S_dt</vt:lpstr>
      <vt:lpstr>H_enryGN2_25</vt:lpstr>
      <vt:lpstr>H_enryGN2_dt</vt:lpstr>
      <vt:lpstr>H_enryGN2O_25</vt:lpstr>
      <vt:lpstr>H_enryGN2O_dt</vt:lpstr>
      <vt:lpstr>H_enryGNH3_25</vt:lpstr>
      <vt:lpstr>H_enryGNH3_dt</vt:lpstr>
      <vt:lpstr>H_enryGNO_25</vt:lpstr>
      <vt:lpstr>H_enryGNO_dt</vt:lpstr>
      <vt:lpstr>H_enryGO2_25</vt:lpstr>
      <vt:lpstr>H_enryGO2_dt</vt:lpstr>
      <vt:lpstr>H_H2CO3</vt:lpstr>
      <vt:lpstr>H_H2O</vt:lpstr>
      <vt:lpstr>H_H2PO4m</vt:lpstr>
      <vt:lpstr>H_H2S</vt:lpstr>
      <vt:lpstr>H_H2SO4</vt:lpstr>
      <vt:lpstr>H_H3Op</vt:lpstr>
      <vt:lpstr>H_H3PO4</vt:lpstr>
      <vt:lpstr>H_HAc</vt:lpstr>
      <vt:lpstr>H_HCO3m</vt:lpstr>
      <vt:lpstr>H_HNO2</vt:lpstr>
      <vt:lpstr>H_Hp</vt:lpstr>
      <vt:lpstr>H_HPO42m</vt:lpstr>
      <vt:lpstr>H_HSm</vt:lpstr>
      <vt:lpstr>H_HSO4m</vt:lpstr>
      <vt:lpstr>H_Mg2p</vt:lpstr>
      <vt:lpstr>H_Nap</vt:lpstr>
      <vt:lpstr>H_NH3</vt:lpstr>
      <vt:lpstr>H_NH4p</vt:lpstr>
      <vt:lpstr>H_NO2m</vt:lpstr>
      <vt:lpstr>H_NO3m</vt:lpstr>
      <vt:lpstr>H_null</vt:lpstr>
      <vt:lpstr>H_OHm</vt:lpstr>
      <vt:lpstr>H_PO43m</vt:lpstr>
      <vt:lpstr>H_S2m</vt:lpstr>
      <vt:lpstr>H_SO42m</vt:lpstr>
      <vt:lpstr>H_STP</vt:lpstr>
      <vt:lpstr>i_Charge_SNHx</vt:lpstr>
      <vt:lpstr>i_Charge_SNOx</vt:lpstr>
      <vt:lpstr>i_Charge_SPO4</vt:lpstr>
      <vt:lpstr>i_Charge_SVFA</vt:lpstr>
      <vt:lpstr>i_Charge_XPAO_PP</vt:lpstr>
      <vt:lpstr>i_COD_N2</vt:lpstr>
      <vt:lpstr>i_COD_NO3</vt:lpstr>
      <vt:lpstr>i_CV</vt:lpstr>
      <vt:lpstr>i_CV_SA</vt:lpstr>
      <vt:lpstr>i_CV_SF</vt:lpstr>
      <vt:lpstr>i_CV_SI</vt:lpstr>
      <vt:lpstr>i_N_BM</vt:lpstr>
      <vt:lpstr>i_N_SF</vt:lpstr>
      <vt:lpstr>i_N_SI</vt:lpstr>
      <vt:lpstr>i_N_XI</vt:lpstr>
      <vt:lpstr>i_N_XS</vt:lpstr>
      <vt:lpstr>i_NO3_N2</vt:lpstr>
      <vt:lpstr>i_P_BM</vt:lpstr>
      <vt:lpstr>i_P_MeP</vt:lpstr>
      <vt:lpstr>i_P_SF</vt:lpstr>
      <vt:lpstr>i_P_SI</vt:lpstr>
      <vt:lpstr>i_P_XI</vt:lpstr>
      <vt:lpstr>i_P_XS</vt:lpstr>
      <vt:lpstr>i_TSS_BM</vt:lpstr>
      <vt:lpstr>i_TSS_XI</vt:lpstr>
      <vt:lpstr>i_TSS_XPHA</vt:lpstr>
      <vt:lpstr>i_TSS_XPP</vt:lpstr>
      <vt:lpstr>i_TSS_XS</vt:lpstr>
      <vt:lpstr>K_A_H</vt:lpstr>
      <vt:lpstr>K_A_PAO</vt:lpstr>
      <vt:lpstr>K_Ac_param</vt:lpstr>
      <vt:lpstr>K_ALK_AUT</vt:lpstr>
      <vt:lpstr>K_ALK_H</vt:lpstr>
      <vt:lpstr>K_ALK_PAO</vt:lpstr>
      <vt:lpstr>K_ALK_PRE</vt:lpstr>
      <vt:lpstr>K_C1_param</vt:lpstr>
      <vt:lpstr>K_C2_param</vt:lpstr>
      <vt:lpstr>K_F</vt:lpstr>
      <vt:lpstr>K_fe</vt:lpstr>
      <vt:lpstr>K_h</vt:lpstr>
      <vt:lpstr>K_H2S_param</vt:lpstr>
      <vt:lpstr>K_iPP</vt:lpstr>
      <vt:lpstr>K_MAX</vt:lpstr>
      <vt:lpstr>K_NH3_param</vt:lpstr>
      <vt:lpstr>K_NH4_AUT</vt:lpstr>
      <vt:lpstr>K_NH4_H</vt:lpstr>
      <vt:lpstr>K_NH4_PAO</vt:lpstr>
      <vt:lpstr>K_NO2_param</vt:lpstr>
      <vt:lpstr>K_NO3_H</vt:lpstr>
      <vt:lpstr>K_NO3_HYD</vt:lpstr>
      <vt:lpstr>K_NO3_PAO</vt:lpstr>
      <vt:lpstr>K_O2_AUT</vt:lpstr>
      <vt:lpstr>K_O2_H</vt:lpstr>
      <vt:lpstr>K_O2_HYD</vt:lpstr>
      <vt:lpstr>K_O2_PAO</vt:lpstr>
      <vt:lpstr>K_P_AUT</vt:lpstr>
      <vt:lpstr>K_P_H</vt:lpstr>
      <vt:lpstr>K_P_PAO</vt:lpstr>
      <vt:lpstr>K_P1_param</vt:lpstr>
      <vt:lpstr>K_P2_param</vt:lpstr>
      <vt:lpstr>K_P3_param</vt:lpstr>
      <vt:lpstr>K_PHA</vt:lpstr>
      <vt:lpstr>K_PP</vt:lpstr>
      <vt:lpstr>k_PRE</vt:lpstr>
      <vt:lpstr>K_PS</vt:lpstr>
      <vt:lpstr>k_RED</vt:lpstr>
      <vt:lpstr>K_S1_param</vt:lpstr>
      <vt:lpstr>K_S2_param</vt:lpstr>
      <vt:lpstr>K_SO41_param</vt:lpstr>
      <vt:lpstr>K_SO42_param</vt:lpstr>
      <vt:lpstr>K_sp_ACP_param</vt:lpstr>
      <vt:lpstr>K_sp_CaCO3_param</vt:lpstr>
      <vt:lpstr>K_sp_FeS_param</vt:lpstr>
      <vt:lpstr>K_sp_HDP_param</vt:lpstr>
      <vt:lpstr>K_sp_MKP_param</vt:lpstr>
      <vt:lpstr>K_sp_STR_param</vt:lpstr>
      <vt:lpstr>K_sp_Vivi_param</vt:lpstr>
      <vt:lpstr>K_W_param</vt:lpstr>
      <vt:lpstr>K_X</vt:lpstr>
      <vt:lpstr>M_inhSNO3_KNO3_H</vt:lpstr>
      <vt:lpstr>M_inhSNO3_KNO3_HYD</vt:lpstr>
      <vt:lpstr>M_inhSO2_KO2_H</vt:lpstr>
      <vt:lpstr>M_inhSO2_KO2_HYD</vt:lpstr>
      <vt:lpstr>M_inhSO2_KO2_PAO</vt:lpstr>
      <vt:lpstr>M_MACP</vt:lpstr>
      <vt:lpstr>M_Mair</vt:lpstr>
      <vt:lpstr>M_MAlOH3</vt:lpstr>
      <vt:lpstr>M_MAlPO4</vt:lpstr>
      <vt:lpstr>M_MCaCO3</vt:lpstr>
      <vt:lpstr>M_MCaH2PO4</vt:lpstr>
      <vt:lpstr>M_MCaHCO3</vt:lpstr>
      <vt:lpstr>M_MCaHPO4</vt:lpstr>
      <vt:lpstr>M_MCaOH</vt:lpstr>
      <vt:lpstr>M_MCaPO4</vt:lpstr>
      <vt:lpstr>M_MCH3COOH</vt:lpstr>
      <vt:lpstr>M_MCH3OH</vt:lpstr>
      <vt:lpstr>M_MCO2</vt:lpstr>
      <vt:lpstr>M_MCO3</vt:lpstr>
      <vt:lpstr>M_MEQ_GCH4</vt:lpstr>
      <vt:lpstr>M_MEQ_GCO2</vt:lpstr>
      <vt:lpstr>M_MEQ_GH2</vt:lpstr>
      <vt:lpstr>M_MEQ_GH2S</vt:lpstr>
      <vt:lpstr>M_MEQ_GN2</vt:lpstr>
      <vt:lpstr>M_MEQ_GN2O</vt:lpstr>
      <vt:lpstr>M_MEQ_GNH3</vt:lpstr>
      <vt:lpstr>M_MEQ_GNO</vt:lpstr>
      <vt:lpstr>M_MEQ_GO2</vt:lpstr>
      <vt:lpstr>M_MFe2O3</vt:lpstr>
      <vt:lpstr>M_MFeCl2</vt:lpstr>
      <vt:lpstr>M_MFeCl3</vt:lpstr>
      <vt:lpstr>M_MFeOH3</vt:lpstr>
      <vt:lpstr>M_MFeS</vt:lpstr>
      <vt:lpstr>M_MFeSO4</vt:lpstr>
      <vt:lpstr>M_MGCH4</vt:lpstr>
      <vt:lpstr>M_MGCO2</vt:lpstr>
      <vt:lpstr>M_MGH2</vt:lpstr>
      <vt:lpstr>M_MGH2S</vt:lpstr>
      <vt:lpstr>M_MGN2</vt:lpstr>
      <vt:lpstr>M_MGN2O</vt:lpstr>
      <vt:lpstr>M_MGNH3</vt:lpstr>
      <vt:lpstr>M_MGNO</vt:lpstr>
      <vt:lpstr>M_MGO2</vt:lpstr>
      <vt:lpstr>M_MH2CO3</vt:lpstr>
      <vt:lpstr>M_MH2O</vt:lpstr>
      <vt:lpstr>M_MH2S</vt:lpstr>
      <vt:lpstr>M_MH2SO4</vt:lpstr>
      <vt:lpstr>M_MHAP</vt:lpstr>
      <vt:lpstr>M_MHCl</vt:lpstr>
      <vt:lpstr>M_MHCO3</vt:lpstr>
      <vt:lpstr>M_MHDP</vt:lpstr>
      <vt:lpstr>M_MHSO4</vt:lpstr>
      <vt:lpstr>M_MMgCO3</vt:lpstr>
      <vt:lpstr>M_MMgH2PO4</vt:lpstr>
      <vt:lpstr>M_MMgHCO3</vt:lpstr>
      <vt:lpstr>M_MMgHPO4</vt:lpstr>
      <vt:lpstr>M_MMgOH</vt:lpstr>
      <vt:lpstr>M_MMgOH2</vt:lpstr>
      <vt:lpstr>M_MMgPO4</vt:lpstr>
      <vt:lpstr>M_MMKP</vt:lpstr>
      <vt:lpstr>M_MMMC</vt:lpstr>
      <vt:lpstr>M_MN2</vt:lpstr>
      <vt:lpstr>M_MNa2CO3</vt:lpstr>
      <vt:lpstr>M_MNaCl</vt:lpstr>
      <vt:lpstr>M_MNaHCO3</vt:lpstr>
      <vt:lpstr>M_MNaHPO4</vt:lpstr>
      <vt:lpstr>M_MNaOH</vt:lpstr>
      <vt:lpstr>M_MNH3</vt:lpstr>
      <vt:lpstr>M_MNH4</vt:lpstr>
      <vt:lpstr>M_MNO2</vt:lpstr>
      <vt:lpstr>M_MNO3</vt:lpstr>
      <vt:lpstr>M_MO2</vt:lpstr>
      <vt:lpstr>M_MPO4</vt:lpstr>
      <vt:lpstr>M_MSiO2</vt:lpstr>
      <vt:lpstr>M_MSO4</vt:lpstr>
      <vt:lpstr>M_MSTR</vt:lpstr>
      <vt:lpstr>M_MVivi</vt:lpstr>
      <vt:lpstr>M_RinhXPP_XPAO_KiPP</vt:lpstr>
      <vt:lpstr>M_RsatXPHA_XPAO_KPHA</vt:lpstr>
      <vt:lpstr>M_RsatXPP_XPAO_KPP</vt:lpstr>
      <vt:lpstr>M_RsatXS_XH_KX</vt:lpstr>
      <vt:lpstr>M_satSA_KA_H</vt:lpstr>
      <vt:lpstr>M_satSA_KA_PAO</vt:lpstr>
      <vt:lpstr>M_satSALK_KALK_AUT</vt:lpstr>
      <vt:lpstr>M_satSALK_KALK_H</vt:lpstr>
      <vt:lpstr>M_satSALK_KALK_PAO</vt:lpstr>
      <vt:lpstr>M_satSALK_KALK_PRE</vt:lpstr>
      <vt:lpstr>M_satSF_KF</vt:lpstr>
      <vt:lpstr>M_satSF_Kfe</vt:lpstr>
      <vt:lpstr>M_satSNH4_KNH4_AUT</vt:lpstr>
      <vt:lpstr>M_satSNH4_KNH4_H</vt:lpstr>
      <vt:lpstr>M_satSNH4_KNH4_PAO</vt:lpstr>
      <vt:lpstr>M_satSNO3_KNO3_H</vt:lpstr>
      <vt:lpstr>M_satSNO3_KNO3_HYD</vt:lpstr>
      <vt:lpstr>M_satSNO3_KNO3_PAO</vt:lpstr>
      <vt:lpstr>M_satSO2_KO2_AUT</vt:lpstr>
      <vt:lpstr>M_satSO2_KO2_H</vt:lpstr>
      <vt:lpstr>M_satSO2_KO2_HYD</vt:lpstr>
      <vt:lpstr>M_satSO2_KO2_PAO</vt:lpstr>
      <vt:lpstr>M_satSPO4_KP_AUT</vt:lpstr>
      <vt:lpstr>M_satSPO4_KP_H</vt:lpstr>
      <vt:lpstr>M_satSPO4_KP_PAO</vt:lpstr>
      <vt:lpstr>M_satSPO4_KPS</vt:lpstr>
      <vt:lpstr>N_UR</vt:lpstr>
      <vt:lpstr>O_UR</vt:lpstr>
      <vt:lpstr>p_i</vt:lpstr>
      <vt:lpstr>p_N</vt:lpstr>
      <vt:lpstr>p_St</vt:lpstr>
      <vt:lpstr>p_STP</vt:lpstr>
      <vt:lpstr>q_fe</vt:lpstr>
      <vt:lpstr>q_PHA</vt:lpstr>
      <vt:lpstr>q_PP</vt:lpstr>
      <vt:lpstr>R__</vt:lpstr>
      <vt:lpstr>r_1</vt:lpstr>
      <vt:lpstr>r_10</vt:lpstr>
      <vt:lpstr>r_11</vt:lpstr>
      <vt:lpstr>r_12</vt:lpstr>
      <vt:lpstr>r_13</vt:lpstr>
      <vt:lpstr>r_14</vt:lpstr>
      <vt:lpstr>r_15</vt:lpstr>
      <vt:lpstr>r_16</vt:lpstr>
      <vt:lpstr>r_17</vt:lpstr>
      <vt:lpstr>r_18</vt:lpstr>
      <vt:lpstr>r_19</vt:lpstr>
      <vt:lpstr>r_2</vt:lpstr>
      <vt:lpstr>r_20</vt:lpstr>
      <vt:lpstr>r_21</vt:lpstr>
      <vt:lpstr>r_3</vt:lpstr>
      <vt:lpstr>r_4</vt:lpstr>
      <vt:lpstr>r_5</vt:lpstr>
      <vt:lpstr>r_6</vt:lpstr>
      <vt:lpstr>r_7</vt:lpstr>
      <vt:lpstr>r_8</vt:lpstr>
      <vt:lpstr>r_9</vt:lpstr>
      <vt:lpstr>R_air</vt:lpstr>
      <vt:lpstr>S_A</vt:lpstr>
      <vt:lpstr>S_ALK</vt:lpstr>
      <vt:lpstr>S_BOD_5</vt:lpstr>
      <vt:lpstr>S_BOD_ult</vt:lpstr>
      <vt:lpstr>S_COD</vt:lpstr>
      <vt:lpstr>S_F</vt:lpstr>
      <vt:lpstr>S_I</vt:lpstr>
      <vt:lpstr>S_N2</vt:lpstr>
      <vt:lpstr>S_NH4</vt:lpstr>
      <vt:lpstr>S_NO3</vt:lpstr>
      <vt:lpstr>S_O2</vt:lpstr>
      <vt:lpstr>S_PO4</vt:lpstr>
      <vt:lpstr>S_umo__pHEffects</vt:lpstr>
      <vt:lpstr>T_BOD_5</vt:lpstr>
      <vt:lpstr>T_BOD_ult</vt:lpstr>
      <vt:lpstr>T_COD</vt:lpstr>
      <vt:lpstr>T_KN</vt:lpstr>
      <vt:lpstr>T_N</vt:lpstr>
      <vt:lpstr>T_NTP_K</vt:lpstr>
      <vt:lpstr>T_null</vt:lpstr>
      <vt:lpstr>T_st_K</vt:lpstr>
      <vt:lpstr>T_STP_K</vt:lpstr>
      <vt:lpstr>v_1_SA</vt:lpstr>
      <vt:lpstr>v_1_SALK</vt:lpstr>
      <vt:lpstr>v_1_SF</vt:lpstr>
      <vt:lpstr>v_1_SI</vt:lpstr>
      <vt:lpstr>v_1_SN2</vt:lpstr>
      <vt:lpstr>v_1_SNH4</vt:lpstr>
      <vt:lpstr>v_1_SNO3</vt:lpstr>
      <vt:lpstr>v_1_SO2</vt:lpstr>
      <vt:lpstr>v_1_SPO4</vt:lpstr>
      <vt:lpstr>v_1_XAUT</vt:lpstr>
      <vt:lpstr>v_1_XH</vt:lpstr>
      <vt:lpstr>v_1_XI</vt:lpstr>
      <vt:lpstr>v_1_XMeOH</vt:lpstr>
      <vt:lpstr>v_1_XMeP</vt:lpstr>
      <vt:lpstr>v_1_XPAO</vt:lpstr>
      <vt:lpstr>v_1_XPHA</vt:lpstr>
      <vt:lpstr>v_1_XPP</vt:lpstr>
      <vt:lpstr>v_1_XS</vt:lpstr>
      <vt:lpstr>v_1_XTSS</vt:lpstr>
      <vt:lpstr>v_10_SA</vt:lpstr>
      <vt:lpstr>v_10_SALK</vt:lpstr>
      <vt:lpstr>v_10_SF</vt:lpstr>
      <vt:lpstr>v_10_SI</vt:lpstr>
      <vt:lpstr>v_10_SN2</vt:lpstr>
      <vt:lpstr>v_10_SNH4</vt:lpstr>
      <vt:lpstr>v_10_SNO3</vt:lpstr>
      <vt:lpstr>v_10_SO2</vt:lpstr>
      <vt:lpstr>v_10_SPO4</vt:lpstr>
      <vt:lpstr>v_10_XAUT</vt:lpstr>
      <vt:lpstr>v_10_XH</vt:lpstr>
      <vt:lpstr>v_10_XI</vt:lpstr>
      <vt:lpstr>v_10_XMeOH</vt:lpstr>
      <vt:lpstr>v_10_XMeP</vt:lpstr>
      <vt:lpstr>v_10_XPAO</vt:lpstr>
      <vt:lpstr>v_10_XPHA</vt:lpstr>
      <vt:lpstr>v_10_XPP</vt:lpstr>
      <vt:lpstr>v_10_XS</vt:lpstr>
      <vt:lpstr>v_10_XTSS</vt:lpstr>
      <vt:lpstr>v_11_SA</vt:lpstr>
      <vt:lpstr>v_11_SALK</vt:lpstr>
      <vt:lpstr>v_11_SF</vt:lpstr>
      <vt:lpstr>v_11_SI</vt:lpstr>
      <vt:lpstr>v_11_SN2</vt:lpstr>
      <vt:lpstr>v_11_SNH4</vt:lpstr>
      <vt:lpstr>v_11_SNO3</vt:lpstr>
      <vt:lpstr>v_11_SO2</vt:lpstr>
      <vt:lpstr>v_11_SPO4</vt:lpstr>
      <vt:lpstr>v_11_XAUT</vt:lpstr>
      <vt:lpstr>v_11_XH</vt:lpstr>
      <vt:lpstr>v_11_XI</vt:lpstr>
      <vt:lpstr>v_11_XMeOH</vt:lpstr>
      <vt:lpstr>v_11_XMeP</vt:lpstr>
      <vt:lpstr>v_11_XPAO</vt:lpstr>
      <vt:lpstr>v_11_XPHA</vt:lpstr>
      <vt:lpstr>v_11_XPP</vt:lpstr>
      <vt:lpstr>v_11_XS</vt:lpstr>
      <vt:lpstr>v_11_XTSS</vt:lpstr>
      <vt:lpstr>v_12_SA</vt:lpstr>
      <vt:lpstr>v_12_SALK</vt:lpstr>
      <vt:lpstr>v_12_SF</vt:lpstr>
      <vt:lpstr>v_12_SI</vt:lpstr>
      <vt:lpstr>v_12_SN2</vt:lpstr>
      <vt:lpstr>v_12_SNH4</vt:lpstr>
      <vt:lpstr>v_12_SNO3</vt:lpstr>
      <vt:lpstr>v_12_SO2</vt:lpstr>
      <vt:lpstr>v_12_SPO4</vt:lpstr>
      <vt:lpstr>v_12_XAUT</vt:lpstr>
      <vt:lpstr>v_12_XH</vt:lpstr>
      <vt:lpstr>v_12_XI</vt:lpstr>
      <vt:lpstr>v_12_XMeOH</vt:lpstr>
      <vt:lpstr>v_12_XMeP</vt:lpstr>
      <vt:lpstr>v_12_XPAO</vt:lpstr>
      <vt:lpstr>v_12_XPHA</vt:lpstr>
      <vt:lpstr>v_12_XPP</vt:lpstr>
      <vt:lpstr>v_12_XS</vt:lpstr>
      <vt:lpstr>v_12_XTSS</vt:lpstr>
      <vt:lpstr>v_13_SA</vt:lpstr>
      <vt:lpstr>v_13_SALK</vt:lpstr>
      <vt:lpstr>v_13_SF</vt:lpstr>
      <vt:lpstr>v_13_SI</vt:lpstr>
      <vt:lpstr>v_13_SN2</vt:lpstr>
      <vt:lpstr>v_13_SNH4</vt:lpstr>
      <vt:lpstr>v_13_SNO3</vt:lpstr>
      <vt:lpstr>v_13_SO2</vt:lpstr>
      <vt:lpstr>v_13_SPO4</vt:lpstr>
      <vt:lpstr>v_13_XAUT</vt:lpstr>
      <vt:lpstr>v_13_XH</vt:lpstr>
      <vt:lpstr>v_13_XI</vt:lpstr>
      <vt:lpstr>v_13_XMeOH</vt:lpstr>
      <vt:lpstr>v_13_XMeP</vt:lpstr>
      <vt:lpstr>v_13_XPAO</vt:lpstr>
      <vt:lpstr>v_13_XPHA</vt:lpstr>
      <vt:lpstr>v_13_XPP</vt:lpstr>
      <vt:lpstr>v_13_XS</vt:lpstr>
      <vt:lpstr>v_13_XTSS</vt:lpstr>
      <vt:lpstr>v_14_SA</vt:lpstr>
      <vt:lpstr>v_14_SALK</vt:lpstr>
      <vt:lpstr>v_14_SF</vt:lpstr>
      <vt:lpstr>v_14_SI</vt:lpstr>
      <vt:lpstr>v_14_SN2</vt:lpstr>
      <vt:lpstr>v_14_SNH4</vt:lpstr>
      <vt:lpstr>v_14_SNO3</vt:lpstr>
      <vt:lpstr>v_14_SO2</vt:lpstr>
      <vt:lpstr>v_14_SPO4</vt:lpstr>
      <vt:lpstr>v_14_XAUT</vt:lpstr>
      <vt:lpstr>v_14_XH</vt:lpstr>
      <vt:lpstr>v_14_XI</vt:lpstr>
      <vt:lpstr>v_14_XMeOH</vt:lpstr>
      <vt:lpstr>v_14_XMeP</vt:lpstr>
      <vt:lpstr>v_14_XPAO</vt:lpstr>
      <vt:lpstr>v_14_XPHA</vt:lpstr>
      <vt:lpstr>v_14_XPP</vt:lpstr>
      <vt:lpstr>v_14_XS</vt:lpstr>
      <vt:lpstr>v_14_XTSS</vt:lpstr>
      <vt:lpstr>v_15_SA</vt:lpstr>
      <vt:lpstr>v_15_SALK</vt:lpstr>
      <vt:lpstr>v_15_SF</vt:lpstr>
      <vt:lpstr>v_15_SI</vt:lpstr>
      <vt:lpstr>v_15_SN2</vt:lpstr>
      <vt:lpstr>v_15_SNH4</vt:lpstr>
      <vt:lpstr>v_15_SNO3</vt:lpstr>
      <vt:lpstr>v_15_SO2</vt:lpstr>
      <vt:lpstr>v_15_SPO4</vt:lpstr>
      <vt:lpstr>v_15_XAUT</vt:lpstr>
      <vt:lpstr>v_15_XH</vt:lpstr>
      <vt:lpstr>v_15_XI</vt:lpstr>
      <vt:lpstr>v_15_XMeOH</vt:lpstr>
      <vt:lpstr>v_15_XMeP</vt:lpstr>
      <vt:lpstr>v_15_XPAO</vt:lpstr>
      <vt:lpstr>v_15_XPHA</vt:lpstr>
      <vt:lpstr>v_15_XPP</vt:lpstr>
      <vt:lpstr>v_15_XS</vt:lpstr>
      <vt:lpstr>v_15_XTSS</vt:lpstr>
      <vt:lpstr>v_16_SA</vt:lpstr>
      <vt:lpstr>v_16_SALK</vt:lpstr>
      <vt:lpstr>v_16_SF</vt:lpstr>
      <vt:lpstr>v_16_SI</vt:lpstr>
      <vt:lpstr>v_16_SN2</vt:lpstr>
      <vt:lpstr>v_16_SNH4</vt:lpstr>
      <vt:lpstr>v_16_SNO3</vt:lpstr>
      <vt:lpstr>v_16_SO2</vt:lpstr>
      <vt:lpstr>v_16_SPO4</vt:lpstr>
      <vt:lpstr>v_16_XAUT</vt:lpstr>
      <vt:lpstr>v_16_XH</vt:lpstr>
      <vt:lpstr>v_16_XI</vt:lpstr>
      <vt:lpstr>v_16_XMeOH</vt:lpstr>
      <vt:lpstr>v_16_XMeP</vt:lpstr>
      <vt:lpstr>v_16_XPAO</vt:lpstr>
      <vt:lpstr>v_16_XPHA</vt:lpstr>
      <vt:lpstr>v_16_XPP</vt:lpstr>
      <vt:lpstr>v_16_XS</vt:lpstr>
      <vt:lpstr>v_16_XTSS</vt:lpstr>
      <vt:lpstr>v_17_SA</vt:lpstr>
      <vt:lpstr>v_17_SALK</vt:lpstr>
      <vt:lpstr>v_17_SF</vt:lpstr>
      <vt:lpstr>v_17_SI</vt:lpstr>
      <vt:lpstr>v_17_SN2</vt:lpstr>
      <vt:lpstr>v_17_SNH4</vt:lpstr>
      <vt:lpstr>v_17_SNO3</vt:lpstr>
      <vt:lpstr>v_17_SO2</vt:lpstr>
      <vt:lpstr>v_17_SPO4</vt:lpstr>
      <vt:lpstr>v_17_XAUT</vt:lpstr>
      <vt:lpstr>v_17_XH</vt:lpstr>
      <vt:lpstr>v_17_XI</vt:lpstr>
      <vt:lpstr>v_17_XMeOH</vt:lpstr>
      <vt:lpstr>v_17_XMeP</vt:lpstr>
      <vt:lpstr>v_17_XPAO</vt:lpstr>
      <vt:lpstr>v_17_XPHA</vt:lpstr>
      <vt:lpstr>v_17_XPP</vt:lpstr>
      <vt:lpstr>v_17_XS</vt:lpstr>
      <vt:lpstr>v_17_XTSS</vt:lpstr>
      <vt:lpstr>v_18_SA</vt:lpstr>
      <vt:lpstr>v_18_SALK</vt:lpstr>
      <vt:lpstr>v_18_SF</vt:lpstr>
      <vt:lpstr>v_18_SI</vt:lpstr>
      <vt:lpstr>v_18_SN2</vt:lpstr>
      <vt:lpstr>v_18_SNH4</vt:lpstr>
      <vt:lpstr>v_18_SNO3</vt:lpstr>
      <vt:lpstr>v_18_SO2</vt:lpstr>
      <vt:lpstr>v_18_SPO4</vt:lpstr>
      <vt:lpstr>v_18_XAUT</vt:lpstr>
      <vt:lpstr>v_18_XH</vt:lpstr>
      <vt:lpstr>v_18_XI</vt:lpstr>
      <vt:lpstr>v_18_XMeOH</vt:lpstr>
      <vt:lpstr>v_18_XMeP</vt:lpstr>
      <vt:lpstr>v_18_XPAO</vt:lpstr>
      <vt:lpstr>v_18_XPHA</vt:lpstr>
      <vt:lpstr>v_18_XPP</vt:lpstr>
      <vt:lpstr>v_18_XS</vt:lpstr>
      <vt:lpstr>v_18_XTSS</vt:lpstr>
      <vt:lpstr>v_19_SA</vt:lpstr>
      <vt:lpstr>v_19_SALK</vt:lpstr>
      <vt:lpstr>v_19_SF</vt:lpstr>
      <vt:lpstr>v_19_SI</vt:lpstr>
      <vt:lpstr>v_19_SN2</vt:lpstr>
      <vt:lpstr>v_19_SNH4</vt:lpstr>
      <vt:lpstr>v_19_SNO3</vt:lpstr>
      <vt:lpstr>v_19_SO2</vt:lpstr>
      <vt:lpstr>v_19_SPO4</vt:lpstr>
      <vt:lpstr>v_19_XAUT</vt:lpstr>
      <vt:lpstr>v_19_XH</vt:lpstr>
      <vt:lpstr>v_19_XI</vt:lpstr>
      <vt:lpstr>v_19_XMeOH</vt:lpstr>
      <vt:lpstr>v_19_XMeP</vt:lpstr>
      <vt:lpstr>v_19_XPAO</vt:lpstr>
      <vt:lpstr>v_19_XPHA</vt:lpstr>
      <vt:lpstr>v_19_XPP</vt:lpstr>
      <vt:lpstr>v_19_XS</vt:lpstr>
      <vt:lpstr>v_19_XTSS</vt:lpstr>
      <vt:lpstr>v_2_SA</vt:lpstr>
      <vt:lpstr>v_2_SALK</vt:lpstr>
      <vt:lpstr>v_2_SF</vt:lpstr>
      <vt:lpstr>v_2_SI</vt:lpstr>
      <vt:lpstr>v_2_SN2</vt:lpstr>
      <vt:lpstr>v_2_SNH4</vt:lpstr>
      <vt:lpstr>v_2_SNO3</vt:lpstr>
      <vt:lpstr>v_2_SO2</vt:lpstr>
      <vt:lpstr>v_2_SPO4</vt:lpstr>
      <vt:lpstr>v_2_XAUT</vt:lpstr>
      <vt:lpstr>v_2_XH</vt:lpstr>
      <vt:lpstr>v_2_XI</vt:lpstr>
      <vt:lpstr>v_2_XMeOH</vt:lpstr>
      <vt:lpstr>v_2_XMeP</vt:lpstr>
      <vt:lpstr>v_2_XPAO</vt:lpstr>
      <vt:lpstr>v_2_XPHA</vt:lpstr>
      <vt:lpstr>v_2_XPP</vt:lpstr>
      <vt:lpstr>v_2_XS</vt:lpstr>
      <vt:lpstr>v_2_XTSS</vt:lpstr>
      <vt:lpstr>v_20_SA</vt:lpstr>
      <vt:lpstr>v_20_SALK</vt:lpstr>
      <vt:lpstr>v_20_SF</vt:lpstr>
      <vt:lpstr>v_20_SI</vt:lpstr>
      <vt:lpstr>v_20_SN2</vt:lpstr>
      <vt:lpstr>v_20_SNH4</vt:lpstr>
      <vt:lpstr>v_20_SNO3</vt:lpstr>
      <vt:lpstr>v_20_SO2</vt:lpstr>
      <vt:lpstr>v_20_SPO4</vt:lpstr>
      <vt:lpstr>v_20_XAUT</vt:lpstr>
      <vt:lpstr>v_20_XH</vt:lpstr>
      <vt:lpstr>v_20_XI</vt:lpstr>
      <vt:lpstr>v_20_XMeOH</vt:lpstr>
      <vt:lpstr>v_20_XMeP</vt:lpstr>
      <vt:lpstr>v_20_XPAO</vt:lpstr>
      <vt:lpstr>v_20_XPHA</vt:lpstr>
      <vt:lpstr>v_20_XPP</vt:lpstr>
      <vt:lpstr>v_20_XS</vt:lpstr>
      <vt:lpstr>v_20_XTSS</vt:lpstr>
      <vt:lpstr>v_21_SA</vt:lpstr>
      <vt:lpstr>v_21_SALK</vt:lpstr>
      <vt:lpstr>v_21_SF</vt:lpstr>
      <vt:lpstr>v_21_SI</vt:lpstr>
      <vt:lpstr>v_21_SN2</vt:lpstr>
      <vt:lpstr>v_21_SNH4</vt:lpstr>
      <vt:lpstr>v_21_SNO3</vt:lpstr>
      <vt:lpstr>v_21_SO2</vt:lpstr>
      <vt:lpstr>v_21_SPO4</vt:lpstr>
      <vt:lpstr>v_21_XAUT</vt:lpstr>
      <vt:lpstr>v_21_XH</vt:lpstr>
      <vt:lpstr>v_21_XI</vt:lpstr>
      <vt:lpstr>v_21_XMeOH</vt:lpstr>
      <vt:lpstr>v_21_XMeP</vt:lpstr>
      <vt:lpstr>v_21_XPAO</vt:lpstr>
      <vt:lpstr>v_21_XPHA</vt:lpstr>
      <vt:lpstr>v_21_XPP</vt:lpstr>
      <vt:lpstr>v_21_XS</vt:lpstr>
      <vt:lpstr>v_21_XTSS</vt:lpstr>
      <vt:lpstr>v_3_SA</vt:lpstr>
      <vt:lpstr>v_3_SALK</vt:lpstr>
      <vt:lpstr>v_3_SF</vt:lpstr>
      <vt:lpstr>v_3_SI</vt:lpstr>
      <vt:lpstr>v_3_SN2</vt:lpstr>
      <vt:lpstr>v_3_SNH4</vt:lpstr>
      <vt:lpstr>v_3_SNO3</vt:lpstr>
      <vt:lpstr>v_3_SO2</vt:lpstr>
      <vt:lpstr>v_3_SPO4</vt:lpstr>
      <vt:lpstr>v_3_XAUT</vt:lpstr>
      <vt:lpstr>v_3_XH</vt:lpstr>
      <vt:lpstr>v_3_XI</vt:lpstr>
      <vt:lpstr>v_3_XMeOH</vt:lpstr>
      <vt:lpstr>v_3_XMeP</vt:lpstr>
      <vt:lpstr>v_3_XPAO</vt:lpstr>
      <vt:lpstr>v_3_XPHA</vt:lpstr>
      <vt:lpstr>v_3_XPP</vt:lpstr>
      <vt:lpstr>v_3_XS</vt:lpstr>
      <vt:lpstr>v_3_XTSS</vt:lpstr>
      <vt:lpstr>v_4_SA</vt:lpstr>
      <vt:lpstr>v_4_SALK</vt:lpstr>
      <vt:lpstr>v_4_SF</vt:lpstr>
      <vt:lpstr>v_4_SI</vt:lpstr>
      <vt:lpstr>v_4_SN2</vt:lpstr>
      <vt:lpstr>v_4_SNH4</vt:lpstr>
      <vt:lpstr>v_4_SNO3</vt:lpstr>
      <vt:lpstr>v_4_SO2</vt:lpstr>
      <vt:lpstr>v_4_SPO4</vt:lpstr>
      <vt:lpstr>v_4_XAUT</vt:lpstr>
      <vt:lpstr>v_4_XH</vt:lpstr>
      <vt:lpstr>v_4_XI</vt:lpstr>
      <vt:lpstr>v_4_XMeOH</vt:lpstr>
      <vt:lpstr>v_4_XMeP</vt:lpstr>
      <vt:lpstr>v_4_XPAO</vt:lpstr>
      <vt:lpstr>v_4_XPHA</vt:lpstr>
      <vt:lpstr>v_4_XPP</vt:lpstr>
      <vt:lpstr>v_4_XS</vt:lpstr>
      <vt:lpstr>v_4_XTSS</vt:lpstr>
      <vt:lpstr>v_5_SA</vt:lpstr>
      <vt:lpstr>v_5_SALK</vt:lpstr>
      <vt:lpstr>v_5_SF</vt:lpstr>
      <vt:lpstr>v_5_SI</vt:lpstr>
      <vt:lpstr>v_5_SN2</vt:lpstr>
      <vt:lpstr>v_5_SNH4</vt:lpstr>
      <vt:lpstr>v_5_SNO3</vt:lpstr>
      <vt:lpstr>v_5_SO2</vt:lpstr>
      <vt:lpstr>v_5_SPO4</vt:lpstr>
      <vt:lpstr>v_5_XAUT</vt:lpstr>
      <vt:lpstr>v_5_XH</vt:lpstr>
      <vt:lpstr>v_5_XI</vt:lpstr>
      <vt:lpstr>v_5_XMeOH</vt:lpstr>
      <vt:lpstr>v_5_XMeP</vt:lpstr>
      <vt:lpstr>v_5_XPAO</vt:lpstr>
      <vt:lpstr>v_5_XPHA</vt:lpstr>
      <vt:lpstr>v_5_XPP</vt:lpstr>
      <vt:lpstr>v_5_XS</vt:lpstr>
      <vt:lpstr>v_5_XTSS</vt:lpstr>
      <vt:lpstr>v_6_SA</vt:lpstr>
      <vt:lpstr>v_6_SALK</vt:lpstr>
      <vt:lpstr>v_6_SF</vt:lpstr>
      <vt:lpstr>v_6_SI</vt:lpstr>
      <vt:lpstr>v_6_SN2</vt:lpstr>
      <vt:lpstr>v_6_SNH4</vt:lpstr>
      <vt:lpstr>v_6_SNO3</vt:lpstr>
      <vt:lpstr>v_6_SO2</vt:lpstr>
      <vt:lpstr>v_6_SPO4</vt:lpstr>
      <vt:lpstr>v_6_XAUT</vt:lpstr>
      <vt:lpstr>v_6_XH</vt:lpstr>
      <vt:lpstr>v_6_XI</vt:lpstr>
      <vt:lpstr>v_6_XMeOH</vt:lpstr>
      <vt:lpstr>v_6_XMeP</vt:lpstr>
      <vt:lpstr>v_6_XPAO</vt:lpstr>
      <vt:lpstr>v_6_XPHA</vt:lpstr>
      <vt:lpstr>v_6_XPP</vt:lpstr>
      <vt:lpstr>v_6_XS</vt:lpstr>
      <vt:lpstr>v_6_XTSS</vt:lpstr>
      <vt:lpstr>v_7_SA</vt:lpstr>
      <vt:lpstr>v_7_SALK</vt:lpstr>
      <vt:lpstr>v_7_SF</vt:lpstr>
      <vt:lpstr>v_7_SI</vt:lpstr>
      <vt:lpstr>v_7_SN2</vt:lpstr>
      <vt:lpstr>v_7_SNH4</vt:lpstr>
      <vt:lpstr>v_7_SNO3</vt:lpstr>
      <vt:lpstr>v_7_SO2</vt:lpstr>
      <vt:lpstr>v_7_SPO4</vt:lpstr>
      <vt:lpstr>v_7_XAUT</vt:lpstr>
      <vt:lpstr>v_7_XH</vt:lpstr>
      <vt:lpstr>v_7_XI</vt:lpstr>
      <vt:lpstr>v_7_XMeOH</vt:lpstr>
      <vt:lpstr>v_7_XMeP</vt:lpstr>
      <vt:lpstr>v_7_XPAO</vt:lpstr>
      <vt:lpstr>v_7_XPHA</vt:lpstr>
      <vt:lpstr>v_7_XPP</vt:lpstr>
      <vt:lpstr>v_7_XS</vt:lpstr>
      <vt:lpstr>v_7_XTSS</vt:lpstr>
      <vt:lpstr>v_8_SA</vt:lpstr>
      <vt:lpstr>v_8_SALK</vt:lpstr>
      <vt:lpstr>v_8_SF</vt:lpstr>
      <vt:lpstr>v_8_SI</vt:lpstr>
      <vt:lpstr>v_8_SN2</vt:lpstr>
      <vt:lpstr>v_8_SNH4</vt:lpstr>
      <vt:lpstr>v_8_SNO3</vt:lpstr>
      <vt:lpstr>v_8_SO2</vt:lpstr>
      <vt:lpstr>v_8_SPO4</vt:lpstr>
      <vt:lpstr>v_8_XAUT</vt:lpstr>
      <vt:lpstr>v_8_XH</vt:lpstr>
      <vt:lpstr>v_8_XI</vt:lpstr>
      <vt:lpstr>v_8_XMeOH</vt:lpstr>
      <vt:lpstr>v_8_XMeP</vt:lpstr>
      <vt:lpstr>v_8_XPAO</vt:lpstr>
      <vt:lpstr>v_8_XPHA</vt:lpstr>
      <vt:lpstr>v_8_XPP</vt:lpstr>
      <vt:lpstr>v_8_XS</vt:lpstr>
      <vt:lpstr>v_8_XTSS</vt:lpstr>
      <vt:lpstr>v_9_SA</vt:lpstr>
      <vt:lpstr>v_9_SALK</vt:lpstr>
      <vt:lpstr>v_9_SF</vt:lpstr>
      <vt:lpstr>v_9_SI</vt:lpstr>
      <vt:lpstr>v_9_SN2</vt:lpstr>
      <vt:lpstr>v_9_SNH4</vt:lpstr>
      <vt:lpstr>v_9_SNO3</vt:lpstr>
      <vt:lpstr>v_9_SO2</vt:lpstr>
      <vt:lpstr>v_9_SPO4</vt:lpstr>
      <vt:lpstr>v_9_XAUT</vt:lpstr>
      <vt:lpstr>v_9_XH</vt:lpstr>
      <vt:lpstr>v_9_XI</vt:lpstr>
      <vt:lpstr>v_9_XMeOH</vt:lpstr>
      <vt:lpstr>v_9_XMeP</vt:lpstr>
      <vt:lpstr>v_9_XPAO</vt:lpstr>
      <vt:lpstr>v_9_XPHA</vt:lpstr>
      <vt:lpstr>v_9_XPP</vt:lpstr>
      <vt:lpstr>v_9_XS</vt:lpstr>
      <vt:lpstr>v_9_XTSS</vt:lpstr>
      <vt:lpstr>V_mol_N</vt:lpstr>
      <vt:lpstr>X_AUT</vt:lpstr>
      <vt:lpstr>X_BOD_5</vt:lpstr>
      <vt:lpstr>X_BOD_ult</vt:lpstr>
      <vt:lpstr>X_COD</vt:lpstr>
      <vt:lpstr>X_DM</vt:lpstr>
      <vt:lpstr>X_H</vt:lpstr>
      <vt:lpstr>X_I</vt:lpstr>
      <vt:lpstr>X_ISS</vt:lpstr>
      <vt:lpstr>X_MeOH</vt:lpstr>
      <vt:lpstr>X_MeP</vt:lpstr>
      <vt:lpstr>X_PAO</vt:lpstr>
      <vt:lpstr>X_PHA</vt:lpstr>
      <vt:lpstr>X_PP</vt:lpstr>
      <vt:lpstr>X_S</vt:lpstr>
      <vt:lpstr>X_TSS</vt:lpstr>
      <vt:lpstr>X_VSS</vt:lpstr>
      <vt:lpstr>Y_AUT</vt:lpstr>
      <vt:lpstr>Y_H</vt:lpstr>
      <vt:lpstr>Y_PAO</vt:lpstr>
      <vt:lpstr>Y_PHA</vt:lpstr>
      <vt:lpstr>Y_PO4</vt:lpstr>
      <vt:lpstr>Δ_atm</vt:lpstr>
      <vt:lpstr>η_fe</vt:lpstr>
      <vt:lpstr>η_H2O</vt:lpstr>
      <vt:lpstr>η_NO3_H</vt:lpstr>
      <vt:lpstr>η_NO3_HYD</vt:lpstr>
      <vt:lpstr>η_NO3_PAO</vt:lpstr>
      <vt:lpstr>κ__</vt:lpstr>
      <vt:lpstr>λ_H</vt:lpstr>
      <vt:lpstr>μ_AUT</vt:lpstr>
      <vt:lpstr>μ_H</vt:lpstr>
      <vt:lpstr>μ_PAO</vt:lpstr>
      <vt:lpstr>ρ_air</vt:lpstr>
      <vt:lpstr>ρ_H2O</vt:lpstr>
      <vt:lpstr>σ_H2O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Zsolt</dc:creator>
  <cp:lastModifiedBy>user</cp:lastModifiedBy>
  <dcterms:created xsi:type="dcterms:W3CDTF">2006-09-16T00:00:00Z</dcterms:created>
  <dcterms:modified xsi:type="dcterms:W3CDTF">2023-09-05T13:43:32Z</dcterms:modified>
</cp:coreProperties>
</file>