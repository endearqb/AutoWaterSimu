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Museum\"/>
    </mc:Choice>
  </mc:AlternateContent>
  <bookViews>
    <workbookView xWindow="-120" yWindow="-120" windowWidth="29040" windowHeight="15840" tabRatio="815"/>
  </bookViews>
  <sheets>
    <sheet name="Help" sheetId="22" r:id="rId1"/>
    <sheet name="Parameters" sheetId="9" r:id="rId2"/>
    <sheet name="Model" sheetId="1" r:id="rId3"/>
    <sheet name="pH" sheetId="4" state="hidden" r:id="rId4"/>
    <sheet name="Tableau" sheetId="17" state="hidden" r:id="rId5"/>
    <sheet name="Components" sheetId="2" r:id="rId6"/>
    <sheet name="Algebraic model" sheetId="13" state="hidden" r:id="rId7"/>
    <sheet name="Expert knowledge" sheetId="14" state="hidden" r:id="rId8"/>
    <sheet name="Functions" sheetId="3" state="hidden" r:id="rId9"/>
    <sheet name="Calculated variables" sheetId="5" r:id="rId10"/>
    <sheet name="systemcode_constants" sheetId="23" state="hidden" r:id="rId11"/>
    <sheet name="systemcode_functions" sheetId="18" state="hidden" r:id="rId12"/>
    <sheet name="other parameters" sheetId="20" state="hidden" r:id="rId13"/>
    <sheet name="Code" sheetId="10" state="hidden" r:id="rId14"/>
    <sheet name="Alert" sheetId="15" state="veryHidden" r:id="rId15"/>
    <sheet name="Security" sheetId="16" state="veryHidden" r:id="rId16"/>
    <sheet name="Species" sheetId="21" state="hidden" r:id="rId17"/>
  </sheets>
  <functionGroups builtInGroupCount="18"/>
  <definedNames>
    <definedName name="µ_P1">Parameters!$D$29</definedName>
    <definedName name="µ_P2">Parameters!$D$30</definedName>
    <definedName name="A_dvanced">Parameters!$D$3</definedName>
    <definedName name="A_H2O">systemcode_constants!$D$43</definedName>
    <definedName name="A_MAc">systemcode_constants!$D$179</definedName>
    <definedName name="A_MAg">systemcode_constants!$D$137</definedName>
    <definedName name="A_MAl">systemcode_constants!$D$103</definedName>
    <definedName name="A_MAm">systemcode_constants!$D$185</definedName>
    <definedName name="A_MAr">systemcode_constants!$D$108</definedName>
    <definedName name="A_MAs">systemcode_constants!$D$123</definedName>
    <definedName name="A_MAt">systemcode_constants!$D$175</definedName>
    <definedName name="A_MAu">systemcode_constants!$D$169</definedName>
    <definedName name="A_MB">systemcode_constants!$D$95</definedName>
    <definedName name="A_MBa">systemcode_constants!$D$146</definedName>
    <definedName name="A_MBe">systemcode_constants!$D$94</definedName>
    <definedName name="A_MBh">systemcode_constants!$D$197</definedName>
    <definedName name="A_MBi">systemcode_constants!$D$173</definedName>
    <definedName name="A_MBk">systemcode_constants!$D$187</definedName>
    <definedName name="A_MBr">systemcode_constants!$D$125</definedName>
    <definedName name="A_MC">systemcode_constants!$D$96</definedName>
    <definedName name="A_MCa">systemcode_constants!$D$110</definedName>
    <definedName name="A_MCd">systemcode_constants!$D$138</definedName>
    <definedName name="A_MCe">systemcode_constants!$D$148</definedName>
    <definedName name="A_MCf">systemcode_constants!$D$188</definedName>
    <definedName name="A_MCl">systemcode_constants!$D$107</definedName>
    <definedName name="A_MCm">systemcode_constants!$D$186</definedName>
    <definedName name="A_MCn">systemcode_constants!$D$202</definedName>
    <definedName name="A_MCo">systemcode_constants!$D$117</definedName>
    <definedName name="A_MCr">systemcode_constants!$D$114</definedName>
    <definedName name="A_MCu">systemcode_constants!$D$119</definedName>
    <definedName name="A_MCs">systemcode_constants!$D$145</definedName>
    <definedName name="A_MDb">systemcode_constants!$D$195</definedName>
    <definedName name="A_MDs">systemcode_constants!$D$200</definedName>
    <definedName name="A_MDy">systemcode_constants!$D$156</definedName>
    <definedName name="A_MEr">systemcode_constants!$D$158</definedName>
    <definedName name="A_MEs">systemcode_constants!$D$189</definedName>
    <definedName name="A_MEu">systemcode_constants!$D$153</definedName>
    <definedName name="A_MF">systemcode_constants!$D$99</definedName>
    <definedName name="A_MFe">systemcode_constants!$D$116</definedName>
    <definedName name="A_MFl">systemcode_constants!$D$204</definedName>
    <definedName name="A_MFm">systemcode_constants!$D$190</definedName>
    <definedName name="A_MFr">systemcode_constants!$D$177</definedName>
    <definedName name="A_MGa">systemcode_constants!$D$121</definedName>
    <definedName name="A_MGd">systemcode_constants!$D$154</definedName>
    <definedName name="A_MGe">systemcode_constants!$D$122</definedName>
    <definedName name="A_MH">systemcode_constants!$D$91</definedName>
    <definedName name="A_MHe">systemcode_constants!$D$92</definedName>
    <definedName name="A_MHf">systemcode_constants!$D$162</definedName>
    <definedName name="A_MHg">systemcode_constants!$D$170</definedName>
    <definedName name="A_MHo">systemcode_constants!$D$157</definedName>
    <definedName name="A_MHs">systemcode_constants!$D$198</definedName>
    <definedName name="A_MI">systemcode_constants!$D$143</definedName>
    <definedName name="A_MIn">systemcode_constants!$D$139</definedName>
    <definedName name="A_MIr">systemcode_constants!$D$167</definedName>
    <definedName name="A_MK">systemcode_constants!$D$109</definedName>
    <definedName name="A_MKr">systemcode_constants!$D$126</definedName>
    <definedName name="A_MLa">systemcode_constants!$D$147</definedName>
    <definedName name="A_MLi">systemcode_constants!$D$93</definedName>
    <definedName name="A_MLr">systemcode_constants!$D$193</definedName>
    <definedName name="A_MLu">systemcode_constants!$D$161</definedName>
    <definedName name="A_MLv">systemcode_constants!$D$206</definedName>
    <definedName name="A_MMd">systemcode_constants!$D$191</definedName>
    <definedName name="A_MMg">systemcode_constants!$D$102</definedName>
    <definedName name="A_MMn">systemcode_constants!$D$115</definedName>
    <definedName name="A_MMo">systemcode_constants!$D$132</definedName>
    <definedName name="A_MMt">systemcode_constants!$D$199</definedName>
    <definedName name="A_MN">systemcode_constants!$D$97</definedName>
    <definedName name="A_MNa">systemcode_constants!$D$101</definedName>
    <definedName name="A_MNb">systemcode_constants!$D$131</definedName>
    <definedName name="A_MNd">systemcode_constants!$D$150</definedName>
    <definedName name="A_MNe">systemcode_constants!$D$100</definedName>
    <definedName name="A_MNi">systemcode_constants!$D$118</definedName>
    <definedName name="A_MNo">systemcode_constants!$D$192</definedName>
    <definedName name="A_MNp">systemcode_constants!$D$183</definedName>
    <definedName name="A_MO">systemcode_constants!$D$98</definedName>
    <definedName name="A_MOs">systemcode_constants!$D$166</definedName>
    <definedName name="A_MP">systemcode_constants!$D$105</definedName>
    <definedName name="A_MPa">systemcode_constants!$D$181</definedName>
    <definedName name="A_MPb">systemcode_constants!$D$172</definedName>
    <definedName name="A_MPd">systemcode_constants!$D$136</definedName>
    <definedName name="A_MPm">systemcode_constants!$D$151</definedName>
    <definedName name="A_MPo">systemcode_constants!$D$174</definedName>
    <definedName name="A_MPr">systemcode_constants!$D$149</definedName>
    <definedName name="A_MPt">systemcode_constants!$D$168</definedName>
    <definedName name="A_MPu">systemcode_constants!$D$184</definedName>
    <definedName name="A_MRa">systemcode_constants!$D$178</definedName>
    <definedName name="A_MRb">systemcode_constants!$D$127</definedName>
    <definedName name="A_MRe">systemcode_constants!$D$165</definedName>
    <definedName name="A_MRf">systemcode_constants!$D$194</definedName>
    <definedName name="A_MRg">systemcode_constants!$D$201</definedName>
    <definedName name="A_MRh">systemcode_constants!$D$135</definedName>
    <definedName name="A_MRn">systemcode_constants!$D$176</definedName>
    <definedName name="A_MRu">systemcode_constants!$D$134</definedName>
    <definedName name="A_MS">systemcode_constants!$D$106</definedName>
    <definedName name="A_MSb">systemcode_constants!$D$141</definedName>
    <definedName name="A_MSc">systemcode_constants!$D$111</definedName>
    <definedName name="A_MSe">systemcode_constants!$D$124</definedName>
    <definedName name="A_MSg">systemcode_constants!$D$196</definedName>
    <definedName name="A_MSi">systemcode_constants!$D$104</definedName>
    <definedName name="A_MSm">systemcode_constants!$D$152</definedName>
    <definedName name="A_MSn">systemcode_constants!$D$140</definedName>
    <definedName name="A_MSr">systemcode_constants!$D$128</definedName>
    <definedName name="A_MTa">systemcode_constants!$D$163</definedName>
    <definedName name="A_MTb">systemcode_constants!$D$155</definedName>
    <definedName name="A_MTc">systemcode_constants!$D$133</definedName>
    <definedName name="A_MTe">systemcode_constants!$D$142</definedName>
    <definedName name="A_MTh">systemcode_constants!$D$180</definedName>
    <definedName name="A_MTi">systemcode_constants!$D$112</definedName>
    <definedName name="A_MTl">systemcode_constants!$D$171</definedName>
    <definedName name="A_MTm">systemcode_constants!$D$159</definedName>
    <definedName name="A_MU">systemcode_constants!$D$182</definedName>
    <definedName name="A_MUuo">systemcode_constants!$D$208</definedName>
    <definedName name="A_MUup">systemcode_constants!$D$205</definedName>
    <definedName name="A_MUus">systemcode_constants!$D$207</definedName>
    <definedName name="A_MUut">systemcode_constants!$D$203</definedName>
    <definedName name="A_MV">systemcode_constants!$D$113</definedName>
    <definedName name="A_MW">systemcode_constants!$D$164</definedName>
    <definedName name="A_MXe">systemcode_constants!$D$144</definedName>
    <definedName name="A_MY">systemcode_constants!$D$129</definedName>
    <definedName name="A_MYb">systemcode_constants!$D$160</definedName>
    <definedName name="A_MZn">systemcode_constants!$D$120</definedName>
    <definedName name="A_MZr">systemcode_constants!$D$130</definedName>
    <definedName name="A_UR">'Calculated variables'!$E$24</definedName>
    <definedName name="b_A">Parameters!$D$43</definedName>
    <definedName name="b_H">Parameters!$D$20</definedName>
    <definedName name="B_H2O">systemcode_constants!$D$44</definedName>
    <definedName name="b_P">Parameters!$D$34</definedName>
    <definedName name="b_PP">Parameters!$D$35</definedName>
    <definedName name="c_cm_m">systemcode_constants!$D$371</definedName>
    <definedName name="c_cm2_m2">systemcode_constants!$D$372</definedName>
    <definedName name="c_cm3_m3">systemcode_constants!$D$373</definedName>
    <definedName name="c_g_kg">systemcode_constants!$D$366</definedName>
    <definedName name="c_h_d">systemcode_constants!$D$360</definedName>
    <definedName name="C_H2O">systemcode_constants!$D$45</definedName>
    <definedName name="c_kJ_MJ">systemcode_constants!$D$368</definedName>
    <definedName name="c_L_m3">systemcode_constants!$D$367</definedName>
    <definedName name="c_mg_g">systemcode_constants!$D$365</definedName>
    <definedName name="c_min_h">systemcode_constants!$D$359</definedName>
    <definedName name="c_ms_d">systemcode_constants!$D$361</definedName>
    <definedName name="c_ms_h">systemcode_constants!$D$362</definedName>
    <definedName name="c_ms_min">systemcode_constants!$D$363</definedName>
    <definedName name="c_ms_s">systemcode_constants!$D$364</definedName>
    <definedName name="c_p_water">systemcode_constants!$D$79</definedName>
    <definedName name="c_Pa_bar">systemcode_constants!$D$370</definedName>
    <definedName name="c_Pa_Hgmm">systemcode_constants!$D$369</definedName>
    <definedName name="c_percent_fraction">systemcode_constants!$D$356</definedName>
    <definedName name="c_percent_Vconc">systemcode_constants!$D$355</definedName>
    <definedName name="c_ppm_Vconc">systemcode_constants!$D$354</definedName>
    <definedName name="c_s_d">systemcode_constants!$D$357</definedName>
    <definedName name="c_s_h">systemcode_constants!$D$358</definedName>
    <definedName name="conc_Hp_Ieq">systemcode_constants!$D$346</definedName>
    <definedName name="D_CB">systemcode_constants!$D$451</definedName>
    <definedName name="D_CU">systemcode_constants!$D$452</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systemcode_constants!$D$424</definedName>
    <definedName name="d_HCaH2PO4p">systemcode_constants!$D$428</definedName>
    <definedName name="d_HCaHCO3p">systemcode_constants!$D$425</definedName>
    <definedName name="d_HCaHPO4">systemcode_constants!$D$427</definedName>
    <definedName name="d_HCaOHp">systemcode_constants!$D$423</definedName>
    <definedName name="d_HCaPO4m">systemcode_constants!$D$426</definedName>
    <definedName name="d_Hdiss_CO2_1">systemcode_constants!$D$413</definedName>
    <definedName name="d_Hdiss_CO2_2">systemcode_constants!$D$414</definedName>
    <definedName name="d_Hdiss_H2O">systemcode_constants!$D$410</definedName>
    <definedName name="d_Hdiss_NO2">systemcode_constants!$D$412</definedName>
    <definedName name="d_Hdiss_PO4_1">systemcode_constants!$D$415</definedName>
    <definedName name="d_Hdiss_PO4_2">systemcode_constants!$D$416</definedName>
    <definedName name="d_Hdiss_PO4_3">systemcode_constants!$D$417</definedName>
    <definedName name="d_Hdiss_S_1">systemcode_constants!$D$419</definedName>
    <definedName name="d_Hdiss_S_2">systemcode_constants!$D$420</definedName>
    <definedName name="d_Hdiss_SO4_1">systemcode_constants!$D$421</definedName>
    <definedName name="d_Hdiss_SO4_2">systemcode_constants!$D$422</definedName>
    <definedName name="d_Hdiss_VFA">systemcode_constants!$D$418</definedName>
    <definedName name="d_Hion_amm">systemcode_constants!$D$411</definedName>
    <definedName name="d_HMgCO3">systemcode_constants!$D$430</definedName>
    <definedName name="d_HMgH2PO4p">systemcode_constants!$D$434</definedName>
    <definedName name="d_HMgHCO3p">systemcode_constants!$D$431</definedName>
    <definedName name="d_HMgHPO4">systemcode_constants!$D$432</definedName>
    <definedName name="d_HMgOHp">systemcode_constants!$D$429</definedName>
    <definedName name="d_HMgPO4m">systemcode_constants!$D$433</definedName>
    <definedName name="d_HNaHPO4m">systemcode_constants!$D$435</definedName>
    <definedName name="D_NBS">systemcode_constants!$D$461</definedName>
    <definedName name="D_NH3">systemcode_constants!$D$456</definedName>
    <definedName name="D_NO3">systemcode_constants!$D$457</definedName>
    <definedName name="D_NUS">systemcode_constants!$D$460</definedName>
    <definedName name="D_PO4">systemcode_constants!$D$458</definedName>
    <definedName name="D_SA">systemcode_constants!$D$440</definedName>
    <definedName name="D_SALK">systemcode_constants!$D$484</definedName>
    <definedName name="D_SAN">systemcode_constants!$D$480</definedName>
    <definedName name="D_SB">systemcode_constants!$D$442</definedName>
    <definedName name="D_SB_mono">systemcode_constants!$D$443</definedName>
    <definedName name="D_SB_poly">systemcode_constants!$D$444</definedName>
    <definedName name="D_SBSA">systemcode_constants!$D$441</definedName>
    <definedName name="D_SBSC">systemcode_constants!$D$447</definedName>
    <definedName name="D_SCa">systemcode_constants!$D$477</definedName>
    <definedName name="D_SCAT">systemcode_constants!$D$479</definedName>
    <definedName name="D_SCH4">systemcode_constants!$D$473</definedName>
    <definedName name="D_SCO2">systemcode_constants!$D$475</definedName>
    <definedName name="D_SF">systemcode_constants!$D$446</definedName>
    <definedName name="D_SFe2">systemcode_constants!$D$483</definedName>
    <definedName name="D_SH2">systemcode_constants!$D$474</definedName>
    <definedName name="D_SH2S">systemcode_constants!$D$481</definedName>
    <definedName name="D_SI">systemcode_constants!$D$450</definedName>
    <definedName name="D_SK">systemcode_constants!$D$476</definedName>
    <definedName name="D_SMEOL">systemcode_constants!$D$448</definedName>
    <definedName name="D_SMg">systemcode_constants!$D$478</definedName>
    <definedName name="D_SMM_index">systemcode_constants!$D$485</definedName>
    <definedName name="D_SN_B">systemcode_constants!$D$467</definedName>
    <definedName name="D_SN2">systemcode_constants!$D$459</definedName>
    <definedName name="D_SND">systemcode_constants!$D$468</definedName>
    <definedName name="D_SNH">systemcode_constants!$D$455</definedName>
    <definedName name="D_SNH4">systemcode_constants!$D$454</definedName>
    <definedName name="D_SNHx">systemcode_constants!$D$453</definedName>
    <definedName name="D_SNO2">systemcode_constants!$D$465</definedName>
    <definedName name="D_SNO3">systemcode_constants!$D$466</definedName>
    <definedName name="D_SNOx">systemcode_constants!$D$463</definedName>
    <definedName name="D_SO2">systemcode_constants!$D$472</definedName>
    <definedName name="D_SP_B">systemcode_constants!$D$471</definedName>
    <definedName name="D_SPO">systemcode_constants!$D$470</definedName>
    <definedName name="D_SPO4">systemcode_constants!$D$469</definedName>
    <definedName name="D_SS">systemcode_constants!$D$445</definedName>
    <definedName name="D_SSO4">systemcode_constants!$D$482</definedName>
    <definedName name="D_SU">systemcode_constants!$D$449</definedName>
    <definedName name="D_SUS">systemcode_constants!$D$462</definedName>
    <definedName name="D_SVFA">systemcode_constants!$D$439</definedName>
    <definedName name="E_ANA">Parameters!$D$51</definedName>
    <definedName name="E_ANOX">Parameters!$D$50</definedName>
    <definedName name="E_EQFe2">systemcode_constants!$D$331</definedName>
    <definedName name="E_EQH2S">systemcode_constants!$D$333</definedName>
    <definedName name="E_EQN2">systemcode_constants!$D$320</definedName>
    <definedName name="E_EQN2_N2O">systemcode_constants!$D$329</definedName>
    <definedName name="E_EQN2_NO2">systemcode_constants!$D$326</definedName>
    <definedName name="E_EQN2_NO3">systemcode_constants!$D$330</definedName>
    <definedName name="E_EQN2O">systemcode_constants!$D$321</definedName>
    <definedName name="E_EQN2O_NO">systemcode_constants!$D$328</definedName>
    <definedName name="E_EQNO">systemcode_constants!$D$322</definedName>
    <definedName name="E_EQNO_NO2">systemcode_constants!$D$327</definedName>
    <definedName name="E_EQNO2">systemcode_constants!$D$323</definedName>
    <definedName name="E_EQNO2_NO3">systemcode_constants!$D$325</definedName>
    <definedName name="E_EQNO3">systemcode_constants!$D$324</definedName>
    <definedName name="E_EQS">systemcode_constants!$D$332</definedName>
    <definedName name="F__">systemcode_constants!$D$77</definedName>
    <definedName name="f_Ar_air">systemcode_constants!$D$54</definedName>
    <definedName name="f_BOD5_BODult">Parameters!$D$93</definedName>
    <definedName name="f_CO2_air">systemcode_constants!$D$55</definedName>
    <definedName name="f_CV_A">Parameters!$D$87</definedName>
    <definedName name="f_CV_H">Parameters!$D$86</definedName>
    <definedName name="f_CV_O">Parameters!$D$89</definedName>
    <definedName name="f_CV_P">Parameters!$D$88</definedName>
    <definedName name="f_CV_SBSA">Parameters!$D$91</definedName>
    <definedName name="f_CV_SBSC">Parameters!$D$90</definedName>
    <definedName name="f_CV_SUS">Parameters!$D$92</definedName>
    <definedName name="f_di_IS_an">systemcode_constants!$D$340</definedName>
    <definedName name="f_di_IS_cat">systemcode_constants!$D$339</definedName>
    <definedName name="f_EP_A">Parameters!$D$66</definedName>
    <definedName name="f_EP_H">Parameters!$D$55</definedName>
    <definedName name="f_EP_P">Parameters!$D$63</definedName>
    <definedName name="f_ES_P">Parameters!$D$64</definedName>
    <definedName name="f_mono_IS_an">systemcode_constants!$D$338</definedName>
    <definedName name="f_mono_IS_cat">systemcode_constants!$D$337</definedName>
    <definedName name="f_N_SEP">Parameters!$D$70</definedName>
    <definedName name="f_N_ZA">Parameters!$D$75</definedName>
    <definedName name="f_N_ZEA">Parameters!$D$76</definedName>
    <definedName name="f_N_ZEH">Parameters!$D$72</definedName>
    <definedName name="f_N_ZEP">Parameters!$D$74</definedName>
    <definedName name="f_N_ZH">Parameters!$D$71</definedName>
    <definedName name="f_N_ZP">Parameters!$D$73</definedName>
    <definedName name="f_N2_air">systemcode_constants!$D$53</definedName>
    <definedName name="f_O2_air">systemcode_constants!$D$52</definedName>
    <definedName name="f_P_REL">Parameters!$D$61</definedName>
    <definedName name="f_P_UPT1">Parameters!$D$58</definedName>
    <definedName name="f_P_UPT2">Parameters!$D$59</definedName>
    <definedName name="f_P_ZA">Parameters!$D$81</definedName>
    <definedName name="f_P_ZEA">Parameters!$D$82</definedName>
    <definedName name="f_P_ZEH">Parameters!$D$78</definedName>
    <definedName name="f_P_ZEP">Parameters!$D$80</definedName>
    <definedName name="f_P_ZH">Parameters!$D$77</definedName>
    <definedName name="f_P_ZP">Parameters!$D$79</definedName>
    <definedName name="f_PP">Parameters!$D$62</definedName>
    <definedName name="f_tri_IS_an">systemcode_constants!$D$342</definedName>
    <definedName name="f_tri_IS_cat">systemcode_constants!$D$341</definedName>
    <definedName name="G_CH4_atm">systemcode_constants!$D$63</definedName>
    <definedName name="G_CO2_atm">systemcode_constants!$D$62</definedName>
    <definedName name="g_grav">systemcode_constants!$D$78</definedName>
    <definedName name="G_H2_atm">systemcode_constants!$D$64</definedName>
    <definedName name="G_H2S_atm">systemcode_constants!$D$68</definedName>
    <definedName name="G_N2_atm">systemcode_constants!$D$67</definedName>
    <definedName name="G_NH3_atm">systemcode_constants!$D$66</definedName>
    <definedName name="G_O2_atm">systemcode_constants!$D$65</definedName>
    <definedName name="H_Acm">systemcode_constants!$D$393</definedName>
    <definedName name="H_Ca2p">systemcode_constants!$D$400</definedName>
    <definedName name="H_CO32m">systemcode_constants!$D$387</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systemcode_constants!$D$385</definedName>
    <definedName name="H_H2O">systemcode_constants!$D$406</definedName>
    <definedName name="H_H2PO4m">systemcode_constants!$D$389</definedName>
    <definedName name="H_H2S">systemcode_constants!$D$394</definedName>
    <definedName name="H_H2SO4">systemcode_constants!$D$397</definedName>
    <definedName name="H_H3Op">systemcode_constants!$D$378</definedName>
    <definedName name="H_H3PO4">systemcode_constants!$D$388</definedName>
    <definedName name="H_HAc">systemcode_constants!$D$392</definedName>
    <definedName name="H_HCO3m">systemcode_constants!$D$386</definedName>
    <definedName name="H_HNO2">systemcode_constants!$D$382</definedName>
    <definedName name="H_Hp">systemcode_constants!$D$377</definedName>
    <definedName name="H_HPO42m">systemcode_constants!$D$390</definedName>
    <definedName name="H_HSm">systemcode_constants!$D$395</definedName>
    <definedName name="H_HSO4m">systemcode_constants!$D$398</definedName>
    <definedName name="H_Mg2p">systemcode_constants!$D$401</definedName>
    <definedName name="H_Nap">systemcode_constants!$D$402</definedName>
    <definedName name="H_NH3">systemcode_constants!$D$380</definedName>
    <definedName name="H_NH4p">systemcode_constants!$D$381</definedName>
    <definedName name="H_NO2m">systemcode_constants!$D$383</definedName>
    <definedName name="H_NO3m">systemcode_constants!$D$384</definedName>
    <definedName name="H_null">systemcode_constants!$D$6</definedName>
    <definedName name="H_OHm">systemcode_constants!$D$379</definedName>
    <definedName name="H_PO43m">systemcode_constants!$D$391</definedName>
    <definedName name="H_S2m">systemcode_constants!$D$396</definedName>
    <definedName name="H_SO42m">systemcode_constants!$D$399</definedName>
    <definedName name="H_STP">systemcode_constants!$D$83</definedName>
    <definedName name="i_COD_H2">Parameters!$D$100</definedName>
    <definedName name="i_COD_N2">Parameters!$D$99</definedName>
    <definedName name="i_COD_NO3">Parameters!$D$98</definedName>
    <definedName name="i_NO3_N2">Parameters!$D$97</definedName>
    <definedName name="K_Ac_param">systemcode_constants!$D$301</definedName>
    <definedName name="K_C">Parameters!$D$17</definedName>
    <definedName name="K_C1_param">systemcode_constants!$D$296</definedName>
    <definedName name="K_C2_param">systemcode_constants!$D$297</definedName>
    <definedName name="K_H">Parameters!$D$7</definedName>
    <definedName name="K_H2S_param">systemcode_constants!$D$306</definedName>
    <definedName name="K_LP_GRO">Parameters!$D$14</definedName>
    <definedName name="K_LP_UPT">Parameters!$D$37</definedName>
    <definedName name="K_NA">Parameters!$D$24</definedName>
    <definedName name="K_NH">Parameters!$D$46</definedName>
    <definedName name="K_NH3_param">systemcode_constants!$D$294</definedName>
    <definedName name="K_NO">Parameters!$D$23</definedName>
    <definedName name="K_NO2_param">systemcode_constants!$D$295</definedName>
    <definedName name="K_O_AUT">Parameters!$D$45</definedName>
    <definedName name="K_O_HET">Parameters!$D$22</definedName>
    <definedName name="K_P">Parameters!$D$28</definedName>
    <definedName name="K_P1_param">systemcode_constants!$D$298</definedName>
    <definedName name="K_P2_param">systemcode_constants!$D$299</definedName>
    <definedName name="K_P3_param">systemcode_constants!$D$300</definedName>
    <definedName name="K_R">Parameters!$D$44</definedName>
    <definedName name="K_S_ANA">Parameters!$D$21</definedName>
    <definedName name="K_S_H">Parameters!$D$18</definedName>
    <definedName name="K_S_H_BSA">Parameters!$D$19</definedName>
    <definedName name="K_S1_param">systemcode_constants!$D$302</definedName>
    <definedName name="K_S2_param">systemcode_constants!$D$303</definedName>
    <definedName name="K_SO41_param">systemcode_constants!$D$304</definedName>
    <definedName name="K_SO42_param">systemcode_constants!$D$305</definedName>
    <definedName name="K_sp_ACP_param">systemcode_constants!$D$312</definedName>
    <definedName name="K_sp_CaCO3_param">systemcode_constants!$D$310</definedName>
    <definedName name="K_sp_FeS_param">systemcode_constants!$D$314</definedName>
    <definedName name="K_sp_HDP_param">systemcode_constants!$D$315</definedName>
    <definedName name="K_sp_MKP_param">systemcode_constants!$D$316</definedName>
    <definedName name="K_sp_STR_param">systemcode_constants!$D$311</definedName>
    <definedName name="K_sp_Vivi_param">systemcode_constants!$D$313</definedName>
    <definedName name="K_SP1">Parameters!$D$32</definedName>
    <definedName name="K_SP2">Parameters!$D$33</definedName>
    <definedName name="K_SSEQ">Parameters!$D$36</definedName>
    <definedName name="K_W_param">systemcode_constants!$D$293</definedName>
    <definedName name="K_X">Parameters!$D$8</definedName>
    <definedName name="K_XP">Parameters!$D$38</definedName>
    <definedName name="M_inhNH3_KNA">'Calculated variables'!$E$46</definedName>
    <definedName name="M_inhNO3_KNO">'Calculated variables'!$E$47</definedName>
    <definedName name="M_inhPO4_KLP_UPT">'Calculated variables'!$E$48</definedName>
    <definedName name="M_inhSO_KO_HET">'Calculated variables'!$E$45</definedName>
    <definedName name="M_MACP">systemcode_constants!$D$249</definedName>
    <definedName name="M_Mair">systemcode_constants!$D$212</definedName>
    <definedName name="M_MAlOH3">systemcode_constants!$D$234</definedName>
    <definedName name="M_MAlPO4">systemcode_constants!$D$235</definedName>
    <definedName name="M_MCaCO3">systemcode_constants!$D$248</definedName>
    <definedName name="M_MCaH2PO4">systemcode_constants!$D$264</definedName>
    <definedName name="M_MCaHCO3">systemcode_constants!$D$261</definedName>
    <definedName name="M_MCaHPO4">systemcode_constants!$D$263</definedName>
    <definedName name="M_MCaOH">systemcode_constants!$D$260</definedName>
    <definedName name="M_MCaPO4">systemcode_constants!$D$262</definedName>
    <definedName name="M_MCH3COOH">systemcode_constants!$D$247</definedName>
    <definedName name="M_MCH3OH">systemcode_constants!$D$246</definedName>
    <definedName name="M_MCO2">systemcode_constants!$D$237</definedName>
    <definedName name="M_MCO3">systemcode_constants!$D$238</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systemcode_constants!$D$232</definedName>
    <definedName name="M_MFeCl2">systemcode_constants!$D$255</definedName>
    <definedName name="M_MFeCl3">systemcode_constants!$D$254</definedName>
    <definedName name="M_MFeOH3">systemcode_constants!$D$233</definedName>
    <definedName name="M_MFeS">systemcode_constants!$D$253</definedName>
    <definedName name="M_MFeSO4">systemcode_constants!$D$256</definedName>
    <definedName name="M_MGCH4">systemcode_constants!$D$214</definedName>
    <definedName name="M_MGCO2">systemcode_constants!$D$215</definedName>
    <definedName name="M_MGH2">systemcode_constants!$D$213</definedName>
    <definedName name="M_MGH2S">systemcode_constants!$D$221</definedName>
    <definedName name="M_MGN2">systemcode_constants!$D$217</definedName>
    <definedName name="M_MGN2O">systemcode_constants!$D$220</definedName>
    <definedName name="M_MGNH3">systemcode_constants!$D$216</definedName>
    <definedName name="M_MGNO">systemcode_constants!$D$219</definedName>
    <definedName name="M_MGO2">systemcode_constants!$D$218</definedName>
    <definedName name="M_MH2CO3">systemcode_constants!$D$240</definedName>
    <definedName name="M_MH2O">systemcode_constants!$D$225</definedName>
    <definedName name="M_MH2S">systemcode_constants!$D$244</definedName>
    <definedName name="M_MH2SO4">systemcode_constants!$D$243</definedName>
    <definedName name="M_MHAP">systemcode_constants!$D$259</definedName>
    <definedName name="M_MHCl">systemcode_constants!$D$245</definedName>
    <definedName name="M_MHCO3">systemcode_constants!$D$239</definedName>
    <definedName name="M_MHDP">systemcode_constants!$D$258</definedName>
    <definedName name="M_MHSO4">systemcode_constants!$D$242</definedName>
    <definedName name="M_MMgCO3">systemcode_constants!$D$267</definedName>
    <definedName name="M_MMgH2PO4">systemcode_constants!$D$271</definedName>
    <definedName name="M_MMgHCO3">systemcode_constants!$D$268</definedName>
    <definedName name="M_MMgHPO4">systemcode_constants!$D$269</definedName>
    <definedName name="M_MMgOH">systemcode_constants!$D$265</definedName>
    <definedName name="M_MMgOH2">systemcode_constants!$D$266</definedName>
    <definedName name="M_MMgPO4">systemcode_constants!$D$270</definedName>
    <definedName name="M_MMKP">systemcode_constants!$D$251</definedName>
    <definedName name="M_MMMC">systemcode_constants!$D$277</definedName>
    <definedName name="M_MN2">systemcode_constants!$D$227</definedName>
    <definedName name="M_MNa2CO3">systemcode_constants!$D$275</definedName>
    <definedName name="M_MNaCl">systemcode_constants!$D$273</definedName>
    <definedName name="M_MNaHCO3">systemcode_constants!$D$276</definedName>
    <definedName name="M_MNaHPO4">systemcode_constants!$D$272</definedName>
    <definedName name="M_MNaOH">systemcode_constants!$D$274</definedName>
    <definedName name="M_MNH3">systemcode_constants!$D$228</definedName>
    <definedName name="M_MNH4">systemcode_constants!$D$229</definedName>
    <definedName name="M_MNO2">systemcode_constants!$D$230</definedName>
    <definedName name="M_MNO3">systemcode_constants!$D$231</definedName>
    <definedName name="M_MO2">systemcode_constants!$D$226</definedName>
    <definedName name="M_MPO4">systemcode_constants!$D$236</definedName>
    <definedName name="M_MSiO2">systemcode_constants!$D$257</definedName>
    <definedName name="M_MSO4">systemcode_constants!$D$241</definedName>
    <definedName name="M_MSTR">systemcode_constants!$D$250</definedName>
    <definedName name="M_MVivi">systemcode_constants!$D$252</definedName>
    <definedName name="M_RsatSENM_ZH_KX">'Calculated variables'!$E$44</definedName>
    <definedName name="M_RsatSPHB_ZP_KSP1">'Calculated variables'!$E$41</definedName>
    <definedName name="M_RsatSPHB_ZP_KSP2">'Calculated variables'!$E$43</definedName>
    <definedName name="M_satNH3_KNA">'Calculated variables'!$E$30</definedName>
    <definedName name="M_satNH3_KNH">'Calculated variables'!$E$40</definedName>
    <definedName name="M_satNO3_KNO">'Calculated variables'!$E$31</definedName>
    <definedName name="M_satPO4_KLP_GRO">'Calculated variables'!$E$32</definedName>
    <definedName name="M_satPO4_KLP_UPT">'Calculated variables'!$E$34</definedName>
    <definedName name="M_satPPP_LO_KXP">'Calculated variables'!$E$35</definedName>
    <definedName name="M_satSBSA_KS_H_BSA">'Calculated variables'!$E$33</definedName>
    <definedName name="M_satSBSA_KSSEQ">'Calculated variables'!$E$42</definedName>
    <definedName name="M_satSBSA_SBSC">'Calculated variables'!$E$37</definedName>
    <definedName name="M_satSBSC_KS_ANA">'Calculated variables'!$E$38</definedName>
    <definedName name="M_satSBSC_KS_H">'Calculated variables'!$E$29</definedName>
    <definedName name="M_satSBSC_SBSA">'Calculated variables'!$E$36</definedName>
    <definedName name="M_satSO_KO_AUT">'Calculated variables'!$E$39</definedName>
    <definedName name="M_satSO_KO_HET">'Calculated variables'!$E$28</definedName>
    <definedName name="N_BP">Components!$E$17</definedName>
    <definedName name="N_BS">Components!$E$18</definedName>
    <definedName name="N_H3">Components!$E$20</definedName>
    <definedName name="N_O3">Components!$E$19</definedName>
    <definedName name="N_UR">'Calculated variables'!$E$23</definedName>
    <definedName name="N_US">Components!$E$21</definedName>
    <definedName name="O_UR">'Calculated variables'!$E$22</definedName>
    <definedName name="p_i">systemcode_constants!$D$87</definedName>
    <definedName name="p_N">systemcode_constants!$D$58</definedName>
    <definedName name="P_O4">Components!$E$16</definedName>
    <definedName name="P_PP_HI">Components!$E$15</definedName>
    <definedName name="P_PP_LO">Components!$E$14</definedName>
    <definedName name="p_St">systemcode_constants!$D$5</definedName>
    <definedName name="p_STP">systemcode_constants!$D$57</definedName>
    <definedName name="R__">systemcode_constants!$D$73</definedName>
    <definedName name="r_1">Model!$AA$51</definedName>
    <definedName name="r_10">Model!$AA$60</definedName>
    <definedName name="r_11">Model!$AA$61</definedName>
    <definedName name="r_12">Model!$AA$62</definedName>
    <definedName name="r_13">Model!$AA$63</definedName>
    <definedName name="r_14">Model!$AA$64</definedName>
    <definedName name="r_15">Model!$AA$65</definedName>
    <definedName name="r_16">Model!$AA$66</definedName>
    <definedName name="r_17">Model!$AA$67</definedName>
    <definedName name="r_18">Model!$AA$68</definedName>
    <definedName name="r_19">Model!$AA$69</definedName>
    <definedName name="r_2">Model!$AA$52</definedName>
    <definedName name="r_20">Model!$AA$70</definedName>
    <definedName name="r_21">Model!$AA$71</definedName>
    <definedName name="r_22">Model!$AA$72</definedName>
    <definedName name="r_23">Model!$AA$73</definedName>
    <definedName name="r_24">Model!$AA$74</definedName>
    <definedName name="r_25">Model!$AA$75</definedName>
    <definedName name="r_26">Model!$AA$76</definedName>
    <definedName name="r_27">Model!$AA$77</definedName>
    <definedName name="r_28">Model!$AA$78</definedName>
    <definedName name="r_29">Model!$AA$79</definedName>
    <definedName name="r_3">Model!$AA$53</definedName>
    <definedName name="r_30">Model!$AA$80</definedName>
    <definedName name="r_31">Model!$AA$81</definedName>
    <definedName name="r_32">Model!$AA$82</definedName>
    <definedName name="r_33">Model!$AA$83</definedName>
    <definedName name="r_34">Model!$AA$84</definedName>
    <definedName name="r_35">Model!$AA$85</definedName>
    <definedName name="r_36">Model!$AA$86</definedName>
    <definedName name="r_4">Model!$AA$54</definedName>
    <definedName name="r_5">Model!$AA$55</definedName>
    <definedName name="r_6">Model!$AA$56</definedName>
    <definedName name="r_7">Model!$AA$57</definedName>
    <definedName name="r_8">Model!$AA$58</definedName>
    <definedName name="r_9">Model!$AA$59</definedName>
    <definedName name="R_air">systemcode_constants!$D$74</definedName>
    <definedName name="S_BOD_5">'Calculated variables'!$E$7</definedName>
    <definedName name="S_BOD_ult">'Calculated variables'!$E$4</definedName>
    <definedName name="S_BSA">Components!$E$10</definedName>
    <definedName name="S_BSC">Components!$E$9</definedName>
    <definedName name="S_COD">'Calculated variables'!$E$10</definedName>
    <definedName name="S_ENM">Components!$E$8</definedName>
    <definedName name="S_H2">Components!$E$24</definedName>
    <definedName name="S_N2">Components!$E$23</definedName>
    <definedName name="S_O">Components!$E$22</definedName>
    <definedName name="S_PHB">Components!$E$11</definedName>
    <definedName name="S_umo__pHEffects">'other parameters'!$D$7</definedName>
    <definedName name="S_UP">Components!$E$12</definedName>
    <definedName name="S_US">Components!$E$13</definedName>
    <definedName name="T_BOD_5">'Calculated variables'!$E$9</definedName>
    <definedName name="T_BOD_ult">'Calculated variables'!$E$6</definedName>
    <definedName name="T_COD">'Calculated variables'!$E$12</definedName>
    <definedName name="T_KN">'Calculated variables'!$E$13</definedName>
    <definedName name="T_N">'Calculated variables'!$E$14</definedName>
    <definedName name="T_NTP_K">systemcode_constants!$D$81</definedName>
    <definedName name="T_null">systemcode_constants!$D$4</definedName>
    <definedName name="T_st_K">systemcode_constants!$D$80</definedName>
    <definedName name="T_STP_K">systemcode_constants!$D$82</definedName>
    <definedName name="v_1_NBP">Model!$R$51</definedName>
    <definedName name="v_1_NBS">Model!$S$51</definedName>
    <definedName name="v_1_NH3">Model!$U$51</definedName>
    <definedName name="v_1_NO3">Model!$T$51</definedName>
    <definedName name="v_1_NUS">Model!$V$51</definedName>
    <definedName name="v_1_PO4">Model!$Q$51</definedName>
    <definedName name="v_1_PPP_HI">Model!$P$51</definedName>
    <definedName name="v_1_PPP_LO">Model!$O$51</definedName>
    <definedName name="v_1_SBSA">Model!$K$51</definedName>
    <definedName name="v_1_SBSC">Model!$J$51</definedName>
    <definedName name="v_1_SENM">Model!$I$51</definedName>
    <definedName name="v_1_SH2">Model!$Y$51</definedName>
    <definedName name="v_1_SN2">Model!$X$51</definedName>
    <definedName name="v_1_SO">Model!$W$51</definedName>
    <definedName name="v_1_SPHB">Model!$L$51</definedName>
    <definedName name="v_1_SUP">Model!$M$51</definedName>
    <definedName name="v_1_SUS">Model!$N$51</definedName>
    <definedName name="v_1_XINORG">Model!$Z$51</definedName>
    <definedName name="v_1_ZA">Model!$F$51</definedName>
    <definedName name="v_1_ZE">Model!$H$51</definedName>
    <definedName name="v_1_ZH">Model!$E$51</definedName>
    <definedName name="v_1_ZP">Model!$G$51</definedName>
    <definedName name="v_10_NBP">Model!$R$60</definedName>
    <definedName name="v_10_NBS">Model!$S$60</definedName>
    <definedName name="v_10_NH3">Model!$U$60</definedName>
    <definedName name="v_10_NO3">Model!$T$60</definedName>
    <definedName name="v_10_NUS">Model!$V$60</definedName>
    <definedName name="v_10_PO4">Model!$Q$60</definedName>
    <definedName name="v_10_PPP_HI">Model!$P$60</definedName>
    <definedName name="v_10_PPP_LO">Model!$O$60</definedName>
    <definedName name="v_10_SBSA">Model!$K$60</definedName>
    <definedName name="v_10_SBSC">Model!$J$60</definedName>
    <definedName name="v_10_SENM">Model!$I$60</definedName>
    <definedName name="v_10_SH2">Model!$Y$60</definedName>
    <definedName name="v_10_SN2">Model!$X$60</definedName>
    <definedName name="v_10_SO">Model!$W$60</definedName>
    <definedName name="v_10_SPHB">Model!$L$60</definedName>
    <definedName name="v_10_SUP">Model!$M$60</definedName>
    <definedName name="v_10_SUS">Model!$N$60</definedName>
    <definedName name="v_10_XINORG">Model!$Z$60</definedName>
    <definedName name="v_10_ZA">Model!$F$60</definedName>
    <definedName name="v_10_ZE">Model!$H$60</definedName>
    <definedName name="v_10_ZH">Model!$E$60</definedName>
    <definedName name="v_10_ZP">Model!$G$60</definedName>
    <definedName name="v_11_NBP">Model!$R$61</definedName>
    <definedName name="v_11_NBS">Model!$S$61</definedName>
    <definedName name="v_11_NH3">Model!$U$61</definedName>
    <definedName name="v_11_NO3">Model!$T$61</definedName>
    <definedName name="v_11_NUS">Model!$V$61</definedName>
    <definedName name="v_11_PO4">Model!$Q$61</definedName>
    <definedName name="v_11_PPP_HI">Model!$P$61</definedName>
    <definedName name="v_11_PPP_LO">Model!$O$61</definedName>
    <definedName name="v_11_SBSA">Model!$K$61</definedName>
    <definedName name="v_11_SBSC">Model!$J$61</definedName>
    <definedName name="v_11_SENM">Model!$I$61</definedName>
    <definedName name="v_11_SH2">Model!$Y$61</definedName>
    <definedName name="v_11_SN2">Model!$X$61</definedName>
    <definedName name="v_11_SO">Model!$W$61</definedName>
    <definedName name="v_11_SPHB">Model!$L$61</definedName>
    <definedName name="v_11_SUP">Model!$M$61</definedName>
    <definedName name="v_11_SUS">Model!$N$61</definedName>
    <definedName name="v_11_XINORG">Model!$Z$61</definedName>
    <definedName name="v_11_ZA">Model!$F$61</definedName>
    <definedName name="v_11_ZE">Model!$H$61</definedName>
    <definedName name="v_11_ZH">Model!$E$61</definedName>
    <definedName name="v_11_ZP">Model!$G$61</definedName>
    <definedName name="v_12_NBP">Model!$R$62</definedName>
    <definedName name="v_12_NBS">Model!$S$62</definedName>
    <definedName name="v_12_NH3">Model!$U$62</definedName>
    <definedName name="v_12_NO3">Model!$T$62</definedName>
    <definedName name="v_12_NUS">Model!$V$62</definedName>
    <definedName name="v_12_PO4">Model!$Q$62</definedName>
    <definedName name="v_12_PPP_HI">Model!$P$62</definedName>
    <definedName name="v_12_PPP_LO">Model!$O$62</definedName>
    <definedName name="v_12_SBSA">Model!$K$62</definedName>
    <definedName name="v_12_SBSC">Model!$J$62</definedName>
    <definedName name="v_12_SENM">Model!$I$62</definedName>
    <definedName name="v_12_SH2">Model!$Y$62</definedName>
    <definedName name="v_12_SN2">Model!$X$62</definedName>
    <definedName name="v_12_SO">Model!$W$62</definedName>
    <definedName name="v_12_SPHB">Model!$L$62</definedName>
    <definedName name="v_12_SUP">Model!$M$62</definedName>
    <definedName name="v_12_SUS">Model!$N$62</definedName>
    <definedName name="v_12_XINORG">Model!$Z$62</definedName>
    <definedName name="v_12_ZA">Model!$F$62</definedName>
    <definedName name="v_12_ZE">Model!$H$62</definedName>
    <definedName name="v_12_ZH">Model!$E$62</definedName>
    <definedName name="v_12_ZP">Model!$G$62</definedName>
    <definedName name="v_13_NBP">Model!$R$63</definedName>
    <definedName name="v_13_NBS">Model!$S$63</definedName>
    <definedName name="v_13_NH3">Model!$U$63</definedName>
    <definedName name="v_13_NO3">Model!$T$63</definedName>
    <definedName name="v_13_NUS">Model!$V$63</definedName>
    <definedName name="v_13_PO4">Model!$Q$63</definedName>
    <definedName name="v_13_PPP_HI">Model!$P$63</definedName>
    <definedName name="v_13_PPP_LO">Model!$O$63</definedName>
    <definedName name="v_13_SBSA">Model!$K$63</definedName>
    <definedName name="v_13_SBSC">Model!$J$63</definedName>
    <definedName name="v_13_SENM">Model!$I$63</definedName>
    <definedName name="v_13_SH2">Model!$Y$63</definedName>
    <definedName name="v_13_SN2">Model!$X$63</definedName>
    <definedName name="v_13_SO">Model!$W$63</definedName>
    <definedName name="v_13_SPHB">Model!$L$63</definedName>
    <definedName name="v_13_SUP">Model!$M$63</definedName>
    <definedName name="v_13_SUS">Model!$N$63</definedName>
    <definedName name="v_13_XINORG">Model!$Z$63</definedName>
    <definedName name="v_13_ZA">Model!$F$63</definedName>
    <definedName name="v_13_ZE">Model!$H$63</definedName>
    <definedName name="v_13_ZH">Model!$E$63</definedName>
    <definedName name="v_13_ZP">Model!$G$63</definedName>
    <definedName name="v_14_NBP">Model!$R$64</definedName>
    <definedName name="v_14_NBS">Model!$S$64</definedName>
    <definedName name="v_14_NH3">Model!$U$64</definedName>
    <definedName name="v_14_NO3">Model!$T$64</definedName>
    <definedName name="v_14_NUS">Model!$V$64</definedName>
    <definedName name="v_14_PO4">Model!$Q$64</definedName>
    <definedName name="v_14_PPP_HI">Model!$P$64</definedName>
    <definedName name="v_14_PPP_LO">Model!$O$64</definedName>
    <definedName name="v_14_SBSA">Model!$K$64</definedName>
    <definedName name="v_14_SBSC">Model!$J$64</definedName>
    <definedName name="v_14_SENM">Model!$I$64</definedName>
    <definedName name="v_14_SH2">Model!$Y$64</definedName>
    <definedName name="v_14_SN2">Model!$X$64</definedName>
    <definedName name="v_14_SO">Model!$W$64</definedName>
    <definedName name="v_14_SPHB">Model!$L$64</definedName>
    <definedName name="v_14_SUP">Model!$M$64</definedName>
    <definedName name="v_14_SUS">Model!$N$64</definedName>
    <definedName name="v_14_XINORG">Model!$Z$64</definedName>
    <definedName name="v_14_ZA">Model!$F$64</definedName>
    <definedName name="v_14_ZE">Model!$H$64</definedName>
    <definedName name="v_14_ZH">Model!$E$64</definedName>
    <definedName name="v_14_ZP">Model!$G$64</definedName>
    <definedName name="v_15_NBP">Model!$R$65</definedName>
    <definedName name="v_15_NBS">Model!$S$65</definedName>
    <definedName name="v_15_NH3">Model!$U$65</definedName>
    <definedName name="v_15_NO3">Model!$T$65</definedName>
    <definedName name="v_15_NUS">Model!$V$65</definedName>
    <definedName name="v_15_PO4">Model!$Q$65</definedName>
    <definedName name="v_15_PPP_HI">Model!$P$65</definedName>
    <definedName name="v_15_PPP_LO">Model!$O$65</definedName>
    <definedName name="v_15_SBSA">Model!$K$65</definedName>
    <definedName name="v_15_SBSC">Model!$J$65</definedName>
    <definedName name="v_15_SENM">Model!$I$65</definedName>
    <definedName name="v_15_SH2">Model!$Y$65</definedName>
    <definedName name="v_15_SN2">Model!$X$65</definedName>
    <definedName name="v_15_SO">Model!$W$65</definedName>
    <definedName name="v_15_SPHB">Model!$L$65</definedName>
    <definedName name="v_15_SUP">Model!$M$65</definedName>
    <definedName name="v_15_SUS">Model!$N$65</definedName>
    <definedName name="v_15_XINORG">Model!$Z$65</definedName>
    <definedName name="v_15_ZA">Model!$F$65</definedName>
    <definedName name="v_15_ZE">Model!$H$65</definedName>
    <definedName name="v_15_ZH">Model!$E$65</definedName>
    <definedName name="v_15_ZP">Model!$G$65</definedName>
    <definedName name="v_16_NBP">Model!$R$66</definedName>
    <definedName name="v_16_NBS">Model!$S$66</definedName>
    <definedName name="v_16_NH3">Model!$U$66</definedName>
    <definedName name="v_16_NO3">Model!$T$66</definedName>
    <definedName name="v_16_NUS">Model!$V$66</definedName>
    <definedName name="v_16_PO4">Model!$Q$66</definedName>
    <definedName name="v_16_PPP_HI">Model!$P$66</definedName>
    <definedName name="v_16_PPP_LO">Model!$O$66</definedName>
    <definedName name="v_16_SBSA">Model!$K$66</definedName>
    <definedName name="v_16_SBSC">Model!$J$66</definedName>
    <definedName name="v_16_SENM">Model!$I$66</definedName>
    <definedName name="v_16_SH2">Model!$Y$66</definedName>
    <definedName name="v_16_SN2">Model!$X$66</definedName>
    <definedName name="v_16_SO">Model!$W$66</definedName>
    <definedName name="v_16_SPHB">Model!$L$66</definedName>
    <definedName name="v_16_SUP">Model!$M$66</definedName>
    <definedName name="v_16_SUS">Model!$N$66</definedName>
    <definedName name="v_16_XINORG">Model!$Z$66</definedName>
    <definedName name="v_16_ZA">Model!$F$66</definedName>
    <definedName name="v_16_ZE">Model!$H$66</definedName>
    <definedName name="v_16_ZH">Model!$E$66</definedName>
    <definedName name="v_16_ZP">Model!$G$66</definedName>
    <definedName name="v_17_NBP">Model!$R$67</definedName>
    <definedName name="v_17_NBS">Model!$S$67</definedName>
    <definedName name="v_17_NH3">Model!$U$67</definedName>
    <definedName name="v_17_NO3">Model!$T$67</definedName>
    <definedName name="v_17_NUS">Model!$V$67</definedName>
    <definedName name="v_17_PO4">Model!$Q$67</definedName>
    <definedName name="v_17_PPP_HI">Model!$P$67</definedName>
    <definedName name="v_17_PPP_LO">Model!$O$67</definedName>
    <definedName name="v_17_SBSA">Model!$K$67</definedName>
    <definedName name="v_17_SBSC">Model!$J$67</definedName>
    <definedName name="v_17_SENM">Model!$I$67</definedName>
    <definedName name="v_17_SH2">Model!$Y$67</definedName>
    <definedName name="v_17_SN2">Model!$X$67</definedName>
    <definedName name="v_17_SO">Model!$W$67</definedName>
    <definedName name="v_17_SPHB">Model!$L$67</definedName>
    <definedName name="v_17_SUP">Model!$M$67</definedName>
    <definedName name="v_17_SUS">Model!$N$67</definedName>
    <definedName name="v_17_XINORG">Model!$Z$67</definedName>
    <definedName name="v_17_ZA">Model!$F$67</definedName>
    <definedName name="v_17_ZE">Model!$H$67</definedName>
    <definedName name="v_17_ZH">Model!$E$67</definedName>
    <definedName name="v_17_ZP">Model!$G$67</definedName>
    <definedName name="v_18_NBP">Model!$R$68</definedName>
    <definedName name="v_18_NBS">Model!$S$68</definedName>
    <definedName name="v_18_NH3">Model!$U$68</definedName>
    <definedName name="v_18_NO3">Model!$T$68</definedName>
    <definedName name="v_18_NUS">Model!$V$68</definedName>
    <definedName name="v_18_PO4">Model!$Q$68</definedName>
    <definedName name="v_18_PPP_HI">Model!$P$68</definedName>
    <definedName name="v_18_PPP_LO">Model!$O$68</definedName>
    <definedName name="v_18_SBSA">Model!$K$68</definedName>
    <definedName name="v_18_SBSC">Model!$J$68</definedName>
    <definedName name="v_18_SENM">Model!$I$68</definedName>
    <definedName name="v_18_SH2">Model!$Y$68</definedName>
    <definedName name="v_18_SN2">Model!$X$68</definedName>
    <definedName name="v_18_SO">Model!$W$68</definedName>
    <definedName name="v_18_SPHB">Model!$L$68</definedName>
    <definedName name="v_18_SUP">Model!$M$68</definedName>
    <definedName name="v_18_SUS">Model!$N$68</definedName>
    <definedName name="v_18_XINORG">Model!$Z$68</definedName>
    <definedName name="v_18_ZA">Model!$F$68</definedName>
    <definedName name="v_18_ZE">Model!$H$68</definedName>
    <definedName name="v_18_ZH">Model!$E$68</definedName>
    <definedName name="v_18_ZP">Model!$G$68</definedName>
    <definedName name="v_19_NBP">Model!$R$69</definedName>
    <definedName name="v_19_NBS">Model!$S$69</definedName>
    <definedName name="v_19_NH3">Model!$U$69</definedName>
    <definedName name="v_19_NO3">Model!$T$69</definedName>
    <definedName name="v_19_NUS">Model!$V$69</definedName>
    <definedName name="v_19_PO4">Model!$Q$69</definedName>
    <definedName name="v_19_PPP_HI">Model!$P$69</definedName>
    <definedName name="v_19_PPP_LO">Model!$O$69</definedName>
    <definedName name="v_19_SBSA">Model!$K$69</definedName>
    <definedName name="v_19_SBSC">Model!$J$69</definedName>
    <definedName name="v_19_SENM">Model!$I$69</definedName>
    <definedName name="v_19_SH2">Model!$Y$69</definedName>
    <definedName name="v_19_SN2">Model!$X$69</definedName>
    <definedName name="v_19_SO">Model!$W$69</definedName>
    <definedName name="v_19_SPHB">Model!$L$69</definedName>
    <definedName name="v_19_SUP">Model!$M$69</definedName>
    <definedName name="v_19_SUS">Model!$N$69</definedName>
    <definedName name="v_19_XINORG">Model!$Z$69</definedName>
    <definedName name="v_19_ZA">Model!$F$69</definedName>
    <definedName name="v_19_ZE">Model!$H$69</definedName>
    <definedName name="v_19_ZH">Model!$E$69</definedName>
    <definedName name="v_19_ZP">Model!$G$69</definedName>
    <definedName name="v_2_NBP">Model!$R$52</definedName>
    <definedName name="v_2_NBS">Model!$S$52</definedName>
    <definedName name="v_2_NH3">Model!$U$52</definedName>
    <definedName name="v_2_NO3">Model!$T$52</definedName>
    <definedName name="v_2_NUS">Model!$V$52</definedName>
    <definedName name="v_2_PO4">Model!$Q$52</definedName>
    <definedName name="v_2_PPP_HI">Model!$P$52</definedName>
    <definedName name="v_2_PPP_LO">Model!$O$52</definedName>
    <definedName name="v_2_SBSA">Model!$K$52</definedName>
    <definedName name="v_2_SBSC">Model!$J$52</definedName>
    <definedName name="v_2_SENM">Model!$I$52</definedName>
    <definedName name="v_2_SH2">Model!$Y$52</definedName>
    <definedName name="v_2_SN2">Model!$X$52</definedName>
    <definedName name="v_2_SO">Model!$W$52</definedName>
    <definedName name="v_2_SPHB">Model!$L$52</definedName>
    <definedName name="v_2_SUP">Model!$M$52</definedName>
    <definedName name="v_2_SUS">Model!$N$52</definedName>
    <definedName name="v_2_XINORG">Model!$Z$52</definedName>
    <definedName name="v_2_ZA">Model!$F$52</definedName>
    <definedName name="v_2_ZE">Model!$H$52</definedName>
    <definedName name="v_2_ZH">Model!$E$52</definedName>
    <definedName name="v_2_ZP">Model!$G$52</definedName>
    <definedName name="v_20_NBP">Model!$R$70</definedName>
    <definedName name="v_20_NBS">Model!$S$70</definedName>
    <definedName name="v_20_NH3">Model!$U$70</definedName>
    <definedName name="v_20_NO3">Model!$T$70</definedName>
    <definedName name="v_20_NUS">Model!$V$70</definedName>
    <definedName name="v_20_PO4">Model!$Q$70</definedName>
    <definedName name="v_20_PPP_HI">Model!$P$70</definedName>
    <definedName name="v_20_PPP_LO">Model!$O$70</definedName>
    <definedName name="v_20_SBSA">Model!$K$70</definedName>
    <definedName name="v_20_SBSC">Model!$J$70</definedName>
    <definedName name="v_20_SENM">Model!$I$70</definedName>
    <definedName name="v_20_SH2">Model!$Y$70</definedName>
    <definedName name="v_20_SN2">Model!$X$70</definedName>
    <definedName name="v_20_SO">Model!$W$70</definedName>
    <definedName name="v_20_SPHB">Model!$L$70</definedName>
    <definedName name="v_20_SUP">Model!$M$70</definedName>
    <definedName name="v_20_SUS">Model!$N$70</definedName>
    <definedName name="v_20_XINORG">Model!$Z$70</definedName>
    <definedName name="v_20_ZA">Model!$F$70</definedName>
    <definedName name="v_20_ZE">Model!$H$70</definedName>
    <definedName name="v_20_ZH">Model!$E$70</definedName>
    <definedName name="v_20_ZP">Model!$G$70</definedName>
    <definedName name="v_21_NBP">Model!$R$71</definedName>
    <definedName name="v_21_NBS">Model!$S$71</definedName>
    <definedName name="v_21_NH3">Model!$U$71</definedName>
    <definedName name="v_21_NO3">Model!$T$71</definedName>
    <definedName name="v_21_NUS">Model!$V$71</definedName>
    <definedName name="v_21_PO4">Model!$Q$71</definedName>
    <definedName name="v_21_PPP_HI">Model!$P$71</definedName>
    <definedName name="v_21_PPP_LO">Model!$O$71</definedName>
    <definedName name="v_21_SBSA">Model!$K$71</definedName>
    <definedName name="v_21_SBSC">Model!$J$71</definedName>
    <definedName name="v_21_SENM">Model!$I$71</definedName>
    <definedName name="v_21_SH2">Model!$Y$71</definedName>
    <definedName name="v_21_SN2">Model!$X$71</definedName>
    <definedName name="v_21_SO">Model!$W$71</definedName>
    <definedName name="v_21_SPHB">Model!$L$71</definedName>
    <definedName name="v_21_SUP">Model!$M$71</definedName>
    <definedName name="v_21_SUS">Model!$N$71</definedName>
    <definedName name="v_21_XINORG">Model!$Z$71</definedName>
    <definedName name="v_21_ZA">Model!$F$71</definedName>
    <definedName name="v_21_ZE">Model!$H$71</definedName>
    <definedName name="v_21_ZH">Model!$E$71</definedName>
    <definedName name="v_21_ZP">Model!$G$71</definedName>
    <definedName name="v_22_NBP">Model!$R$72</definedName>
    <definedName name="v_22_NBS">Model!$S$72</definedName>
    <definedName name="v_22_NH3">Model!$U$72</definedName>
    <definedName name="v_22_NO3">Model!$T$72</definedName>
    <definedName name="v_22_NUS">Model!$V$72</definedName>
    <definedName name="v_22_PO4">Model!$Q$72</definedName>
    <definedName name="v_22_PPP_HI">Model!$P$72</definedName>
    <definedName name="v_22_PPP_LO">Model!$O$72</definedName>
    <definedName name="v_22_SBSA">Model!$K$72</definedName>
    <definedName name="v_22_SBSC">Model!$J$72</definedName>
    <definedName name="v_22_SENM">Model!$I$72</definedName>
    <definedName name="v_22_SH2">Model!$Y$72</definedName>
    <definedName name="v_22_SN2">Model!$X$72</definedName>
    <definedName name="v_22_SO">Model!$W$72</definedName>
    <definedName name="v_22_SPHB">Model!$L$72</definedName>
    <definedName name="v_22_SUP">Model!$M$72</definedName>
    <definedName name="v_22_SUS">Model!$N$72</definedName>
    <definedName name="v_22_XINORG">Model!$Z$72</definedName>
    <definedName name="v_22_ZA">Model!$F$72</definedName>
    <definedName name="v_22_ZE">Model!$H$72</definedName>
    <definedName name="v_22_ZH">Model!$E$72</definedName>
    <definedName name="v_22_ZP">Model!$G$72</definedName>
    <definedName name="v_23_NBP">Model!$R$73</definedName>
    <definedName name="v_23_NBS">Model!$S$73</definedName>
    <definedName name="v_23_NH3">Model!$U$73</definedName>
    <definedName name="v_23_NO3">Model!$T$73</definedName>
    <definedName name="v_23_NUS">Model!$V$73</definedName>
    <definedName name="v_23_PO4">Model!$Q$73</definedName>
    <definedName name="v_23_PPP_HI">Model!$P$73</definedName>
    <definedName name="v_23_PPP_LO">Model!$O$73</definedName>
    <definedName name="v_23_SBSA">Model!$K$73</definedName>
    <definedName name="v_23_SBSC">Model!$J$73</definedName>
    <definedName name="v_23_SENM">Model!$I$73</definedName>
    <definedName name="v_23_SH2">Model!$Y$73</definedName>
    <definedName name="v_23_SN2">Model!$X$73</definedName>
    <definedName name="v_23_SO">Model!$W$73</definedName>
    <definedName name="v_23_SPHB">Model!$L$73</definedName>
    <definedName name="v_23_SUP">Model!$M$73</definedName>
    <definedName name="v_23_SUS">Model!$N$73</definedName>
    <definedName name="v_23_XINORG">Model!$Z$73</definedName>
    <definedName name="v_23_ZA">Model!$F$73</definedName>
    <definedName name="v_23_ZE">Model!$H$73</definedName>
    <definedName name="v_23_ZH">Model!$E$73</definedName>
    <definedName name="v_23_ZP">Model!$G$73</definedName>
    <definedName name="v_24_NBP">Model!$R$74</definedName>
    <definedName name="v_24_NBS">Model!$S$74</definedName>
    <definedName name="v_24_NH3">Model!$U$74</definedName>
    <definedName name="v_24_NO3">Model!$T$74</definedName>
    <definedName name="v_24_NUS">Model!$V$74</definedName>
    <definedName name="v_24_PO4">Model!$Q$74</definedName>
    <definedName name="v_24_PPP_HI">Model!$P$74</definedName>
    <definedName name="v_24_PPP_LO">Model!$O$74</definedName>
    <definedName name="v_24_SBSA">Model!$K$74</definedName>
    <definedName name="v_24_SBSC">Model!$J$74</definedName>
    <definedName name="v_24_SENM">Model!$I$74</definedName>
    <definedName name="v_24_SH2">Model!$Y$74</definedName>
    <definedName name="v_24_SN2">Model!$X$74</definedName>
    <definedName name="v_24_SO">Model!$W$74</definedName>
    <definedName name="v_24_SPHB">Model!$L$74</definedName>
    <definedName name="v_24_SUP">Model!$M$74</definedName>
    <definedName name="v_24_SUS">Model!$N$74</definedName>
    <definedName name="v_24_XINORG">Model!$Z$74</definedName>
    <definedName name="v_24_ZA">Model!$F$74</definedName>
    <definedName name="v_24_ZE">Model!$H$74</definedName>
    <definedName name="v_24_ZH">Model!$E$74</definedName>
    <definedName name="v_24_ZP">Model!$G$74</definedName>
    <definedName name="v_25_NBP">Model!$R$75</definedName>
    <definedName name="v_25_NBS">Model!$S$75</definedName>
    <definedName name="v_25_NH3">Model!$U$75</definedName>
    <definedName name="v_25_NO3">Model!$T$75</definedName>
    <definedName name="v_25_NUS">Model!$V$75</definedName>
    <definedName name="v_25_PO4">Model!$Q$75</definedName>
    <definedName name="v_25_PPP_HI">Model!$P$75</definedName>
    <definedName name="v_25_PPP_LO">Model!$O$75</definedName>
    <definedName name="v_25_SBSA">Model!$K$75</definedName>
    <definedName name="v_25_SBSC">Model!$J$75</definedName>
    <definedName name="v_25_SENM">Model!$I$75</definedName>
    <definedName name="v_25_SH2">Model!$Y$75</definedName>
    <definedName name="v_25_SN2">Model!$X$75</definedName>
    <definedName name="v_25_SO">Model!$W$75</definedName>
    <definedName name="v_25_SPHB">Model!$L$75</definedName>
    <definedName name="v_25_SUP">Model!$M$75</definedName>
    <definedName name="v_25_SUS">Model!$N$75</definedName>
    <definedName name="v_25_XINORG">Model!$Z$75</definedName>
    <definedName name="v_25_ZA">Model!$F$75</definedName>
    <definedName name="v_25_ZE">Model!$H$75</definedName>
    <definedName name="v_25_ZH">Model!$E$75</definedName>
    <definedName name="v_25_ZP">Model!$G$75</definedName>
    <definedName name="v_26_NBP">Model!$R$76</definedName>
    <definedName name="v_26_NBS">Model!$S$76</definedName>
    <definedName name="v_26_NH3">Model!$U$76</definedName>
    <definedName name="v_26_NO3">Model!$T$76</definedName>
    <definedName name="v_26_NUS">Model!$V$76</definedName>
    <definedName name="v_26_PO4">Model!$Q$76</definedName>
    <definedName name="v_26_PPP_HI">Model!$P$76</definedName>
    <definedName name="v_26_PPP_LO">Model!$O$76</definedName>
    <definedName name="v_26_SBSA">Model!$K$76</definedName>
    <definedName name="v_26_SBSC">Model!$J$76</definedName>
    <definedName name="v_26_SENM">Model!$I$76</definedName>
    <definedName name="v_26_SH2">Model!$Y$76</definedName>
    <definedName name="v_26_SN2">Model!$X$76</definedName>
    <definedName name="v_26_SO">Model!$W$76</definedName>
    <definedName name="v_26_SPHB">Model!$L$76</definedName>
    <definedName name="v_26_SUP">Model!$M$76</definedName>
    <definedName name="v_26_SUS">Model!$N$76</definedName>
    <definedName name="v_26_XINORG">Model!$Z$76</definedName>
    <definedName name="v_26_ZA">Model!$F$76</definedName>
    <definedName name="v_26_ZE">Model!$H$76</definedName>
    <definedName name="v_26_ZH">Model!$E$76</definedName>
    <definedName name="v_26_ZP">Model!$G$76</definedName>
    <definedName name="v_27_NBP">Model!$R$77</definedName>
    <definedName name="v_27_NBS">Model!$S$77</definedName>
    <definedName name="v_27_NH3">Model!$U$77</definedName>
    <definedName name="v_27_NO3">Model!$T$77</definedName>
    <definedName name="v_27_NUS">Model!$V$77</definedName>
    <definedName name="v_27_PO4">Model!$Q$77</definedName>
    <definedName name="v_27_PPP_HI">Model!$P$77</definedName>
    <definedName name="v_27_PPP_LO">Model!$O$77</definedName>
    <definedName name="v_27_SBSA">Model!$K$77</definedName>
    <definedName name="v_27_SBSC">Model!$J$77</definedName>
    <definedName name="v_27_SENM">Model!$I$77</definedName>
    <definedName name="v_27_SH2">Model!$Y$77</definedName>
    <definedName name="v_27_SN2">Model!$X$77</definedName>
    <definedName name="v_27_SO">Model!$W$77</definedName>
    <definedName name="v_27_SPHB">Model!$L$77</definedName>
    <definedName name="v_27_SUP">Model!$M$77</definedName>
    <definedName name="v_27_SUS">Model!$N$77</definedName>
    <definedName name="v_27_XINORG">Model!$Z$77</definedName>
    <definedName name="v_27_ZA">Model!$F$77</definedName>
    <definedName name="v_27_ZE">Model!$H$77</definedName>
    <definedName name="v_27_ZH">Model!$E$77</definedName>
    <definedName name="v_27_ZP">Model!$G$77</definedName>
    <definedName name="v_28_NBP">Model!$R$78</definedName>
    <definedName name="v_28_NBS">Model!$S$78</definedName>
    <definedName name="v_28_NH3">Model!$U$78</definedName>
    <definedName name="v_28_NO3">Model!$T$78</definedName>
    <definedName name="v_28_NUS">Model!$V$78</definedName>
    <definedName name="v_28_PO4">Model!$Q$78</definedName>
    <definedName name="v_28_PPP_HI">Model!$P$78</definedName>
    <definedName name="v_28_PPP_LO">Model!$O$78</definedName>
    <definedName name="v_28_SBSA">Model!$K$78</definedName>
    <definedName name="v_28_SBSC">Model!$J$78</definedName>
    <definedName name="v_28_SENM">Model!$I$78</definedName>
    <definedName name="v_28_SH2">Model!$Y$78</definedName>
    <definedName name="v_28_SN2">Model!$X$78</definedName>
    <definedName name="v_28_SO">Model!$W$78</definedName>
    <definedName name="v_28_SPHB">Model!$L$78</definedName>
    <definedName name="v_28_SUP">Model!$M$78</definedName>
    <definedName name="v_28_SUS">Model!$N$78</definedName>
    <definedName name="v_28_XINORG">Model!$Z$78</definedName>
    <definedName name="v_28_ZA">Model!$F$78</definedName>
    <definedName name="v_28_ZE">Model!$H$78</definedName>
    <definedName name="v_28_ZH">Model!$E$78</definedName>
    <definedName name="v_28_ZP">Model!$G$78</definedName>
    <definedName name="v_29_NBP">Model!$R$79</definedName>
    <definedName name="v_29_NBS">Model!$S$79</definedName>
    <definedName name="v_29_NH3">Model!$U$79</definedName>
    <definedName name="v_29_NO3">Model!$T$79</definedName>
    <definedName name="v_29_NUS">Model!$V$79</definedName>
    <definedName name="v_29_PO4">Model!$Q$79</definedName>
    <definedName name="v_29_PPP_HI">Model!$P$79</definedName>
    <definedName name="v_29_PPP_LO">Model!$O$79</definedName>
    <definedName name="v_29_SBSA">Model!$K$79</definedName>
    <definedName name="v_29_SBSC">Model!$J$79</definedName>
    <definedName name="v_29_SENM">Model!$I$79</definedName>
    <definedName name="v_29_SH2">Model!$Y$79</definedName>
    <definedName name="v_29_SN2">Model!$X$79</definedName>
    <definedName name="v_29_SO">Model!$W$79</definedName>
    <definedName name="v_29_SPHB">Model!$L$79</definedName>
    <definedName name="v_29_SUP">Model!$M$79</definedName>
    <definedName name="v_29_SUS">Model!$N$79</definedName>
    <definedName name="v_29_XINORG">Model!$Z$79</definedName>
    <definedName name="v_29_ZA">Model!$F$79</definedName>
    <definedName name="v_29_ZE">Model!$H$79</definedName>
    <definedName name="v_29_ZH">Model!$E$79</definedName>
    <definedName name="v_29_ZP">Model!$G$79</definedName>
    <definedName name="v_3_NBP">Model!$R$53</definedName>
    <definedName name="v_3_NBS">Model!$S$53</definedName>
    <definedName name="v_3_NH3">Model!$U$53</definedName>
    <definedName name="v_3_NO3">Model!$T$53</definedName>
    <definedName name="v_3_NUS">Model!$V$53</definedName>
    <definedName name="v_3_PO4">Model!$Q$53</definedName>
    <definedName name="v_3_PPP_HI">Model!$P$53</definedName>
    <definedName name="v_3_PPP_LO">Model!$O$53</definedName>
    <definedName name="v_3_SBSA">Model!$K$53</definedName>
    <definedName name="v_3_SBSC">Model!$J$53</definedName>
    <definedName name="v_3_SENM">Model!$I$53</definedName>
    <definedName name="v_3_SH2">Model!$Y$53</definedName>
    <definedName name="v_3_SN2">Model!$X$53</definedName>
    <definedName name="v_3_SO">Model!$W$53</definedName>
    <definedName name="v_3_SPHB">Model!$L$53</definedName>
    <definedName name="v_3_SUP">Model!$M$53</definedName>
    <definedName name="v_3_SUS">Model!$N$53</definedName>
    <definedName name="v_3_XINORG">Model!$Z$53</definedName>
    <definedName name="v_3_ZA">Model!$F$53</definedName>
    <definedName name="v_3_ZE">Model!$H$53</definedName>
    <definedName name="v_3_ZH">Model!$E$53</definedName>
    <definedName name="v_3_ZP">Model!$G$53</definedName>
    <definedName name="v_30_NBP">Model!$R$80</definedName>
    <definedName name="v_30_NBS">Model!$S$80</definedName>
    <definedName name="v_30_NH3">Model!$U$80</definedName>
    <definedName name="v_30_NO3">Model!$T$80</definedName>
    <definedName name="v_30_NUS">Model!$V$80</definedName>
    <definedName name="v_30_PO4">Model!$Q$80</definedName>
    <definedName name="v_30_PPP_HI">Model!$P$80</definedName>
    <definedName name="v_30_PPP_LO">Model!$O$80</definedName>
    <definedName name="v_30_SBSA">Model!$K$80</definedName>
    <definedName name="v_30_SBSC">Model!$J$80</definedName>
    <definedName name="v_30_SENM">Model!$I$80</definedName>
    <definedName name="v_30_SH2">Model!$Y$80</definedName>
    <definedName name="v_30_SN2">Model!$X$80</definedName>
    <definedName name="v_30_SO">Model!$W$80</definedName>
    <definedName name="v_30_SPHB">Model!$L$80</definedName>
    <definedName name="v_30_SUP">Model!$M$80</definedName>
    <definedName name="v_30_SUS">Model!$N$80</definedName>
    <definedName name="v_30_XINORG">Model!$Z$80</definedName>
    <definedName name="v_30_ZA">Model!$F$80</definedName>
    <definedName name="v_30_ZE">Model!$H$80</definedName>
    <definedName name="v_30_ZH">Model!$E$80</definedName>
    <definedName name="v_30_ZP">Model!$G$80</definedName>
    <definedName name="v_31_NBP">Model!$R$81</definedName>
    <definedName name="v_31_NBS">Model!$S$81</definedName>
    <definedName name="v_31_NH3">Model!$U$81</definedName>
    <definedName name="v_31_NO3">Model!$T$81</definedName>
    <definedName name="v_31_NUS">Model!$V$81</definedName>
    <definedName name="v_31_PO4">Model!$Q$81</definedName>
    <definedName name="v_31_PPP_HI">Model!$P$81</definedName>
    <definedName name="v_31_PPP_LO">Model!$O$81</definedName>
    <definedName name="v_31_SBSA">Model!$K$81</definedName>
    <definedName name="v_31_SBSC">Model!$J$81</definedName>
    <definedName name="v_31_SENM">Model!$I$81</definedName>
    <definedName name="v_31_SH2">Model!$Y$81</definedName>
    <definedName name="v_31_SN2">Model!$X$81</definedName>
    <definedName name="v_31_SO">Model!$W$81</definedName>
    <definedName name="v_31_SPHB">Model!$L$81</definedName>
    <definedName name="v_31_SUP">Model!$M$81</definedName>
    <definedName name="v_31_SUS">Model!$N$81</definedName>
    <definedName name="v_31_XINORG">Model!$Z$81</definedName>
    <definedName name="v_31_ZA">Model!$F$81</definedName>
    <definedName name="v_31_ZE">Model!$H$81</definedName>
    <definedName name="v_31_ZH">Model!$E$81</definedName>
    <definedName name="v_31_ZP">Model!$G$81</definedName>
    <definedName name="v_32_NBP">Model!$R$82</definedName>
    <definedName name="v_32_NBS">Model!$S$82</definedName>
    <definedName name="v_32_NH3">Model!$U$82</definedName>
    <definedName name="v_32_NO3">Model!$T$82</definedName>
    <definedName name="v_32_NUS">Model!$V$82</definedName>
    <definedName name="v_32_PO4">Model!$Q$82</definedName>
    <definedName name="v_32_PPP_HI">Model!$P$82</definedName>
    <definedName name="v_32_PPP_LO">Model!$O$82</definedName>
    <definedName name="v_32_SBSA">Model!$K$82</definedName>
    <definedName name="v_32_SBSC">Model!$J$82</definedName>
    <definedName name="v_32_SENM">Model!$I$82</definedName>
    <definedName name="v_32_SH2">Model!$Y$82</definedName>
    <definedName name="v_32_SN2">Model!$X$82</definedName>
    <definedName name="v_32_SO">Model!$W$82</definedName>
    <definedName name="v_32_SPHB">Model!$L$82</definedName>
    <definedName name="v_32_SUP">Model!$M$82</definedName>
    <definedName name="v_32_SUS">Model!$N$82</definedName>
    <definedName name="v_32_XINORG">Model!$Z$82</definedName>
    <definedName name="v_32_ZA">Model!$F$82</definedName>
    <definedName name="v_32_ZE">Model!$H$82</definedName>
    <definedName name="v_32_ZH">Model!$E$82</definedName>
    <definedName name="v_32_ZP">Model!$G$82</definedName>
    <definedName name="v_33_NBP">Model!$R$83</definedName>
    <definedName name="v_33_NBS">Model!$S$83</definedName>
    <definedName name="v_33_NH3">Model!$U$83</definedName>
    <definedName name="v_33_NO3">Model!$T$83</definedName>
    <definedName name="v_33_NUS">Model!$V$83</definedName>
    <definedName name="v_33_PO4">Model!$Q$83</definedName>
    <definedName name="v_33_PPP_HI">Model!$P$83</definedName>
    <definedName name="v_33_PPP_LO">Model!$O$83</definedName>
    <definedName name="v_33_SBSA">Model!$K$83</definedName>
    <definedName name="v_33_SBSC">Model!$J$83</definedName>
    <definedName name="v_33_SENM">Model!$I$83</definedName>
    <definedName name="v_33_SH2">Model!$Y$83</definedName>
    <definedName name="v_33_SN2">Model!$X$83</definedName>
    <definedName name="v_33_SO">Model!$W$83</definedName>
    <definedName name="v_33_SPHB">Model!$L$83</definedName>
    <definedName name="v_33_SUP">Model!$M$83</definedName>
    <definedName name="v_33_SUS">Model!$N$83</definedName>
    <definedName name="v_33_XINORG">Model!$Z$83</definedName>
    <definedName name="v_33_ZA">Model!$F$83</definedName>
    <definedName name="v_33_ZE">Model!$H$83</definedName>
    <definedName name="v_33_ZH">Model!$E$83</definedName>
    <definedName name="v_33_ZP">Model!$G$83</definedName>
    <definedName name="v_34_NBP">Model!$R$84</definedName>
    <definedName name="v_34_NBS">Model!$S$84</definedName>
    <definedName name="v_34_NH3">Model!$U$84</definedName>
    <definedName name="v_34_NO3">Model!$T$84</definedName>
    <definedName name="v_34_NUS">Model!$V$84</definedName>
    <definedName name="v_34_PO4">Model!$Q$84</definedName>
    <definedName name="v_34_PPP_HI">Model!$P$84</definedName>
    <definedName name="v_34_PPP_LO">Model!$O$84</definedName>
    <definedName name="v_34_SBSA">Model!$K$84</definedName>
    <definedName name="v_34_SBSC">Model!$J$84</definedName>
    <definedName name="v_34_SENM">Model!$I$84</definedName>
    <definedName name="v_34_SH2">Model!$Y$84</definedName>
    <definedName name="v_34_SN2">Model!$X$84</definedName>
    <definedName name="v_34_SO">Model!$W$84</definedName>
    <definedName name="v_34_SPHB">Model!$L$84</definedName>
    <definedName name="v_34_SUP">Model!$M$84</definedName>
    <definedName name="v_34_SUS">Model!$N$84</definedName>
    <definedName name="v_34_XINORG">Model!$Z$84</definedName>
    <definedName name="v_34_ZA">Model!$F$84</definedName>
    <definedName name="v_34_ZE">Model!$H$84</definedName>
    <definedName name="v_34_ZH">Model!$E$84</definedName>
    <definedName name="v_34_ZP">Model!$G$84</definedName>
    <definedName name="v_35_NBP">Model!$R$85</definedName>
    <definedName name="v_35_NBS">Model!$S$85</definedName>
    <definedName name="v_35_NH3">Model!$U$85</definedName>
    <definedName name="v_35_NO3">Model!$T$85</definedName>
    <definedName name="v_35_NUS">Model!$V$85</definedName>
    <definedName name="v_35_PO4">Model!$Q$85</definedName>
    <definedName name="v_35_PPP_HI">Model!$P$85</definedName>
    <definedName name="v_35_PPP_LO">Model!$O$85</definedName>
    <definedName name="v_35_SBSA">Model!$K$85</definedName>
    <definedName name="v_35_SBSC">Model!$J$85</definedName>
    <definedName name="v_35_SENM">Model!$I$85</definedName>
    <definedName name="v_35_SH2">Model!$Y$85</definedName>
    <definedName name="v_35_SN2">Model!$X$85</definedName>
    <definedName name="v_35_SO">Model!$W$85</definedName>
    <definedName name="v_35_SPHB">Model!$L$85</definedName>
    <definedName name="v_35_SUP">Model!$M$85</definedName>
    <definedName name="v_35_SUS">Model!$N$85</definedName>
    <definedName name="v_35_XINORG">Model!$Z$85</definedName>
    <definedName name="v_35_ZA">Model!$F$85</definedName>
    <definedName name="v_35_ZE">Model!$H$85</definedName>
    <definedName name="v_35_ZH">Model!$E$85</definedName>
    <definedName name="v_35_ZP">Model!$G$85</definedName>
    <definedName name="v_36_NBP">Model!$R$86</definedName>
    <definedName name="v_36_NBS">Model!$S$86</definedName>
    <definedName name="v_36_NH3">Model!$U$86</definedName>
    <definedName name="v_36_NO3">Model!$T$86</definedName>
    <definedName name="v_36_NUS">Model!$V$86</definedName>
    <definedName name="v_36_PO4">Model!$Q$86</definedName>
    <definedName name="v_36_PPP_HI">Model!$P$86</definedName>
    <definedName name="v_36_PPP_LO">Model!$O$86</definedName>
    <definedName name="v_36_SBSA">Model!$K$86</definedName>
    <definedName name="v_36_SBSC">Model!$J$86</definedName>
    <definedName name="v_36_SENM">Model!$I$86</definedName>
    <definedName name="v_36_SH2">Model!$Y$86</definedName>
    <definedName name="v_36_SN2">Model!$X$86</definedName>
    <definedName name="v_36_SO">Model!$W$86</definedName>
    <definedName name="v_36_SPHB">Model!$L$86</definedName>
    <definedName name="v_36_SUP">Model!$M$86</definedName>
    <definedName name="v_36_SUS">Model!$N$86</definedName>
    <definedName name="v_36_XINORG">Model!$Z$86</definedName>
    <definedName name="v_36_ZA">Model!$F$86</definedName>
    <definedName name="v_36_ZE">Model!$H$86</definedName>
    <definedName name="v_36_ZH">Model!$E$86</definedName>
    <definedName name="v_36_ZP">Model!$G$86</definedName>
    <definedName name="v_4_NBP">Model!$R$54</definedName>
    <definedName name="v_4_NBS">Model!$S$54</definedName>
    <definedName name="v_4_NH3">Model!$U$54</definedName>
    <definedName name="v_4_NO3">Model!$T$54</definedName>
    <definedName name="v_4_NUS">Model!$V$54</definedName>
    <definedName name="v_4_PO4">Model!$Q$54</definedName>
    <definedName name="v_4_PPP_HI">Model!$P$54</definedName>
    <definedName name="v_4_PPP_LO">Model!$O$54</definedName>
    <definedName name="v_4_SBSA">Model!$K$54</definedName>
    <definedName name="v_4_SBSC">Model!$J$54</definedName>
    <definedName name="v_4_SENM">Model!$I$54</definedName>
    <definedName name="v_4_SH2">Model!$Y$54</definedName>
    <definedName name="v_4_SN2">Model!$X$54</definedName>
    <definedName name="v_4_SO">Model!$W$54</definedName>
    <definedName name="v_4_SPHB">Model!$L$54</definedName>
    <definedName name="v_4_SUP">Model!$M$54</definedName>
    <definedName name="v_4_SUS">Model!$N$54</definedName>
    <definedName name="v_4_XINORG">Model!$Z$54</definedName>
    <definedName name="v_4_ZA">Model!$F$54</definedName>
    <definedName name="v_4_ZE">Model!$H$54</definedName>
    <definedName name="v_4_ZH">Model!$E$54</definedName>
    <definedName name="v_4_ZP">Model!$G$54</definedName>
    <definedName name="v_5_NBP">Model!$R$55</definedName>
    <definedName name="v_5_NBS">Model!$S$55</definedName>
    <definedName name="v_5_NH3">Model!$U$55</definedName>
    <definedName name="v_5_NO3">Model!$T$55</definedName>
    <definedName name="v_5_NUS">Model!$V$55</definedName>
    <definedName name="v_5_PO4">Model!$Q$55</definedName>
    <definedName name="v_5_PPP_HI">Model!$P$55</definedName>
    <definedName name="v_5_PPP_LO">Model!$O$55</definedName>
    <definedName name="v_5_SBSA">Model!$K$55</definedName>
    <definedName name="v_5_SBSC">Model!$J$55</definedName>
    <definedName name="v_5_SENM">Model!$I$55</definedName>
    <definedName name="v_5_SH2">Model!$Y$55</definedName>
    <definedName name="v_5_SN2">Model!$X$55</definedName>
    <definedName name="v_5_SO">Model!$W$55</definedName>
    <definedName name="v_5_SPHB">Model!$L$55</definedName>
    <definedName name="v_5_SUP">Model!$M$55</definedName>
    <definedName name="v_5_SUS">Model!$N$55</definedName>
    <definedName name="v_5_XINORG">Model!$Z$55</definedName>
    <definedName name="v_5_ZA">Model!$F$55</definedName>
    <definedName name="v_5_ZE">Model!$H$55</definedName>
    <definedName name="v_5_ZH">Model!$E$55</definedName>
    <definedName name="v_5_ZP">Model!$G$55</definedName>
    <definedName name="v_6_NBP">Model!$R$56</definedName>
    <definedName name="v_6_NBS">Model!$S$56</definedName>
    <definedName name="v_6_NH3">Model!$U$56</definedName>
    <definedName name="v_6_NO3">Model!$T$56</definedName>
    <definedName name="v_6_NUS">Model!$V$56</definedName>
    <definedName name="v_6_PO4">Model!$Q$56</definedName>
    <definedName name="v_6_PPP_HI">Model!$P$56</definedName>
    <definedName name="v_6_PPP_LO">Model!$O$56</definedName>
    <definedName name="v_6_SBSA">Model!$K$56</definedName>
    <definedName name="v_6_SBSC">Model!$J$56</definedName>
    <definedName name="v_6_SENM">Model!$I$56</definedName>
    <definedName name="v_6_SH2">Model!$Y$56</definedName>
    <definedName name="v_6_SN2">Model!$X$56</definedName>
    <definedName name="v_6_SO">Model!$W$56</definedName>
    <definedName name="v_6_SPHB">Model!$L$56</definedName>
    <definedName name="v_6_SUP">Model!$M$56</definedName>
    <definedName name="v_6_SUS">Model!$N$56</definedName>
    <definedName name="v_6_XINORG">Model!$Z$56</definedName>
    <definedName name="v_6_ZA">Model!$F$56</definedName>
    <definedName name="v_6_ZE">Model!$H$56</definedName>
    <definedName name="v_6_ZH">Model!$E$56</definedName>
    <definedName name="v_6_ZP">Model!$G$56</definedName>
    <definedName name="v_7_NBP">Model!$R$57</definedName>
    <definedName name="v_7_NBS">Model!$S$57</definedName>
    <definedName name="v_7_NH3">Model!$U$57</definedName>
    <definedName name="v_7_NO3">Model!$T$57</definedName>
    <definedName name="v_7_NUS">Model!$V$57</definedName>
    <definedName name="v_7_PO4">Model!$Q$57</definedName>
    <definedName name="v_7_PPP_HI">Model!$P$57</definedName>
    <definedName name="v_7_PPP_LO">Model!$O$57</definedName>
    <definedName name="v_7_SBSA">Model!$K$57</definedName>
    <definedName name="v_7_SBSC">Model!$J$57</definedName>
    <definedName name="v_7_SENM">Model!$I$57</definedName>
    <definedName name="v_7_SH2">Model!$Y$57</definedName>
    <definedName name="v_7_SN2">Model!$X$57</definedName>
    <definedName name="v_7_SO">Model!$W$57</definedName>
    <definedName name="v_7_SPHB">Model!$L$57</definedName>
    <definedName name="v_7_SUP">Model!$M$57</definedName>
    <definedName name="v_7_SUS">Model!$N$57</definedName>
    <definedName name="v_7_XINORG">Model!$Z$57</definedName>
    <definedName name="v_7_ZA">Model!$F$57</definedName>
    <definedName name="v_7_ZE">Model!$H$57</definedName>
    <definedName name="v_7_ZH">Model!$E$57</definedName>
    <definedName name="v_7_ZP">Model!$G$57</definedName>
    <definedName name="v_8_NBP">Model!$R$58</definedName>
    <definedName name="v_8_NBS">Model!$S$58</definedName>
    <definedName name="v_8_NH3">Model!$U$58</definedName>
    <definedName name="v_8_NO3">Model!$T$58</definedName>
    <definedName name="v_8_NUS">Model!$V$58</definedName>
    <definedName name="v_8_PO4">Model!$Q$58</definedName>
    <definedName name="v_8_PPP_HI">Model!$P$58</definedName>
    <definedName name="v_8_PPP_LO">Model!$O$58</definedName>
    <definedName name="v_8_SBSA">Model!$K$58</definedName>
    <definedName name="v_8_SBSC">Model!$J$58</definedName>
    <definedName name="v_8_SENM">Model!$I$58</definedName>
    <definedName name="v_8_SH2">Model!$Y$58</definedName>
    <definedName name="v_8_SN2">Model!$X$58</definedName>
    <definedName name="v_8_SO">Model!$W$58</definedName>
    <definedName name="v_8_SPHB">Model!$L$58</definedName>
    <definedName name="v_8_SUP">Model!$M$58</definedName>
    <definedName name="v_8_SUS">Model!$N$58</definedName>
    <definedName name="v_8_XINORG">Model!$Z$58</definedName>
    <definedName name="v_8_ZA">Model!$F$58</definedName>
    <definedName name="v_8_ZE">Model!$H$58</definedName>
    <definedName name="v_8_ZH">Model!$E$58</definedName>
    <definedName name="v_8_ZP">Model!$G$58</definedName>
    <definedName name="v_9_NBP">Model!$R$59</definedName>
    <definedName name="v_9_NBS">Model!$S$59</definedName>
    <definedName name="v_9_NH3">Model!$U$59</definedName>
    <definedName name="v_9_NO3">Model!$T$59</definedName>
    <definedName name="v_9_NUS">Model!$V$59</definedName>
    <definedName name="v_9_PO4">Model!$Q$59</definedName>
    <definedName name="v_9_PPP_HI">Model!$P$59</definedName>
    <definedName name="v_9_PPP_LO">Model!$O$59</definedName>
    <definedName name="v_9_SBSA">Model!$K$59</definedName>
    <definedName name="v_9_SBSC">Model!$J$59</definedName>
    <definedName name="v_9_SENM">Model!$I$59</definedName>
    <definedName name="v_9_SH2">Model!$Y$59</definedName>
    <definedName name="v_9_SN2">Model!$X$59</definedName>
    <definedName name="v_9_SO">Model!$W$59</definedName>
    <definedName name="v_9_SPHB">Model!$L$59</definedName>
    <definedName name="v_9_SUP">Model!$M$59</definedName>
    <definedName name="v_9_SUS">Model!$N$59</definedName>
    <definedName name="v_9_XINORG">Model!$Z$59</definedName>
    <definedName name="v_9_ZA">Model!$F$59</definedName>
    <definedName name="v_9_ZE">Model!$H$59</definedName>
    <definedName name="v_9_ZH">Model!$E$59</definedName>
    <definedName name="v_9_ZP">Model!$G$59</definedName>
    <definedName name="V_mol_N">systemcode_constants!$D$75</definedName>
    <definedName name="X_BOD_5">'Calculated variables'!$E$8</definedName>
    <definedName name="X_BOD_ult">'Calculated variables'!$E$5</definedName>
    <definedName name="X_COD">'Calculated variables'!$E$11</definedName>
    <definedName name="X_DM">'Calculated variables'!$E$18</definedName>
    <definedName name="X_INORG">Components!$E$25</definedName>
    <definedName name="X_ISS">'Calculated variables'!$E$16</definedName>
    <definedName name="X_TSS">'Calculated variables'!$E$17</definedName>
    <definedName name="X_VSS">'Calculated variables'!$E$15</definedName>
    <definedName name="Y_A">Parameters!$D$65</definedName>
    <definedName name="Y_AC">Parameters!$D$56</definedName>
    <definedName name="Y_H_AER">Parameters!$D$52</definedName>
    <definedName name="Y_H_ANA">Parameters!$D$54</definedName>
    <definedName name="Y_H_ANOX">Parameters!$D$53</definedName>
    <definedName name="Y_P">Parameters!$D$57</definedName>
    <definedName name="Y_PHB">Parameters!$D$60</definedName>
    <definedName name="Z_A">Components!$E$5</definedName>
    <definedName name="Z_E">Components!$E$7</definedName>
    <definedName name="Z_H">Components!$E$4</definedName>
    <definedName name="Z_P">Components!$E$6</definedName>
    <definedName name="Δ_atm">systemcode_constants!$D$69</definedName>
    <definedName name="η_gro">Parameters!$D$16</definedName>
    <definedName name="η_H2O">systemcode_constants!$D$48</definedName>
    <definedName name="η_p">Parameters!$D$31</definedName>
    <definedName name="η_S_ANA">Parameters!$D$10</definedName>
    <definedName name="η_S_ANOX">Parameters!$D$9</definedName>
    <definedName name="κ__">systemcode_constants!$D$76</definedName>
    <definedName name="λ_H">systemcode_constants!$D$350</definedName>
    <definedName name="μ_A">Parameters!$D$42</definedName>
    <definedName name="μ_H">Parameters!$D$15</definedName>
    <definedName name="ρ_air">systemcode_constants!$D$56</definedName>
    <definedName name="ρ_H2O">systemcode_constants!$D$47</definedName>
    <definedName name="σ_H2O">systemcode_constants!$D$46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8" i="5" l="1"/>
  <c r="E47" i="5"/>
  <c r="AA83" i="1" s="1"/>
  <c r="E46" i="5"/>
  <c r="AA54" i="1" s="1"/>
  <c r="E45" i="5"/>
  <c r="AA81" i="1" s="1"/>
  <c r="E44" i="5"/>
  <c r="E43" i="5"/>
  <c r="E42" i="5"/>
  <c r="E41" i="5"/>
  <c r="E40" i="5"/>
  <c r="AA66" i="1" s="1"/>
  <c r="E39" i="5"/>
  <c r="E38" i="5"/>
  <c r="E37" i="5"/>
  <c r="E36" i="5"/>
  <c r="E35" i="5"/>
  <c r="E34" i="5"/>
  <c r="E33" i="5"/>
  <c r="E32" i="5"/>
  <c r="AA58" i="1" s="1"/>
  <c r="E31" i="5"/>
  <c r="E30" i="5"/>
  <c r="E29" i="5"/>
  <c r="AA52" i="1" s="1"/>
  <c r="E28" i="5"/>
  <c r="E18" i="5"/>
  <c r="E17" i="5"/>
  <c r="E16" i="5"/>
  <c r="E15" i="5"/>
  <c r="E14" i="5"/>
  <c r="E13" i="5"/>
  <c r="E12" i="5"/>
  <c r="E11" i="5"/>
  <c r="E10" i="5"/>
  <c r="E9" i="5"/>
  <c r="E8" i="5"/>
  <c r="E7" i="5"/>
  <c r="E6" i="5"/>
  <c r="E5" i="5"/>
  <c r="E4" i="5"/>
  <c r="AE86" i="1"/>
  <c r="AD86" i="1"/>
  <c r="AC86" i="1"/>
  <c r="AE85" i="1"/>
  <c r="AD85" i="1"/>
  <c r="AC85" i="1"/>
  <c r="AE84" i="1"/>
  <c r="AD84" i="1"/>
  <c r="AC84" i="1"/>
  <c r="AE83" i="1"/>
  <c r="AD83" i="1"/>
  <c r="AC83" i="1"/>
  <c r="AE82" i="1"/>
  <c r="AD82" i="1"/>
  <c r="AC82" i="1"/>
  <c r="AE81" i="1"/>
  <c r="AD81" i="1"/>
  <c r="AC81" i="1"/>
  <c r="AE80" i="1"/>
  <c r="AD80" i="1"/>
  <c r="AC80" i="1"/>
  <c r="AE79" i="1"/>
  <c r="AD79" i="1"/>
  <c r="AC79" i="1"/>
  <c r="AE78" i="1"/>
  <c r="AD78" i="1"/>
  <c r="AC78" i="1"/>
  <c r="AE77" i="1"/>
  <c r="AD77" i="1"/>
  <c r="AC77" i="1"/>
  <c r="AE76" i="1"/>
  <c r="AD76" i="1"/>
  <c r="AC76" i="1"/>
  <c r="AE75" i="1"/>
  <c r="AD75" i="1"/>
  <c r="AC75" i="1"/>
  <c r="AE74" i="1"/>
  <c r="AD74" i="1"/>
  <c r="AC74" i="1"/>
  <c r="AE73" i="1"/>
  <c r="AD73" i="1"/>
  <c r="AC73" i="1"/>
  <c r="AE72" i="1"/>
  <c r="AD72" i="1"/>
  <c r="AC72" i="1"/>
  <c r="AE71" i="1"/>
  <c r="AD71" i="1"/>
  <c r="AC71" i="1"/>
  <c r="AE70" i="1"/>
  <c r="AD70" i="1"/>
  <c r="AC70" i="1"/>
  <c r="AE69" i="1"/>
  <c r="AD69" i="1"/>
  <c r="AC69" i="1"/>
  <c r="AE68" i="1"/>
  <c r="AD68" i="1"/>
  <c r="AC68" i="1"/>
  <c r="AE67" i="1"/>
  <c r="AD67" i="1"/>
  <c r="AC67" i="1"/>
  <c r="AE66" i="1"/>
  <c r="AD66" i="1"/>
  <c r="AC66" i="1"/>
  <c r="AE65" i="1"/>
  <c r="AD65" i="1"/>
  <c r="AC65" i="1"/>
  <c r="AE64" i="1"/>
  <c r="AD64" i="1"/>
  <c r="AC64" i="1"/>
  <c r="AE63" i="1"/>
  <c r="AD63" i="1"/>
  <c r="AC63" i="1"/>
  <c r="AE62" i="1"/>
  <c r="AD62" i="1"/>
  <c r="AC62" i="1"/>
  <c r="AE61" i="1"/>
  <c r="AD61" i="1"/>
  <c r="AC61" i="1"/>
  <c r="AE60" i="1"/>
  <c r="AD60" i="1"/>
  <c r="AC60" i="1"/>
  <c r="AE59" i="1"/>
  <c r="AD59" i="1"/>
  <c r="AC59" i="1"/>
  <c r="AE58" i="1"/>
  <c r="AD58" i="1"/>
  <c r="AC58" i="1"/>
  <c r="AE57" i="1"/>
  <c r="AD57" i="1"/>
  <c r="AC57" i="1"/>
  <c r="AE56" i="1"/>
  <c r="AD56" i="1"/>
  <c r="AC56" i="1"/>
  <c r="AE55" i="1"/>
  <c r="AD55" i="1"/>
  <c r="AC55" i="1"/>
  <c r="AE54" i="1"/>
  <c r="AD54" i="1"/>
  <c r="AC54" i="1"/>
  <c r="AE53" i="1"/>
  <c r="AD53" i="1"/>
  <c r="AC53" i="1"/>
  <c r="AE52" i="1"/>
  <c r="AD52" i="1"/>
  <c r="AC52" i="1"/>
  <c r="AE51" i="1"/>
  <c r="AD51" i="1"/>
  <c r="AC51" i="1"/>
  <c r="H92" i="1"/>
  <c r="G92" i="1"/>
  <c r="F92" i="1"/>
  <c r="E92" i="1"/>
  <c r="H91" i="1"/>
  <c r="G91" i="1"/>
  <c r="F91" i="1"/>
  <c r="E91" i="1"/>
  <c r="Y90" i="1"/>
  <c r="X90" i="1"/>
  <c r="T90" i="1"/>
  <c r="AA84" i="1"/>
  <c r="AA82" i="1"/>
  <c r="AA79" i="1"/>
  <c r="AA78" i="1"/>
  <c r="AA75" i="1"/>
  <c r="AA74" i="1"/>
  <c r="AA71" i="1"/>
  <c r="AA67" i="1"/>
  <c r="AA64" i="1"/>
  <c r="AA63" i="1"/>
  <c r="AA62" i="1"/>
  <c r="AA59" i="1"/>
  <c r="AA56" i="1"/>
  <c r="AA51"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AA61" i="1" l="1"/>
  <c r="AA77" i="1"/>
  <c r="AA65" i="1"/>
  <c r="AA80" i="1"/>
  <c r="AA86" i="1"/>
  <c r="AA69" i="1"/>
  <c r="AA85" i="1"/>
  <c r="AA70" i="1"/>
  <c r="AA72" i="1"/>
  <c r="AA55" i="1"/>
  <c r="AA57" i="1"/>
  <c r="AA73" i="1"/>
  <c r="AA60" i="1"/>
  <c r="AA68" i="1"/>
  <c r="AA76" i="1"/>
  <c r="AA53" i="1"/>
  <c r="L422" i="23"/>
  <c r="L421" i="23"/>
  <c r="L420" i="23"/>
  <c r="L419" i="23"/>
  <c r="L418" i="23"/>
  <c r="L417" i="23"/>
  <c r="L416" i="23"/>
  <c r="L415" i="23"/>
  <c r="L414" i="23"/>
  <c r="L413" i="23"/>
  <c r="L412" i="23"/>
  <c r="L411" i="23"/>
  <c r="L410" i="23"/>
  <c r="D333" i="23"/>
  <c r="D332" i="23"/>
  <c r="D331" i="23"/>
  <c r="D330" i="23"/>
  <c r="D329" i="23"/>
  <c r="D328" i="23"/>
  <c r="D327" i="23"/>
  <c r="D326" i="23"/>
  <c r="D325" i="23"/>
  <c r="D324" i="23"/>
  <c r="D323" i="23"/>
  <c r="D322" i="23"/>
  <c r="D321" i="23"/>
  <c r="D320" i="23"/>
  <c r="D316" i="23"/>
  <c r="D314" i="23"/>
  <c r="D310" i="23"/>
  <c r="D306" i="23"/>
  <c r="D305" i="23"/>
  <c r="D304" i="23"/>
  <c r="D303" i="23"/>
  <c r="D302" i="23"/>
  <c r="D301" i="23"/>
  <c r="D300" i="23"/>
  <c r="D299" i="23"/>
  <c r="D298" i="23"/>
  <c r="D297" i="23"/>
  <c r="D296" i="23"/>
  <c r="D295" i="23"/>
  <c r="D294" i="23"/>
  <c r="D293" i="23"/>
  <c r="D289" i="23"/>
  <c r="D288" i="23"/>
  <c r="D286" i="23"/>
  <c r="D284" i="23"/>
  <c r="D283" i="23"/>
  <c r="D282" i="23"/>
  <c r="D281" i="23"/>
  <c r="D277" i="23"/>
  <c r="D276" i="23"/>
  <c r="D275" i="23"/>
  <c r="D274" i="23"/>
  <c r="D273" i="23"/>
  <c r="D272" i="23"/>
  <c r="D271" i="23"/>
  <c r="D270" i="23"/>
  <c r="D269" i="23"/>
  <c r="D268" i="23"/>
  <c r="D267" i="23"/>
  <c r="D266" i="23"/>
  <c r="D265" i="23"/>
  <c r="D264" i="23"/>
  <c r="D263" i="23"/>
  <c r="D262" i="23"/>
  <c r="D261" i="23"/>
  <c r="D260" i="23"/>
  <c r="D259" i="23"/>
  <c r="D258" i="23"/>
  <c r="D257" i="23"/>
  <c r="D255" i="23"/>
  <c r="D254" i="23"/>
  <c r="D253" i="23"/>
  <c r="D251" i="23"/>
  <c r="D248" i="23"/>
  <c r="D247" i="23"/>
  <c r="D246" i="23"/>
  <c r="D245" i="23"/>
  <c r="D244" i="23"/>
  <c r="D221" i="23" s="1"/>
  <c r="D243" i="23"/>
  <c r="D242" i="23"/>
  <c r="D241" i="23"/>
  <c r="D256" i="23" s="1"/>
  <c r="D240" i="23"/>
  <c r="D239" i="23"/>
  <c r="D238" i="23"/>
  <c r="D237" i="23"/>
  <c r="D236" i="23"/>
  <c r="D235" i="23"/>
  <c r="D234" i="23"/>
  <c r="D233" i="23"/>
  <c r="D232" i="23"/>
  <c r="D231" i="23"/>
  <c r="D230" i="23"/>
  <c r="D229" i="23"/>
  <c r="D228" i="23"/>
  <c r="D227" i="23"/>
  <c r="D226" i="23"/>
  <c r="D225" i="23"/>
  <c r="D250" i="23" s="1"/>
  <c r="D220" i="23"/>
  <c r="D219" i="23"/>
  <c r="D218" i="23"/>
  <c r="D217" i="23"/>
  <c r="D216" i="23"/>
  <c r="D215" i="23"/>
  <c r="D214" i="23"/>
  <c r="D213" i="23"/>
  <c r="D75" i="23"/>
  <c r="D48" i="23"/>
  <c r="D33" i="23"/>
  <c r="E23" i="5" l="1"/>
  <c r="E22" i="5"/>
  <c r="E24" i="5"/>
  <c r="D249" i="23"/>
  <c r="D252" i="23"/>
</calcChain>
</file>

<file path=xl/comments1.xml><?xml version="1.0" encoding="utf-8"?>
<comments xmlns="http://schemas.openxmlformats.org/spreadsheetml/2006/main">
  <authors>
    <author>Szerző</author>
  </authors>
  <commentList>
    <comment ref="D41" authorId="0" shapeId="0">
      <text>
        <r>
          <rPr>
            <sz val="9"/>
            <color indexed="81"/>
            <rFont val="Tahoma"/>
            <family val="2"/>
          </rPr>
          <t>COD, N, P, O, H, Charge, etc)</t>
        </r>
      </text>
    </comment>
    <comment ref="D89" authorId="0" shapeId="0">
      <text>
        <r>
          <rPr>
            <sz val="9"/>
            <color indexed="81"/>
            <rFont val="Tahoma"/>
            <family val="2"/>
          </rPr>
          <t>COD, N, P, O, H, Charge, etc)</t>
        </r>
      </text>
    </comment>
  </commentList>
</comments>
</file>

<file path=xl/sharedStrings.xml><?xml version="1.0" encoding="utf-8"?>
<sst xmlns="http://schemas.openxmlformats.org/spreadsheetml/2006/main" count="3385" uniqueCount="1847">
  <si>
    <t>Symbol</t>
  </si>
  <si>
    <t>Name</t>
  </si>
  <si>
    <t>Unit</t>
  </si>
  <si>
    <t>Handling</t>
  </si>
  <si>
    <t>Expression</t>
  </si>
  <si>
    <t>Elemental composition</t>
  </si>
  <si>
    <t>Chemical formula</t>
  </si>
  <si>
    <t>Equilibrium species</t>
  </si>
  <si>
    <t>Charge</t>
  </si>
  <si>
    <t>Reaction</t>
  </si>
  <si>
    <t>The elemental composition matrix should have as many columns as the kinetic matrix (minus Rate and Reaction)</t>
  </si>
  <si>
    <t>Influent</t>
  </si>
  <si>
    <t>Initial concentration</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</si>
  <si>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</si>
  <si>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</si>
  <si>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</si>
  <si>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</si>
  <si>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</si>
  <si>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</si>
  <si>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</si>
  <si>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</si>
  <si>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</si>
  <si>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</si>
  <si>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</si>
  <si>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</si>
  <si>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</si>
  <si>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</si>
  <si>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</si>
  <si>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</si>
  <si>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</si>
  <si>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</si>
  <si>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</si>
  <si>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</si>
  <si>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</si>
  <si>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</si>
  <si>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</si>
  <si>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</si>
  <si>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</si>
  <si>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</si>
  <si>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</si>
  <si>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</si>
  <si>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</si>
  <si>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</si>
  <si>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</si>
  <si>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</si>
  <si>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</si>
  <si>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</si>
  <si>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</si>
  <si>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</si>
  <si>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</si>
  <si>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</si>
  <si>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</si>
  <si>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</si>
  <si>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</si>
  <si>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</si>
  <si>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</si>
  <si>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</si>
  <si>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</si>
  <si>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</si>
  <si>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</si>
  <si>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</si>
  <si>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</si>
  <si>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</si>
  <si>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</si>
  <si>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</si>
  <si>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</si>
  <si>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</si>
  <si>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</si>
  <si>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</si>
  <si>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</si>
  <si>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</si>
  <si>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</si>
  <si>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</si>
  <si>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</si>
  <si>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</si>
  <si>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</si>
  <si>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</si>
  <si>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</si>
  <si>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</si>
  <si>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</si>
  <si>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</si>
  <si>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</si>
  <si>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</si>
  <si>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</si>
  <si>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</si>
  <si>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</si>
  <si>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</si>
  <si>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</si>
  <si>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</si>
  <si>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</si>
  <si>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</si>
  <si>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</si>
  <si>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</si>
  <si>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</si>
  <si>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</si>
  <si>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</si>
  <si>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</si>
  <si>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</si>
  <si>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</si>
  <si>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</si>
  <si>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</si>
  <si>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</si>
  <si>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</si>
  <si>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</si>
  <si>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</si>
  <si>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</si>
  <si>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</si>
  <si>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</si>
  <si>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</si>
  <si>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</si>
  <si>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</si>
  <si>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</si>
  <si>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</si>
  <si>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</si>
  <si>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</si>
  <si>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</si>
  <si>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</si>
  <si>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</si>
  <si>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</si>
  <si>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</si>
  <si>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</si>
  <si>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</si>
  <si>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</si>
  <si>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</si>
  <si>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</si>
  <si>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</si>
  <si>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</si>
  <si>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</si>
  <si>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</si>
  <si>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</si>
  <si>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</si>
  <si>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</si>
  <si>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</si>
  <si>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</si>
  <si>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</si>
  <si>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</si>
  <si>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</si>
  <si>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</si>
  <si>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</si>
  <si>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</si>
  <si>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</si>
  <si>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</si>
  <si>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</si>
  <si>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</si>
  <si>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</si>
  <si>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</si>
  <si>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</si>
  <si>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</si>
  <si>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</si>
  <si>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</si>
  <si>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</si>
  <si>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</si>
  <si>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</si>
  <si>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</si>
  <si>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</si>
  <si>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</si>
  <si>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</si>
  <si>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</si>
  <si>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</si>
  <si>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</si>
  <si>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</si>
  <si>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</si>
  <si>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</si>
  <si>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</si>
  <si>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</si>
  <si>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</si>
  <si>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</si>
  <si>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</si>
  <si>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</si>
  <si>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</si>
  <si>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</si>
  <si>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</si>
  <si>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</si>
  <si>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</si>
  <si>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</si>
  <si>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</si>
  <si>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</si>
  <si>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</si>
  <si>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</si>
  <si>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</si>
  <si>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</si>
  <si>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</si>
  <si>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</si>
  <si>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</si>
  <si>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</si>
  <si>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</si>
  <si>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</si>
  <si>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</si>
  <si>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</si>
  <si>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</si>
  <si>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</si>
  <si>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</si>
  <si>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</si>
  <si>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</si>
  <si>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</si>
  <si>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</si>
  <si>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</si>
  <si>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</si>
  <si>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</si>
  <si>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</si>
  <si>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</si>
  <si>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</si>
  <si>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</si>
  <si>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</si>
  <si>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</si>
  <si>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</si>
  <si>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</si>
  <si>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</si>
  <si>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</si>
  <si>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</si>
  <si>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</si>
  <si>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</si>
  <si>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Maximum specific hydrolysis rate</t>
  </si>
  <si>
    <t>Correction factor for hydrolysis under anoxic conditions</t>
  </si>
  <si>
    <t>-</t>
  </si>
  <si>
    <t>Correction factor for hydrolysis under anaerobic conditions</t>
  </si>
  <si>
    <t>Rate of fermentation</t>
  </si>
  <si>
    <t>Rate of ammonification</t>
  </si>
  <si>
    <r>
      <t>E</t>
    </r>
    <r>
      <rPr>
        <vertAlign val="subscript"/>
        <sz val="12"/>
        <rFont val="Arial"/>
        <family val="2"/>
      </rPr>
      <t>ANOX</t>
    </r>
  </si>
  <si>
    <t>Hydrolysis efficiency factor (anoxic)</t>
  </si>
  <si>
    <r>
      <t>E</t>
    </r>
    <r>
      <rPr>
        <vertAlign val="subscript"/>
        <sz val="12"/>
        <rFont val="Arial"/>
        <family val="2"/>
      </rPr>
      <t>ANA</t>
    </r>
  </si>
  <si>
    <t>Hydrolysis efficiency factor (anaerobic)</t>
  </si>
  <si>
    <r>
      <t>Y</t>
    </r>
    <r>
      <rPr>
        <vertAlign val="subscript"/>
        <sz val="12"/>
        <rFont val="Arial"/>
        <family val="2"/>
      </rPr>
      <t>H,ANA</t>
    </r>
  </si>
  <si>
    <r>
      <t>f</t>
    </r>
    <r>
      <rPr>
        <vertAlign val="subscript"/>
        <sz val="12"/>
        <rFont val="Arial"/>
        <family val="2"/>
      </rPr>
      <t>EP,H</t>
    </r>
  </si>
  <si>
    <t>Yield for fermentation</t>
  </si>
  <si>
    <r>
      <t>Y</t>
    </r>
    <r>
      <rPr>
        <vertAlign val="subscript"/>
        <sz val="12"/>
        <rFont val="Arial"/>
        <family val="2"/>
      </rPr>
      <t>PHB</t>
    </r>
  </si>
  <si>
    <r>
      <t>f</t>
    </r>
    <r>
      <rPr>
        <vertAlign val="subscript"/>
        <sz val="12"/>
        <rFont val="Arial"/>
        <family val="2"/>
      </rPr>
      <t>P,REL</t>
    </r>
  </si>
  <si>
    <r>
      <t>f</t>
    </r>
    <r>
      <rPr>
        <vertAlign val="subscript"/>
        <sz val="12"/>
        <rFont val="Arial"/>
        <family val="2"/>
      </rPr>
      <t>EP,P</t>
    </r>
  </si>
  <si>
    <r>
      <t>f</t>
    </r>
    <r>
      <rPr>
        <vertAlign val="subscript"/>
        <sz val="12"/>
        <rFont val="Arial"/>
        <family val="2"/>
      </rPr>
      <t>ES,P</t>
    </r>
  </si>
  <si>
    <r>
      <t>f</t>
    </r>
    <r>
      <rPr>
        <vertAlign val="subscript"/>
        <sz val="12"/>
        <rFont val="Arial"/>
        <family val="2"/>
      </rPr>
      <t>EP,A</t>
    </r>
  </si>
  <si>
    <r>
      <t>f</t>
    </r>
    <r>
      <rPr>
        <vertAlign val="subscript"/>
        <sz val="12"/>
        <rFont val="Arial"/>
        <family val="2"/>
      </rPr>
      <t>N,ZH</t>
    </r>
  </si>
  <si>
    <r>
      <t>f</t>
    </r>
    <r>
      <rPr>
        <vertAlign val="subscript"/>
        <sz val="12"/>
        <rFont val="Arial"/>
        <family val="2"/>
      </rPr>
      <t>N,ZEH</t>
    </r>
  </si>
  <si>
    <r>
      <t>f</t>
    </r>
    <r>
      <rPr>
        <vertAlign val="subscript"/>
        <sz val="12"/>
        <rFont val="Arial"/>
        <family val="2"/>
      </rPr>
      <t>N,ZP</t>
    </r>
  </si>
  <si>
    <r>
      <t>f</t>
    </r>
    <r>
      <rPr>
        <vertAlign val="subscript"/>
        <sz val="12"/>
        <rFont val="Arial"/>
        <family val="2"/>
      </rPr>
      <t>N,ZA</t>
    </r>
  </si>
  <si>
    <r>
      <t>f</t>
    </r>
    <r>
      <rPr>
        <vertAlign val="subscript"/>
        <sz val="12"/>
        <rFont val="Arial"/>
        <family val="2"/>
      </rPr>
      <t>P,ZH</t>
    </r>
  </si>
  <si>
    <r>
      <t>f</t>
    </r>
    <r>
      <rPr>
        <vertAlign val="subscript"/>
        <sz val="12"/>
        <rFont val="Arial"/>
        <family val="2"/>
      </rPr>
      <t>P,ZEH</t>
    </r>
  </si>
  <si>
    <r>
      <t>f</t>
    </r>
    <r>
      <rPr>
        <vertAlign val="subscript"/>
        <sz val="12"/>
        <rFont val="Arial"/>
        <family val="2"/>
      </rPr>
      <t>P,ZP</t>
    </r>
  </si>
  <si>
    <r>
      <t>f</t>
    </r>
    <r>
      <rPr>
        <vertAlign val="subscript"/>
        <sz val="12"/>
        <rFont val="Arial"/>
        <family val="2"/>
      </rPr>
      <t>P,ZA</t>
    </r>
  </si>
  <si>
    <r>
      <t>i</t>
    </r>
    <r>
      <rPr>
        <vertAlign val="subscript"/>
        <sz val="12"/>
        <rFont val="Arial"/>
        <family val="2"/>
      </rPr>
      <t>COD_NO3</t>
    </r>
  </si>
  <si>
    <r>
      <t>i</t>
    </r>
    <r>
      <rPr>
        <vertAlign val="subscript"/>
        <sz val="12"/>
        <rFont val="Arial"/>
        <family val="2"/>
      </rPr>
      <t>COD_N2</t>
    </r>
  </si>
  <si>
    <r>
      <t>i</t>
    </r>
    <r>
      <rPr>
        <vertAlign val="subscript"/>
        <sz val="12"/>
        <rFont val="Arial"/>
        <family val="2"/>
      </rPr>
      <t>COD_H2</t>
    </r>
  </si>
  <si>
    <r>
      <t>Z</t>
    </r>
    <r>
      <rPr>
        <b/>
        <vertAlign val="subscript"/>
        <sz val="12"/>
        <rFont val="Arial"/>
        <family val="2"/>
      </rPr>
      <t>H</t>
    </r>
  </si>
  <si>
    <r>
      <t>Z</t>
    </r>
    <r>
      <rPr>
        <b/>
        <vertAlign val="subscript"/>
        <sz val="12"/>
        <rFont val="Arial"/>
        <family val="2"/>
      </rPr>
      <t>A</t>
    </r>
  </si>
  <si>
    <r>
      <t>Z</t>
    </r>
    <r>
      <rPr>
        <b/>
        <vertAlign val="subscript"/>
        <sz val="12"/>
        <rFont val="Arial"/>
        <family val="2"/>
      </rPr>
      <t>P</t>
    </r>
  </si>
  <si>
    <r>
      <t>Z</t>
    </r>
    <r>
      <rPr>
        <b/>
        <vertAlign val="subscript"/>
        <sz val="12"/>
        <rFont val="Arial"/>
        <family val="2"/>
      </rPr>
      <t>E</t>
    </r>
  </si>
  <si>
    <r>
      <t>S</t>
    </r>
    <r>
      <rPr>
        <b/>
        <vertAlign val="subscript"/>
        <sz val="12"/>
        <rFont val="Arial"/>
        <family val="2"/>
      </rPr>
      <t>ENM</t>
    </r>
  </si>
  <si>
    <r>
      <t>S</t>
    </r>
    <r>
      <rPr>
        <b/>
        <vertAlign val="subscript"/>
        <sz val="12"/>
        <rFont val="Arial"/>
        <family val="2"/>
      </rPr>
      <t>BSC</t>
    </r>
  </si>
  <si>
    <r>
      <t>S</t>
    </r>
    <r>
      <rPr>
        <b/>
        <vertAlign val="subscript"/>
        <sz val="12"/>
        <rFont val="Arial"/>
        <family val="2"/>
      </rPr>
      <t>BSA</t>
    </r>
  </si>
  <si>
    <r>
      <t>S</t>
    </r>
    <r>
      <rPr>
        <b/>
        <vertAlign val="subscript"/>
        <sz val="12"/>
        <rFont val="Arial"/>
        <family val="2"/>
      </rPr>
      <t>PHB</t>
    </r>
  </si>
  <si>
    <r>
      <t>S</t>
    </r>
    <r>
      <rPr>
        <b/>
        <vertAlign val="subscript"/>
        <sz val="12"/>
        <rFont val="Arial"/>
        <family val="2"/>
      </rPr>
      <t>UP</t>
    </r>
  </si>
  <si>
    <r>
      <t>S</t>
    </r>
    <r>
      <rPr>
        <b/>
        <vertAlign val="subscript"/>
        <sz val="12"/>
        <rFont val="Arial"/>
        <family val="2"/>
      </rPr>
      <t>US</t>
    </r>
  </si>
  <si>
    <r>
      <t>P</t>
    </r>
    <r>
      <rPr>
        <b/>
        <vertAlign val="subscript"/>
        <sz val="12"/>
        <rFont val="Arial"/>
        <family val="2"/>
      </rPr>
      <t>PP,LO</t>
    </r>
  </si>
  <si>
    <r>
      <t>P</t>
    </r>
    <r>
      <rPr>
        <b/>
        <vertAlign val="subscript"/>
        <sz val="12"/>
        <rFont val="Arial"/>
        <family val="2"/>
      </rPr>
      <t>PP,HI</t>
    </r>
  </si>
  <si>
    <r>
      <t>P</t>
    </r>
    <r>
      <rPr>
        <b/>
        <vertAlign val="subscript"/>
        <sz val="12"/>
        <rFont val="Arial"/>
        <family val="2"/>
      </rPr>
      <t>O4</t>
    </r>
  </si>
  <si>
    <r>
      <t>N</t>
    </r>
    <r>
      <rPr>
        <b/>
        <vertAlign val="subscript"/>
        <sz val="12"/>
        <rFont val="Arial"/>
        <family val="2"/>
      </rPr>
      <t>BP</t>
    </r>
  </si>
  <si>
    <r>
      <t>N</t>
    </r>
    <r>
      <rPr>
        <b/>
        <vertAlign val="subscript"/>
        <sz val="12"/>
        <rFont val="Arial"/>
        <family val="2"/>
      </rPr>
      <t>BS</t>
    </r>
  </si>
  <si>
    <r>
      <t>N</t>
    </r>
    <r>
      <rPr>
        <b/>
        <vertAlign val="subscript"/>
        <sz val="12"/>
        <rFont val="Arial"/>
        <family val="2"/>
      </rPr>
      <t>O3</t>
    </r>
  </si>
  <si>
    <r>
      <t>N</t>
    </r>
    <r>
      <rPr>
        <b/>
        <vertAlign val="subscript"/>
        <sz val="12"/>
        <rFont val="Arial"/>
        <family val="2"/>
      </rPr>
      <t>H3</t>
    </r>
  </si>
  <si>
    <r>
      <t>N</t>
    </r>
    <r>
      <rPr>
        <b/>
        <vertAlign val="subscript"/>
        <sz val="12"/>
        <rFont val="Arial"/>
        <family val="2"/>
      </rPr>
      <t>US</t>
    </r>
  </si>
  <si>
    <r>
      <t>S</t>
    </r>
    <r>
      <rPr>
        <b/>
        <vertAlign val="subscript"/>
        <sz val="12"/>
        <rFont val="Arial"/>
        <family val="2"/>
      </rPr>
      <t>N2</t>
    </r>
  </si>
  <si>
    <r>
      <t>S</t>
    </r>
    <r>
      <rPr>
        <b/>
        <vertAlign val="subscript"/>
        <sz val="12"/>
        <rFont val="Arial"/>
        <family val="2"/>
      </rPr>
      <t>H2</t>
    </r>
  </si>
  <si>
    <r>
      <t>X</t>
    </r>
    <r>
      <rPr>
        <i/>
        <vertAlign val="subscript"/>
        <sz val="12"/>
        <rFont val="Arial"/>
        <family val="2"/>
      </rPr>
      <t>INORG</t>
    </r>
  </si>
  <si>
    <t>r1</t>
  </si>
  <si>
    <r>
      <t>Aerobic growth of Z</t>
    </r>
    <r>
      <rPr>
        <b/>
        <vertAlign val="subscript"/>
        <sz val="10"/>
        <rFont val="Arial"/>
        <family val="2"/>
      </rPr>
      <t>H</t>
    </r>
    <r>
      <rPr>
        <b/>
        <sz val="10"/>
        <rFont val="Arial"/>
        <family val="2"/>
      </rPr>
      <t xml:space="preserve"> on S</t>
    </r>
    <r>
      <rPr>
        <b/>
        <vertAlign val="subscript"/>
        <sz val="10"/>
        <rFont val="Arial"/>
        <family val="2"/>
      </rPr>
      <t>BSC</t>
    </r>
    <r>
      <rPr>
        <b/>
        <sz val="10"/>
        <rFont val="Arial"/>
        <family val="2"/>
      </rPr>
      <t xml:space="preserve"> with N</t>
    </r>
    <r>
      <rPr>
        <b/>
        <vertAlign val="subscript"/>
        <sz val="10"/>
        <rFont val="Arial"/>
        <family val="2"/>
      </rPr>
      <t>H3</t>
    </r>
  </si>
  <si>
    <r>
      <t>-1/</t>
    </r>
    <r>
      <rPr>
        <i/>
        <sz val="12"/>
        <rFont val="Arial"/>
        <family val="2"/>
      </rPr>
      <t>Y</t>
    </r>
    <r>
      <rPr>
        <vertAlign val="subscript"/>
        <sz val="12"/>
        <rFont val="Arial"/>
        <family val="2"/>
      </rPr>
      <t>H,AER</t>
    </r>
  </si>
  <si>
    <r>
      <t>-</t>
    </r>
    <r>
      <rPr>
        <i/>
        <sz val="12"/>
        <rFont val="Arial"/>
        <family val="2"/>
      </rPr>
      <t>f</t>
    </r>
    <r>
      <rPr>
        <vertAlign val="subscript"/>
        <sz val="12"/>
        <rFont val="Arial"/>
        <family val="2"/>
      </rPr>
      <t>P,ZH</t>
    </r>
  </si>
  <si>
    <r>
      <t>-</t>
    </r>
    <r>
      <rPr>
        <i/>
        <sz val="12"/>
        <rFont val="Arial"/>
        <family val="2"/>
      </rPr>
      <t>f</t>
    </r>
    <r>
      <rPr>
        <vertAlign val="subscript"/>
        <sz val="12"/>
        <rFont val="Arial"/>
        <family val="2"/>
      </rPr>
      <t>N,ZH</t>
    </r>
  </si>
  <si>
    <r>
      <t>-(1-</t>
    </r>
    <r>
      <rPr>
        <i/>
        <sz val="12"/>
        <rFont val="Arial"/>
        <family val="2"/>
      </rPr>
      <t>Y</t>
    </r>
    <r>
      <rPr>
        <vertAlign val="subscript"/>
        <sz val="12"/>
        <rFont val="Arial"/>
        <family val="2"/>
      </rPr>
      <t>H,AER</t>
    </r>
    <r>
      <rPr>
        <sz val="12"/>
        <rFont val="Arial"/>
        <family val="2"/>
      </rPr>
      <t>)</t>
    </r>
    <r>
      <rPr>
        <i/>
        <sz val="12"/>
        <rFont val="Arial"/>
        <family val="2"/>
      </rPr>
      <t>/Y</t>
    </r>
    <r>
      <rPr>
        <vertAlign val="subscript"/>
        <sz val="12"/>
        <rFont val="Arial"/>
        <family val="2"/>
      </rPr>
      <t>H,AER</t>
    </r>
  </si>
  <si>
    <t>r2</t>
  </si>
  <si>
    <r>
      <t>Anoxic growth of Z</t>
    </r>
    <r>
      <rPr>
        <b/>
        <vertAlign val="subscript"/>
        <sz val="10"/>
        <rFont val="Arial"/>
        <family val="2"/>
      </rPr>
      <t>H</t>
    </r>
    <r>
      <rPr>
        <b/>
        <sz val="10"/>
        <rFont val="Arial"/>
        <family val="2"/>
      </rPr>
      <t xml:space="preserve"> on S</t>
    </r>
    <r>
      <rPr>
        <b/>
        <vertAlign val="subscript"/>
        <sz val="10"/>
        <rFont val="Arial"/>
        <family val="2"/>
      </rPr>
      <t>BSC</t>
    </r>
    <r>
      <rPr>
        <b/>
        <sz val="10"/>
        <rFont val="Arial"/>
        <family val="2"/>
      </rPr>
      <t xml:space="preserve"> with N</t>
    </r>
    <r>
      <rPr>
        <b/>
        <vertAlign val="subscript"/>
        <sz val="10"/>
        <rFont val="Arial"/>
        <family val="2"/>
      </rPr>
      <t>H3</t>
    </r>
  </si>
  <si>
    <r>
      <t>-1/</t>
    </r>
    <r>
      <rPr>
        <i/>
        <sz val="12"/>
        <rFont val="Arial"/>
        <family val="2"/>
      </rPr>
      <t>Y</t>
    </r>
    <r>
      <rPr>
        <vertAlign val="subscript"/>
        <sz val="12"/>
        <rFont val="Arial"/>
        <family val="2"/>
      </rPr>
      <t>H,ANOX</t>
    </r>
  </si>
  <si>
    <r>
      <t>-(1-</t>
    </r>
    <r>
      <rPr>
        <i/>
        <sz val="12"/>
        <rFont val="Arial"/>
        <family val="2"/>
      </rPr>
      <t>Y</t>
    </r>
    <r>
      <rPr>
        <vertAlign val="subscript"/>
        <sz val="12"/>
        <rFont val="Arial"/>
        <family val="2"/>
      </rPr>
      <t>H,ANOX</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H,ANOX</t>
    </r>
    <r>
      <rPr>
        <sz val="12"/>
        <rFont val="Arial"/>
        <family val="2"/>
      </rPr>
      <t>)</t>
    </r>
  </si>
  <si>
    <r>
      <t>(1-</t>
    </r>
    <r>
      <rPr>
        <i/>
        <sz val="12"/>
        <rFont val="Arial"/>
        <family val="2"/>
      </rPr>
      <t>Y</t>
    </r>
    <r>
      <rPr>
        <vertAlign val="subscript"/>
        <sz val="12"/>
        <rFont val="Arial"/>
        <family val="2"/>
      </rPr>
      <t>H,ANOX</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H,ANOX</t>
    </r>
    <r>
      <rPr>
        <sz val="12"/>
        <rFont val="Arial"/>
        <family val="2"/>
      </rPr>
      <t>)</t>
    </r>
  </si>
  <si>
    <t>r3</t>
  </si>
  <si>
    <r>
      <t>Aerobic growth of Z</t>
    </r>
    <r>
      <rPr>
        <b/>
        <vertAlign val="subscript"/>
        <sz val="10"/>
        <rFont val="Arial"/>
        <family val="2"/>
      </rPr>
      <t>H</t>
    </r>
    <r>
      <rPr>
        <b/>
        <sz val="10"/>
        <rFont val="Arial"/>
        <family val="2"/>
      </rPr>
      <t xml:space="preserve"> on S</t>
    </r>
    <r>
      <rPr>
        <b/>
        <vertAlign val="subscript"/>
        <sz val="10"/>
        <rFont val="Arial"/>
        <family val="2"/>
      </rPr>
      <t>BSC</t>
    </r>
    <r>
      <rPr>
        <b/>
        <sz val="10"/>
        <rFont val="Arial"/>
        <family val="2"/>
      </rPr>
      <t xml:space="preserve"> with N</t>
    </r>
    <r>
      <rPr>
        <b/>
        <vertAlign val="subscript"/>
        <sz val="10"/>
        <rFont val="Arial"/>
        <family val="2"/>
      </rPr>
      <t>O3</t>
    </r>
  </si>
  <si>
    <t>1</t>
  </si>
  <si>
    <r>
      <t>-(1-</t>
    </r>
    <r>
      <rPr>
        <i/>
        <sz val="12"/>
        <rFont val="Arial"/>
        <family val="2"/>
      </rPr>
      <t>Y</t>
    </r>
    <r>
      <rPr>
        <vertAlign val="subscript"/>
        <sz val="12"/>
        <rFont val="Arial"/>
        <family val="2"/>
      </rPr>
      <t>H,AER</t>
    </r>
    <r>
      <rPr>
        <sz val="12"/>
        <rFont val="Arial"/>
        <family val="2"/>
      </rPr>
      <t>)/</t>
    </r>
    <r>
      <rPr>
        <i/>
        <sz val="12"/>
        <rFont val="Arial"/>
        <family val="2"/>
      </rPr>
      <t>Y</t>
    </r>
    <r>
      <rPr>
        <vertAlign val="subscript"/>
        <sz val="12"/>
        <rFont val="Arial"/>
        <family val="2"/>
      </rPr>
      <t>H,AER</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f</t>
    </r>
    <r>
      <rPr>
        <vertAlign val="subscript"/>
        <sz val="12"/>
        <rFont val="Arial"/>
        <family val="2"/>
      </rPr>
      <t>N,ZH</t>
    </r>
  </si>
  <si>
    <t>r4</t>
  </si>
  <si>
    <r>
      <t>Anoxic growth of Z</t>
    </r>
    <r>
      <rPr>
        <b/>
        <vertAlign val="subscript"/>
        <sz val="10"/>
        <rFont val="Arial"/>
        <family val="2"/>
      </rPr>
      <t>H</t>
    </r>
    <r>
      <rPr>
        <b/>
        <sz val="10"/>
        <rFont val="Arial"/>
        <family val="2"/>
      </rPr>
      <t xml:space="preserve"> on S</t>
    </r>
    <r>
      <rPr>
        <b/>
        <vertAlign val="subscript"/>
        <sz val="10"/>
        <rFont val="Arial"/>
        <family val="2"/>
      </rPr>
      <t>BSC</t>
    </r>
    <r>
      <rPr>
        <b/>
        <sz val="10"/>
        <rFont val="Arial"/>
        <family val="2"/>
      </rPr>
      <t xml:space="preserve"> with N</t>
    </r>
    <r>
      <rPr>
        <b/>
        <vertAlign val="subscript"/>
        <sz val="10"/>
        <rFont val="Arial"/>
        <family val="2"/>
      </rPr>
      <t>O3</t>
    </r>
  </si>
  <si>
    <r>
      <t>-1/</t>
    </r>
    <r>
      <rPr>
        <i/>
        <sz val="12"/>
        <rFont val="Arial"/>
        <family val="2"/>
      </rPr>
      <t>Y</t>
    </r>
    <r>
      <rPr>
        <vertAlign val="subscript"/>
        <sz val="12"/>
        <rFont val="Arial"/>
        <family val="2"/>
      </rPr>
      <t>H,ANOX</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f</t>
    </r>
    <r>
      <rPr>
        <vertAlign val="subscript"/>
        <sz val="12"/>
        <rFont val="Arial"/>
        <family val="2"/>
      </rPr>
      <t>N,ZH</t>
    </r>
  </si>
  <si>
    <r>
      <t>-</t>
    </r>
    <r>
      <rPr>
        <i/>
        <sz val="12"/>
        <rFont val="Arial"/>
        <family val="2"/>
      </rPr>
      <t>f</t>
    </r>
    <r>
      <rPr>
        <vertAlign val="subscript"/>
        <sz val="12"/>
        <rFont val="Arial"/>
        <family val="2"/>
      </rPr>
      <t>N,ZH</t>
    </r>
    <r>
      <rPr>
        <sz val="12"/>
        <rFont val="Arial"/>
        <family val="2"/>
      </rPr>
      <t>-(1-</t>
    </r>
    <r>
      <rPr>
        <i/>
        <sz val="12"/>
        <rFont val="Arial"/>
        <family val="2"/>
      </rPr>
      <t>Y</t>
    </r>
    <r>
      <rPr>
        <vertAlign val="subscript"/>
        <sz val="12"/>
        <rFont val="Arial"/>
        <family val="2"/>
      </rPr>
      <t>H,ANOX</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H,ANOX</t>
    </r>
    <r>
      <rPr>
        <sz val="12"/>
        <rFont val="Arial"/>
        <family val="2"/>
      </rPr>
      <t>)</t>
    </r>
  </si>
  <si>
    <t>r5</t>
  </si>
  <si>
    <r>
      <t>Aerobic growth of Z</t>
    </r>
    <r>
      <rPr>
        <b/>
        <vertAlign val="subscript"/>
        <sz val="10"/>
        <rFont val="Arial"/>
        <family val="2"/>
      </rPr>
      <t>H</t>
    </r>
    <r>
      <rPr>
        <b/>
        <sz val="10"/>
        <rFont val="Arial"/>
        <family val="2"/>
      </rPr>
      <t xml:space="preserve"> on S</t>
    </r>
    <r>
      <rPr>
        <b/>
        <vertAlign val="subscript"/>
        <sz val="10"/>
        <rFont val="Arial"/>
        <family val="2"/>
      </rPr>
      <t>BSA</t>
    </r>
    <r>
      <rPr>
        <b/>
        <sz val="10"/>
        <rFont val="Arial"/>
        <family val="2"/>
      </rPr>
      <t xml:space="preserve"> with N</t>
    </r>
    <r>
      <rPr>
        <b/>
        <vertAlign val="subscript"/>
        <sz val="10"/>
        <rFont val="Arial"/>
        <family val="2"/>
      </rPr>
      <t>H3</t>
    </r>
  </si>
  <si>
    <t>r6</t>
  </si>
  <si>
    <r>
      <t>Anoxic growth of Z</t>
    </r>
    <r>
      <rPr>
        <b/>
        <vertAlign val="subscript"/>
        <sz val="10"/>
        <rFont val="Arial"/>
        <family val="2"/>
      </rPr>
      <t>H</t>
    </r>
    <r>
      <rPr>
        <b/>
        <sz val="10"/>
        <rFont val="Arial"/>
        <family val="2"/>
      </rPr>
      <t xml:space="preserve"> on S</t>
    </r>
    <r>
      <rPr>
        <b/>
        <vertAlign val="subscript"/>
        <sz val="10"/>
        <rFont val="Arial"/>
        <family val="2"/>
      </rPr>
      <t>BSA</t>
    </r>
    <r>
      <rPr>
        <b/>
        <sz val="10"/>
        <rFont val="Arial"/>
        <family val="2"/>
      </rPr>
      <t xml:space="preserve"> with N</t>
    </r>
    <r>
      <rPr>
        <b/>
        <vertAlign val="subscript"/>
        <sz val="10"/>
        <rFont val="Arial"/>
        <family val="2"/>
      </rPr>
      <t>H3</t>
    </r>
  </si>
  <si>
    <t>r7</t>
  </si>
  <si>
    <r>
      <t>Aerobic growth of Z</t>
    </r>
    <r>
      <rPr>
        <b/>
        <vertAlign val="subscript"/>
        <sz val="10"/>
        <rFont val="Arial"/>
        <family val="2"/>
      </rPr>
      <t>H</t>
    </r>
    <r>
      <rPr>
        <b/>
        <sz val="10"/>
        <rFont val="Arial"/>
        <family val="2"/>
      </rPr>
      <t xml:space="preserve"> on S</t>
    </r>
    <r>
      <rPr>
        <b/>
        <vertAlign val="subscript"/>
        <sz val="10"/>
        <rFont val="Arial"/>
        <family val="2"/>
      </rPr>
      <t>BSA</t>
    </r>
    <r>
      <rPr>
        <b/>
        <sz val="10"/>
        <rFont val="Arial"/>
        <family val="2"/>
      </rPr>
      <t xml:space="preserve"> with N</t>
    </r>
    <r>
      <rPr>
        <b/>
        <vertAlign val="subscript"/>
        <sz val="10"/>
        <rFont val="Arial"/>
        <family val="2"/>
      </rPr>
      <t>O3</t>
    </r>
  </si>
  <si>
    <t>r8</t>
  </si>
  <si>
    <r>
      <t>Anoxic growth of Z</t>
    </r>
    <r>
      <rPr>
        <b/>
        <vertAlign val="subscript"/>
        <sz val="10"/>
        <rFont val="Arial"/>
        <family val="2"/>
      </rPr>
      <t>H</t>
    </r>
    <r>
      <rPr>
        <b/>
        <sz val="10"/>
        <rFont val="Arial"/>
        <family val="2"/>
      </rPr>
      <t xml:space="preserve"> on S</t>
    </r>
    <r>
      <rPr>
        <b/>
        <vertAlign val="subscript"/>
        <sz val="10"/>
        <rFont val="Arial"/>
        <family val="2"/>
      </rPr>
      <t>BSA</t>
    </r>
    <r>
      <rPr>
        <b/>
        <sz val="10"/>
        <rFont val="Arial"/>
        <family val="2"/>
      </rPr>
      <t xml:space="preserve"> with N</t>
    </r>
    <r>
      <rPr>
        <b/>
        <vertAlign val="subscript"/>
        <sz val="10"/>
        <rFont val="Arial"/>
        <family val="2"/>
      </rPr>
      <t>O3</t>
    </r>
  </si>
  <si>
    <t>r9</t>
  </si>
  <si>
    <r>
      <t>Decay of Z</t>
    </r>
    <r>
      <rPr>
        <b/>
        <vertAlign val="subscript"/>
        <sz val="10"/>
        <rFont val="Arial"/>
        <family val="2"/>
      </rPr>
      <t>H</t>
    </r>
  </si>
  <si>
    <t>-1</t>
  </si>
  <si>
    <r>
      <t>1-</t>
    </r>
    <r>
      <rPr>
        <i/>
        <sz val="12"/>
        <rFont val="Arial"/>
        <family val="2"/>
      </rPr>
      <t>f</t>
    </r>
    <r>
      <rPr>
        <vertAlign val="subscript"/>
        <sz val="12"/>
        <rFont val="Arial"/>
        <family val="2"/>
      </rPr>
      <t>EP,H</t>
    </r>
  </si>
  <si>
    <r>
      <t>f</t>
    </r>
    <r>
      <rPr>
        <vertAlign val="subscript"/>
        <sz val="12"/>
        <rFont val="Arial"/>
        <family val="2"/>
      </rPr>
      <t>P,ZH</t>
    </r>
    <r>
      <rPr>
        <i/>
        <sz val="12"/>
        <rFont val="Arial"/>
        <family val="2"/>
      </rPr>
      <t>-f</t>
    </r>
    <r>
      <rPr>
        <vertAlign val="subscript"/>
        <sz val="12"/>
        <rFont val="Arial"/>
        <family val="2"/>
      </rPr>
      <t>EP,H</t>
    </r>
    <r>
      <rPr>
        <sz val="12"/>
        <rFont val="Arial"/>
        <family val="2"/>
      </rPr>
      <t>*</t>
    </r>
    <r>
      <rPr>
        <i/>
        <sz val="12"/>
        <rFont val="Arial"/>
        <family val="2"/>
      </rPr>
      <t>f</t>
    </r>
    <r>
      <rPr>
        <vertAlign val="subscript"/>
        <sz val="12"/>
        <rFont val="Arial"/>
        <family val="2"/>
      </rPr>
      <t>P,ZEH</t>
    </r>
  </si>
  <si>
    <r>
      <t>f</t>
    </r>
    <r>
      <rPr>
        <vertAlign val="subscript"/>
        <sz val="12"/>
        <rFont val="Arial"/>
        <family val="2"/>
      </rPr>
      <t>N,ZH</t>
    </r>
    <r>
      <rPr>
        <i/>
        <sz val="12"/>
        <rFont val="Arial"/>
        <family val="2"/>
      </rPr>
      <t>-f</t>
    </r>
    <r>
      <rPr>
        <vertAlign val="subscript"/>
        <sz val="12"/>
        <rFont val="Arial"/>
        <family val="2"/>
      </rPr>
      <t>EP,H</t>
    </r>
    <r>
      <rPr>
        <sz val="12"/>
        <rFont val="Arial"/>
        <family val="2"/>
      </rPr>
      <t>*</t>
    </r>
    <r>
      <rPr>
        <i/>
        <sz val="12"/>
        <rFont val="Arial"/>
        <family val="2"/>
      </rPr>
      <t>f</t>
    </r>
    <r>
      <rPr>
        <vertAlign val="subscript"/>
        <sz val="12"/>
        <rFont val="Arial"/>
        <family val="2"/>
      </rPr>
      <t>N,ZEH</t>
    </r>
  </si>
  <si>
    <r>
      <t>b</t>
    </r>
    <r>
      <rPr>
        <vertAlign val="subscript"/>
        <sz val="12"/>
        <rFont val="Arial"/>
        <family val="2"/>
      </rPr>
      <t>H</t>
    </r>
    <r>
      <rPr>
        <sz val="12"/>
        <rFont val="Arial"/>
        <family val="2"/>
      </rPr>
      <t>*</t>
    </r>
    <r>
      <rPr>
        <i/>
        <sz val="12"/>
        <rFont val="Arial"/>
        <family val="2"/>
      </rPr>
      <t>Z</t>
    </r>
    <r>
      <rPr>
        <vertAlign val="subscript"/>
        <sz val="12"/>
        <rFont val="Arial"/>
        <family val="2"/>
      </rPr>
      <t>H</t>
    </r>
  </si>
  <si>
    <t>r10</t>
  </si>
  <si>
    <r>
      <t>Aerobic hydrolysis of S</t>
    </r>
    <r>
      <rPr>
        <b/>
        <vertAlign val="subscript"/>
        <sz val="10"/>
        <rFont val="Arial"/>
        <family val="2"/>
      </rPr>
      <t>ENM</t>
    </r>
  </si>
  <si>
    <t>r11</t>
  </si>
  <si>
    <r>
      <t>Anoxic hydrolysis of S</t>
    </r>
    <r>
      <rPr>
        <b/>
        <vertAlign val="subscript"/>
        <sz val="10"/>
        <rFont val="Arial"/>
        <family val="2"/>
      </rPr>
      <t>ENM</t>
    </r>
  </si>
  <si>
    <r>
      <t>(1-</t>
    </r>
    <r>
      <rPr>
        <i/>
        <sz val="12"/>
        <rFont val="Arial"/>
        <family val="2"/>
      </rPr>
      <t>E</t>
    </r>
    <r>
      <rPr>
        <vertAlign val="subscript"/>
        <sz val="12"/>
        <rFont val="Arial"/>
        <family val="2"/>
      </rPr>
      <t>ANOX</t>
    </r>
    <r>
      <rPr>
        <sz val="12"/>
        <rFont val="Arial"/>
        <family val="2"/>
      </rPr>
      <t>)</t>
    </r>
    <r>
      <rPr>
        <i/>
        <sz val="12"/>
        <rFont val="Arial"/>
        <family val="2"/>
      </rPr>
      <t>/i</t>
    </r>
    <r>
      <rPr>
        <vertAlign val="subscript"/>
        <sz val="12"/>
        <rFont val="Arial"/>
        <family val="2"/>
      </rPr>
      <t>COD_H2</t>
    </r>
  </si>
  <si>
    <t>r12</t>
  </si>
  <si>
    <r>
      <t>Anaerobic hydrolysis of S</t>
    </r>
    <r>
      <rPr>
        <b/>
        <vertAlign val="subscript"/>
        <sz val="10"/>
        <rFont val="Arial"/>
        <family val="2"/>
      </rPr>
      <t>ENM</t>
    </r>
  </si>
  <si>
    <r>
      <t>(1-</t>
    </r>
    <r>
      <rPr>
        <i/>
        <sz val="12"/>
        <rFont val="Arial"/>
        <family val="2"/>
      </rPr>
      <t>E</t>
    </r>
    <r>
      <rPr>
        <vertAlign val="subscript"/>
        <sz val="12"/>
        <rFont val="Arial"/>
        <family val="2"/>
      </rPr>
      <t>ANA</t>
    </r>
    <r>
      <rPr>
        <sz val="12"/>
        <rFont val="Arial"/>
        <family val="2"/>
      </rPr>
      <t>)</t>
    </r>
    <r>
      <rPr>
        <i/>
        <sz val="12"/>
        <rFont val="Arial"/>
        <family val="2"/>
      </rPr>
      <t>/i</t>
    </r>
    <r>
      <rPr>
        <vertAlign val="subscript"/>
        <sz val="12"/>
        <rFont val="Arial"/>
        <family val="2"/>
      </rPr>
      <t>COD_H2</t>
    </r>
  </si>
  <si>
    <t>r13</t>
  </si>
  <si>
    <t>Hydrolysis of organic N</t>
  </si>
  <si>
    <r>
      <rPr>
        <i/>
        <sz val="12"/>
        <rFont val="Arial"/>
        <family val="2"/>
      </rPr>
      <t>N</t>
    </r>
    <r>
      <rPr>
        <vertAlign val="subscript"/>
        <sz val="12"/>
        <rFont val="Arial"/>
        <family val="2"/>
      </rPr>
      <t>BP</t>
    </r>
    <r>
      <rPr>
        <sz val="10"/>
        <rFont val="Arial"/>
        <family val="2"/>
      </rPr>
      <t>/</t>
    </r>
    <r>
      <rPr>
        <i/>
        <sz val="12"/>
        <rFont val="Arial"/>
        <family val="2"/>
      </rPr>
      <t>S</t>
    </r>
    <r>
      <rPr>
        <vertAlign val="subscript"/>
        <sz val="12"/>
        <rFont val="Arial"/>
        <family val="2"/>
      </rPr>
      <t>ENM</t>
    </r>
  </si>
  <si>
    <t>r14</t>
  </si>
  <si>
    <t>Ammonification</t>
  </si>
  <si>
    <r>
      <t>K</t>
    </r>
    <r>
      <rPr>
        <vertAlign val="subscript"/>
        <sz val="12"/>
        <rFont val="Arial"/>
        <family val="2"/>
      </rPr>
      <t>R</t>
    </r>
    <r>
      <rPr>
        <sz val="12"/>
        <rFont val="Arial"/>
        <family val="2"/>
      </rPr>
      <t>*</t>
    </r>
    <r>
      <rPr>
        <i/>
        <sz val="12"/>
        <rFont val="Arial"/>
        <family val="2"/>
      </rPr>
      <t>N</t>
    </r>
    <r>
      <rPr>
        <vertAlign val="subscript"/>
        <sz val="12"/>
        <rFont val="Arial"/>
        <family val="2"/>
      </rPr>
      <t>BS</t>
    </r>
    <r>
      <rPr>
        <sz val="12"/>
        <rFont val="Arial"/>
        <family val="2"/>
      </rPr>
      <t>*(</t>
    </r>
    <r>
      <rPr>
        <i/>
        <sz val="12"/>
        <rFont val="Arial"/>
        <family val="2"/>
      </rPr>
      <t>Z</t>
    </r>
    <r>
      <rPr>
        <vertAlign val="subscript"/>
        <sz val="12"/>
        <rFont val="Arial"/>
        <family val="2"/>
      </rPr>
      <t>H</t>
    </r>
    <r>
      <rPr>
        <sz val="12"/>
        <rFont val="Arial"/>
        <family val="2"/>
      </rPr>
      <t>+</t>
    </r>
    <r>
      <rPr>
        <i/>
        <sz val="12"/>
        <rFont val="Arial"/>
        <family val="2"/>
      </rPr>
      <t>Z</t>
    </r>
    <r>
      <rPr>
        <vertAlign val="subscript"/>
        <sz val="12"/>
        <rFont val="Arial"/>
        <family val="2"/>
      </rPr>
      <t>P</t>
    </r>
    <r>
      <rPr>
        <sz val="12"/>
        <rFont val="Arial"/>
        <family val="2"/>
      </rPr>
      <t>)</t>
    </r>
  </si>
  <si>
    <t>r15</t>
  </si>
  <si>
    <r>
      <t>Fermentation of S</t>
    </r>
    <r>
      <rPr>
        <b/>
        <vertAlign val="subscript"/>
        <sz val="10"/>
        <rFont val="Arial"/>
        <family val="2"/>
      </rPr>
      <t>BSC</t>
    </r>
    <r>
      <rPr>
        <b/>
        <sz val="10"/>
        <rFont val="Arial"/>
        <family val="2"/>
      </rPr>
      <t xml:space="preserve"> to S</t>
    </r>
    <r>
      <rPr>
        <b/>
        <vertAlign val="subscript"/>
        <sz val="10"/>
        <rFont val="Arial"/>
        <family val="2"/>
      </rPr>
      <t>BSA</t>
    </r>
  </si>
  <si>
    <r>
      <t>(1-</t>
    </r>
    <r>
      <rPr>
        <i/>
        <sz val="12"/>
        <rFont val="Arial"/>
        <family val="2"/>
      </rPr>
      <t>Y</t>
    </r>
    <r>
      <rPr>
        <vertAlign val="subscript"/>
        <sz val="12"/>
        <rFont val="Arial"/>
        <family val="2"/>
      </rPr>
      <t>H,ANA</t>
    </r>
    <r>
      <rPr>
        <sz val="12"/>
        <rFont val="Arial"/>
        <family val="2"/>
      </rPr>
      <t>)</t>
    </r>
    <r>
      <rPr>
        <i/>
        <sz val="12"/>
        <rFont val="Arial"/>
        <family val="2"/>
      </rPr>
      <t>*Y</t>
    </r>
    <r>
      <rPr>
        <vertAlign val="subscript"/>
        <sz val="12"/>
        <rFont val="Arial"/>
        <family val="2"/>
      </rPr>
      <t>AC</t>
    </r>
  </si>
  <si>
    <r>
      <t>-</t>
    </r>
    <r>
      <rPr>
        <i/>
        <sz val="12"/>
        <rFont val="Arial"/>
        <family val="2"/>
      </rPr>
      <t>f</t>
    </r>
    <r>
      <rPr>
        <vertAlign val="subscript"/>
        <sz val="12"/>
        <rFont val="Arial"/>
        <family val="2"/>
      </rPr>
      <t>P,ZH</t>
    </r>
    <r>
      <rPr>
        <i/>
        <sz val="12"/>
        <rFont val="Arial"/>
        <family val="2"/>
      </rPr>
      <t>*Y</t>
    </r>
    <r>
      <rPr>
        <vertAlign val="subscript"/>
        <sz val="12"/>
        <rFont val="Arial"/>
        <family val="2"/>
      </rPr>
      <t>H,ANA</t>
    </r>
  </si>
  <si>
    <r>
      <t>-</t>
    </r>
    <r>
      <rPr>
        <i/>
        <sz val="12"/>
        <rFont val="Arial"/>
        <family val="2"/>
      </rPr>
      <t>f</t>
    </r>
    <r>
      <rPr>
        <vertAlign val="subscript"/>
        <sz val="12"/>
        <rFont val="Arial"/>
        <family val="2"/>
      </rPr>
      <t>N,ZH</t>
    </r>
    <r>
      <rPr>
        <i/>
        <sz val="12"/>
        <rFont val="Arial"/>
        <family val="2"/>
      </rPr>
      <t>*Y</t>
    </r>
    <r>
      <rPr>
        <vertAlign val="subscript"/>
        <sz val="12"/>
        <rFont val="Arial"/>
        <family val="2"/>
      </rPr>
      <t>H,ANA</t>
    </r>
  </si>
  <si>
    <r>
      <t>(1-(1-</t>
    </r>
    <r>
      <rPr>
        <i/>
        <sz val="12"/>
        <rFont val="Arial"/>
        <family val="2"/>
      </rPr>
      <t>Y</t>
    </r>
    <r>
      <rPr>
        <vertAlign val="subscript"/>
        <sz val="12"/>
        <rFont val="Arial"/>
        <family val="2"/>
      </rPr>
      <t>H,ANA</t>
    </r>
    <r>
      <rPr>
        <sz val="12"/>
        <rFont val="Arial"/>
        <family val="2"/>
      </rPr>
      <t>)</t>
    </r>
    <r>
      <rPr>
        <i/>
        <sz val="12"/>
        <rFont val="Arial"/>
        <family val="2"/>
      </rPr>
      <t>*Y</t>
    </r>
    <r>
      <rPr>
        <vertAlign val="subscript"/>
        <sz val="12"/>
        <rFont val="Arial"/>
        <family val="2"/>
      </rPr>
      <t>AC</t>
    </r>
    <r>
      <rPr>
        <sz val="12"/>
        <rFont val="Arial"/>
        <family val="2"/>
      </rPr>
      <t>-</t>
    </r>
    <r>
      <rPr>
        <i/>
        <sz val="12"/>
        <rFont val="Arial"/>
        <family val="2"/>
      </rPr>
      <t>Y</t>
    </r>
    <r>
      <rPr>
        <vertAlign val="subscript"/>
        <sz val="12"/>
        <rFont val="Arial"/>
        <family val="2"/>
      </rPr>
      <t>H,ANA</t>
    </r>
    <r>
      <rPr>
        <sz val="12"/>
        <rFont val="Arial"/>
        <family val="2"/>
      </rPr>
      <t>)/</t>
    </r>
    <r>
      <rPr>
        <i/>
        <sz val="12"/>
        <rFont val="Arial"/>
        <family val="2"/>
      </rPr>
      <t>i</t>
    </r>
    <r>
      <rPr>
        <vertAlign val="subscript"/>
        <sz val="12"/>
        <rFont val="Arial"/>
        <family val="2"/>
      </rPr>
      <t>COD_H2</t>
    </r>
  </si>
  <si>
    <t>r16</t>
  </si>
  <si>
    <t>Growth of autotrophic nitrifying organisms</t>
  </si>
  <si>
    <r>
      <t>-</t>
    </r>
    <r>
      <rPr>
        <i/>
        <sz val="12"/>
        <rFont val="Arial"/>
        <family val="2"/>
      </rPr>
      <t>f</t>
    </r>
    <r>
      <rPr>
        <vertAlign val="subscript"/>
        <sz val="12"/>
        <rFont val="Arial"/>
        <family val="2"/>
      </rPr>
      <t>P,ZA</t>
    </r>
  </si>
  <si>
    <r>
      <t>1/</t>
    </r>
    <r>
      <rPr>
        <i/>
        <sz val="12"/>
        <rFont val="Arial"/>
        <family val="2"/>
      </rPr>
      <t>Y</t>
    </r>
    <r>
      <rPr>
        <vertAlign val="subscript"/>
        <sz val="12"/>
        <rFont val="Arial"/>
        <family val="2"/>
      </rPr>
      <t>A</t>
    </r>
  </si>
  <si>
    <r>
      <t>-</t>
    </r>
    <r>
      <rPr>
        <i/>
        <sz val="12"/>
        <rFont val="Arial"/>
        <family val="2"/>
      </rPr>
      <t>f</t>
    </r>
    <r>
      <rPr>
        <vertAlign val="subscript"/>
        <sz val="12"/>
        <rFont val="Arial"/>
        <family val="2"/>
      </rPr>
      <t>N,ZA</t>
    </r>
    <r>
      <rPr>
        <sz val="12"/>
        <rFont val="Arial"/>
        <family val="2"/>
      </rPr>
      <t>-1</t>
    </r>
    <r>
      <rPr>
        <i/>
        <sz val="12"/>
        <rFont val="Arial"/>
        <family val="2"/>
      </rPr>
      <t>/Y</t>
    </r>
    <r>
      <rPr>
        <vertAlign val="subscript"/>
        <sz val="12"/>
        <rFont val="Arial"/>
        <family val="2"/>
      </rPr>
      <t>A</t>
    </r>
  </si>
  <si>
    <r>
      <t>-(-</t>
    </r>
    <r>
      <rPr>
        <i/>
        <sz val="12"/>
        <rFont val="Arial"/>
        <family val="2"/>
      </rPr>
      <t>i</t>
    </r>
    <r>
      <rPr>
        <vertAlign val="subscript"/>
        <sz val="12"/>
        <rFont val="Arial"/>
        <family val="2"/>
      </rPr>
      <t>COD_NO3</t>
    </r>
    <r>
      <rPr>
        <sz val="12"/>
        <rFont val="Arial"/>
        <family val="2"/>
      </rPr>
      <t>-</t>
    </r>
    <r>
      <rPr>
        <i/>
        <sz val="12"/>
        <rFont val="Arial"/>
        <family val="2"/>
      </rPr>
      <t>Y</t>
    </r>
    <r>
      <rPr>
        <vertAlign val="subscript"/>
        <sz val="12"/>
        <rFont val="Arial"/>
        <family val="2"/>
      </rPr>
      <t>A</t>
    </r>
    <r>
      <rPr>
        <sz val="12"/>
        <rFont val="Arial"/>
        <family val="2"/>
      </rPr>
      <t>)/</t>
    </r>
    <r>
      <rPr>
        <i/>
        <sz val="12"/>
        <rFont val="Arial"/>
        <family val="2"/>
      </rPr>
      <t>Y</t>
    </r>
    <r>
      <rPr>
        <vertAlign val="subscript"/>
        <sz val="12"/>
        <rFont val="Arial"/>
        <family val="2"/>
      </rPr>
      <t>A</t>
    </r>
  </si>
  <si>
    <t>r17</t>
  </si>
  <si>
    <r>
      <t>Decay of Z</t>
    </r>
    <r>
      <rPr>
        <b/>
        <vertAlign val="subscript"/>
        <sz val="10"/>
        <rFont val="Arial"/>
        <family val="2"/>
      </rPr>
      <t>A</t>
    </r>
  </si>
  <si>
    <r>
      <t>1-</t>
    </r>
    <r>
      <rPr>
        <i/>
        <sz val="12"/>
        <rFont val="Arial"/>
        <family val="2"/>
      </rPr>
      <t>f</t>
    </r>
    <r>
      <rPr>
        <vertAlign val="subscript"/>
        <sz val="12"/>
        <rFont val="Arial"/>
        <family val="2"/>
      </rPr>
      <t>EP,A</t>
    </r>
  </si>
  <si>
    <r>
      <t>f</t>
    </r>
    <r>
      <rPr>
        <vertAlign val="subscript"/>
        <sz val="12"/>
        <rFont val="Arial"/>
        <family val="2"/>
      </rPr>
      <t>P,ZA</t>
    </r>
    <r>
      <rPr>
        <i/>
        <sz val="12"/>
        <rFont val="Arial"/>
        <family val="2"/>
      </rPr>
      <t>-f</t>
    </r>
    <r>
      <rPr>
        <vertAlign val="subscript"/>
        <sz val="12"/>
        <rFont val="Arial"/>
        <family val="2"/>
      </rPr>
      <t>EP,A</t>
    </r>
    <r>
      <rPr>
        <sz val="12"/>
        <rFont val="Arial"/>
        <family val="2"/>
      </rPr>
      <t>*</t>
    </r>
    <r>
      <rPr>
        <i/>
        <sz val="12"/>
        <rFont val="Arial"/>
        <family val="2"/>
      </rPr>
      <t>f</t>
    </r>
    <r>
      <rPr>
        <vertAlign val="subscript"/>
        <sz val="12"/>
        <rFont val="Arial"/>
        <family val="2"/>
      </rPr>
      <t>P,ZEA</t>
    </r>
  </si>
  <si>
    <r>
      <t>f</t>
    </r>
    <r>
      <rPr>
        <vertAlign val="subscript"/>
        <sz val="12"/>
        <rFont val="Arial"/>
        <family val="2"/>
      </rPr>
      <t>N,ZA</t>
    </r>
    <r>
      <rPr>
        <i/>
        <sz val="12"/>
        <rFont val="Arial"/>
        <family val="2"/>
      </rPr>
      <t>-f</t>
    </r>
    <r>
      <rPr>
        <vertAlign val="subscript"/>
        <sz val="12"/>
        <rFont val="Arial"/>
        <family val="2"/>
      </rPr>
      <t>EP,A</t>
    </r>
    <r>
      <rPr>
        <sz val="12"/>
        <rFont val="Arial"/>
        <family val="2"/>
      </rPr>
      <t>*</t>
    </r>
    <r>
      <rPr>
        <i/>
        <sz val="12"/>
        <rFont val="Arial"/>
        <family val="2"/>
      </rPr>
      <t>f</t>
    </r>
    <r>
      <rPr>
        <vertAlign val="subscript"/>
        <sz val="12"/>
        <rFont val="Arial"/>
        <family val="2"/>
      </rPr>
      <t>N,ZEA</t>
    </r>
  </si>
  <si>
    <r>
      <t>b</t>
    </r>
    <r>
      <rPr>
        <vertAlign val="subscript"/>
        <sz val="12"/>
        <rFont val="Arial"/>
        <family val="2"/>
      </rPr>
      <t>A</t>
    </r>
    <r>
      <rPr>
        <sz val="12"/>
        <rFont val="Arial"/>
        <family val="2"/>
      </rPr>
      <t>*</t>
    </r>
    <r>
      <rPr>
        <i/>
        <sz val="12"/>
        <rFont val="Arial"/>
        <family val="2"/>
      </rPr>
      <t>Z</t>
    </r>
    <r>
      <rPr>
        <vertAlign val="subscript"/>
        <sz val="12"/>
        <rFont val="Arial"/>
        <family val="2"/>
      </rPr>
      <t>A</t>
    </r>
  </si>
  <si>
    <t>r18</t>
  </si>
  <si>
    <r>
      <t>Aerobic growth of Z</t>
    </r>
    <r>
      <rPr>
        <b/>
        <vertAlign val="subscript"/>
        <sz val="10"/>
        <rFont val="Arial"/>
        <family val="2"/>
      </rPr>
      <t>P</t>
    </r>
    <r>
      <rPr>
        <b/>
        <sz val="10"/>
        <rFont val="Arial"/>
        <family val="2"/>
      </rPr>
      <t xml:space="preserve"> with N</t>
    </r>
    <r>
      <rPr>
        <b/>
        <vertAlign val="subscript"/>
        <sz val="10"/>
        <rFont val="Arial"/>
        <family val="2"/>
      </rPr>
      <t>H3</t>
    </r>
  </si>
  <si>
    <r>
      <t>-1/</t>
    </r>
    <r>
      <rPr>
        <i/>
        <sz val="12"/>
        <rFont val="Arial"/>
        <family val="2"/>
      </rPr>
      <t>Y</t>
    </r>
    <r>
      <rPr>
        <vertAlign val="subscript"/>
        <sz val="12"/>
        <rFont val="Arial"/>
        <family val="2"/>
      </rPr>
      <t>P</t>
    </r>
  </si>
  <si>
    <r>
      <t>f</t>
    </r>
    <r>
      <rPr>
        <vertAlign val="subscript"/>
        <sz val="12"/>
        <rFont val="Arial"/>
        <family val="2"/>
      </rPr>
      <t>PP</t>
    </r>
    <r>
      <rPr>
        <i/>
        <sz val="12"/>
        <rFont val="Arial"/>
        <family val="2"/>
      </rPr>
      <t>*f</t>
    </r>
    <r>
      <rPr>
        <vertAlign val="subscript"/>
        <sz val="12"/>
        <rFont val="Arial"/>
        <family val="2"/>
      </rPr>
      <t>P,UPT1</t>
    </r>
    <r>
      <rPr>
        <sz val="12"/>
        <rFont val="Arial"/>
        <family val="2"/>
      </rPr>
      <t>/</t>
    </r>
    <r>
      <rPr>
        <i/>
        <sz val="12"/>
        <rFont val="Arial"/>
        <family val="2"/>
      </rPr>
      <t>Y</t>
    </r>
    <r>
      <rPr>
        <vertAlign val="subscript"/>
        <sz val="12"/>
        <rFont val="Arial"/>
        <family val="2"/>
      </rPr>
      <t>P</t>
    </r>
  </si>
  <si>
    <r>
      <t>(1-</t>
    </r>
    <r>
      <rPr>
        <i/>
        <sz val="12"/>
        <rFont val="Arial"/>
        <family val="2"/>
      </rPr>
      <t>f</t>
    </r>
    <r>
      <rPr>
        <vertAlign val="subscript"/>
        <sz val="12"/>
        <rFont val="Arial"/>
        <family val="2"/>
      </rPr>
      <t>PP</t>
    </r>
    <r>
      <rPr>
        <sz val="12"/>
        <rFont val="Arial"/>
        <family val="2"/>
      </rPr>
      <t>)</t>
    </r>
    <r>
      <rPr>
        <i/>
        <sz val="12"/>
        <rFont val="Arial"/>
        <family val="2"/>
      </rPr>
      <t>*f</t>
    </r>
    <r>
      <rPr>
        <vertAlign val="subscript"/>
        <sz val="12"/>
        <rFont val="Arial"/>
        <family val="2"/>
      </rPr>
      <t>P,UPT1</t>
    </r>
    <r>
      <rPr>
        <sz val="12"/>
        <rFont val="Arial"/>
        <family val="2"/>
      </rPr>
      <t>/</t>
    </r>
    <r>
      <rPr>
        <i/>
        <sz val="12"/>
        <rFont val="Arial"/>
        <family val="2"/>
      </rPr>
      <t>Y</t>
    </r>
    <r>
      <rPr>
        <vertAlign val="subscript"/>
        <sz val="12"/>
        <rFont val="Arial"/>
        <family val="2"/>
      </rPr>
      <t>P</t>
    </r>
  </si>
  <si>
    <r>
      <t>-</t>
    </r>
    <r>
      <rPr>
        <i/>
        <sz val="12"/>
        <rFont val="Arial"/>
        <family val="2"/>
      </rPr>
      <t>f</t>
    </r>
    <r>
      <rPr>
        <vertAlign val="subscript"/>
        <sz val="12"/>
        <rFont val="Arial"/>
        <family val="2"/>
      </rPr>
      <t>P,UPT1</t>
    </r>
    <r>
      <rPr>
        <i/>
        <sz val="12"/>
        <rFont val="Arial"/>
        <family val="2"/>
      </rPr>
      <t>/Y</t>
    </r>
    <r>
      <rPr>
        <vertAlign val="subscript"/>
        <sz val="12"/>
        <rFont val="Arial"/>
        <family val="2"/>
      </rPr>
      <t>P</t>
    </r>
    <r>
      <rPr>
        <sz val="12"/>
        <rFont val="Arial"/>
        <family val="2"/>
      </rPr>
      <t>-</t>
    </r>
    <r>
      <rPr>
        <i/>
        <sz val="12"/>
        <rFont val="Arial"/>
        <family val="2"/>
      </rPr>
      <t>f</t>
    </r>
    <r>
      <rPr>
        <vertAlign val="subscript"/>
        <sz val="12"/>
        <rFont val="Arial"/>
        <family val="2"/>
      </rPr>
      <t>P,ZP</t>
    </r>
  </si>
  <si>
    <r>
      <t>-</t>
    </r>
    <r>
      <rPr>
        <i/>
        <sz val="12"/>
        <rFont val="Arial"/>
        <family val="2"/>
      </rPr>
      <t>f</t>
    </r>
    <r>
      <rPr>
        <vertAlign val="subscript"/>
        <sz val="12"/>
        <rFont val="Arial"/>
        <family val="2"/>
      </rPr>
      <t>N,ZP</t>
    </r>
  </si>
  <si>
    <r>
      <t>-(1-</t>
    </r>
    <r>
      <rPr>
        <i/>
        <sz val="12"/>
        <rFont val="Arial"/>
        <family val="2"/>
      </rPr>
      <t>Y</t>
    </r>
    <r>
      <rPr>
        <vertAlign val="subscript"/>
        <sz val="12"/>
        <rFont val="Arial"/>
        <family val="2"/>
      </rPr>
      <t>P</t>
    </r>
    <r>
      <rPr>
        <sz val="12"/>
        <rFont val="Arial"/>
        <family val="2"/>
      </rPr>
      <t>)</t>
    </r>
    <r>
      <rPr>
        <i/>
        <sz val="12"/>
        <rFont val="Arial"/>
        <family val="2"/>
      </rPr>
      <t>/Y</t>
    </r>
    <r>
      <rPr>
        <vertAlign val="subscript"/>
        <sz val="12"/>
        <rFont val="Arial"/>
        <family val="2"/>
      </rPr>
      <t>P</t>
    </r>
  </si>
  <si>
    <t>r19</t>
  </si>
  <si>
    <r>
      <t>Aerobic growth of Z</t>
    </r>
    <r>
      <rPr>
        <b/>
        <vertAlign val="subscript"/>
        <sz val="10"/>
        <rFont val="Arial"/>
        <family val="2"/>
      </rPr>
      <t>P</t>
    </r>
    <r>
      <rPr>
        <b/>
        <sz val="10"/>
        <rFont val="Arial"/>
        <family val="2"/>
      </rPr>
      <t xml:space="preserve"> with N</t>
    </r>
    <r>
      <rPr>
        <b/>
        <vertAlign val="subscript"/>
        <sz val="10"/>
        <rFont val="Arial"/>
        <family val="2"/>
      </rPr>
      <t>O3</t>
    </r>
  </si>
  <si>
    <r>
      <t>-(1-</t>
    </r>
    <r>
      <rPr>
        <i/>
        <sz val="12"/>
        <rFont val="Arial"/>
        <family val="2"/>
      </rPr>
      <t>Y</t>
    </r>
    <r>
      <rPr>
        <vertAlign val="subscript"/>
        <sz val="12"/>
        <rFont val="Arial"/>
        <family val="2"/>
      </rPr>
      <t>P</t>
    </r>
    <r>
      <rPr>
        <sz val="12"/>
        <rFont val="Arial"/>
        <family val="2"/>
      </rPr>
      <t>)/</t>
    </r>
    <r>
      <rPr>
        <i/>
        <sz val="12"/>
        <rFont val="Arial"/>
        <family val="2"/>
      </rPr>
      <t>Y</t>
    </r>
    <r>
      <rPr>
        <vertAlign val="subscript"/>
        <sz val="12"/>
        <rFont val="Arial"/>
        <family val="2"/>
      </rPr>
      <t>P</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f</t>
    </r>
    <r>
      <rPr>
        <vertAlign val="subscript"/>
        <sz val="12"/>
        <rFont val="Arial"/>
        <family val="2"/>
      </rPr>
      <t>N,ZP</t>
    </r>
  </si>
  <si>
    <t>r20</t>
  </si>
  <si>
    <r>
      <t>Aerobic growth of Z</t>
    </r>
    <r>
      <rPr>
        <b/>
        <vertAlign val="subscript"/>
        <sz val="10"/>
        <rFont val="Arial"/>
        <family val="2"/>
      </rPr>
      <t>P</t>
    </r>
    <r>
      <rPr>
        <b/>
        <sz val="10"/>
        <rFont val="Arial"/>
        <family val="2"/>
      </rPr>
      <t xml:space="preserve"> with N</t>
    </r>
    <r>
      <rPr>
        <b/>
        <vertAlign val="subscript"/>
        <sz val="10"/>
        <rFont val="Arial"/>
        <family val="2"/>
      </rPr>
      <t xml:space="preserve">H3 </t>
    </r>
    <r>
      <rPr>
        <b/>
        <sz val="10"/>
        <rFont val="Arial"/>
        <family val="2"/>
      </rPr>
      <t>/ P</t>
    </r>
    <r>
      <rPr>
        <b/>
        <vertAlign val="subscript"/>
        <sz val="10"/>
        <rFont val="Arial"/>
        <family val="2"/>
      </rPr>
      <t>O4</t>
    </r>
    <r>
      <rPr>
        <b/>
        <sz val="10"/>
        <rFont val="Arial"/>
        <family val="2"/>
      </rPr>
      <t xml:space="preserve"> limited</t>
    </r>
  </si>
  <si>
    <r>
      <t>-</t>
    </r>
    <r>
      <rPr>
        <i/>
        <sz val="12"/>
        <rFont val="Arial"/>
        <family val="2"/>
      </rPr>
      <t>f</t>
    </r>
    <r>
      <rPr>
        <vertAlign val="subscript"/>
        <sz val="12"/>
        <rFont val="Arial"/>
        <family val="2"/>
      </rPr>
      <t>P,ZP</t>
    </r>
  </si>
  <si>
    <t>r21</t>
  </si>
  <si>
    <r>
      <t>Aerobic growth of Z</t>
    </r>
    <r>
      <rPr>
        <b/>
        <vertAlign val="subscript"/>
        <sz val="10"/>
        <rFont val="Arial"/>
        <family val="2"/>
      </rPr>
      <t>P</t>
    </r>
    <r>
      <rPr>
        <b/>
        <sz val="10"/>
        <rFont val="Arial"/>
        <family val="2"/>
      </rPr>
      <t xml:space="preserve"> with N</t>
    </r>
    <r>
      <rPr>
        <b/>
        <vertAlign val="subscript"/>
        <sz val="10"/>
        <rFont val="Arial"/>
        <family val="2"/>
      </rPr>
      <t xml:space="preserve">O3 </t>
    </r>
    <r>
      <rPr>
        <b/>
        <sz val="10"/>
        <rFont val="Arial"/>
        <family val="2"/>
      </rPr>
      <t>/ P</t>
    </r>
    <r>
      <rPr>
        <b/>
        <vertAlign val="subscript"/>
        <sz val="10"/>
        <rFont val="Arial"/>
        <family val="2"/>
      </rPr>
      <t>O4</t>
    </r>
    <r>
      <rPr>
        <b/>
        <sz val="10"/>
        <rFont val="Arial"/>
        <family val="2"/>
      </rPr>
      <t xml:space="preserve"> limited</t>
    </r>
  </si>
  <si>
    <t>r22</t>
  </si>
  <si>
    <r>
      <t>Anoxic growth of Z</t>
    </r>
    <r>
      <rPr>
        <b/>
        <vertAlign val="subscript"/>
        <sz val="10"/>
        <rFont val="Arial"/>
        <family val="2"/>
      </rPr>
      <t>P</t>
    </r>
    <r>
      <rPr>
        <b/>
        <sz val="10"/>
        <rFont val="Arial"/>
        <family val="2"/>
      </rPr>
      <t xml:space="preserve"> with N</t>
    </r>
    <r>
      <rPr>
        <b/>
        <vertAlign val="subscript"/>
        <sz val="10"/>
        <rFont val="Arial"/>
        <family val="2"/>
      </rPr>
      <t>H3</t>
    </r>
  </si>
  <si>
    <r>
      <t>f</t>
    </r>
    <r>
      <rPr>
        <vertAlign val="subscript"/>
        <sz val="12"/>
        <rFont val="Arial"/>
        <family val="2"/>
      </rPr>
      <t>PP</t>
    </r>
    <r>
      <rPr>
        <i/>
        <sz val="12"/>
        <rFont val="Arial"/>
        <family val="2"/>
      </rPr>
      <t>*f</t>
    </r>
    <r>
      <rPr>
        <vertAlign val="subscript"/>
        <sz val="12"/>
        <rFont val="Arial"/>
        <family val="2"/>
      </rPr>
      <t>P,UPT2</t>
    </r>
    <r>
      <rPr>
        <sz val="12"/>
        <rFont val="Arial"/>
        <family val="2"/>
      </rPr>
      <t>/</t>
    </r>
    <r>
      <rPr>
        <i/>
        <sz val="12"/>
        <rFont val="Arial"/>
        <family val="2"/>
      </rPr>
      <t>Y</t>
    </r>
    <r>
      <rPr>
        <vertAlign val="subscript"/>
        <sz val="12"/>
        <rFont val="Arial"/>
        <family val="2"/>
      </rPr>
      <t>P</t>
    </r>
  </si>
  <si>
    <r>
      <t>(1-</t>
    </r>
    <r>
      <rPr>
        <i/>
        <sz val="12"/>
        <rFont val="Arial"/>
        <family val="2"/>
      </rPr>
      <t>f</t>
    </r>
    <r>
      <rPr>
        <vertAlign val="subscript"/>
        <sz val="12"/>
        <rFont val="Arial"/>
        <family val="2"/>
      </rPr>
      <t>PP</t>
    </r>
    <r>
      <rPr>
        <sz val="12"/>
        <rFont val="Arial"/>
        <family val="2"/>
      </rPr>
      <t>)</t>
    </r>
    <r>
      <rPr>
        <i/>
        <sz val="12"/>
        <rFont val="Arial"/>
        <family val="2"/>
      </rPr>
      <t>*f</t>
    </r>
    <r>
      <rPr>
        <vertAlign val="subscript"/>
        <sz val="12"/>
        <rFont val="Arial"/>
        <family val="2"/>
      </rPr>
      <t>P,UPT2</t>
    </r>
    <r>
      <rPr>
        <sz val="12"/>
        <rFont val="Arial"/>
        <family val="2"/>
      </rPr>
      <t>/</t>
    </r>
    <r>
      <rPr>
        <i/>
        <sz val="12"/>
        <rFont val="Arial"/>
        <family val="2"/>
      </rPr>
      <t>Y</t>
    </r>
    <r>
      <rPr>
        <vertAlign val="subscript"/>
        <sz val="12"/>
        <rFont val="Arial"/>
        <family val="2"/>
      </rPr>
      <t>P</t>
    </r>
  </si>
  <si>
    <r>
      <t>-</t>
    </r>
    <r>
      <rPr>
        <i/>
        <sz val="12"/>
        <rFont val="Arial"/>
        <family val="2"/>
      </rPr>
      <t>f</t>
    </r>
    <r>
      <rPr>
        <vertAlign val="subscript"/>
        <sz val="12"/>
        <rFont val="Arial"/>
        <family val="2"/>
      </rPr>
      <t>P,UPT2</t>
    </r>
    <r>
      <rPr>
        <i/>
        <sz val="12"/>
        <rFont val="Arial"/>
        <family val="2"/>
      </rPr>
      <t>/Y</t>
    </r>
    <r>
      <rPr>
        <vertAlign val="subscript"/>
        <sz val="12"/>
        <rFont val="Arial"/>
        <family val="2"/>
      </rPr>
      <t>P</t>
    </r>
    <r>
      <rPr>
        <sz val="12"/>
        <rFont val="Arial"/>
        <family val="2"/>
      </rPr>
      <t>-</t>
    </r>
    <r>
      <rPr>
        <i/>
        <sz val="12"/>
        <rFont val="Arial"/>
        <family val="2"/>
      </rPr>
      <t>f</t>
    </r>
    <r>
      <rPr>
        <vertAlign val="subscript"/>
        <sz val="12"/>
        <rFont val="Arial"/>
        <family val="2"/>
      </rPr>
      <t>P,ZP</t>
    </r>
  </si>
  <si>
    <r>
      <t>-(1-</t>
    </r>
    <r>
      <rPr>
        <i/>
        <sz val="12"/>
        <rFont val="Arial"/>
        <family val="2"/>
      </rPr>
      <t>Y</t>
    </r>
    <r>
      <rPr>
        <vertAlign val="subscript"/>
        <sz val="12"/>
        <rFont val="Arial"/>
        <family val="2"/>
      </rPr>
      <t>P</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P</t>
    </r>
    <r>
      <rPr>
        <sz val="12"/>
        <rFont val="Arial"/>
        <family val="2"/>
      </rPr>
      <t>)</t>
    </r>
  </si>
  <si>
    <r>
      <t>(1-</t>
    </r>
    <r>
      <rPr>
        <i/>
        <sz val="12"/>
        <rFont val="Arial"/>
        <family val="2"/>
      </rPr>
      <t>Y</t>
    </r>
    <r>
      <rPr>
        <vertAlign val="subscript"/>
        <sz val="12"/>
        <rFont val="Arial"/>
        <family val="2"/>
      </rPr>
      <t>P</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P</t>
    </r>
    <r>
      <rPr>
        <sz val="12"/>
        <rFont val="Arial"/>
        <family val="2"/>
      </rPr>
      <t>)</t>
    </r>
  </si>
  <si>
    <t>r23</t>
  </si>
  <si>
    <r>
      <t>Aerobic decay of Z</t>
    </r>
    <r>
      <rPr>
        <b/>
        <vertAlign val="subscript"/>
        <sz val="10"/>
        <rFont val="Arial"/>
        <family val="2"/>
      </rPr>
      <t>P</t>
    </r>
  </si>
  <si>
    <r>
      <t>f</t>
    </r>
    <r>
      <rPr>
        <vertAlign val="subscript"/>
        <sz val="12"/>
        <rFont val="Arial"/>
        <family val="2"/>
      </rPr>
      <t>P,ZP</t>
    </r>
    <r>
      <rPr>
        <i/>
        <sz val="12"/>
        <rFont val="Arial"/>
        <family val="2"/>
      </rPr>
      <t>-f</t>
    </r>
    <r>
      <rPr>
        <vertAlign val="subscript"/>
        <sz val="12"/>
        <rFont val="Arial"/>
        <family val="2"/>
      </rPr>
      <t>EP,P</t>
    </r>
    <r>
      <rPr>
        <sz val="12"/>
        <rFont val="Arial"/>
        <family val="2"/>
      </rPr>
      <t>*</t>
    </r>
    <r>
      <rPr>
        <i/>
        <sz val="12"/>
        <rFont val="Arial"/>
        <family val="2"/>
      </rPr>
      <t>f</t>
    </r>
    <r>
      <rPr>
        <vertAlign val="subscript"/>
        <sz val="12"/>
        <rFont val="Arial"/>
        <family val="2"/>
      </rPr>
      <t>P,ZEP</t>
    </r>
  </si>
  <si>
    <r>
      <t>f</t>
    </r>
    <r>
      <rPr>
        <vertAlign val="subscript"/>
        <sz val="12"/>
        <rFont val="Arial"/>
        <family val="2"/>
      </rPr>
      <t>ES,P</t>
    </r>
    <r>
      <rPr>
        <i/>
        <sz val="12"/>
        <rFont val="Arial"/>
        <family val="2"/>
      </rPr>
      <t>*f</t>
    </r>
    <r>
      <rPr>
        <vertAlign val="subscript"/>
        <sz val="12"/>
        <rFont val="Arial"/>
        <family val="2"/>
      </rPr>
      <t>N,SEP</t>
    </r>
  </si>
  <si>
    <r>
      <t>f</t>
    </r>
    <r>
      <rPr>
        <vertAlign val="subscript"/>
        <sz val="12"/>
        <rFont val="Arial"/>
        <family val="2"/>
      </rPr>
      <t>N,ZP</t>
    </r>
    <r>
      <rPr>
        <i/>
        <sz val="12"/>
        <rFont val="Arial"/>
        <family val="2"/>
      </rPr>
      <t>-f</t>
    </r>
    <r>
      <rPr>
        <vertAlign val="subscript"/>
        <sz val="12"/>
        <rFont val="Arial"/>
        <family val="2"/>
      </rPr>
      <t>EP,P</t>
    </r>
    <r>
      <rPr>
        <sz val="12"/>
        <rFont val="Arial"/>
        <family val="2"/>
      </rPr>
      <t>*</t>
    </r>
    <r>
      <rPr>
        <i/>
        <sz val="12"/>
        <rFont val="Arial"/>
        <family val="2"/>
      </rPr>
      <t>f</t>
    </r>
    <r>
      <rPr>
        <vertAlign val="subscript"/>
        <sz val="12"/>
        <rFont val="Arial"/>
        <family val="2"/>
      </rPr>
      <t>N,ZEP</t>
    </r>
    <r>
      <rPr>
        <sz val="12"/>
        <rFont val="Arial"/>
        <family val="2"/>
      </rPr>
      <t>-</t>
    </r>
    <r>
      <rPr>
        <i/>
        <sz val="12"/>
        <rFont val="Arial"/>
        <family val="2"/>
      </rPr>
      <t>f</t>
    </r>
    <r>
      <rPr>
        <vertAlign val="subscript"/>
        <sz val="12"/>
        <rFont val="Arial"/>
        <family val="2"/>
      </rPr>
      <t>ES,P</t>
    </r>
    <r>
      <rPr>
        <sz val="12"/>
        <rFont val="Arial"/>
        <family val="2"/>
      </rPr>
      <t>*</t>
    </r>
    <r>
      <rPr>
        <i/>
        <sz val="12"/>
        <rFont val="Arial"/>
        <family val="2"/>
      </rPr>
      <t>f</t>
    </r>
    <r>
      <rPr>
        <vertAlign val="subscript"/>
        <sz val="12"/>
        <rFont val="Arial"/>
        <family val="2"/>
      </rPr>
      <t>N,SEP</t>
    </r>
  </si>
  <si>
    <r>
      <t>-(1-</t>
    </r>
    <r>
      <rPr>
        <i/>
        <sz val="12"/>
        <rFont val="Arial"/>
        <family val="2"/>
      </rPr>
      <t>f</t>
    </r>
    <r>
      <rPr>
        <vertAlign val="subscript"/>
        <sz val="12"/>
        <rFont val="Arial"/>
        <family val="2"/>
      </rPr>
      <t>EP,P</t>
    </r>
    <r>
      <rPr>
        <i/>
        <sz val="12"/>
        <rFont val="Arial"/>
        <family val="2"/>
      </rPr>
      <t>-f</t>
    </r>
    <r>
      <rPr>
        <vertAlign val="subscript"/>
        <sz val="12"/>
        <rFont val="Arial"/>
        <family val="2"/>
      </rPr>
      <t>ES,P</t>
    </r>
    <r>
      <rPr>
        <sz val="12"/>
        <rFont val="Arial"/>
        <family val="2"/>
      </rPr>
      <t>)</t>
    </r>
  </si>
  <si>
    <t>r24</t>
  </si>
  <si>
    <r>
      <t>P</t>
    </r>
    <r>
      <rPr>
        <b/>
        <vertAlign val="subscript"/>
        <sz val="10"/>
        <rFont val="Arial"/>
        <family val="2"/>
      </rPr>
      <t xml:space="preserve">PP-LO </t>
    </r>
    <r>
      <rPr>
        <b/>
        <sz val="10"/>
        <rFont val="Arial"/>
        <family val="2"/>
      </rPr>
      <t>lysis on aerobic decay</t>
    </r>
  </si>
  <si>
    <t>r25</t>
  </si>
  <si>
    <r>
      <t>P</t>
    </r>
    <r>
      <rPr>
        <b/>
        <vertAlign val="subscript"/>
        <sz val="10"/>
        <rFont val="Arial"/>
        <family val="2"/>
      </rPr>
      <t xml:space="preserve">PP-HI </t>
    </r>
    <r>
      <rPr>
        <b/>
        <sz val="10"/>
        <rFont val="Arial"/>
        <family val="2"/>
      </rPr>
      <t>lysis on aerobic decay</t>
    </r>
  </si>
  <si>
    <t>r26</t>
  </si>
  <si>
    <r>
      <t>S</t>
    </r>
    <r>
      <rPr>
        <b/>
        <vertAlign val="subscript"/>
        <sz val="10"/>
        <rFont val="Arial"/>
        <family val="2"/>
      </rPr>
      <t xml:space="preserve">PHB </t>
    </r>
    <r>
      <rPr>
        <b/>
        <sz val="10"/>
        <rFont val="Arial"/>
        <family val="2"/>
      </rPr>
      <t>lysis on aerobic decay</t>
    </r>
  </si>
  <si>
    <t>r27</t>
  </si>
  <si>
    <r>
      <t>Anoxic decay of Z</t>
    </r>
    <r>
      <rPr>
        <b/>
        <vertAlign val="subscript"/>
        <sz val="10"/>
        <rFont val="Arial"/>
        <family val="2"/>
      </rPr>
      <t>P</t>
    </r>
  </si>
  <si>
    <r>
      <t>-(1-</t>
    </r>
    <r>
      <rPr>
        <i/>
        <sz val="12"/>
        <rFont val="Arial"/>
        <family val="2"/>
      </rPr>
      <t>f</t>
    </r>
    <r>
      <rPr>
        <vertAlign val="subscript"/>
        <sz val="12"/>
        <rFont val="Arial"/>
        <family val="2"/>
      </rPr>
      <t>EP,P</t>
    </r>
    <r>
      <rPr>
        <sz val="12"/>
        <rFont val="Arial"/>
        <family val="2"/>
      </rPr>
      <t>-</t>
    </r>
    <r>
      <rPr>
        <i/>
        <sz val="12"/>
        <rFont val="Arial"/>
        <family val="2"/>
      </rPr>
      <t>f</t>
    </r>
    <r>
      <rPr>
        <vertAlign val="subscript"/>
        <sz val="12"/>
        <rFont val="Arial"/>
        <family val="2"/>
      </rPr>
      <t>ES,P</t>
    </r>
    <r>
      <rPr>
        <sz val="12"/>
        <rFont val="Arial"/>
        <family val="2"/>
      </rPr>
      <t>)/</t>
    </r>
    <r>
      <rPr>
        <i/>
        <sz val="12"/>
        <rFont val="Arial"/>
        <family val="2"/>
      </rPr>
      <t>i</t>
    </r>
    <r>
      <rPr>
        <vertAlign val="subscript"/>
        <sz val="12"/>
        <rFont val="Arial"/>
        <family val="2"/>
      </rPr>
      <t>NO3,N2</t>
    </r>
  </si>
  <si>
    <r>
      <t>(1-</t>
    </r>
    <r>
      <rPr>
        <i/>
        <sz val="12"/>
        <rFont val="Arial"/>
        <family val="2"/>
      </rPr>
      <t>f</t>
    </r>
    <r>
      <rPr>
        <vertAlign val="subscript"/>
        <sz val="12"/>
        <rFont val="Arial"/>
        <family val="2"/>
      </rPr>
      <t>EP,P</t>
    </r>
    <r>
      <rPr>
        <sz val="12"/>
        <rFont val="Arial"/>
        <family val="2"/>
      </rPr>
      <t>-</t>
    </r>
    <r>
      <rPr>
        <i/>
        <sz val="12"/>
        <rFont val="Arial"/>
        <family val="2"/>
      </rPr>
      <t>f</t>
    </r>
    <r>
      <rPr>
        <vertAlign val="subscript"/>
        <sz val="12"/>
        <rFont val="Arial"/>
        <family val="2"/>
      </rPr>
      <t>ES,P</t>
    </r>
    <r>
      <rPr>
        <sz val="12"/>
        <rFont val="Arial"/>
        <family val="2"/>
      </rPr>
      <t>)/</t>
    </r>
    <r>
      <rPr>
        <i/>
        <sz val="12"/>
        <rFont val="Arial"/>
        <family val="2"/>
      </rPr>
      <t>i</t>
    </r>
    <r>
      <rPr>
        <vertAlign val="subscript"/>
        <sz val="12"/>
        <rFont val="Arial"/>
        <family val="2"/>
      </rPr>
      <t>NO3,N2</t>
    </r>
  </si>
  <si>
    <t>r28</t>
  </si>
  <si>
    <r>
      <t>P</t>
    </r>
    <r>
      <rPr>
        <b/>
        <vertAlign val="subscript"/>
        <sz val="10"/>
        <rFont val="Arial"/>
        <family val="2"/>
      </rPr>
      <t xml:space="preserve">PP-LO </t>
    </r>
    <r>
      <rPr>
        <b/>
        <sz val="10"/>
        <rFont val="Arial"/>
        <family val="2"/>
      </rPr>
      <t>lysis on anoxic decay</t>
    </r>
  </si>
  <si>
    <t>r29</t>
  </si>
  <si>
    <r>
      <t>P</t>
    </r>
    <r>
      <rPr>
        <b/>
        <vertAlign val="subscript"/>
        <sz val="10"/>
        <rFont val="Arial"/>
        <family val="2"/>
      </rPr>
      <t xml:space="preserve">PP-HI </t>
    </r>
    <r>
      <rPr>
        <b/>
        <sz val="10"/>
        <rFont val="Arial"/>
        <family val="2"/>
      </rPr>
      <t>lysis on anoxic decay</t>
    </r>
  </si>
  <si>
    <t>r30</t>
  </si>
  <si>
    <r>
      <t>S</t>
    </r>
    <r>
      <rPr>
        <b/>
        <vertAlign val="subscript"/>
        <sz val="10"/>
        <rFont val="Arial"/>
        <family val="2"/>
      </rPr>
      <t xml:space="preserve">PHB </t>
    </r>
    <r>
      <rPr>
        <b/>
        <sz val="10"/>
        <rFont val="Arial"/>
        <family val="2"/>
      </rPr>
      <t>lysis on anoxic decay</t>
    </r>
  </si>
  <si>
    <t>r31</t>
  </si>
  <si>
    <r>
      <t>Anaerobic decay of Z</t>
    </r>
    <r>
      <rPr>
        <b/>
        <vertAlign val="subscript"/>
        <sz val="10"/>
        <rFont val="Arial"/>
        <family val="2"/>
      </rPr>
      <t>P</t>
    </r>
  </si>
  <si>
    <r>
      <t>1-</t>
    </r>
    <r>
      <rPr>
        <i/>
        <sz val="12"/>
        <rFont val="Arial"/>
        <family val="2"/>
      </rPr>
      <t>f</t>
    </r>
    <r>
      <rPr>
        <vertAlign val="subscript"/>
        <sz val="12"/>
        <rFont val="Arial"/>
        <family val="2"/>
      </rPr>
      <t>EP,P</t>
    </r>
  </si>
  <si>
    <t>r32</t>
  </si>
  <si>
    <r>
      <t>P</t>
    </r>
    <r>
      <rPr>
        <b/>
        <vertAlign val="subscript"/>
        <sz val="10"/>
        <rFont val="Arial"/>
        <family val="2"/>
      </rPr>
      <t xml:space="preserve">PP-LO </t>
    </r>
    <r>
      <rPr>
        <b/>
        <sz val="10"/>
        <rFont val="Arial"/>
        <family val="2"/>
      </rPr>
      <t>lysis on anaerobic decay</t>
    </r>
  </si>
  <si>
    <t>r33</t>
  </si>
  <si>
    <r>
      <t>P</t>
    </r>
    <r>
      <rPr>
        <b/>
        <vertAlign val="subscript"/>
        <sz val="10"/>
        <rFont val="Arial"/>
        <family val="2"/>
      </rPr>
      <t xml:space="preserve">PP-HI </t>
    </r>
    <r>
      <rPr>
        <b/>
        <sz val="10"/>
        <rFont val="Arial"/>
        <family val="2"/>
      </rPr>
      <t>lysis on anaerobic decay</t>
    </r>
  </si>
  <si>
    <t>r34</t>
  </si>
  <si>
    <r>
      <t>S</t>
    </r>
    <r>
      <rPr>
        <b/>
        <vertAlign val="subscript"/>
        <sz val="10"/>
        <rFont val="Arial"/>
        <family val="2"/>
      </rPr>
      <t xml:space="preserve">PHB </t>
    </r>
    <r>
      <rPr>
        <b/>
        <sz val="10"/>
        <rFont val="Arial"/>
        <family val="2"/>
      </rPr>
      <t>lysis on anaerobic decay</t>
    </r>
  </si>
  <si>
    <t>r35</t>
  </si>
  <si>
    <t>Cleavage of poly_P for anaerobic maintenance</t>
  </si>
  <si>
    <t>r36</t>
  </si>
  <si>
    <r>
      <t>Sequestration of S</t>
    </r>
    <r>
      <rPr>
        <b/>
        <vertAlign val="subscript"/>
        <sz val="10"/>
        <rFont val="Arial"/>
        <family val="2"/>
      </rPr>
      <t>CFA</t>
    </r>
    <r>
      <rPr>
        <b/>
        <sz val="10"/>
        <rFont val="Arial"/>
        <family val="2"/>
      </rPr>
      <t xml:space="preserve"> by Z</t>
    </r>
    <r>
      <rPr>
        <b/>
        <vertAlign val="subscript"/>
        <sz val="10"/>
        <rFont val="Arial"/>
        <family val="2"/>
      </rPr>
      <t>P</t>
    </r>
  </si>
  <si>
    <r>
      <t>-</t>
    </r>
    <r>
      <rPr>
        <i/>
        <sz val="12"/>
        <rFont val="Arial"/>
        <family val="2"/>
      </rPr>
      <t>f</t>
    </r>
    <r>
      <rPr>
        <vertAlign val="subscript"/>
        <sz val="12"/>
        <rFont val="Arial"/>
        <family val="2"/>
      </rPr>
      <t>P,REL</t>
    </r>
  </si>
  <si>
    <r>
      <t>(1-</t>
    </r>
    <r>
      <rPr>
        <i/>
        <sz val="12"/>
        <rFont val="Arial"/>
        <family val="2"/>
      </rPr>
      <t>Y</t>
    </r>
    <r>
      <rPr>
        <vertAlign val="subscript"/>
        <sz val="12"/>
        <rFont val="Arial"/>
        <family val="2"/>
      </rPr>
      <t>PHB</t>
    </r>
    <r>
      <rPr>
        <sz val="12"/>
        <rFont val="Arial"/>
        <family val="2"/>
      </rPr>
      <t>)</t>
    </r>
    <r>
      <rPr>
        <i/>
        <sz val="12"/>
        <rFont val="Arial"/>
        <family val="2"/>
      </rPr>
      <t>/i</t>
    </r>
    <r>
      <rPr>
        <vertAlign val="subscript"/>
        <sz val="12"/>
        <rFont val="Arial"/>
        <family val="2"/>
      </rPr>
      <t>COD_H2</t>
    </r>
  </si>
  <si>
    <t>N</t>
  </si>
  <si>
    <t>P</t>
  </si>
  <si>
    <t>Ordinary heterotrophic organisms (OHO)</t>
  </si>
  <si>
    <t>L</t>
  </si>
  <si>
    <t>X</t>
  </si>
  <si>
    <t>Integrated</t>
  </si>
  <si>
    <r>
      <t>Autotrophic nitrifying organisms (NH4</t>
    </r>
    <r>
      <rPr>
        <vertAlign val="superscript"/>
        <sz val="11"/>
        <color rgb="FF000000"/>
        <rFont val="Calibri"/>
        <family val="2"/>
        <scheme val="minor"/>
      </rPr>
      <t>+</t>
    </r>
    <r>
      <rPr>
        <sz val="11"/>
        <color rgb="FF000000"/>
        <rFont val="Calibri"/>
        <family val="2"/>
        <charset val="238"/>
        <scheme val="minor"/>
      </rPr>
      <t xml:space="preserve"> to NO3</t>
    </r>
    <r>
      <rPr>
        <vertAlign val="superscript"/>
        <sz val="11"/>
        <color rgb="FF000000"/>
        <rFont val="Calibri"/>
        <family val="2"/>
        <scheme val="minor"/>
      </rPr>
      <t>-</t>
    </r>
    <r>
      <rPr>
        <sz val="11"/>
        <color rgb="FF000000"/>
        <rFont val="Calibri"/>
        <family val="2"/>
        <charset val="238"/>
        <scheme val="minor"/>
      </rPr>
      <t>)</t>
    </r>
  </si>
  <si>
    <t>Phosphorus accumulating organisms (PAO)</t>
  </si>
  <si>
    <t>Particulate undegradable endogenous products</t>
  </si>
  <si>
    <t>Enmeshed slowly biodegradable substrate</t>
  </si>
  <si>
    <t>Fermentable organic matter</t>
  </si>
  <si>
    <t>S</t>
  </si>
  <si>
    <t>Fermentation product (Volatile Fatty Acids)</t>
  </si>
  <si>
    <t>Stored polyhydroxyalkanoates (PHA)</t>
  </si>
  <si>
    <t>Particulate unbiodegradable organics from the influent</t>
  </si>
  <si>
    <t>Soluble undegradable organics</t>
  </si>
  <si>
    <t>Releasable stored polyphosphates in PAOs</t>
  </si>
  <si>
    <t>Non-releasable stored polyphosphates in PAOs</t>
  </si>
  <si>
    <t>Orthophosphate (PO4)</t>
  </si>
  <si>
    <t>Particulate biodegradable organic N</t>
  </si>
  <si>
    <t>Soluble biodegradable organic N</t>
  </si>
  <si>
    <r>
      <t>Ammonia (NH4</t>
    </r>
    <r>
      <rPr>
        <vertAlign val="superscript"/>
        <sz val="11"/>
        <color rgb="FF000000"/>
        <rFont val="Calibri"/>
        <family val="2"/>
        <scheme val="minor"/>
      </rPr>
      <t>+</t>
    </r>
    <r>
      <rPr>
        <sz val="11"/>
        <color rgb="FF000000"/>
        <rFont val="Calibri"/>
        <family val="2"/>
        <charset val="238"/>
        <scheme val="minor"/>
      </rPr>
      <t xml:space="preserve"> + NH3)</t>
    </r>
  </si>
  <si>
    <t>Soluble inert organic N</t>
  </si>
  <si>
    <r>
      <t>Dissolved oxygen (O</t>
    </r>
    <r>
      <rPr>
        <vertAlign val="subscript"/>
        <sz val="11"/>
        <color rgb="FF000000"/>
        <rFont val="Calibri"/>
        <family val="2"/>
        <scheme val="minor"/>
      </rPr>
      <t>2</t>
    </r>
    <r>
      <rPr>
        <sz val="11"/>
        <color rgb="FF000000"/>
        <rFont val="Calibri"/>
        <family val="2"/>
        <charset val="238"/>
        <scheme val="minor"/>
      </rPr>
      <t>)</t>
    </r>
  </si>
  <si>
    <t>-g COD.m-3</t>
  </si>
  <si>
    <r>
      <t>Dissolved nitrogen (N</t>
    </r>
    <r>
      <rPr>
        <vertAlign val="subscript"/>
        <sz val="11"/>
        <color rgb="FF000000"/>
        <rFont val="Calibri"/>
        <family val="2"/>
        <scheme val="minor"/>
      </rPr>
      <t>2</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</si>
  <si>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</si>
  <si>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t>Inorganic suspended solids</t>
  </si>
  <si>
    <t>Balances per processes</t>
  </si>
  <si>
    <t>OUR</t>
  </si>
  <si>
    <t>Oxygen uptake rate (OUR)</t>
  </si>
  <si>
    <t>Reactive</t>
  </si>
  <si>
    <t>COD of particulates</t>
  </si>
  <si>
    <t>Volatile suspended solids (VSS)</t>
  </si>
  <si>
    <t>Total suspended solids (TSS)</t>
  </si>
  <si>
    <t>NUR</t>
  </si>
  <si>
    <t>AUR</t>
  </si>
  <si>
    <t>Ammonia uptake rate (AUR)</t>
  </si>
  <si>
    <r>
      <t>X</t>
    </r>
    <r>
      <rPr>
        <vertAlign val="subscript"/>
        <sz val="11"/>
        <rFont val="Calibri"/>
        <family val="2"/>
      </rPr>
      <t>COD</t>
    </r>
  </si>
  <si>
    <r>
      <t>Z</t>
    </r>
    <r>
      <rPr>
        <vertAlign val="subscript"/>
        <sz val="11"/>
        <rFont val="Calibri"/>
        <family val="2"/>
      </rPr>
      <t>H</t>
    </r>
    <r>
      <rPr>
        <sz val="11"/>
        <rFont val="Calibri"/>
        <family val="2"/>
      </rPr>
      <t>+Z</t>
    </r>
    <r>
      <rPr>
        <vertAlign val="subscript"/>
        <sz val="11"/>
        <rFont val="Calibri"/>
        <family val="2"/>
      </rPr>
      <t>A</t>
    </r>
    <r>
      <rPr>
        <sz val="11"/>
        <rFont val="Calibri"/>
        <family val="2"/>
      </rPr>
      <t>+Z</t>
    </r>
    <r>
      <rPr>
        <vertAlign val="subscript"/>
        <sz val="11"/>
        <rFont val="Calibri"/>
        <family val="2"/>
      </rPr>
      <t>P</t>
    </r>
    <r>
      <rPr>
        <sz val="11"/>
        <rFont val="Calibri"/>
        <family val="2"/>
      </rPr>
      <t>+Z</t>
    </r>
    <r>
      <rPr>
        <vertAlign val="subscript"/>
        <sz val="11"/>
        <rFont val="Calibri"/>
        <family val="2"/>
      </rPr>
      <t>E</t>
    </r>
    <r>
      <rPr>
        <sz val="11"/>
        <rFont val="Calibri"/>
        <family val="2"/>
      </rPr>
      <t>+S</t>
    </r>
    <r>
      <rPr>
        <vertAlign val="subscript"/>
        <sz val="11"/>
        <rFont val="Calibri"/>
        <family val="2"/>
      </rPr>
      <t>ENM</t>
    </r>
    <r>
      <rPr>
        <sz val="11"/>
        <rFont val="Calibri"/>
        <family val="2"/>
      </rPr>
      <t>+S</t>
    </r>
    <r>
      <rPr>
        <vertAlign val="subscript"/>
        <sz val="11"/>
        <rFont val="Calibri"/>
        <family val="2"/>
      </rPr>
      <t>PHB</t>
    </r>
    <r>
      <rPr>
        <sz val="11"/>
        <rFont val="Calibri"/>
        <family val="2"/>
      </rPr>
      <t>+S</t>
    </r>
    <r>
      <rPr>
        <vertAlign val="subscript"/>
        <sz val="11"/>
        <rFont val="Calibri"/>
        <family val="2"/>
      </rPr>
      <t>UP</t>
    </r>
  </si>
  <si>
    <r>
      <t>X</t>
    </r>
    <r>
      <rPr>
        <vertAlign val="subscript"/>
        <sz val="11"/>
        <rFont val="Calibri"/>
        <family val="2"/>
      </rPr>
      <t>VSS</t>
    </r>
  </si>
  <si>
    <r>
      <t>X</t>
    </r>
    <r>
      <rPr>
        <vertAlign val="subscript"/>
        <sz val="11"/>
        <rFont val="Calibri"/>
        <family val="2"/>
      </rPr>
      <t>TSS</t>
    </r>
  </si>
  <si>
    <t>Type(Stoichiometric)</t>
  </si>
  <si>
    <t>Decimals</t>
  </si>
  <si>
    <t>Filtered ultimate biochemical oxygen demand</t>
  </si>
  <si>
    <t>Particulate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</si>
  <si>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</si>
  <si>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</si>
  <si>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</si>
  <si>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</si>
  <si>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Filtered flocculated chemical oxygen demand</t>
  </si>
  <si>
    <r>
      <t>T</t>
    </r>
    <r>
      <rPr>
        <vertAlign val="subscript"/>
        <sz val="11"/>
        <rFont val="Calibri"/>
        <family val="2"/>
      </rPr>
      <t>COD</t>
    </r>
  </si>
  <si>
    <t>Total chemical oxygen demand</t>
  </si>
  <si>
    <r>
      <t>T</t>
    </r>
    <r>
      <rPr>
        <vertAlign val="subscript"/>
        <sz val="11"/>
        <rFont val="Calibri"/>
        <family val="2"/>
      </rPr>
      <t>KN</t>
    </r>
  </si>
  <si>
    <t>Total Kjeldahl nitrogen (TKN)</t>
  </si>
  <si>
    <r>
      <t>g N.m</t>
    </r>
    <r>
      <rPr>
        <vertAlign val="superscript"/>
        <sz val="11"/>
        <rFont val="Calibri"/>
        <family val="2"/>
      </rPr>
      <t>-3</t>
    </r>
  </si>
  <si>
    <r>
      <t>T</t>
    </r>
    <r>
      <rPr>
        <vertAlign val="subscript"/>
        <sz val="11"/>
        <rFont val="Calibri"/>
        <family val="2"/>
      </rPr>
      <t>N</t>
    </r>
  </si>
  <si>
    <t>Total nitrogen</t>
  </si>
  <si>
    <t>Conversion factor for NO3 reduction to N2</t>
  </si>
  <si>
    <t>Conversion factor for NO3 into COD</t>
  </si>
  <si>
    <t>Conversion factor for N2 into COD</t>
  </si>
  <si>
    <t>Conversion factor for H2 into COD</t>
  </si>
  <si>
    <r>
      <t>g COD.g VSS</t>
    </r>
    <r>
      <rPr>
        <vertAlign val="superscript"/>
        <sz val="11"/>
        <rFont val="Calibri"/>
        <family val="2"/>
        <scheme val="minor"/>
      </rPr>
      <t>-1</t>
    </r>
  </si>
  <si>
    <r>
      <t>K</t>
    </r>
    <r>
      <rPr>
        <vertAlign val="subscript"/>
        <sz val="11"/>
        <rFont val="Calibri"/>
        <family val="2"/>
        <scheme val="minor"/>
      </rPr>
      <t>H</t>
    </r>
  </si>
  <si>
    <r>
      <t>K</t>
    </r>
    <r>
      <rPr>
        <vertAlign val="subscript"/>
        <sz val="11"/>
        <rFont val="Calibri"/>
        <family val="2"/>
        <scheme val="minor"/>
      </rPr>
      <t>X</t>
    </r>
  </si>
  <si>
    <r>
      <t>η</t>
    </r>
    <r>
      <rPr>
        <vertAlign val="subscript"/>
        <sz val="11"/>
        <rFont val="Calibri"/>
        <family val="2"/>
        <scheme val="minor"/>
      </rPr>
      <t>S,ANOX</t>
    </r>
  </si>
  <si>
    <r>
      <t>η</t>
    </r>
    <r>
      <rPr>
        <vertAlign val="subscript"/>
        <sz val="11"/>
        <rFont val="Calibri"/>
        <family val="2"/>
        <scheme val="minor"/>
      </rPr>
      <t>S,ANA</t>
    </r>
  </si>
  <si>
    <r>
      <t>μ</t>
    </r>
    <r>
      <rPr>
        <vertAlign val="subscript"/>
        <sz val="11"/>
        <rFont val="Calibri"/>
        <family val="2"/>
        <scheme val="minor"/>
      </rPr>
      <t>H</t>
    </r>
  </si>
  <si>
    <r>
      <t>d</t>
    </r>
    <r>
      <rPr>
        <vertAlign val="superscript"/>
        <sz val="11"/>
        <rFont val="Calibri"/>
        <family val="2"/>
        <scheme val="minor"/>
      </rPr>
      <t>-1</t>
    </r>
  </si>
  <si>
    <r>
      <t>η</t>
    </r>
    <r>
      <rPr>
        <vertAlign val="subscript"/>
        <sz val="11"/>
        <rFont val="Calibri"/>
        <family val="2"/>
        <scheme val="minor"/>
      </rPr>
      <t>gro</t>
    </r>
  </si>
  <si>
    <r>
      <t>K</t>
    </r>
    <r>
      <rPr>
        <vertAlign val="subscript"/>
        <sz val="11"/>
        <rFont val="Calibri"/>
        <family val="2"/>
        <scheme val="minor"/>
      </rPr>
      <t>C</t>
    </r>
  </si>
  <si>
    <r>
      <t>K</t>
    </r>
    <r>
      <rPr>
        <vertAlign val="subscript"/>
        <sz val="11"/>
        <rFont val="Calibri"/>
        <family val="2"/>
        <scheme val="minor"/>
      </rPr>
      <t>S,H</t>
    </r>
  </si>
  <si>
    <r>
      <t>K</t>
    </r>
    <r>
      <rPr>
        <vertAlign val="subscript"/>
        <sz val="11"/>
        <rFont val="Calibri"/>
        <family val="2"/>
        <scheme val="minor"/>
      </rPr>
      <t>S,H,BSA</t>
    </r>
  </si>
  <si>
    <r>
      <t>b</t>
    </r>
    <r>
      <rPr>
        <vertAlign val="subscript"/>
        <sz val="11"/>
        <rFont val="Calibri"/>
        <family val="2"/>
        <scheme val="minor"/>
      </rPr>
      <t>H</t>
    </r>
  </si>
  <si>
    <r>
      <t>K</t>
    </r>
    <r>
      <rPr>
        <vertAlign val="subscript"/>
        <sz val="11"/>
        <rFont val="Calibri"/>
        <family val="2"/>
        <scheme val="minor"/>
      </rPr>
      <t>S,ANA</t>
    </r>
  </si>
  <si>
    <r>
      <t>K</t>
    </r>
    <r>
      <rPr>
        <vertAlign val="subscript"/>
        <sz val="11"/>
        <rFont val="Calibri"/>
        <family val="2"/>
        <scheme val="minor"/>
      </rPr>
      <t>O,HET</t>
    </r>
  </si>
  <si>
    <r>
      <t>K</t>
    </r>
    <r>
      <rPr>
        <vertAlign val="subscript"/>
        <sz val="11"/>
        <rFont val="Calibri"/>
        <family val="2"/>
        <scheme val="minor"/>
      </rPr>
      <t>NO</t>
    </r>
  </si>
  <si>
    <r>
      <t>K</t>
    </r>
    <r>
      <rPr>
        <vertAlign val="subscript"/>
        <sz val="11"/>
        <rFont val="Calibri"/>
        <family val="2"/>
        <scheme val="minor"/>
      </rPr>
      <t>NA</t>
    </r>
  </si>
  <si>
    <r>
      <t>K</t>
    </r>
    <r>
      <rPr>
        <vertAlign val="subscript"/>
        <sz val="11"/>
        <rFont val="Calibri"/>
        <family val="2"/>
        <scheme val="minor"/>
      </rPr>
      <t>P</t>
    </r>
  </si>
  <si>
    <r>
      <t>µ</t>
    </r>
    <r>
      <rPr>
        <vertAlign val="subscript"/>
        <sz val="11"/>
        <rFont val="Calibri"/>
        <family val="2"/>
        <scheme val="minor"/>
      </rPr>
      <t>P1</t>
    </r>
  </si>
  <si>
    <r>
      <t>µ</t>
    </r>
    <r>
      <rPr>
        <vertAlign val="subscript"/>
        <sz val="11"/>
        <rFont val="Calibri"/>
        <family val="2"/>
        <scheme val="minor"/>
      </rPr>
      <t>P2</t>
    </r>
  </si>
  <si>
    <r>
      <t>η</t>
    </r>
    <r>
      <rPr>
        <vertAlign val="subscript"/>
        <sz val="11"/>
        <rFont val="Calibri"/>
        <family val="2"/>
        <scheme val="minor"/>
      </rPr>
      <t>p</t>
    </r>
  </si>
  <si>
    <r>
      <t>K</t>
    </r>
    <r>
      <rPr>
        <vertAlign val="subscript"/>
        <sz val="11"/>
        <rFont val="Calibri"/>
        <family val="2"/>
        <scheme val="minor"/>
      </rPr>
      <t>SP1</t>
    </r>
  </si>
  <si>
    <r>
      <t>K</t>
    </r>
    <r>
      <rPr>
        <vertAlign val="subscript"/>
        <sz val="11"/>
        <rFont val="Calibri"/>
        <family val="2"/>
        <scheme val="minor"/>
      </rPr>
      <t>SP2</t>
    </r>
  </si>
  <si>
    <r>
      <t>b</t>
    </r>
    <r>
      <rPr>
        <vertAlign val="subscript"/>
        <sz val="11"/>
        <rFont val="Calibri"/>
        <family val="2"/>
        <scheme val="minor"/>
      </rPr>
      <t>P</t>
    </r>
  </si>
  <si>
    <r>
      <t>b</t>
    </r>
    <r>
      <rPr>
        <vertAlign val="subscript"/>
        <sz val="11"/>
        <rFont val="Calibri"/>
        <family val="2"/>
        <scheme val="minor"/>
      </rPr>
      <t>PP</t>
    </r>
  </si>
  <si>
    <r>
      <t>K</t>
    </r>
    <r>
      <rPr>
        <vertAlign val="subscript"/>
        <sz val="11"/>
        <rFont val="Calibri"/>
        <family val="2"/>
        <scheme val="minor"/>
      </rPr>
      <t>SSEQ</t>
    </r>
  </si>
  <si>
    <r>
      <t>K</t>
    </r>
    <r>
      <rPr>
        <vertAlign val="subscript"/>
        <sz val="11"/>
        <rFont val="Calibri"/>
        <family val="2"/>
        <scheme val="minor"/>
      </rPr>
      <t>LP,UPT</t>
    </r>
  </si>
  <si>
    <r>
      <t>K</t>
    </r>
    <r>
      <rPr>
        <vertAlign val="subscript"/>
        <sz val="11"/>
        <rFont val="Calibri"/>
        <family val="2"/>
        <scheme val="minor"/>
      </rPr>
      <t>XP</t>
    </r>
  </si>
  <si>
    <r>
      <t>μ</t>
    </r>
    <r>
      <rPr>
        <vertAlign val="subscript"/>
        <sz val="11"/>
        <rFont val="Calibri"/>
        <family val="2"/>
        <scheme val="minor"/>
      </rPr>
      <t>A</t>
    </r>
  </si>
  <si>
    <r>
      <t>b</t>
    </r>
    <r>
      <rPr>
        <vertAlign val="subscript"/>
        <sz val="11"/>
        <rFont val="Calibri"/>
        <family val="2"/>
        <scheme val="minor"/>
      </rPr>
      <t>A</t>
    </r>
  </si>
  <si>
    <r>
      <t>K</t>
    </r>
    <r>
      <rPr>
        <vertAlign val="subscript"/>
        <sz val="11"/>
        <rFont val="Calibri"/>
        <family val="2"/>
        <scheme val="minor"/>
      </rPr>
      <t>R</t>
    </r>
  </si>
  <si>
    <r>
      <t>E</t>
    </r>
    <r>
      <rPr>
        <vertAlign val="subscript"/>
        <sz val="11"/>
        <rFont val="Calibri"/>
        <family val="2"/>
        <scheme val="minor"/>
      </rPr>
      <t>ANOX</t>
    </r>
  </si>
  <si>
    <r>
      <t>E</t>
    </r>
    <r>
      <rPr>
        <vertAlign val="subscript"/>
        <sz val="11"/>
        <rFont val="Calibri"/>
        <family val="2"/>
        <scheme val="minor"/>
      </rPr>
      <t>ANA</t>
    </r>
  </si>
  <si>
    <r>
      <t>Y</t>
    </r>
    <r>
      <rPr>
        <vertAlign val="subscript"/>
        <sz val="11"/>
        <rFont val="Calibri"/>
        <family val="2"/>
        <scheme val="minor"/>
      </rPr>
      <t>H,AER</t>
    </r>
  </si>
  <si>
    <r>
      <t>Y</t>
    </r>
    <r>
      <rPr>
        <vertAlign val="subscript"/>
        <sz val="11"/>
        <rFont val="Calibri"/>
        <family val="2"/>
        <scheme val="minor"/>
      </rPr>
      <t>H,ANOX</t>
    </r>
  </si>
  <si>
    <r>
      <t>Y</t>
    </r>
    <r>
      <rPr>
        <vertAlign val="subscript"/>
        <sz val="11"/>
        <rFont val="Calibri"/>
        <family val="2"/>
        <scheme val="minor"/>
      </rPr>
      <t>H,ANA</t>
    </r>
  </si>
  <si>
    <r>
      <t>f</t>
    </r>
    <r>
      <rPr>
        <vertAlign val="subscript"/>
        <sz val="11"/>
        <rFont val="Calibri"/>
        <family val="2"/>
        <scheme val="minor"/>
      </rPr>
      <t>EP,H</t>
    </r>
  </si>
  <si>
    <r>
      <t>Y</t>
    </r>
    <r>
      <rPr>
        <vertAlign val="subscript"/>
        <sz val="11"/>
        <rFont val="Calibri"/>
        <family val="2"/>
        <scheme val="minor"/>
      </rPr>
      <t>AC</t>
    </r>
  </si>
  <si>
    <r>
      <t>Y</t>
    </r>
    <r>
      <rPr>
        <vertAlign val="subscript"/>
        <sz val="11"/>
        <rFont val="Calibri"/>
        <family val="2"/>
        <scheme val="minor"/>
      </rPr>
      <t>P</t>
    </r>
  </si>
  <si>
    <r>
      <t>f</t>
    </r>
    <r>
      <rPr>
        <vertAlign val="subscript"/>
        <sz val="11"/>
        <rFont val="Calibri"/>
        <family val="2"/>
        <scheme val="minor"/>
      </rPr>
      <t>P,UPT1</t>
    </r>
  </si>
  <si>
    <r>
      <t>f</t>
    </r>
    <r>
      <rPr>
        <vertAlign val="subscript"/>
        <sz val="11"/>
        <rFont val="Calibri"/>
        <family val="2"/>
        <scheme val="minor"/>
      </rPr>
      <t>P,UPT2</t>
    </r>
  </si>
  <si>
    <r>
      <t>Y</t>
    </r>
    <r>
      <rPr>
        <vertAlign val="subscript"/>
        <sz val="11"/>
        <rFont val="Calibri"/>
        <family val="2"/>
        <scheme val="minor"/>
      </rPr>
      <t>PHB</t>
    </r>
  </si>
  <si>
    <r>
      <t>f</t>
    </r>
    <r>
      <rPr>
        <vertAlign val="subscript"/>
        <sz val="11"/>
        <rFont val="Calibri"/>
        <family val="2"/>
        <scheme val="minor"/>
      </rPr>
      <t>P,REL</t>
    </r>
  </si>
  <si>
    <r>
      <t>f</t>
    </r>
    <r>
      <rPr>
        <vertAlign val="subscript"/>
        <sz val="11"/>
        <rFont val="Calibri"/>
        <family val="2"/>
        <scheme val="minor"/>
      </rPr>
      <t>PP</t>
    </r>
  </si>
  <si>
    <r>
      <t>f</t>
    </r>
    <r>
      <rPr>
        <vertAlign val="subscript"/>
        <sz val="11"/>
        <rFont val="Calibri"/>
        <family val="2"/>
        <scheme val="minor"/>
      </rPr>
      <t>EP,P</t>
    </r>
  </si>
  <si>
    <r>
      <t>f</t>
    </r>
    <r>
      <rPr>
        <vertAlign val="subscript"/>
        <sz val="11"/>
        <rFont val="Calibri"/>
        <family val="2"/>
        <scheme val="minor"/>
      </rPr>
      <t>ES,P</t>
    </r>
  </si>
  <si>
    <r>
      <t>Y</t>
    </r>
    <r>
      <rPr>
        <vertAlign val="subscript"/>
        <sz val="11"/>
        <rFont val="Calibri"/>
        <family val="2"/>
        <scheme val="minor"/>
      </rPr>
      <t>A</t>
    </r>
  </si>
  <si>
    <r>
      <t>f</t>
    </r>
    <r>
      <rPr>
        <vertAlign val="subscript"/>
        <sz val="11"/>
        <rFont val="Calibri"/>
        <family val="2"/>
        <scheme val="minor"/>
      </rPr>
      <t>EP,A</t>
    </r>
  </si>
  <si>
    <r>
      <t>f</t>
    </r>
    <r>
      <rPr>
        <vertAlign val="subscript"/>
        <sz val="11"/>
        <rFont val="Calibri"/>
        <family val="2"/>
        <scheme val="minor"/>
      </rPr>
      <t>N,SEP</t>
    </r>
  </si>
  <si>
    <r>
      <t>f</t>
    </r>
    <r>
      <rPr>
        <vertAlign val="subscript"/>
        <sz val="11"/>
        <rFont val="Calibri"/>
        <family val="2"/>
        <scheme val="minor"/>
      </rPr>
      <t>N,ZH</t>
    </r>
  </si>
  <si>
    <r>
      <t>f</t>
    </r>
    <r>
      <rPr>
        <vertAlign val="subscript"/>
        <sz val="11"/>
        <rFont val="Calibri"/>
        <family val="2"/>
        <scheme val="minor"/>
      </rPr>
      <t>N,ZEH</t>
    </r>
  </si>
  <si>
    <r>
      <t>f</t>
    </r>
    <r>
      <rPr>
        <vertAlign val="subscript"/>
        <sz val="11"/>
        <rFont val="Calibri"/>
        <family val="2"/>
        <scheme val="minor"/>
      </rPr>
      <t>N,ZP</t>
    </r>
  </si>
  <si>
    <r>
      <t>f</t>
    </r>
    <r>
      <rPr>
        <vertAlign val="subscript"/>
        <sz val="11"/>
        <rFont val="Calibri"/>
        <family val="2"/>
        <scheme val="minor"/>
      </rPr>
      <t>N,ZEP</t>
    </r>
  </si>
  <si>
    <r>
      <t>f</t>
    </r>
    <r>
      <rPr>
        <vertAlign val="subscript"/>
        <sz val="11"/>
        <rFont val="Calibri"/>
        <family val="2"/>
        <scheme val="minor"/>
      </rPr>
      <t>N,ZA</t>
    </r>
  </si>
  <si>
    <r>
      <t>f</t>
    </r>
    <r>
      <rPr>
        <vertAlign val="subscript"/>
        <sz val="11"/>
        <rFont val="Calibri"/>
        <family val="2"/>
        <scheme val="minor"/>
      </rPr>
      <t>N,ZEA</t>
    </r>
  </si>
  <si>
    <r>
      <t>f</t>
    </r>
    <r>
      <rPr>
        <vertAlign val="subscript"/>
        <sz val="11"/>
        <rFont val="Calibri"/>
        <family val="2"/>
        <scheme val="minor"/>
      </rPr>
      <t>P,ZH</t>
    </r>
  </si>
  <si>
    <r>
      <t>f</t>
    </r>
    <r>
      <rPr>
        <vertAlign val="subscript"/>
        <sz val="11"/>
        <rFont val="Calibri"/>
        <family val="2"/>
        <scheme val="minor"/>
      </rPr>
      <t>P,ZEH</t>
    </r>
  </si>
  <si>
    <r>
      <t>f</t>
    </r>
    <r>
      <rPr>
        <vertAlign val="subscript"/>
        <sz val="11"/>
        <rFont val="Calibri"/>
        <family val="2"/>
        <scheme val="minor"/>
      </rPr>
      <t>P,ZP</t>
    </r>
  </si>
  <si>
    <r>
      <t>f</t>
    </r>
    <r>
      <rPr>
        <vertAlign val="subscript"/>
        <sz val="11"/>
        <rFont val="Calibri"/>
        <family val="2"/>
        <scheme val="minor"/>
      </rPr>
      <t>P,ZEP</t>
    </r>
  </si>
  <si>
    <r>
      <t>f</t>
    </r>
    <r>
      <rPr>
        <vertAlign val="subscript"/>
        <sz val="11"/>
        <rFont val="Calibri"/>
        <family val="2"/>
        <scheme val="minor"/>
      </rPr>
      <t>P,ZA</t>
    </r>
  </si>
  <si>
    <r>
      <t>f</t>
    </r>
    <r>
      <rPr>
        <vertAlign val="subscript"/>
        <sz val="11"/>
        <rFont val="Calibri"/>
        <family val="2"/>
        <scheme val="minor"/>
      </rPr>
      <t>P,ZEA</t>
    </r>
  </si>
  <si>
    <r>
      <t>f</t>
    </r>
    <r>
      <rPr>
        <vertAlign val="subscript"/>
        <sz val="11"/>
        <rFont val="Calibri"/>
        <family val="2"/>
        <scheme val="minor"/>
      </rPr>
      <t>CV,H</t>
    </r>
  </si>
  <si>
    <r>
      <t>f</t>
    </r>
    <r>
      <rPr>
        <vertAlign val="subscript"/>
        <sz val="11"/>
        <rFont val="Calibri"/>
        <family val="2"/>
        <scheme val="minor"/>
      </rPr>
      <t>CV,A</t>
    </r>
  </si>
  <si>
    <r>
      <t>f</t>
    </r>
    <r>
      <rPr>
        <vertAlign val="subscript"/>
        <sz val="11"/>
        <rFont val="Calibri"/>
        <family val="2"/>
        <scheme val="minor"/>
      </rPr>
      <t>CV,P</t>
    </r>
  </si>
  <si>
    <r>
      <t>i</t>
    </r>
    <r>
      <rPr>
        <vertAlign val="subscript"/>
        <sz val="11"/>
        <rFont val="Calibri"/>
        <family val="2"/>
        <scheme val="minor"/>
      </rPr>
      <t>NO3,N2</t>
    </r>
  </si>
  <si>
    <r>
      <t>g COD.g N</t>
    </r>
    <r>
      <rPr>
        <vertAlign val="superscript"/>
        <sz val="11"/>
        <rFont val="Calibri"/>
        <family val="2"/>
        <scheme val="minor"/>
      </rPr>
      <t>-1</t>
    </r>
  </si>
  <si>
    <r>
      <t>i</t>
    </r>
    <r>
      <rPr>
        <vertAlign val="subscript"/>
        <sz val="11"/>
        <rFont val="Calibri"/>
        <family val="2"/>
        <scheme val="minor"/>
      </rPr>
      <t>COD_NO3</t>
    </r>
  </si>
  <si>
    <r>
      <t>i</t>
    </r>
    <r>
      <rPr>
        <vertAlign val="subscript"/>
        <sz val="11"/>
        <rFont val="Calibri"/>
        <family val="2"/>
        <scheme val="minor"/>
      </rPr>
      <t>COD_N2</t>
    </r>
  </si>
  <si>
    <r>
      <t>i</t>
    </r>
    <r>
      <rPr>
        <vertAlign val="subscript"/>
        <sz val="11"/>
        <rFont val="Calibri"/>
        <family val="2"/>
        <scheme val="minor"/>
      </rPr>
      <t>COD_H2</t>
    </r>
  </si>
  <si>
    <r>
      <t>g COD.g H</t>
    </r>
    <r>
      <rPr>
        <vertAlign val="superscript"/>
        <sz val="11"/>
        <rFont val="Calibri"/>
        <family val="2"/>
        <scheme val="minor"/>
      </rPr>
      <t>-1</t>
    </r>
  </si>
  <si>
    <t>Hydrolysis</t>
  </si>
  <si>
    <t>Type(Kinetic)</t>
  </si>
  <si>
    <t>Growth and decay of phosphorus accumulating organisms</t>
  </si>
  <si>
    <t>Growth and decay of heterotrophic organisms</t>
  </si>
  <si>
    <t>Growth and decay of autotrophic nitrifying organisms</t>
  </si>
  <si>
    <t>Yields</t>
  </si>
  <si>
    <t>Nitrogen and phosphorus contents</t>
  </si>
  <si>
    <t>Calculated variable ratios</t>
  </si>
  <si>
    <t>Conversion factors for electron acceptors and charge</t>
  </si>
  <si>
    <r>
      <t>f</t>
    </r>
    <r>
      <rPr>
        <i/>
        <vertAlign val="subscript"/>
        <sz val="11"/>
        <rFont val="Calibri"/>
        <family val="2"/>
        <scheme val="minor"/>
      </rPr>
      <t>CV,O</t>
    </r>
  </si>
  <si>
    <t>Ratio COD/VSS (other)</t>
  </si>
  <si>
    <r>
      <t>Z</t>
    </r>
    <r>
      <rPr>
        <vertAlign val="subscript"/>
        <sz val="11"/>
        <rFont val="Calibri"/>
        <family val="2"/>
      </rPr>
      <t>H</t>
    </r>
    <r>
      <rPr>
        <sz val="11"/>
        <rFont val="Calibri"/>
        <family val="2"/>
      </rPr>
      <t>/f</t>
    </r>
    <r>
      <rPr>
        <vertAlign val="subscript"/>
        <sz val="11"/>
        <rFont val="Calibri"/>
        <family val="2"/>
      </rPr>
      <t>CV,H</t>
    </r>
    <r>
      <rPr>
        <sz val="11"/>
        <rFont val="Calibri"/>
        <family val="2"/>
      </rPr>
      <t xml:space="preserve"> + Z</t>
    </r>
    <r>
      <rPr>
        <vertAlign val="subscript"/>
        <sz val="11"/>
        <rFont val="Calibri"/>
        <family val="2"/>
      </rPr>
      <t>A</t>
    </r>
    <r>
      <rPr>
        <sz val="11"/>
        <rFont val="Calibri"/>
        <family val="2"/>
      </rPr>
      <t>/f</t>
    </r>
    <r>
      <rPr>
        <vertAlign val="subscript"/>
        <sz val="11"/>
        <rFont val="Calibri"/>
        <family val="2"/>
      </rPr>
      <t>CV,A</t>
    </r>
    <r>
      <rPr>
        <sz val="11"/>
        <rFont val="Calibri"/>
        <family val="2"/>
      </rPr>
      <t xml:space="preserve"> + Z</t>
    </r>
    <r>
      <rPr>
        <vertAlign val="subscript"/>
        <sz val="11"/>
        <rFont val="Calibri"/>
        <family val="2"/>
      </rPr>
      <t>P</t>
    </r>
    <r>
      <rPr>
        <sz val="11"/>
        <rFont val="Calibri"/>
        <family val="2"/>
      </rPr>
      <t>/f</t>
    </r>
    <r>
      <rPr>
        <vertAlign val="subscript"/>
        <sz val="11"/>
        <rFont val="Calibri"/>
        <family val="2"/>
      </rPr>
      <t>CV,P</t>
    </r>
    <r>
      <rPr>
        <sz val="11"/>
        <rFont val="Calibri"/>
        <family val="2"/>
      </rPr>
      <t xml:space="preserve"> + (Z</t>
    </r>
    <r>
      <rPr>
        <vertAlign val="subscript"/>
        <sz val="11"/>
        <rFont val="Calibri"/>
        <family val="2"/>
      </rPr>
      <t>E</t>
    </r>
    <r>
      <rPr>
        <sz val="11"/>
        <rFont val="Calibri"/>
        <family val="2"/>
      </rPr>
      <t xml:space="preserve"> + S</t>
    </r>
    <r>
      <rPr>
        <vertAlign val="subscript"/>
        <sz val="11"/>
        <rFont val="Calibri"/>
        <family val="2"/>
      </rPr>
      <t>ENM</t>
    </r>
    <r>
      <rPr>
        <sz val="11"/>
        <rFont val="Calibri"/>
        <family val="2"/>
      </rPr>
      <t xml:space="preserve"> + S</t>
    </r>
    <r>
      <rPr>
        <vertAlign val="subscript"/>
        <sz val="11"/>
        <rFont val="Calibri"/>
        <family val="2"/>
      </rPr>
      <t>PHB</t>
    </r>
    <r>
      <rPr>
        <sz val="11"/>
        <rFont val="Calibri"/>
        <family val="2"/>
      </rPr>
      <t xml:space="preserve"> + S</t>
    </r>
    <r>
      <rPr>
        <vertAlign val="subscript"/>
        <sz val="11"/>
        <rFont val="Calibri"/>
        <family val="2"/>
      </rPr>
      <t>UP</t>
    </r>
    <r>
      <rPr>
        <sz val="11"/>
        <rFont val="Calibri"/>
        <family val="2"/>
      </rPr>
      <t>)/f</t>
    </r>
    <r>
      <rPr>
        <vertAlign val="subscript"/>
        <sz val="11"/>
        <rFont val="Calibri"/>
        <family val="2"/>
      </rPr>
      <t>CV,O</t>
    </r>
  </si>
  <si>
    <r>
      <t>BOD</t>
    </r>
    <r>
      <rPr>
        <vertAlign val="subscript"/>
        <sz val="11"/>
        <rFont val="Calibri"/>
        <family val="2"/>
        <scheme val="minor"/>
      </rPr>
      <t>5</t>
    </r>
    <r>
      <rPr>
        <sz val="11"/>
        <rFont val="Calibri"/>
        <family val="2"/>
        <scheme val="minor"/>
      </rPr>
      <t xml:space="preserve"> to ultimate BOD ratio</t>
    </r>
  </si>
  <si>
    <r>
      <t>gCOD.gCOD</t>
    </r>
    <r>
      <rPr>
        <vertAlign val="superscript"/>
        <sz val="11"/>
        <rFont val="Calibri"/>
        <family val="2"/>
        <scheme val="minor"/>
      </rPr>
      <t>-1</t>
    </r>
  </si>
  <si>
    <r>
      <t>g COD.m</t>
    </r>
    <r>
      <rPr>
        <vertAlign val="superscript"/>
        <sz val="11"/>
        <rFont val="Calibri"/>
        <family val="2"/>
      </rPr>
      <t>-3</t>
    </r>
  </si>
  <si>
    <r>
      <t>N</t>
    </r>
    <r>
      <rPr>
        <vertAlign val="subscript"/>
        <sz val="11"/>
        <rFont val="Calibri"/>
        <family val="2"/>
        <scheme val="minor"/>
      </rPr>
      <t>H3</t>
    </r>
    <r>
      <rPr>
        <sz val="11"/>
        <rFont val="Calibri"/>
        <family val="2"/>
        <scheme val="minor"/>
      </rPr>
      <t xml:space="preserve"> + N</t>
    </r>
    <r>
      <rPr>
        <vertAlign val="subscript"/>
        <sz val="11"/>
        <rFont val="Calibri"/>
        <family val="2"/>
        <scheme val="minor"/>
      </rPr>
      <t>BP</t>
    </r>
    <r>
      <rPr>
        <sz val="11"/>
        <rFont val="Calibri"/>
        <family val="2"/>
        <scheme val="minor"/>
      </rPr>
      <t xml:space="preserve"> + N</t>
    </r>
    <r>
      <rPr>
        <vertAlign val="subscript"/>
        <sz val="11"/>
        <rFont val="Calibri"/>
        <family val="2"/>
        <scheme val="minor"/>
      </rPr>
      <t>BS</t>
    </r>
    <r>
      <rPr>
        <sz val="11"/>
        <rFont val="Calibri"/>
        <family val="2"/>
        <scheme val="minor"/>
      </rPr>
      <t xml:space="preserve"> + N</t>
    </r>
    <r>
      <rPr>
        <vertAlign val="subscript"/>
        <sz val="11"/>
        <rFont val="Calibri"/>
        <family val="2"/>
        <scheme val="minor"/>
      </rPr>
      <t>US</t>
    </r>
    <r>
      <rPr>
        <sz val="11"/>
        <rFont val="Calibri"/>
        <family val="2"/>
        <scheme val="minor"/>
      </rPr>
      <t xml:space="preserve"> * f</t>
    </r>
    <r>
      <rPr>
        <vertAlign val="subscript"/>
        <sz val="11"/>
        <rFont val="Calibri"/>
        <family val="2"/>
        <scheme val="minor"/>
      </rPr>
      <t>N,SEP</t>
    </r>
    <r>
      <rPr>
        <sz val="11"/>
        <rFont val="Calibri"/>
        <family val="2"/>
        <scheme val="minor"/>
      </rPr>
      <t>*S</t>
    </r>
    <r>
      <rPr>
        <vertAlign val="subscript"/>
        <sz val="11"/>
        <rFont val="Calibri"/>
        <family val="2"/>
        <scheme val="minor"/>
      </rPr>
      <t>UP</t>
    </r>
    <r>
      <rPr>
        <sz val="11"/>
        <rFont val="Calibri"/>
        <family val="2"/>
        <scheme val="minor"/>
      </rPr>
      <t xml:space="preserve"> + f</t>
    </r>
    <r>
      <rPr>
        <vertAlign val="subscript"/>
        <sz val="11"/>
        <rFont val="Calibri"/>
        <family val="2"/>
        <scheme val="minor"/>
      </rPr>
      <t>N,ZH</t>
    </r>
    <r>
      <rPr>
        <sz val="11"/>
        <rFont val="Calibri"/>
        <family val="2"/>
        <scheme val="minor"/>
      </rPr>
      <t>*Z</t>
    </r>
    <r>
      <rPr>
        <vertAlign val="subscript"/>
        <sz val="11"/>
        <rFont val="Calibri"/>
        <family val="2"/>
        <scheme val="minor"/>
      </rPr>
      <t>H</t>
    </r>
    <r>
      <rPr>
        <sz val="11"/>
        <rFont val="Calibri"/>
        <family val="2"/>
        <scheme val="minor"/>
      </rPr>
      <t xml:space="preserve"> + f</t>
    </r>
    <r>
      <rPr>
        <vertAlign val="subscript"/>
        <sz val="11"/>
        <rFont val="Calibri"/>
        <family val="2"/>
        <scheme val="minor"/>
      </rPr>
      <t>N,ZEH</t>
    </r>
    <r>
      <rPr>
        <sz val="11"/>
        <rFont val="Calibri"/>
        <family val="2"/>
        <scheme val="minor"/>
      </rPr>
      <t>*Z</t>
    </r>
    <r>
      <rPr>
        <vertAlign val="subscript"/>
        <sz val="11"/>
        <rFont val="Calibri"/>
        <family val="2"/>
        <scheme val="minor"/>
      </rPr>
      <t>E</t>
    </r>
    <r>
      <rPr>
        <sz val="11"/>
        <rFont val="Calibri"/>
        <family val="2"/>
        <scheme val="minor"/>
      </rPr>
      <t xml:space="preserve"> + f</t>
    </r>
    <r>
      <rPr>
        <vertAlign val="subscript"/>
        <sz val="11"/>
        <rFont val="Calibri"/>
        <family val="2"/>
        <scheme val="minor"/>
      </rPr>
      <t>N,ZA</t>
    </r>
    <r>
      <rPr>
        <sz val="11"/>
        <rFont val="Calibri"/>
        <family val="2"/>
        <scheme val="minor"/>
      </rPr>
      <t>*Z</t>
    </r>
    <r>
      <rPr>
        <vertAlign val="subscript"/>
        <sz val="11"/>
        <rFont val="Calibri"/>
        <family val="2"/>
        <scheme val="minor"/>
      </rPr>
      <t>A</t>
    </r>
    <r>
      <rPr>
        <sz val="11"/>
        <rFont val="Calibri"/>
        <family val="2"/>
        <scheme val="minor"/>
      </rPr>
      <t xml:space="preserve"> + f</t>
    </r>
    <r>
      <rPr>
        <vertAlign val="subscript"/>
        <sz val="11"/>
        <rFont val="Calibri"/>
        <family val="2"/>
        <scheme val="minor"/>
      </rPr>
      <t>N,ZP</t>
    </r>
    <r>
      <rPr>
        <sz val="11"/>
        <rFont val="Calibri"/>
        <family val="2"/>
        <scheme val="minor"/>
      </rPr>
      <t>*Z</t>
    </r>
    <r>
      <rPr>
        <vertAlign val="subscript"/>
        <sz val="11"/>
        <rFont val="Calibri"/>
        <family val="2"/>
        <scheme val="minor"/>
      </rPr>
      <t>P</t>
    </r>
  </si>
  <si>
    <r>
      <t>g.m</t>
    </r>
    <r>
      <rPr>
        <vertAlign val="superscript"/>
        <sz val="11"/>
        <rFont val="Calibri"/>
        <family val="2"/>
      </rPr>
      <t>-3</t>
    </r>
  </si>
  <si>
    <t>Uptake rates</t>
  </si>
  <si>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</si>
  <si>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</si>
  <si>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</si>
  <si>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</si>
  <si>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</si>
  <si>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</si>
  <si>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</si>
  <si>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</si>
  <si>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</si>
  <si>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BellinhpH(var; Klo; Khi)</t>
  </si>
  <si>
    <t>Bell-shaped inhibition with check for pH availability</t>
  </si>
  <si>
    <t>Max(lolim;Min(hilim;var))</t>
  </si>
  <si>
    <t>Sign(x)</t>
  </si>
  <si>
    <t>Sign</t>
  </si>
  <si>
    <t>If(x&gt;0;1;If(x&lt;0;-1;0))</t>
  </si>
  <si>
    <t>this can be used in Excel from FuncEngine 1.5.2</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</si>
  <si>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</si>
  <si>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</si>
  <si>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</si>
  <si>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</si>
  <si>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</si>
  <si>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</si>
  <si>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</si>
  <si>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</si>
  <si>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</si>
  <si>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</si>
  <si>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</si>
  <si>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</si>
  <si>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</si>
  <si>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</si>
  <si>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</si>
  <si>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</si>
  <si>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</si>
  <si>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</si>
  <si>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</si>
  <si>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</si>
  <si>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</si>
  <si>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</si>
  <si>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</si>
  <si>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</si>
  <si>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</si>
  <si>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</si>
  <si>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</si>
  <si>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</si>
  <si>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</si>
  <si>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</si>
  <si>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</si>
  <si>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</si>
  <si>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</si>
  <si>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</si>
  <si>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</si>
  <si>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</si>
  <si>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</si>
  <si>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</si>
  <si>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</si>
  <si>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</si>
  <si>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</si>
  <si>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r>
      <t>g.m</t>
    </r>
    <r>
      <rPr>
        <vertAlign val="superscript"/>
        <sz val="11"/>
        <rFont val="Calibri"/>
        <family val="2"/>
        <scheme val="minor"/>
      </rPr>
      <t>-3</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</si>
  <si>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</si>
  <si>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</si>
  <si>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</si>
  <si>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</si>
  <si>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</si>
  <si>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</si>
  <si>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</si>
  <si>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</si>
  <si>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</si>
  <si>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</si>
  <si>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</si>
  <si>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</si>
  <si>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</si>
  <si>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</si>
  <si>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</si>
  <si>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</si>
  <si>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</si>
  <si>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</si>
  <si>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</si>
  <si>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</si>
  <si>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</si>
  <si>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</si>
  <si>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</si>
  <si>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</si>
  <si>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</si>
  <si>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</si>
  <si>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</si>
  <si>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</si>
  <si>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</si>
  <si>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</si>
  <si>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</si>
  <si>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</si>
  <si>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</si>
  <si>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</si>
  <si>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</si>
  <si>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</si>
  <si>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</si>
  <si>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</si>
  <si>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</si>
  <si>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</si>
  <si>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</si>
  <si>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</si>
  <si>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</si>
  <si>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</si>
  <si>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</si>
  <si>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</si>
  <si>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</si>
  <si>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</si>
  <si>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</si>
  <si>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</si>
  <si>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</si>
  <si>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</si>
  <si>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</si>
  <si>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</si>
  <si>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</si>
  <si>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</si>
  <si>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</si>
  <si>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</si>
  <si>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</si>
  <si>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</si>
  <si>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</si>
  <si>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</si>
  <si>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</si>
  <si>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</si>
  <si>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</si>
  <si>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</si>
  <si>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</si>
  <si>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</si>
  <si>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</si>
  <si>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</si>
  <si>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</si>
  <si>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</si>
  <si>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</si>
  <si>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</si>
  <si>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</si>
  <si>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</si>
  <si>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</si>
  <si>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</si>
  <si>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</si>
  <si>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</si>
  <si>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</si>
  <si>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</si>
  <si>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</si>
  <si>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</si>
  <si>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</si>
  <si>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</si>
  <si>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</si>
  <si>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</si>
  <si>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</si>
  <si>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</si>
  <si>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</si>
  <si>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</si>
  <si>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</si>
  <si>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</si>
  <si>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</si>
  <si>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</si>
  <si>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</si>
  <si>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</si>
  <si>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</si>
  <si>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</si>
  <si>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</si>
  <si>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</si>
  <si>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</si>
  <si>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</si>
  <si>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</si>
  <si>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</si>
  <si>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</si>
  <si>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</si>
  <si>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</si>
  <si>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</si>
  <si>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</si>
  <si>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</si>
  <si>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</si>
  <si>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</si>
  <si>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</si>
  <si>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</si>
  <si>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</si>
  <si>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</si>
  <si>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</si>
  <si>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</si>
  <si>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</si>
  <si>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</si>
  <si>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</si>
  <si>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</si>
  <si>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</si>
  <si>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</si>
  <si>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</si>
  <si>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</si>
  <si>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</si>
  <si>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</si>
  <si>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</si>
  <si>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</si>
  <si>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</si>
  <si>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</si>
  <si>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</si>
  <si>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</si>
  <si>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</si>
  <si>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</si>
  <si>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</si>
  <si>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</si>
  <si>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</si>
  <si>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</si>
  <si>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</si>
  <si>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</si>
  <si>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</si>
  <si>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</si>
  <si>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</si>
  <si>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</si>
  <si>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</si>
  <si>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</si>
  <si>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</si>
  <si>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</si>
  <si>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</si>
  <si>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</si>
  <si>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</si>
  <si>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</si>
  <si>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</si>
  <si>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</si>
  <si>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</si>
  <si>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</si>
  <si>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</si>
  <si>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</si>
  <si>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</si>
  <si>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</si>
  <si>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</si>
  <si>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</si>
  <si>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</si>
  <si>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</si>
  <si>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</si>
  <si>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</si>
  <si>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</si>
  <si>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</si>
  <si>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</si>
  <si>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</si>
  <si>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</si>
  <si>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</si>
  <si>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</si>
  <si>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</si>
  <si>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</si>
  <si>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</si>
  <si>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</si>
  <si>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</si>
  <si>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</si>
  <si>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</si>
  <si>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</si>
  <si>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</si>
  <si>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</si>
  <si>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</si>
  <si>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</si>
  <si>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</si>
  <si>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</si>
  <si>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</si>
  <si>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</si>
  <si>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</si>
  <si>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</si>
  <si>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</si>
  <si>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</si>
  <si>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</si>
  <si>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</si>
  <si>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</si>
  <si>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</si>
  <si>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</si>
  <si>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</si>
  <si>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</si>
  <si>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</si>
  <si>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</si>
  <si>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</si>
  <si>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</si>
  <si>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</si>
  <si>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</si>
  <si>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</si>
  <si>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</si>
  <si>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</si>
  <si>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</si>
  <si>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</si>
  <si>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</si>
  <si>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</si>
  <si>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</si>
  <si>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</si>
  <si>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</si>
  <si>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</si>
  <si>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</si>
  <si>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</si>
  <si>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</si>
  <si>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</si>
  <si>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</si>
  <si>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</si>
  <si>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</si>
  <si>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</si>
  <si>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</si>
  <si>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</si>
  <si>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</si>
  <si>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</si>
  <si>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</si>
  <si>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</si>
  <si>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</si>
  <si>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</si>
  <si>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</si>
  <si>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</si>
  <si>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</si>
  <si>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</si>
  <si>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</si>
  <si>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</si>
  <si>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</si>
  <si>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</si>
  <si>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</si>
  <si>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</si>
  <si>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</si>
  <si>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</si>
  <si>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</si>
  <si>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</si>
  <si>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</si>
  <si>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</si>
  <si>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</si>
  <si>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</si>
  <si>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</si>
  <si>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</si>
  <si>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</si>
  <si>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</si>
  <si>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</si>
  <si>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</si>
  <si>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</si>
  <si>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</si>
  <si>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</si>
  <si>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</si>
  <si>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</si>
  <si>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</si>
  <si>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</si>
  <si>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</si>
  <si>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</si>
  <si>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</si>
  <si>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</si>
  <si>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</si>
  <si>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</si>
  <si>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</si>
  <si>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</si>
  <si>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</si>
  <si>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</si>
  <si>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</si>
  <si>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</si>
  <si>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</si>
  <si>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</si>
  <si>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</si>
  <si>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</si>
  <si>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</si>
  <si>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</si>
  <si>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</si>
  <si>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</si>
  <si>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</si>
  <si>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</si>
  <si>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</si>
  <si>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</si>
  <si>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</si>
  <si>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</si>
  <si>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</si>
  <si>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</si>
  <si>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</si>
  <si>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</si>
  <si>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</si>
  <si>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</si>
  <si>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</si>
  <si>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</si>
  <si>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</si>
  <si>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</si>
  <si>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</si>
  <si>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</si>
  <si>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</si>
  <si>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</si>
  <si>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</si>
  <si>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</si>
  <si>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</si>
  <si>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</si>
  <si>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</si>
  <si>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</si>
  <si>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</si>
  <si>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t>pH effects on/not on from systemcode</t>
  </si>
  <si>
    <t>Boolean</t>
  </si>
  <si>
    <r>
      <t>g COD.g COD</t>
    </r>
    <r>
      <rPr>
        <vertAlign val="superscript"/>
        <sz val="11"/>
        <rFont val="Calibri"/>
        <family val="2"/>
        <scheme val="minor"/>
      </rPr>
      <t>-1</t>
    </r>
  </si>
  <si>
    <r>
      <t>Half-saturation of X</t>
    </r>
    <r>
      <rPr>
        <vertAlign val="subscript"/>
        <sz val="11"/>
        <color rgb="FF000000"/>
        <rFont val="Calibri"/>
        <family val="2"/>
        <scheme val="minor"/>
      </rPr>
      <t>COD</t>
    </r>
    <r>
      <rPr>
        <sz val="11"/>
        <color rgb="FF000000"/>
        <rFont val="Calibri"/>
        <family val="2"/>
        <charset val="238"/>
        <scheme val="minor"/>
      </rPr>
      <t>/Z</t>
    </r>
    <r>
      <rPr>
        <vertAlign val="subscript"/>
        <sz val="11"/>
        <color rgb="FF000000"/>
        <rFont val="Calibri"/>
        <family val="2"/>
        <scheme val="minor"/>
      </rPr>
      <t>H</t>
    </r>
  </si>
  <si>
    <r>
      <t>Half-saturation of PO</t>
    </r>
    <r>
      <rPr>
        <vertAlign val="subscript"/>
        <sz val="11"/>
        <color rgb="FF000000"/>
        <rFont val="Calibri"/>
        <family val="2"/>
        <scheme val="minor"/>
      </rPr>
      <t>4</t>
    </r>
    <r>
      <rPr>
        <sz val="11"/>
        <color rgb="FF000000"/>
        <rFont val="Calibri"/>
        <family val="2"/>
        <charset val="238"/>
        <scheme val="minor"/>
      </rPr>
      <t xml:space="preserve"> as nutrient</t>
    </r>
  </si>
  <si>
    <r>
      <t>g P</t>
    </r>
    <r>
      <rPr>
        <sz val="11"/>
        <rFont val="Calibri"/>
        <family val="2"/>
        <scheme val="minor"/>
      </rPr>
      <t>.m</t>
    </r>
    <r>
      <rPr>
        <vertAlign val="superscript"/>
        <sz val="11"/>
        <rFont val="Calibri"/>
        <family val="2"/>
        <scheme val="minor"/>
      </rPr>
      <t>-3</t>
    </r>
  </si>
  <si>
    <t>Maximum specific growth rate of heterotrophs</t>
  </si>
  <si>
    <t>Reduction factor for anoxic growth of heterotrophs</t>
  </si>
  <si>
    <r>
      <t>g COD.g COD</t>
    </r>
    <r>
      <rPr>
        <vertAlign val="superscript"/>
        <sz val="11"/>
        <rFont val="Calibri"/>
        <family val="2"/>
        <scheme val="minor"/>
      </rPr>
      <t>-1</t>
    </r>
    <r>
      <rPr>
        <sz val="11"/>
        <rFont val="Calibri"/>
        <family val="2"/>
        <scheme val="minor"/>
      </rPr>
      <t>.d</t>
    </r>
    <r>
      <rPr>
        <vertAlign val="superscript"/>
        <sz val="11"/>
        <rFont val="Calibri"/>
        <family val="2"/>
        <scheme val="minor"/>
      </rPr>
      <t>-1</t>
    </r>
  </si>
  <si>
    <r>
      <t>g COD</t>
    </r>
    <r>
      <rPr>
        <sz val="11"/>
        <rFont val="Calibri"/>
        <family val="2"/>
        <scheme val="minor"/>
      </rPr>
      <t>.m</t>
    </r>
    <r>
      <rPr>
        <vertAlign val="superscript"/>
        <sz val="11"/>
        <rFont val="Calibri"/>
        <family val="2"/>
        <scheme val="minor"/>
      </rPr>
      <t>-3</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</si>
  <si>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</si>
  <si>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N</t>
    </r>
    <r>
      <rPr>
        <sz val="11"/>
        <rFont val="Calibri"/>
        <family val="2"/>
        <scheme val="minor"/>
      </rPr>
      <t>.m</t>
    </r>
    <r>
      <rPr>
        <vertAlign val="superscript"/>
        <sz val="11"/>
        <rFont val="Calibri"/>
        <family val="2"/>
        <scheme val="minor"/>
      </rPr>
      <t>-3</t>
    </r>
  </si>
  <si>
    <t>Half-saturation of SBSC</t>
  </si>
  <si>
    <t>Half-saturation of SBSA</t>
  </si>
  <si>
    <t>Endogenous respiration rate of heterotrophs</t>
  </si>
  <si>
    <t>Half-saturation of fermentation of SBSC</t>
  </si>
  <si>
    <t>Half-saturation of oxygen</t>
  </si>
  <si>
    <t>Half-saturation of nitrate</t>
  </si>
  <si>
    <t>Half-saturation of ammonia</t>
  </si>
  <si>
    <r>
      <t>Rate constant for S</t>
    </r>
    <r>
      <rPr>
        <vertAlign val="subscript"/>
        <sz val="11"/>
        <rFont val="Calibri"/>
        <family val="2"/>
        <scheme val="minor"/>
      </rPr>
      <t>BSC</t>
    </r>
    <r>
      <rPr>
        <sz val="11"/>
        <rFont val="Calibri"/>
        <family val="2"/>
        <scheme val="minor"/>
      </rPr>
      <t xml:space="preserve"> uptake rate (S</t>
    </r>
    <r>
      <rPr>
        <vertAlign val="subscript"/>
        <sz val="11"/>
        <rFont val="Calibri"/>
        <family val="2"/>
        <scheme val="minor"/>
      </rPr>
      <t>PHB</t>
    </r>
    <r>
      <rPr>
        <sz val="11"/>
        <rFont val="Calibri"/>
        <family val="2"/>
        <scheme val="minor"/>
      </rPr>
      <t xml:space="preserve"> storage) </t>
    </r>
  </si>
  <si>
    <t>Maximum specific growth rate of ZP</t>
  </si>
  <si>
    <t>Maximum specific growth rate of ZP (when P is limiting)</t>
  </si>
  <si>
    <t>Reduction factor for anoxic growth of PAOs</t>
  </si>
  <si>
    <r>
      <t>Half-saturation coefficient for S</t>
    </r>
    <r>
      <rPr>
        <vertAlign val="subscript"/>
        <sz val="11"/>
        <rFont val="Calibri"/>
        <family val="2"/>
        <scheme val="minor"/>
      </rPr>
      <t>PHB</t>
    </r>
    <r>
      <rPr>
        <sz val="11"/>
        <rFont val="Calibri"/>
        <family val="2"/>
        <scheme val="minor"/>
      </rPr>
      <t>/Z</t>
    </r>
    <r>
      <rPr>
        <vertAlign val="subscript"/>
        <sz val="11"/>
        <rFont val="Calibri"/>
        <family val="2"/>
        <scheme val="minor"/>
      </rPr>
      <t xml:space="preserve">P </t>
    </r>
  </si>
  <si>
    <t>Half-saturation of SPHB/ZP (P limit)</t>
  </si>
  <si>
    <r>
      <t>Endogenous respiration rate of Z</t>
    </r>
    <r>
      <rPr>
        <vertAlign val="subscript"/>
        <sz val="11"/>
        <rFont val="Calibri"/>
        <family val="2"/>
        <scheme val="minor"/>
      </rPr>
      <t>P</t>
    </r>
  </si>
  <si>
    <t>Rate of PP lysis</t>
  </si>
  <si>
    <r>
      <t>Half-saturation of PO</t>
    </r>
    <r>
      <rPr>
        <vertAlign val="subscript"/>
        <sz val="11"/>
        <color rgb="FF000000"/>
        <rFont val="Calibri"/>
        <family val="2"/>
        <scheme val="minor"/>
      </rPr>
      <t>4</t>
    </r>
    <r>
      <rPr>
        <sz val="11"/>
        <color rgb="FF000000"/>
        <rFont val="Calibri"/>
        <family val="2"/>
        <charset val="238"/>
        <scheme val="minor"/>
      </rPr>
      <t xml:space="preserve"> uptake (PP storage)</t>
    </r>
  </si>
  <si>
    <r>
      <t>Half-saturation coefficient for P</t>
    </r>
    <r>
      <rPr>
        <vertAlign val="subscript"/>
        <sz val="11"/>
        <rFont val="Calibri"/>
        <family val="2"/>
        <scheme val="minor"/>
      </rPr>
      <t>PP</t>
    </r>
    <r>
      <rPr>
        <sz val="11"/>
        <rFont val="Calibri"/>
        <family val="2"/>
        <scheme val="minor"/>
      </rPr>
      <t xml:space="preserve"> </t>
    </r>
  </si>
  <si>
    <t>Maximum specific growth rate of autotrophs</t>
  </si>
  <si>
    <t>Decay rate of autotrophs</t>
  </si>
  <si>
    <r>
      <t>m</t>
    </r>
    <r>
      <rPr>
        <vertAlign val="superscript"/>
        <sz val="11"/>
        <rFont val="Calibri"/>
        <family val="2"/>
        <scheme val="minor"/>
      </rPr>
      <t>3</t>
    </r>
    <r>
      <rPr>
        <sz val="11"/>
        <rFont val="Calibri"/>
        <family val="2"/>
        <scheme val="minor"/>
      </rPr>
      <t>.g N</t>
    </r>
    <r>
      <rPr>
        <vertAlign val="superscript"/>
        <sz val="11"/>
        <rFont val="Calibri"/>
        <family val="2"/>
        <scheme val="minor"/>
      </rPr>
      <t>-1</t>
    </r>
    <r>
      <rPr>
        <sz val="11"/>
        <rFont val="Calibri"/>
        <family val="2"/>
        <scheme val="minor"/>
      </rPr>
      <t>.d</t>
    </r>
    <r>
      <rPr>
        <vertAlign val="superscript"/>
        <sz val="11"/>
        <rFont val="Calibri"/>
        <family val="2"/>
        <scheme val="minor"/>
      </rPr>
      <t>-1</t>
    </r>
  </si>
  <si>
    <r>
      <t>g P.g COD</t>
    </r>
    <r>
      <rPr>
        <vertAlign val="superscript"/>
        <sz val="11"/>
        <rFont val="Calibri"/>
        <family val="2"/>
        <scheme val="minor"/>
      </rPr>
      <t>-1</t>
    </r>
  </si>
  <si>
    <r>
      <t>g P.g P</t>
    </r>
    <r>
      <rPr>
        <vertAlign val="superscript"/>
        <sz val="11"/>
        <rFont val="Calibri"/>
        <family val="2"/>
        <scheme val="minor"/>
      </rPr>
      <t>-1</t>
    </r>
  </si>
  <si>
    <r>
      <t>Yield for Z</t>
    </r>
    <r>
      <rPr>
        <vertAlign val="subscript"/>
        <sz val="11"/>
        <rFont val="Calibri"/>
        <family val="2"/>
        <scheme val="minor"/>
      </rPr>
      <t>H</t>
    </r>
    <r>
      <rPr>
        <sz val="11"/>
        <rFont val="Calibri"/>
        <family val="2"/>
        <scheme val="minor"/>
      </rPr>
      <t xml:space="preserve"> growth (Aerobic)</t>
    </r>
  </si>
  <si>
    <r>
      <t>Yield for Z</t>
    </r>
    <r>
      <rPr>
        <vertAlign val="subscript"/>
        <sz val="11"/>
        <rFont val="Calibri"/>
        <family val="2"/>
        <scheme val="minor"/>
      </rPr>
      <t>H</t>
    </r>
    <r>
      <rPr>
        <sz val="11"/>
        <rFont val="Calibri"/>
        <family val="2"/>
        <scheme val="minor"/>
      </rPr>
      <t xml:space="preserve"> growth (Anoxic)</t>
    </r>
  </si>
  <si>
    <r>
      <t>Yield for Z</t>
    </r>
    <r>
      <rPr>
        <vertAlign val="subscript"/>
        <sz val="11"/>
        <rFont val="Calibri"/>
        <family val="2"/>
        <scheme val="minor"/>
      </rPr>
      <t>H</t>
    </r>
    <r>
      <rPr>
        <sz val="11"/>
        <rFont val="Calibri"/>
        <family val="2"/>
        <scheme val="minor"/>
      </rPr>
      <t xml:space="preserve"> growth (Anaerobic)</t>
    </r>
  </si>
  <si>
    <r>
      <t>Yield for Z</t>
    </r>
    <r>
      <rPr>
        <vertAlign val="subscript"/>
        <sz val="11"/>
        <rFont val="Calibri"/>
        <family val="2"/>
        <scheme val="minor"/>
      </rPr>
      <t>P</t>
    </r>
    <r>
      <rPr>
        <sz val="11"/>
        <rFont val="Calibri"/>
        <family val="2"/>
        <scheme val="minor"/>
      </rPr>
      <t xml:space="preserve"> growth per S</t>
    </r>
    <r>
      <rPr>
        <vertAlign val="subscript"/>
        <sz val="11"/>
        <rFont val="Calibri"/>
        <family val="2"/>
        <scheme val="minor"/>
      </rPr>
      <t>PHB</t>
    </r>
  </si>
  <si>
    <r>
      <t>Yield for P</t>
    </r>
    <r>
      <rPr>
        <vertAlign val="subscript"/>
        <sz val="11"/>
        <rFont val="Calibri"/>
        <family val="2"/>
        <scheme val="minor"/>
      </rPr>
      <t>PP</t>
    </r>
    <r>
      <rPr>
        <sz val="11"/>
        <rFont val="Calibri"/>
        <family val="2"/>
        <scheme val="minor"/>
      </rPr>
      <t xml:space="preserve"> storage (P</t>
    </r>
    <r>
      <rPr>
        <vertAlign val="subscript"/>
        <sz val="11"/>
        <rFont val="Calibri"/>
        <family val="2"/>
        <scheme val="minor"/>
      </rPr>
      <t>O4</t>
    </r>
    <r>
      <rPr>
        <sz val="11"/>
        <rFont val="Calibri"/>
        <family val="2"/>
        <scheme val="minor"/>
      </rPr>
      <t xml:space="preserve"> uptake) per S</t>
    </r>
    <r>
      <rPr>
        <vertAlign val="subscript"/>
        <sz val="11"/>
        <rFont val="Calibri"/>
        <family val="2"/>
        <scheme val="minor"/>
      </rPr>
      <t>PHB</t>
    </r>
    <r>
      <rPr>
        <sz val="11"/>
        <rFont val="Calibri"/>
        <family val="2"/>
        <scheme val="minor"/>
      </rPr>
      <t xml:space="preserve"> utilized (Aerobic)</t>
    </r>
  </si>
  <si>
    <r>
      <t>Yield for P</t>
    </r>
    <r>
      <rPr>
        <vertAlign val="subscript"/>
        <sz val="11"/>
        <rFont val="Calibri"/>
        <family val="2"/>
        <scheme val="minor"/>
      </rPr>
      <t>PP</t>
    </r>
    <r>
      <rPr>
        <sz val="11"/>
        <rFont val="Calibri"/>
        <family val="2"/>
        <scheme val="minor"/>
      </rPr>
      <t xml:space="preserve"> storage (P</t>
    </r>
    <r>
      <rPr>
        <vertAlign val="subscript"/>
        <sz val="11"/>
        <rFont val="Calibri"/>
        <family val="2"/>
        <scheme val="minor"/>
      </rPr>
      <t>O4</t>
    </r>
    <r>
      <rPr>
        <sz val="11"/>
        <rFont val="Calibri"/>
        <family val="2"/>
        <scheme val="minor"/>
      </rPr>
      <t xml:space="preserve"> uptake) per S</t>
    </r>
    <r>
      <rPr>
        <vertAlign val="subscript"/>
        <sz val="11"/>
        <rFont val="Calibri"/>
        <family val="2"/>
        <scheme val="minor"/>
      </rPr>
      <t>PHB</t>
    </r>
    <r>
      <rPr>
        <sz val="11"/>
        <rFont val="Calibri"/>
        <family val="2"/>
        <scheme val="minor"/>
      </rPr>
      <t xml:space="preserve"> utilized (Anoxic)</t>
    </r>
  </si>
  <si>
    <r>
      <t>Yield for S</t>
    </r>
    <r>
      <rPr>
        <vertAlign val="subscript"/>
        <sz val="11"/>
        <rFont val="Calibri"/>
        <family val="2"/>
        <scheme val="minor"/>
      </rPr>
      <t>PHB</t>
    </r>
    <r>
      <rPr>
        <sz val="11"/>
        <rFont val="Calibri"/>
        <family val="2"/>
        <scheme val="minor"/>
      </rPr>
      <t xml:space="preserve"> storage per S</t>
    </r>
    <r>
      <rPr>
        <vertAlign val="subscript"/>
        <sz val="11"/>
        <rFont val="Calibri"/>
        <family val="2"/>
        <scheme val="minor"/>
      </rPr>
      <t>BSC</t>
    </r>
  </si>
  <si>
    <r>
      <t>Yield for P</t>
    </r>
    <r>
      <rPr>
        <vertAlign val="subscript"/>
        <sz val="11"/>
        <rFont val="Calibri"/>
        <family val="2"/>
        <scheme val="minor"/>
      </rPr>
      <t>PP</t>
    </r>
    <r>
      <rPr>
        <sz val="11"/>
        <rFont val="Calibri"/>
        <family val="2"/>
        <scheme val="minor"/>
      </rPr>
      <t xml:space="preserve"> requirement (P</t>
    </r>
    <r>
      <rPr>
        <vertAlign val="subscript"/>
        <sz val="11"/>
        <rFont val="Calibri"/>
        <family val="2"/>
        <scheme val="minor"/>
      </rPr>
      <t>O4</t>
    </r>
    <r>
      <rPr>
        <sz val="11"/>
        <rFont val="Calibri"/>
        <family val="2"/>
        <scheme val="minor"/>
      </rPr>
      <t xml:space="preserve"> release) per S</t>
    </r>
    <r>
      <rPr>
        <vertAlign val="subscript"/>
        <sz val="11"/>
        <rFont val="Calibri"/>
        <family val="2"/>
        <scheme val="minor"/>
      </rPr>
      <t>PHB</t>
    </r>
    <r>
      <rPr>
        <sz val="11"/>
        <rFont val="Calibri"/>
        <family val="2"/>
        <scheme val="minor"/>
      </rPr>
      <t xml:space="preserve"> stored (S</t>
    </r>
    <r>
      <rPr>
        <vertAlign val="subscript"/>
        <sz val="11"/>
        <rFont val="Calibri"/>
        <family val="2"/>
        <scheme val="minor"/>
      </rPr>
      <t>BSC</t>
    </r>
    <r>
      <rPr>
        <sz val="11"/>
        <rFont val="Calibri"/>
        <family val="2"/>
        <scheme val="minor"/>
      </rPr>
      <t xml:space="preserve"> utilized) </t>
    </r>
  </si>
  <si>
    <r>
      <t>Fraction of P</t>
    </r>
    <r>
      <rPr>
        <vertAlign val="subscript"/>
        <sz val="11"/>
        <rFont val="Calibri"/>
        <family val="2"/>
        <scheme val="minor"/>
      </rPr>
      <t>PP</t>
    </r>
    <r>
      <rPr>
        <sz val="11"/>
        <rFont val="Calibri"/>
        <family val="2"/>
        <scheme val="minor"/>
      </rPr>
      <t xml:space="preserve"> that can be released</t>
    </r>
  </si>
  <si>
    <r>
      <t>Fraction of Z</t>
    </r>
    <r>
      <rPr>
        <vertAlign val="subscript"/>
        <sz val="11"/>
        <rFont val="Calibri"/>
        <family val="2"/>
        <scheme val="minor"/>
      </rPr>
      <t>E</t>
    </r>
    <r>
      <rPr>
        <sz val="11"/>
        <rFont val="Calibri"/>
        <family val="2"/>
        <scheme val="minor"/>
      </rPr>
      <t xml:space="preserve"> generated in Z</t>
    </r>
    <r>
      <rPr>
        <vertAlign val="subscript"/>
        <sz val="11"/>
        <rFont val="Calibri"/>
        <family val="2"/>
        <scheme val="minor"/>
      </rPr>
      <t>P</t>
    </r>
    <r>
      <rPr>
        <sz val="11"/>
        <rFont val="Calibri"/>
        <family val="2"/>
        <scheme val="minor"/>
      </rPr>
      <t xml:space="preserve"> decay</t>
    </r>
  </si>
  <si>
    <r>
      <t>Fraction of Z</t>
    </r>
    <r>
      <rPr>
        <vertAlign val="subscript"/>
        <sz val="11"/>
        <rFont val="Calibri"/>
        <family val="2"/>
        <charset val="238"/>
        <scheme val="minor"/>
      </rPr>
      <t>E</t>
    </r>
    <r>
      <rPr>
        <sz val="11"/>
        <rFont val="Calibri"/>
        <family val="2"/>
        <scheme val="minor"/>
      </rPr>
      <t xml:space="preserve"> generated in heterotrophic biomass decay</t>
    </r>
  </si>
  <si>
    <r>
      <t>Yield of Z</t>
    </r>
    <r>
      <rPr>
        <vertAlign val="subscript"/>
        <sz val="11"/>
        <rFont val="Calibri"/>
        <family val="2"/>
        <scheme val="minor"/>
      </rPr>
      <t>A</t>
    </r>
    <r>
      <rPr>
        <sz val="11"/>
        <rFont val="Calibri"/>
        <family val="2"/>
        <scheme val="minor"/>
      </rPr>
      <t xml:space="preserve"> growth per N</t>
    </r>
    <r>
      <rPr>
        <vertAlign val="subscript"/>
        <sz val="11"/>
        <rFont val="Calibri"/>
        <family val="2"/>
        <scheme val="minor"/>
      </rPr>
      <t>O3</t>
    </r>
  </si>
  <si>
    <r>
      <t>Fraction of Z</t>
    </r>
    <r>
      <rPr>
        <vertAlign val="subscript"/>
        <sz val="11"/>
        <rFont val="Calibri"/>
        <family val="2"/>
        <scheme val="minor"/>
      </rPr>
      <t>E</t>
    </r>
    <r>
      <rPr>
        <sz val="11"/>
        <rFont val="Calibri"/>
        <family val="2"/>
        <scheme val="minor"/>
      </rPr>
      <t xml:space="preserve"> generated in Z</t>
    </r>
    <r>
      <rPr>
        <vertAlign val="subscript"/>
        <sz val="11"/>
        <rFont val="Calibri"/>
        <family val="2"/>
        <scheme val="minor"/>
      </rPr>
      <t>A</t>
    </r>
    <r>
      <rPr>
        <sz val="11"/>
        <rFont val="Calibri"/>
        <family val="2"/>
        <scheme val="minor"/>
      </rPr>
      <t xml:space="preserve"> decay</t>
    </r>
  </si>
  <si>
    <r>
      <t>N content of S</t>
    </r>
    <r>
      <rPr>
        <vertAlign val="subscript"/>
        <sz val="11"/>
        <rFont val="Calibri"/>
        <family val="2"/>
        <scheme val="minor"/>
      </rPr>
      <t>UP</t>
    </r>
  </si>
  <si>
    <r>
      <t>N content of Z</t>
    </r>
    <r>
      <rPr>
        <vertAlign val="subscript"/>
        <sz val="11"/>
        <rFont val="Calibri"/>
        <family val="2"/>
        <scheme val="minor"/>
      </rPr>
      <t>H</t>
    </r>
  </si>
  <si>
    <r>
      <t>N content of products from Z</t>
    </r>
    <r>
      <rPr>
        <vertAlign val="subscript"/>
        <sz val="11"/>
        <rFont val="Calibri"/>
        <family val="2"/>
        <scheme val="minor"/>
      </rPr>
      <t>H</t>
    </r>
  </si>
  <si>
    <r>
      <t>N content of Z</t>
    </r>
    <r>
      <rPr>
        <vertAlign val="subscript"/>
        <sz val="11"/>
        <rFont val="Calibri"/>
        <family val="2"/>
        <scheme val="minor"/>
      </rPr>
      <t>P</t>
    </r>
  </si>
  <si>
    <r>
      <t>N content of products from Z</t>
    </r>
    <r>
      <rPr>
        <vertAlign val="subscript"/>
        <sz val="11"/>
        <rFont val="Calibri"/>
        <family val="2"/>
        <scheme val="minor"/>
      </rPr>
      <t>P</t>
    </r>
  </si>
  <si>
    <r>
      <t>N content of Z</t>
    </r>
    <r>
      <rPr>
        <vertAlign val="subscript"/>
        <sz val="11"/>
        <rFont val="Calibri"/>
        <family val="2"/>
        <scheme val="minor"/>
      </rPr>
      <t>A</t>
    </r>
  </si>
  <si>
    <r>
      <t>N content of products from Z</t>
    </r>
    <r>
      <rPr>
        <vertAlign val="subscript"/>
        <sz val="11"/>
        <rFont val="Calibri"/>
        <family val="2"/>
        <scheme val="minor"/>
      </rPr>
      <t>A</t>
    </r>
  </si>
  <si>
    <r>
      <t>P content of Z</t>
    </r>
    <r>
      <rPr>
        <vertAlign val="subscript"/>
        <sz val="11"/>
        <rFont val="Calibri"/>
        <family val="2"/>
        <scheme val="minor"/>
      </rPr>
      <t>H</t>
    </r>
  </si>
  <si>
    <r>
      <t>P content of products from Z</t>
    </r>
    <r>
      <rPr>
        <vertAlign val="subscript"/>
        <sz val="11"/>
        <rFont val="Calibri"/>
        <family val="2"/>
        <scheme val="minor"/>
      </rPr>
      <t>H</t>
    </r>
  </si>
  <si>
    <r>
      <t>P content of Z</t>
    </r>
    <r>
      <rPr>
        <vertAlign val="subscript"/>
        <sz val="11"/>
        <rFont val="Calibri"/>
        <family val="2"/>
        <scheme val="minor"/>
      </rPr>
      <t>P</t>
    </r>
    <r>
      <rPr>
        <sz val="11"/>
        <rFont val="Calibri"/>
        <family val="2"/>
        <scheme val="minor"/>
      </rPr>
      <t xml:space="preserve"> </t>
    </r>
  </si>
  <si>
    <r>
      <t>P content of products from Z</t>
    </r>
    <r>
      <rPr>
        <vertAlign val="subscript"/>
        <sz val="11"/>
        <rFont val="Calibri"/>
        <family val="2"/>
        <scheme val="minor"/>
      </rPr>
      <t>P</t>
    </r>
  </si>
  <si>
    <r>
      <t>P content of Z</t>
    </r>
    <r>
      <rPr>
        <vertAlign val="subscript"/>
        <sz val="11"/>
        <rFont val="Calibri"/>
        <family val="2"/>
        <scheme val="minor"/>
      </rPr>
      <t>A</t>
    </r>
  </si>
  <si>
    <r>
      <t>P content of products from Z</t>
    </r>
    <r>
      <rPr>
        <vertAlign val="subscript"/>
        <sz val="11"/>
        <rFont val="Calibri"/>
        <family val="2"/>
        <scheme val="minor"/>
      </rPr>
      <t>A</t>
    </r>
  </si>
  <si>
    <r>
      <t>g N.g COD</t>
    </r>
    <r>
      <rPr>
        <vertAlign val="superscript"/>
        <sz val="11"/>
        <rFont val="Calibri"/>
        <family val="2"/>
        <scheme val="minor"/>
      </rPr>
      <t>-1</t>
    </r>
  </si>
  <si>
    <r>
      <t>Ratio COD/VSS (Z</t>
    </r>
    <r>
      <rPr>
        <vertAlign val="subscript"/>
        <sz val="11"/>
        <rFont val="Calibri"/>
        <family val="2"/>
        <charset val="238"/>
        <scheme val="minor"/>
      </rPr>
      <t>H</t>
    </r>
    <r>
      <rPr>
        <sz val="11"/>
        <rFont val="Calibri"/>
        <family val="2"/>
        <scheme val="minor"/>
      </rPr>
      <t>)</t>
    </r>
  </si>
  <si>
    <r>
      <t>Ratio COD/VSS (Z</t>
    </r>
    <r>
      <rPr>
        <vertAlign val="subscript"/>
        <sz val="11"/>
        <rFont val="Calibri"/>
        <family val="2"/>
        <charset val="238"/>
        <scheme val="minor"/>
      </rPr>
      <t>A</t>
    </r>
    <r>
      <rPr>
        <sz val="11"/>
        <rFont val="Calibri"/>
        <family val="2"/>
        <scheme val="minor"/>
      </rPr>
      <t>)</t>
    </r>
  </si>
  <si>
    <r>
      <t>Ratio COD/VSS (Z</t>
    </r>
    <r>
      <rPr>
        <vertAlign val="subscript"/>
        <sz val="11"/>
        <rFont val="Calibri"/>
        <family val="2"/>
        <charset val="238"/>
        <scheme val="minor"/>
      </rPr>
      <t>P</t>
    </r>
    <r>
      <rPr>
        <sz val="11"/>
        <rFont val="Calibri"/>
        <family val="2"/>
        <scheme val="minor"/>
      </rPr>
      <t>)</t>
    </r>
  </si>
  <si>
    <r>
      <t>g COD</t>
    </r>
    <r>
      <rPr>
        <sz val="11"/>
        <rFont val="Calibri"/>
        <family val="2"/>
        <scheme val="minor"/>
      </rPr>
      <t>.g VSS</t>
    </r>
    <r>
      <rPr>
        <vertAlign val="superscript"/>
        <sz val="11"/>
        <rFont val="Calibri"/>
        <family val="2"/>
        <scheme val="minor"/>
      </rPr>
      <t>-1</t>
    </r>
  </si>
  <si>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</si>
  <si>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</si>
  <si>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</si>
  <si>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</si>
  <si>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</si>
  <si>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</si>
  <si>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</si>
  <si>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</si>
  <si>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</si>
  <si>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Barker_Dold</t>
  </si>
  <si>
    <t>Particle size</t>
  </si>
  <si>
    <r>
      <t>Z</t>
    </r>
    <r>
      <rPr>
        <vertAlign val="subscript"/>
        <sz val="11"/>
        <rFont val="Calibri"/>
        <family val="2"/>
        <scheme val="minor"/>
      </rPr>
      <t>H</t>
    </r>
  </si>
  <si>
    <r>
      <t>g COD.m</t>
    </r>
    <r>
      <rPr>
        <vertAlign val="superscript"/>
        <sz val="11"/>
        <rFont val="Calibri"/>
        <family val="2"/>
        <scheme val="minor"/>
      </rPr>
      <t>-3</t>
    </r>
  </si>
  <si>
    <r>
      <t>Z</t>
    </r>
    <r>
      <rPr>
        <vertAlign val="subscript"/>
        <sz val="11"/>
        <rFont val="Calibri"/>
        <family val="2"/>
        <scheme val="minor"/>
      </rPr>
      <t>A</t>
    </r>
  </si>
  <si>
    <r>
      <t>Z</t>
    </r>
    <r>
      <rPr>
        <vertAlign val="subscript"/>
        <sz val="11"/>
        <rFont val="Calibri"/>
        <family val="2"/>
        <scheme val="minor"/>
      </rPr>
      <t>P</t>
    </r>
  </si>
  <si>
    <r>
      <t>Z</t>
    </r>
    <r>
      <rPr>
        <vertAlign val="subscript"/>
        <sz val="11"/>
        <rFont val="Calibri"/>
        <family val="2"/>
        <scheme val="minor"/>
      </rPr>
      <t>E</t>
    </r>
  </si>
  <si>
    <r>
      <t>S</t>
    </r>
    <r>
      <rPr>
        <vertAlign val="subscript"/>
        <sz val="11"/>
        <rFont val="Calibri"/>
        <family val="2"/>
        <scheme val="minor"/>
      </rPr>
      <t>ENM</t>
    </r>
  </si>
  <si>
    <r>
      <t>S</t>
    </r>
    <r>
      <rPr>
        <vertAlign val="subscript"/>
        <sz val="11"/>
        <rFont val="Calibri"/>
        <family val="2"/>
        <scheme val="minor"/>
      </rPr>
      <t>BSC</t>
    </r>
  </si>
  <si>
    <r>
      <t>S</t>
    </r>
    <r>
      <rPr>
        <vertAlign val="subscript"/>
        <sz val="11"/>
        <rFont val="Calibri"/>
        <family val="2"/>
        <scheme val="minor"/>
      </rPr>
      <t>BSA</t>
    </r>
  </si>
  <si>
    <r>
      <t>S</t>
    </r>
    <r>
      <rPr>
        <vertAlign val="subscript"/>
        <sz val="11"/>
        <rFont val="Calibri"/>
        <family val="2"/>
        <scheme val="minor"/>
      </rPr>
      <t>PHB</t>
    </r>
  </si>
  <si>
    <r>
      <t>S</t>
    </r>
    <r>
      <rPr>
        <vertAlign val="subscript"/>
        <sz val="11"/>
        <rFont val="Calibri"/>
        <family val="2"/>
        <scheme val="minor"/>
      </rPr>
      <t>UP</t>
    </r>
  </si>
  <si>
    <r>
      <t>S</t>
    </r>
    <r>
      <rPr>
        <vertAlign val="subscript"/>
        <sz val="11"/>
        <rFont val="Calibri"/>
        <family val="2"/>
        <scheme val="minor"/>
      </rPr>
      <t>US</t>
    </r>
  </si>
  <si>
    <r>
      <t>P</t>
    </r>
    <r>
      <rPr>
        <vertAlign val="subscript"/>
        <sz val="11"/>
        <rFont val="Calibri"/>
        <family val="2"/>
        <scheme val="minor"/>
      </rPr>
      <t>PP,LO</t>
    </r>
  </si>
  <si>
    <r>
      <t>g P.m</t>
    </r>
    <r>
      <rPr>
        <vertAlign val="superscript"/>
        <sz val="11"/>
        <rFont val="Calibri"/>
        <family val="2"/>
        <scheme val="minor"/>
      </rPr>
      <t>-3</t>
    </r>
  </si>
  <si>
    <r>
      <t>P</t>
    </r>
    <r>
      <rPr>
        <vertAlign val="subscript"/>
        <sz val="11"/>
        <rFont val="Calibri"/>
        <family val="2"/>
        <scheme val="minor"/>
      </rPr>
      <t>PP,HI</t>
    </r>
  </si>
  <si>
    <r>
      <t>P</t>
    </r>
    <r>
      <rPr>
        <vertAlign val="subscript"/>
        <sz val="11"/>
        <rFont val="Calibri"/>
        <family val="2"/>
        <scheme val="minor"/>
      </rPr>
      <t>O4</t>
    </r>
  </si>
  <si>
    <r>
      <t>N</t>
    </r>
    <r>
      <rPr>
        <vertAlign val="subscript"/>
        <sz val="11"/>
        <rFont val="Calibri"/>
        <family val="2"/>
        <scheme val="minor"/>
      </rPr>
      <t>BP</t>
    </r>
  </si>
  <si>
    <r>
      <t>g N.m</t>
    </r>
    <r>
      <rPr>
        <vertAlign val="superscript"/>
        <sz val="11"/>
        <rFont val="Calibri"/>
        <family val="2"/>
        <scheme val="minor"/>
      </rPr>
      <t>-3</t>
    </r>
  </si>
  <si>
    <r>
      <t>N</t>
    </r>
    <r>
      <rPr>
        <vertAlign val="subscript"/>
        <sz val="11"/>
        <rFont val="Calibri"/>
        <family val="2"/>
        <scheme val="minor"/>
      </rPr>
      <t>BS</t>
    </r>
  </si>
  <si>
    <r>
      <t>N</t>
    </r>
    <r>
      <rPr>
        <vertAlign val="subscript"/>
        <sz val="11"/>
        <rFont val="Calibri"/>
        <family val="2"/>
        <scheme val="minor"/>
      </rPr>
      <t>O3</t>
    </r>
  </si>
  <si>
    <r>
      <t>Nitrate and nitrite (NO</t>
    </r>
    <r>
      <rPr>
        <vertAlign val="subscript"/>
        <sz val="11"/>
        <color rgb="FF000000"/>
        <rFont val="Calibri"/>
        <family val="2"/>
        <scheme val="minor"/>
      </rPr>
      <t>3</t>
    </r>
    <r>
      <rPr>
        <sz val="11"/>
        <color rgb="FF000000"/>
        <rFont val="Calibri"/>
        <family val="2"/>
        <charset val="238"/>
        <scheme val="minor"/>
      </rPr>
      <t xml:space="preserve"> + NO</t>
    </r>
    <r>
      <rPr>
        <vertAlign val="subscript"/>
        <sz val="11"/>
        <color rgb="FF000000"/>
        <rFont val="Calibri"/>
        <family val="2"/>
        <scheme val="minor"/>
      </rPr>
      <t>2</t>
    </r>
    <r>
      <rPr>
        <sz val="11"/>
        <color rgb="FF000000"/>
        <rFont val="Calibri"/>
        <family val="2"/>
        <charset val="238"/>
        <scheme val="minor"/>
      </rPr>
      <t>)</t>
    </r>
  </si>
  <si>
    <r>
      <t>N</t>
    </r>
    <r>
      <rPr>
        <vertAlign val="subscript"/>
        <sz val="11"/>
        <rFont val="Calibri"/>
        <family val="2"/>
        <scheme val="minor"/>
      </rPr>
      <t>H3</t>
    </r>
  </si>
  <si>
    <r>
      <t>N</t>
    </r>
    <r>
      <rPr>
        <vertAlign val="subscript"/>
        <sz val="11"/>
        <rFont val="Calibri"/>
        <family val="2"/>
        <scheme val="minor"/>
      </rPr>
      <t>US</t>
    </r>
  </si>
  <si>
    <r>
      <t>S</t>
    </r>
    <r>
      <rPr>
        <vertAlign val="subscript"/>
        <sz val="11"/>
        <rFont val="Calibri"/>
        <family val="2"/>
        <scheme val="minor"/>
      </rPr>
      <t>N2</t>
    </r>
  </si>
  <si>
    <r>
      <t>S</t>
    </r>
    <r>
      <rPr>
        <vertAlign val="subscript"/>
        <sz val="11"/>
        <rFont val="Calibri"/>
        <family val="2"/>
        <scheme val="minor"/>
      </rPr>
      <t>H2</t>
    </r>
  </si>
  <si>
    <r>
      <t>g TSS.m</t>
    </r>
    <r>
      <rPr>
        <vertAlign val="superscript"/>
        <sz val="11"/>
        <rFont val="Calibri"/>
        <family val="2"/>
        <scheme val="minor"/>
      </rPr>
      <t>-3</t>
    </r>
  </si>
  <si>
    <t>Default</t>
  </si>
  <si>
    <r>
      <t>X</t>
    </r>
    <r>
      <rPr>
        <vertAlign val="subscript"/>
        <sz val="11"/>
        <rFont val="Calibri"/>
        <family val="2"/>
        <scheme val="minor"/>
      </rPr>
      <t>INORG</t>
    </r>
  </si>
  <si>
    <t>Components</t>
  </si>
  <si>
    <t>Saturation/inhibition terms</t>
  </si>
  <si>
    <r>
      <t>Msat</t>
    </r>
    <r>
      <rPr>
        <vertAlign val="subscript"/>
        <sz val="11"/>
        <color indexed="8"/>
        <rFont val="Calibri"/>
        <family val="2"/>
      </rPr>
      <t>SO,KO,HET</t>
    </r>
  </si>
  <si>
    <r>
      <t>S</t>
    </r>
    <r>
      <rPr>
        <vertAlign val="subscript"/>
        <sz val="11"/>
        <rFont val="Calibri"/>
        <family val="2"/>
        <scheme val="minor"/>
      </rPr>
      <t>BSC</t>
    </r>
    <r>
      <rPr>
        <sz val="11"/>
        <rFont val="Calibri"/>
        <family val="2"/>
        <scheme val="minor"/>
      </rPr>
      <t>/(K</t>
    </r>
    <r>
      <rPr>
        <vertAlign val="subscript"/>
        <sz val="11"/>
        <rFont val="Calibri"/>
        <family val="2"/>
        <scheme val="minor"/>
      </rPr>
      <t>S,H</t>
    </r>
    <r>
      <rPr>
        <sz val="11"/>
        <rFont val="Calibri"/>
        <family val="2"/>
        <scheme val="minor"/>
      </rPr>
      <t>+S</t>
    </r>
    <r>
      <rPr>
        <vertAlign val="subscript"/>
        <sz val="11"/>
        <rFont val="Calibri"/>
        <family val="2"/>
        <scheme val="minor"/>
      </rPr>
      <t>BSC</t>
    </r>
    <r>
      <rPr>
        <sz val="11"/>
        <rFont val="Calibri"/>
        <family val="2"/>
        <scheme val="minor"/>
      </rPr>
      <t>)</t>
    </r>
  </si>
  <si>
    <r>
      <t>Msat</t>
    </r>
    <r>
      <rPr>
        <vertAlign val="subscript"/>
        <sz val="11"/>
        <rFont val="Calibri"/>
        <family val="2"/>
        <scheme val="minor"/>
      </rPr>
      <t>SBSC,KS,H</t>
    </r>
  </si>
  <si>
    <r>
      <t>Msat</t>
    </r>
    <r>
      <rPr>
        <vertAlign val="subscript"/>
        <sz val="11"/>
        <rFont val="Calibri"/>
        <family val="2"/>
        <scheme val="minor"/>
      </rPr>
      <t>NH3,KNA</t>
    </r>
  </si>
  <si>
    <r>
      <t>N</t>
    </r>
    <r>
      <rPr>
        <vertAlign val="subscript"/>
        <sz val="11"/>
        <rFont val="Calibri"/>
        <family val="2"/>
        <scheme val="minor"/>
      </rPr>
      <t>H3</t>
    </r>
    <r>
      <rPr>
        <sz val="11"/>
        <rFont val="Calibri"/>
        <family val="2"/>
        <scheme val="minor"/>
      </rPr>
      <t>/(K</t>
    </r>
    <r>
      <rPr>
        <vertAlign val="subscript"/>
        <sz val="11"/>
        <rFont val="Calibri"/>
        <family val="2"/>
        <scheme val="minor"/>
      </rPr>
      <t>NA</t>
    </r>
    <r>
      <rPr>
        <sz val="11"/>
        <rFont val="Calibri"/>
        <family val="2"/>
        <scheme val="minor"/>
      </rPr>
      <t>+N</t>
    </r>
    <r>
      <rPr>
        <vertAlign val="subscript"/>
        <sz val="11"/>
        <rFont val="Calibri"/>
        <family val="2"/>
        <scheme val="minor"/>
      </rPr>
      <t>H3</t>
    </r>
    <r>
      <rPr>
        <sz val="11"/>
        <rFont val="Calibri"/>
        <family val="2"/>
        <scheme val="minor"/>
      </rPr>
      <t>)</t>
    </r>
  </si>
  <si>
    <r>
      <t>Msat</t>
    </r>
    <r>
      <rPr>
        <vertAlign val="subscript"/>
        <sz val="11"/>
        <rFont val="Calibri"/>
        <family val="2"/>
        <scheme val="minor"/>
      </rPr>
      <t>NO3,KNO</t>
    </r>
  </si>
  <si>
    <r>
      <t>N</t>
    </r>
    <r>
      <rPr>
        <vertAlign val="subscript"/>
        <sz val="11"/>
        <rFont val="Calibri"/>
        <family val="2"/>
        <scheme val="minor"/>
      </rPr>
      <t>O3</t>
    </r>
    <r>
      <rPr>
        <sz val="11"/>
        <rFont val="Calibri"/>
        <family val="2"/>
        <scheme val="minor"/>
      </rPr>
      <t>/(K</t>
    </r>
    <r>
      <rPr>
        <vertAlign val="subscript"/>
        <sz val="11"/>
        <rFont val="Calibri"/>
        <family val="2"/>
        <scheme val="minor"/>
      </rPr>
      <t>NO</t>
    </r>
    <r>
      <rPr>
        <sz val="11"/>
        <rFont val="Calibri"/>
        <family val="2"/>
        <scheme val="minor"/>
      </rPr>
      <t>+N</t>
    </r>
    <r>
      <rPr>
        <vertAlign val="subscript"/>
        <sz val="11"/>
        <rFont val="Calibri"/>
        <family val="2"/>
        <scheme val="minor"/>
      </rPr>
      <t>O3</t>
    </r>
    <r>
      <rPr>
        <sz val="11"/>
        <rFont val="Calibri"/>
        <family val="2"/>
        <scheme val="minor"/>
      </rPr>
      <t>)</t>
    </r>
  </si>
  <si>
    <r>
      <t>Msat</t>
    </r>
    <r>
      <rPr>
        <vertAlign val="subscript"/>
        <sz val="11"/>
        <rFont val="Calibri"/>
        <family val="2"/>
        <scheme val="minor"/>
      </rPr>
      <t>PO4,KLP,GRO</t>
    </r>
  </si>
  <si>
    <r>
      <t>P</t>
    </r>
    <r>
      <rPr>
        <vertAlign val="subscript"/>
        <sz val="11"/>
        <rFont val="Calibri"/>
        <family val="2"/>
        <scheme val="minor"/>
      </rPr>
      <t>O4</t>
    </r>
    <r>
      <rPr>
        <sz val="11"/>
        <rFont val="Calibri"/>
        <family val="2"/>
        <scheme val="minor"/>
      </rPr>
      <t>/(K</t>
    </r>
    <r>
      <rPr>
        <vertAlign val="subscript"/>
        <sz val="11"/>
        <rFont val="Calibri"/>
        <family val="2"/>
        <scheme val="minor"/>
      </rPr>
      <t>LP,GRO</t>
    </r>
    <r>
      <rPr>
        <sz val="11"/>
        <rFont val="Calibri"/>
        <family val="2"/>
        <scheme val="minor"/>
      </rPr>
      <t>+P</t>
    </r>
    <r>
      <rPr>
        <vertAlign val="subscript"/>
        <sz val="11"/>
        <rFont val="Calibri"/>
        <family val="2"/>
        <scheme val="minor"/>
      </rPr>
      <t>O4</t>
    </r>
    <r>
      <rPr>
        <sz val="11"/>
        <rFont val="Calibri"/>
        <family val="2"/>
        <scheme val="minor"/>
      </rPr>
      <t>)</t>
    </r>
  </si>
  <si>
    <r>
      <t>Msat</t>
    </r>
    <r>
      <rPr>
        <vertAlign val="subscript"/>
        <sz val="11"/>
        <rFont val="Calibri"/>
        <family val="2"/>
        <scheme val="minor"/>
      </rPr>
      <t>SBSA,KS,H,BSA</t>
    </r>
  </si>
  <si>
    <r>
      <t>S</t>
    </r>
    <r>
      <rPr>
        <vertAlign val="subscript"/>
        <sz val="11"/>
        <rFont val="Calibri"/>
        <family val="2"/>
        <scheme val="minor"/>
      </rPr>
      <t>BSA</t>
    </r>
    <r>
      <rPr>
        <sz val="11"/>
        <rFont val="Calibri"/>
        <family val="2"/>
        <scheme val="minor"/>
      </rPr>
      <t>/(K</t>
    </r>
    <r>
      <rPr>
        <vertAlign val="subscript"/>
        <sz val="11"/>
        <rFont val="Calibri"/>
        <family val="2"/>
        <scheme val="minor"/>
      </rPr>
      <t>S,H,BSA</t>
    </r>
    <r>
      <rPr>
        <sz val="11"/>
        <rFont val="Calibri"/>
        <family val="2"/>
        <scheme val="minor"/>
      </rPr>
      <t>+S</t>
    </r>
    <r>
      <rPr>
        <vertAlign val="subscript"/>
        <sz val="11"/>
        <rFont val="Calibri"/>
        <family val="2"/>
        <scheme val="minor"/>
      </rPr>
      <t>BSA</t>
    </r>
    <r>
      <rPr>
        <sz val="11"/>
        <rFont val="Calibri"/>
        <family val="2"/>
        <scheme val="minor"/>
      </rPr>
      <t>)</t>
    </r>
  </si>
  <si>
    <r>
      <t>Msat</t>
    </r>
    <r>
      <rPr>
        <vertAlign val="subscript"/>
        <sz val="11"/>
        <rFont val="Calibri"/>
        <family val="2"/>
        <scheme val="minor"/>
      </rPr>
      <t>PO4,KLP,UPT</t>
    </r>
  </si>
  <si>
    <r>
      <t>P</t>
    </r>
    <r>
      <rPr>
        <vertAlign val="subscript"/>
        <sz val="11"/>
        <rFont val="Calibri"/>
        <family val="2"/>
        <scheme val="minor"/>
      </rPr>
      <t>O4</t>
    </r>
    <r>
      <rPr>
        <sz val="11"/>
        <rFont val="Calibri"/>
        <family val="2"/>
        <scheme val="minor"/>
      </rPr>
      <t>/(K</t>
    </r>
    <r>
      <rPr>
        <vertAlign val="subscript"/>
        <sz val="11"/>
        <rFont val="Calibri"/>
        <family val="2"/>
        <scheme val="minor"/>
      </rPr>
      <t>LP,UPT</t>
    </r>
    <r>
      <rPr>
        <sz val="11"/>
        <rFont val="Calibri"/>
        <family val="2"/>
        <scheme val="minor"/>
      </rPr>
      <t>+P</t>
    </r>
    <r>
      <rPr>
        <vertAlign val="subscript"/>
        <sz val="11"/>
        <rFont val="Calibri"/>
        <family val="2"/>
        <scheme val="minor"/>
      </rPr>
      <t>O4</t>
    </r>
    <r>
      <rPr>
        <sz val="11"/>
        <rFont val="Calibri"/>
        <family val="2"/>
        <scheme val="minor"/>
      </rPr>
      <t>)</t>
    </r>
  </si>
  <si>
    <r>
      <t>Minh</t>
    </r>
    <r>
      <rPr>
        <vertAlign val="subscript"/>
        <sz val="11"/>
        <rFont val="Calibri"/>
        <family val="2"/>
        <scheme val="minor"/>
      </rPr>
      <t>SO,KO,HET</t>
    </r>
  </si>
  <si>
    <r>
      <t>Minh</t>
    </r>
    <r>
      <rPr>
        <vertAlign val="subscript"/>
        <sz val="11"/>
        <rFont val="Calibri"/>
        <family val="2"/>
        <scheme val="minor"/>
      </rPr>
      <t>NH3,KNA</t>
    </r>
  </si>
  <si>
    <r>
      <t>K</t>
    </r>
    <r>
      <rPr>
        <vertAlign val="subscript"/>
        <sz val="11"/>
        <rFont val="Calibri"/>
        <family val="2"/>
        <scheme val="minor"/>
      </rPr>
      <t>NA</t>
    </r>
    <r>
      <rPr>
        <sz val="11"/>
        <rFont val="Calibri"/>
        <family val="2"/>
        <scheme val="minor"/>
      </rPr>
      <t>/(K</t>
    </r>
    <r>
      <rPr>
        <vertAlign val="subscript"/>
        <sz val="11"/>
        <rFont val="Calibri"/>
        <family val="2"/>
        <scheme val="minor"/>
      </rPr>
      <t>NA</t>
    </r>
    <r>
      <rPr>
        <sz val="11"/>
        <rFont val="Calibri"/>
        <family val="2"/>
        <scheme val="minor"/>
      </rPr>
      <t>+N</t>
    </r>
    <r>
      <rPr>
        <vertAlign val="subscript"/>
        <sz val="11"/>
        <rFont val="Calibri"/>
        <family val="2"/>
        <scheme val="minor"/>
      </rPr>
      <t>H3</t>
    </r>
    <r>
      <rPr>
        <sz val="11"/>
        <rFont val="Calibri"/>
        <family val="2"/>
        <scheme val="minor"/>
      </rPr>
      <t>)</t>
    </r>
  </si>
  <si>
    <r>
      <t>Minh</t>
    </r>
    <r>
      <rPr>
        <vertAlign val="subscript"/>
        <sz val="11"/>
        <rFont val="Calibri"/>
        <family val="2"/>
        <scheme val="minor"/>
      </rPr>
      <t>NO3,KNO</t>
    </r>
  </si>
  <si>
    <r>
      <t>K</t>
    </r>
    <r>
      <rPr>
        <vertAlign val="subscript"/>
        <sz val="11"/>
        <rFont val="Calibri"/>
        <family val="2"/>
        <scheme val="minor"/>
      </rPr>
      <t>NO</t>
    </r>
    <r>
      <rPr>
        <sz val="11"/>
        <rFont val="Calibri"/>
        <family val="2"/>
        <scheme val="minor"/>
      </rPr>
      <t>/(K</t>
    </r>
    <r>
      <rPr>
        <vertAlign val="subscript"/>
        <sz val="11"/>
        <rFont val="Calibri"/>
        <family val="2"/>
        <scheme val="minor"/>
      </rPr>
      <t>NO</t>
    </r>
    <r>
      <rPr>
        <sz val="11"/>
        <rFont val="Calibri"/>
        <family val="2"/>
        <scheme val="minor"/>
      </rPr>
      <t>+N</t>
    </r>
    <r>
      <rPr>
        <vertAlign val="subscript"/>
        <sz val="11"/>
        <rFont val="Calibri"/>
        <family val="2"/>
        <scheme val="minor"/>
      </rPr>
      <t>O3</t>
    </r>
    <r>
      <rPr>
        <sz val="11"/>
        <rFont val="Calibri"/>
        <family val="2"/>
        <scheme val="minor"/>
      </rPr>
      <t>)</t>
    </r>
  </si>
  <si>
    <r>
      <t>Minh</t>
    </r>
    <r>
      <rPr>
        <vertAlign val="subscript"/>
        <sz val="11"/>
        <rFont val="Calibri"/>
        <family val="2"/>
        <scheme val="minor"/>
      </rPr>
      <t>PO4,KLP,UPT</t>
    </r>
  </si>
  <si>
    <r>
      <t>K</t>
    </r>
    <r>
      <rPr>
        <vertAlign val="subscript"/>
        <sz val="11"/>
        <rFont val="Calibri"/>
        <family val="2"/>
        <scheme val="minor"/>
      </rPr>
      <t>LP,UPT</t>
    </r>
    <r>
      <rPr>
        <sz val="11"/>
        <rFont val="Calibri"/>
        <family val="2"/>
        <scheme val="minor"/>
      </rPr>
      <t>/(K</t>
    </r>
    <r>
      <rPr>
        <vertAlign val="subscript"/>
        <sz val="11"/>
        <rFont val="Calibri"/>
        <family val="2"/>
        <scheme val="minor"/>
      </rPr>
      <t>LP,UPT</t>
    </r>
    <r>
      <rPr>
        <sz val="11"/>
        <rFont val="Calibri"/>
        <family val="2"/>
        <scheme val="minor"/>
      </rPr>
      <t>+P</t>
    </r>
    <r>
      <rPr>
        <vertAlign val="subscript"/>
        <sz val="11"/>
        <rFont val="Calibri"/>
        <family val="2"/>
        <scheme val="minor"/>
      </rPr>
      <t>O4</t>
    </r>
    <r>
      <rPr>
        <sz val="11"/>
        <rFont val="Calibri"/>
        <family val="2"/>
        <scheme val="minor"/>
      </rPr>
      <t>)</t>
    </r>
  </si>
  <si>
    <r>
      <t>Msat</t>
    </r>
    <r>
      <rPr>
        <vertAlign val="subscript"/>
        <sz val="11"/>
        <rFont val="Calibri"/>
        <family val="2"/>
        <scheme val="minor"/>
      </rPr>
      <t>PPP,LO,KXP</t>
    </r>
  </si>
  <si>
    <r>
      <t>P</t>
    </r>
    <r>
      <rPr>
        <vertAlign val="subscript"/>
        <sz val="11"/>
        <rFont val="Calibri"/>
        <family val="2"/>
        <scheme val="minor"/>
      </rPr>
      <t>PP,LO</t>
    </r>
    <r>
      <rPr>
        <sz val="11"/>
        <rFont val="Calibri"/>
        <family val="2"/>
        <scheme val="minor"/>
      </rPr>
      <t>/(K</t>
    </r>
    <r>
      <rPr>
        <vertAlign val="subscript"/>
        <sz val="11"/>
        <rFont val="Calibri"/>
        <family val="2"/>
        <scheme val="minor"/>
      </rPr>
      <t>XP</t>
    </r>
    <r>
      <rPr>
        <sz val="11"/>
        <rFont val="Calibri"/>
        <family val="2"/>
        <scheme val="minor"/>
      </rPr>
      <t>+P</t>
    </r>
    <r>
      <rPr>
        <vertAlign val="subscript"/>
        <sz val="11"/>
        <rFont val="Calibri"/>
        <family val="2"/>
        <scheme val="minor"/>
      </rPr>
      <t>PP,LO</t>
    </r>
    <r>
      <rPr>
        <sz val="11"/>
        <rFont val="Calibri"/>
        <family val="2"/>
        <scheme val="minor"/>
      </rPr>
      <t>)</t>
    </r>
  </si>
  <si>
    <r>
      <t>b</t>
    </r>
    <r>
      <rPr>
        <i/>
        <vertAlign val="subscript"/>
        <sz val="12"/>
        <rFont val="Arial"/>
        <family val="2"/>
      </rPr>
      <t>P</t>
    </r>
    <r>
      <rPr>
        <i/>
        <sz val="12"/>
        <rFont val="Arial"/>
        <family val="2"/>
      </rPr>
      <t>*Msat</t>
    </r>
    <r>
      <rPr>
        <i/>
        <vertAlign val="subscript"/>
        <sz val="12"/>
        <rFont val="Arial"/>
        <family val="2"/>
      </rPr>
      <t>SO,KO,HET</t>
    </r>
    <r>
      <rPr>
        <i/>
        <sz val="12"/>
        <rFont val="Arial"/>
        <family val="2"/>
      </rPr>
      <t>*Z</t>
    </r>
    <r>
      <rPr>
        <i/>
        <vertAlign val="subscript"/>
        <sz val="12"/>
        <rFont val="Arial"/>
        <family val="2"/>
      </rPr>
      <t>P</t>
    </r>
  </si>
  <si>
    <r>
      <t>b</t>
    </r>
    <r>
      <rPr>
        <i/>
        <vertAlign val="subscript"/>
        <sz val="12"/>
        <rFont val="Arial"/>
        <family val="2"/>
      </rPr>
      <t>P</t>
    </r>
    <r>
      <rPr>
        <i/>
        <sz val="12"/>
        <rFont val="Arial"/>
        <family val="2"/>
      </rPr>
      <t>*Msat</t>
    </r>
    <r>
      <rPr>
        <i/>
        <vertAlign val="subscript"/>
        <sz val="12"/>
        <rFont val="Arial"/>
        <family val="2"/>
      </rPr>
      <t>SO,KO,HET</t>
    </r>
    <r>
      <rPr>
        <i/>
        <sz val="12"/>
        <rFont val="Arial"/>
        <family val="2"/>
      </rPr>
      <t>*(P</t>
    </r>
    <r>
      <rPr>
        <i/>
        <vertAlign val="subscript"/>
        <sz val="12"/>
        <rFont val="Arial"/>
        <family val="2"/>
      </rPr>
      <t>PP,LO</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</si>
  <si>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*Msat</t>
    </r>
    <r>
      <rPr>
        <i/>
        <vertAlign val="subscript"/>
        <sz val="12"/>
        <rFont val="Arial"/>
        <family val="2"/>
      </rPr>
      <t>SO,KO,HET</t>
    </r>
    <r>
      <rPr>
        <i/>
        <sz val="12"/>
        <rFont val="Arial"/>
        <family val="2"/>
      </rPr>
      <t>*(P</t>
    </r>
    <r>
      <rPr>
        <i/>
        <vertAlign val="subscript"/>
        <sz val="12"/>
        <rFont val="Arial"/>
        <family val="2"/>
      </rPr>
      <t>PP,HI</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</si>
  <si>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*Msat</t>
    </r>
    <r>
      <rPr>
        <i/>
        <vertAlign val="subscript"/>
        <sz val="12"/>
        <rFont val="Arial"/>
        <family val="2"/>
      </rPr>
      <t>SO,KO,HET</t>
    </r>
    <r>
      <rPr>
        <i/>
        <sz val="12"/>
        <rFont val="Arial"/>
        <family val="2"/>
      </rPr>
      <t>*(S</t>
    </r>
    <r>
      <rPr>
        <i/>
        <vertAlign val="subscript"/>
        <sz val="12"/>
        <rFont val="Arial"/>
        <family val="2"/>
      </rPr>
      <t>PHB</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</si>
  <si>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*Msat</t>
    </r>
    <r>
      <rPr>
        <i/>
        <vertAlign val="subscript"/>
        <sz val="12"/>
        <rFont val="Arial"/>
        <family val="2"/>
      </rPr>
      <t>NO3,KNO</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</si>
  <si>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*Msat</t>
    </r>
    <r>
      <rPr>
        <i/>
        <vertAlign val="subscript"/>
        <sz val="12"/>
        <rFont val="Arial"/>
        <family val="2"/>
      </rPr>
      <t>NO3,KNO</t>
    </r>
    <r>
      <rPr>
        <i/>
        <sz val="12"/>
        <rFont val="Arial"/>
        <family val="2"/>
      </rPr>
      <t>*(P</t>
    </r>
    <r>
      <rPr>
        <i/>
        <vertAlign val="subscript"/>
        <sz val="12"/>
        <rFont val="Arial"/>
        <family val="2"/>
      </rPr>
      <t>PP,LO</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</si>
  <si>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*Msat</t>
    </r>
    <r>
      <rPr>
        <i/>
        <vertAlign val="subscript"/>
        <sz val="12"/>
        <rFont val="Arial"/>
        <family val="2"/>
      </rPr>
      <t>NO3,KNO</t>
    </r>
    <r>
      <rPr>
        <i/>
        <sz val="12"/>
        <rFont val="Arial"/>
        <family val="2"/>
      </rPr>
      <t>*(P</t>
    </r>
    <r>
      <rPr>
        <i/>
        <vertAlign val="subscript"/>
        <sz val="12"/>
        <rFont val="Arial"/>
        <family val="2"/>
      </rPr>
      <t>PP,HI</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</si>
  <si>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*Msat</t>
    </r>
    <r>
      <rPr>
        <i/>
        <vertAlign val="subscript"/>
        <sz val="12"/>
        <rFont val="Arial"/>
        <family val="2"/>
      </rPr>
      <t>NO3,KNO</t>
    </r>
    <r>
      <rPr>
        <i/>
        <sz val="12"/>
        <rFont val="Arial"/>
        <family val="2"/>
      </rPr>
      <t>*(S</t>
    </r>
    <r>
      <rPr>
        <i/>
        <vertAlign val="subscript"/>
        <sz val="12"/>
        <rFont val="Arial"/>
        <family val="2"/>
      </rPr>
      <t>PHB</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</si>
  <si>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*Minh</t>
    </r>
    <r>
      <rPr>
        <i/>
        <vertAlign val="subscript"/>
        <sz val="12"/>
        <rFont val="Arial"/>
        <family val="2"/>
      </rPr>
      <t>NO3,KNO</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</si>
  <si>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*Minh</t>
    </r>
    <r>
      <rPr>
        <i/>
        <vertAlign val="subscript"/>
        <sz val="12"/>
        <rFont val="Arial"/>
        <family val="2"/>
      </rPr>
      <t>NO3,KNO</t>
    </r>
    <r>
      <rPr>
        <i/>
        <sz val="12"/>
        <rFont val="Arial"/>
        <family val="2"/>
      </rPr>
      <t>*(P</t>
    </r>
    <r>
      <rPr>
        <i/>
        <vertAlign val="subscript"/>
        <sz val="12"/>
        <rFont val="Arial"/>
        <family val="2"/>
      </rPr>
      <t>PP,LO</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</si>
  <si>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*Minh</t>
    </r>
    <r>
      <rPr>
        <i/>
        <vertAlign val="subscript"/>
        <sz val="12"/>
        <rFont val="Arial"/>
        <family val="2"/>
      </rPr>
      <t>NO3,KNO</t>
    </r>
    <r>
      <rPr>
        <i/>
        <sz val="12"/>
        <rFont val="Arial"/>
        <family val="2"/>
      </rPr>
      <t>*(P</t>
    </r>
    <r>
      <rPr>
        <i/>
        <vertAlign val="subscript"/>
        <sz val="12"/>
        <rFont val="Arial"/>
        <family val="2"/>
      </rPr>
      <t>PP,HI</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</si>
  <si>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t>
    </r>
    <r>
      <rPr>
        <i/>
        <sz val="12"/>
        <rFont val="Arial"/>
        <family val="2"/>
      </rPr>
      <t>*Minh</t>
    </r>
    <r>
      <rPr>
        <i/>
        <vertAlign val="subscript"/>
        <sz val="12"/>
        <rFont val="Arial"/>
        <family val="2"/>
      </rPr>
      <t>SO,KO,HET</t>
    </r>
    <r>
      <rPr>
        <i/>
        <sz val="12"/>
        <rFont val="Arial"/>
        <family val="2"/>
      </rPr>
      <t>*Minh</t>
    </r>
    <r>
      <rPr>
        <i/>
        <vertAlign val="subscript"/>
        <sz val="12"/>
        <rFont val="Arial"/>
        <family val="2"/>
      </rPr>
      <t>NO3,KNO</t>
    </r>
    <r>
      <rPr>
        <i/>
        <sz val="12"/>
        <rFont val="Arial"/>
        <family val="2"/>
      </rPr>
      <t>*(S</t>
    </r>
    <r>
      <rPr>
        <i/>
        <vertAlign val="subscript"/>
        <sz val="12"/>
        <rFont val="Arial"/>
        <family val="2"/>
      </rPr>
      <t>PHB</t>
    </r>
    <r>
      <rPr>
        <i/>
        <sz val="12"/>
        <rFont val="Arial"/>
        <family val="2"/>
      </rPr>
      <t>/Z</t>
    </r>
    <r>
      <rPr>
        <i/>
        <vertAlign val="subscript"/>
        <sz val="12"/>
        <rFont val="Arial"/>
        <family val="2"/>
      </rPr>
      <t>P</t>
    </r>
    <r>
      <rPr>
        <i/>
        <sz val="12"/>
        <rFont val="Arial"/>
        <family val="2"/>
      </rPr>
      <t>)*Z</t>
    </r>
    <r>
      <rPr>
        <i/>
        <vertAlign val="subscript"/>
        <sz val="12"/>
        <rFont val="Arial"/>
        <family val="2"/>
      </rPr>
      <t>P</t>
    </r>
  </si>
  <si>
    <r>
      <t>b</t>
    </r>
    <r>
      <rPr>
        <i/>
        <vertAlign val="subscript"/>
        <sz val="12"/>
        <rFont val="Arial"/>
        <family val="2"/>
      </rPr>
      <t>PP</t>
    </r>
    <r>
      <rPr>
        <i/>
        <sz val="12"/>
        <rFont val="Arial"/>
        <family val="2"/>
      </rPr>
      <t>*Minh</t>
    </r>
    <r>
      <rPr>
        <i/>
        <vertAlign val="subscript"/>
        <sz val="12"/>
        <rFont val="Arial"/>
        <family val="2"/>
      </rPr>
      <t>SO,KO,HET</t>
    </r>
    <r>
      <rPr>
        <i/>
        <sz val="12"/>
        <rFont val="Arial"/>
        <family val="2"/>
      </rPr>
      <t>*Msat</t>
    </r>
    <r>
      <rPr>
        <i/>
        <vertAlign val="subscript"/>
        <sz val="12"/>
        <rFont val="Arial"/>
        <family val="2"/>
      </rPr>
      <t>PPP,LO,KXP</t>
    </r>
    <r>
      <rPr>
        <i/>
        <sz val="12"/>
        <rFont val="Arial"/>
        <family val="2"/>
      </rPr>
      <t>*Z</t>
    </r>
    <r>
      <rPr>
        <i/>
        <vertAlign val="subscript"/>
        <sz val="12"/>
        <rFont val="Arial"/>
        <family val="2"/>
      </rPr>
      <t>P</t>
    </r>
  </si>
  <si>
    <t>Saturation term for dissolved oxygen (heterotrophs)</t>
  </si>
  <si>
    <t>Saturation term for fermentable organic matter</t>
  </si>
  <si>
    <t>Saturation term for ammonia (heterotrophs)</t>
  </si>
  <si>
    <t>Saturation term for nitrate and nitrite</t>
  </si>
  <si>
    <t>Saturation term for soluble inroganic phosphorus (as nutrient)</t>
  </si>
  <si>
    <t>Saturation term for fermentation products</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</si>
  <si>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</si>
  <si>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releasable stored polyphosphate (PAO)</t>
  </si>
  <si>
    <t>Inhibition term for dissolved oxygen (heterotrophs)</t>
  </si>
  <si>
    <t>Inhibition term for ammonia (heterotrophs)</t>
  </si>
  <si>
    <t>Inhibition term for nitrate and nitrite</t>
  </si>
  <si>
    <t>Inhibition term for soluble inorganic phosphorus (uptake)</t>
  </si>
  <si>
    <r>
      <t>Msat</t>
    </r>
    <r>
      <rPr>
        <vertAlign val="subscript"/>
        <sz val="11"/>
        <rFont val="Calibri"/>
        <family val="2"/>
        <scheme val="minor"/>
      </rPr>
      <t>SBSC,SBSA</t>
    </r>
  </si>
  <si>
    <t>Saturation term for fermentable organic matter</t>
  </si>
  <si>
    <r>
      <t>S</t>
    </r>
    <r>
      <rPr>
        <vertAlign val="subscript"/>
        <sz val="11"/>
        <rFont val="Calibri"/>
        <family val="2"/>
        <scheme val="minor"/>
      </rPr>
      <t>BSC</t>
    </r>
    <r>
      <rPr>
        <sz val="11"/>
        <rFont val="Calibri"/>
        <family val="2"/>
        <scheme val="minor"/>
      </rPr>
      <t>/(S</t>
    </r>
    <r>
      <rPr>
        <vertAlign val="subscript"/>
        <sz val="11"/>
        <rFont val="Calibri"/>
        <family val="2"/>
        <scheme val="minor"/>
      </rPr>
      <t>BSA</t>
    </r>
    <r>
      <rPr>
        <sz val="11"/>
        <rFont val="Calibri"/>
        <family val="2"/>
        <scheme val="minor"/>
      </rPr>
      <t>+S</t>
    </r>
    <r>
      <rPr>
        <vertAlign val="subscript"/>
        <sz val="11"/>
        <rFont val="Calibri"/>
        <family val="2"/>
        <scheme val="minor"/>
      </rPr>
      <t>BSC</t>
    </r>
    <r>
      <rPr>
        <sz val="11"/>
        <rFont val="Calibri"/>
        <family val="2"/>
        <scheme val="minor"/>
      </rPr>
      <t>)</t>
    </r>
  </si>
  <si>
    <r>
      <t>Msat</t>
    </r>
    <r>
      <rPr>
        <vertAlign val="subscript"/>
        <sz val="11"/>
        <rFont val="Calibri"/>
        <family val="2"/>
        <scheme val="minor"/>
      </rPr>
      <t>SBSA,SBSC</t>
    </r>
  </si>
  <si>
    <t>Saturation term for fermentation products (heterotrophs)</t>
  </si>
  <si>
    <r>
      <t>S</t>
    </r>
    <r>
      <rPr>
        <vertAlign val="subscript"/>
        <sz val="11"/>
        <rFont val="Calibri"/>
        <family val="2"/>
        <scheme val="minor"/>
      </rPr>
      <t>BSA</t>
    </r>
    <r>
      <rPr>
        <sz val="11"/>
        <rFont val="Calibri"/>
        <family val="2"/>
        <scheme val="minor"/>
      </rPr>
      <t>/(S</t>
    </r>
    <r>
      <rPr>
        <vertAlign val="subscript"/>
        <sz val="11"/>
        <rFont val="Calibri"/>
        <family val="2"/>
        <scheme val="minor"/>
      </rPr>
      <t>BSC</t>
    </r>
    <r>
      <rPr>
        <sz val="11"/>
        <rFont val="Calibri"/>
        <family val="2"/>
        <scheme val="minor"/>
      </rPr>
      <t>+S</t>
    </r>
    <r>
      <rPr>
        <vertAlign val="subscript"/>
        <sz val="11"/>
        <rFont val="Calibri"/>
        <family val="2"/>
        <scheme val="minor"/>
      </rPr>
      <t>BSA</t>
    </r>
    <r>
      <rPr>
        <sz val="11"/>
        <rFont val="Calibri"/>
        <family val="2"/>
        <scheme val="minor"/>
      </rPr>
      <t>)</t>
    </r>
  </si>
  <si>
    <r>
      <t>(S</t>
    </r>
    <r>
      <rPr>
        <vertAlign val="subscript"/>
        <sz val="11"/>
        <rFont val="Calibri"/>
        <family val="2"/>
        <scheme val="minor"/>
      </rPr>
      <t>ENM</t>
    </r>
    <r>
      <rPr>
        <sz val="11"/>
        <rFont val="Calibri"/>
        <family val="2"/>
        <scheme val="minor"/>
      </rPr>
      <t>/Z</t>
    </r>
    <r>
      <rPr>
        <vertAlign val="subscript"/>
        <sz val="11"/>
        <rFont val="Calibri"/>
        <family val="2"/>
        <scheme val="minor"/>
      </rPr>
      <t>H</t>
    </r>
    <r>
      <rPr>
        <sz val="11"/>
        <rFont val="Calibri"/>
        <family val="2"/>
        <scheme val="minor"/>
      </rPr>
      <t>)/(K</t>
    </r>
    <r>
      <rPr>
        <vertAlign val="subscript"/>
        <sz val="11"/>
        <rFont val="Calibri"/>
        <family val="2"/>
        <scheme val="minor"/>
      </rPr>
      <t>X</t>
    </r>
    <r>
      <rPr>
        <sz val="11"/>
        <rFont val="Calibri"/>
        <family val="2"/>
        <scheme val="minor"/>
      </rPr>
      <t>+(S</t>
    </r>
    <r>
      <rPr>
        <vertAlign val="subscript"/>
        <sz val="11"/>
        <rFont val="Calibri"/>
        <family val="2"/>
        <scheme val="minor"/>
      </rPr>
      <t>ENM</t>
    </r>
    <r>
      <rPr>
        <sz val="11"/>
        <rFont val="Calibri"/>
        <family val="2"/>
        <scheme val="minor"/>
      </rPr>
      <t>/Z</t>
    </r>
    <r>
      <rPr>
        <vertAlign val="subscript"/>
        <sz val="11"/>
        <rFont val="Calibri"/>
        <family val="2"/>
        <scheme val="minor"/>
      </rPr>
      <t>H</t>
    </r>
    <r>
      <rPr>
        <sz val="11"/>
        <rFont val="Calibri"/>
        <family val="2"/>
        <scheme val="minor"/>
      </rPr>
      <t>))</t>
    </r>
  </si>
  <si>
    <r>
      <t>MRsat</t>
    </r>
    <r>
      <rPr>
        <vertAlign val="subscript"/>
        <sz val="11"/>
        <rFont val="Calibri"/>
        <family val="2"/>
        <scheme val="minor"/>
      </rPr>
      <t>SENM,ZH,KX</t>
    </r>
  </si>
  <si>
    <t>Saturation term for enmeshed slowly biodegradable substrate (heterotrophs MO)</t>
  </si>
  <si>
    <r>
      <t>K</t>
    </r>
    <r>
      <rPr>
        <i/>
        <vertAlign val="subscript"/>
        <sz val="12"/>
        <rFont val="Arial"/>
        <family val="2"/>
      </rPr>
      <t>H</t>
    </r>
    <r>
      <rPr>
        <i/>
        <sz val="12"/>
        <rFont val="Arial"/>
        <family val="2"/>
      </rPr>
      <t>*Msat</t>
    </r>
    <r>
      <rPr>
        <i/>
        <vertAlign val="subscript"/>
        <sz val="12"/>
        <rFont val="Arial"/>
        <family val="2"/>
      </rPr>
      <t>SO,KO,HET</t>
    </r>
    <r>
      <rPr>
        <i/>
        <sz val="12"/>
        <rFont val="Arial"/>
        <family val="2"/>
      </rPr>
      <t>*</t>
    </r>
    <r>
      <rPr>
        <i/>
        <sz val="12"/>
        <rFont val="Arial"/>
        <family val="2"/>
      </rPr>
      <t>MRsat</t>
    </r>
    <r>
      <rPr>
        <i/>
        <vertAlign val="subscript"/>
        <sz val="12"/>
        <rFont val="Arial"/>
        <family val="2"/>
      </rPr>
      <t>SENM,ZH,KX</t>
    </r>
    <r>
      <rPr>
        <i/>
        <sz val="12"/>
        <rFont val="Arial"/>
        <family val="2"/>
      </rPr>
      <t>*Z</t>
    </r>
    <r>
      <rPr>
        <i/>
        <vertAlign val="subscript"/>
        <sz val="12"/>
        <rFont val="Arial"/>
        <family val="2"/>
      </rPr>
      <t>H</t>
    </r>
  </si>
  <si>
    <r>
      <t>K</t>
    </r>
    <r>
      <rPr>
        <i/>
        <vertAlign val="subscript"/>
        <sz val="12"/>
        <rFont val="Arial"/>
        <family val="2"/>
      </rPr>
      <t>H</t>
    </r>
    <r>
      <rPr>
        <i/>
        <sz val="12"/>
        <rFont val="Arial"/>
        <family val="2"/>
      </rPr>
      <t>*η</t>
    </r>
    <r>
      <rPr>
        <i/>
        <vertAlign val="subscript"/>
        <sz val="12"/>
        <rFont val="Arial"/>
        <family val="2"/>
      </rPr>
      <t>S,ANOX</t>
    </r>
    <r>
      <rPr>
        <i/>
        <sz val="12"/>
        <rFont val="Arial"/>
        <family val="2"/>
      </rPr>
      <t>*Minh</t>
    </r>
    <r>
      <rPr>
        <i/>
        <vertAlign val="subscript"/>
        <sz val="12"/>
        <rFont val="Arial"/>
        <family val="2"/>
      </rPr>
      <t>SO,KO,HET</t>
    </r>
    <r>
      <rPr>
        <i/>
        <sz val="12"/>
        <rFont val="Arial"/>
        <family val="2"/>
      </rPr>
      <t>*Msat</t>
    </r>
    <r>
      <rPr>
        <i/>
        <vertAlign val="subscript"/>
        <sz val="12"/>
        <rFont val="Arial"/>
        <family val="2"/>
      </rPr>
      <t>NO3,KNO</t>
    </r>
    <r>
      <rPr>
        <i/>
        <sz val="12"/>
        <rFont val="Arial"/>
        <family val="2"/>
      </rPr>
      <t>*</t>
    </r>
    <r>
      <rPr>
        <i/>
        <sz val="12"/>
        <rFont val="Arial"/>
        <family val="2"/>
      </rPr>
      <t>MRsat</t>
    </r>
    <r>
      <rPr>
        <i/>
        <vertAlign val="subscript"/>
        <sz val="12"/>
        <rFont val="Arial"/>
        <family val="2"/>
      </rPr>
      <t>SENM,ZH,KX</t>
    </r>
    <r>
      <rPr>
        <i/>
        <sz val="12"/>
        <rFont val="Arial"/>
        <family val="2"/>
      </rPr>
      <t>*Z</t>
    </r>
    <r>
      <rPr>
        <i/>
        <vertAlign val="subscript"/>
        <sz val="12"/>
        <rFont val="Arial"/>
        <family val="2"/>
      </rPr>
      <t>H</t>
    </r>
  </si>
  <si>
    <r>
      <t>K</t>
    </r>
    <r>
      <rPr>
        <i/>
        <vertAlign val="subscript"/>
        <sz val="12"/>
        <rFont val="Arial"/>
        <family val="2"/>
      </rPr>
      <t>H</t>
    </r>
    <r>
      <rPr>
        <i/>
        <sz val="12"/>
        <rFont val="Arial"/>
        <family val="2"/>
      </rPr>
      <t>*η</t>
    </r>
    <r>
      <rPr>
        <i/>
        <vertAlign val="subscript"/>
        <sz val="12"/>
        <rFont val="Arial"/>
        <family val="2"/>
      </rPr>
      <t>S,ANA</t>
    </r>
    <r>
      <rPr>
        <i/>
        <sz val="12"/>
        <rFont val="Arial"/>
        <family val="2"/>
      </rPr>
      <t>*Minh</t>
    </r>
    <r>
      <rPr>
        <i/>
        <vertAlign val="subscript"/>
        <sz val="12"/>
        <rFont val="Arial"/>
        <family val="2"/>
      </rPr>
      <t>SO,KO,HET</t>
    </r>
    <r>
      <rPr>
        <i/>
        <sz val="12"/>
        <rFont val="Arial"/>
        <family val="2"/>
      </rPr>
      <t>*Minh</t>
    </r>
    <r>
      <rPr>
        <i/>
        <vertAlign val="subscript"/>
        <sz val="12"/>
        <rFont val="Arial"/>
        <family val="2"/>
      </rPr>
      <t>NO3,KNO</t>
    </r>
    <r>
      <rPr>
        <i/>
        <sz val="12"/>
        <rFont val="Arial"/>
        <family val="2"/>
      </rPr>
      <t>*</t>
    </r>
    <r>
      <rPr>
        <i/>
        <sz val="12"/>
        <rFont val="Arial"/>
        <family val="2"/>
      </rPr>
      <t>MRsat</t>
    </r>
    <r>
      <rPr>
        <i/>
        <vertAlign val="subscript"/>
        <sz val="12"/>
        <rFont val="Arial"/>
        <family val="2"/>
      </rPr>
      <t>SENM,ZH,KX</t>
    </r>
    <r>
      <rPr>
        <i/>
        <sz val="12"/>
        <rFont val="Arial"/>
        <family val="2"/>
      </rPr>
      <t>*Z</t>
    </r>
    <r>
      <rPr>
        <i/>
        <vertAlign val="subscript"/>
        <sz val="12"/>
        <rFont val="Arial"/>
        <family val="2"/>
      </rPr>
      <t>H</t>
    </r>
  </si>
  <si>
    <t>Saturation term for PHB storage in PAOs (P limiting)</t>
  </si>
  <si>
    <r>
      <t>MRsat</t>
    </r>
    <r>
      <rPr>
        <vertAlign val="subscript"/>
        <sz val="11"/>
        <rFont val="Calibri"/>
        <family val="2"/>
        <scheme val="minor"/>
      </rPr>
      <t>SPHB,ZP,KSP1</t>
    </r>
  </si>
  <si>
    <r>
      <t>MRsat</t>
    </r>
    <r>
      <rPr>
        <vertAlign val="subscript"/>
        <sz val="11"/>
        <rFont val="Calibri"/>
        <family val="2"/>
        <scheme val="minor"/>
      </rPr>
      <t>SPHB,ZP,KSP2</t>
    </r>
  </si>
  <si>
    <r>
      <t>(S</t>
    </r>
    <r>
      <rPr>
        <vertAlign val="subscript"/>
        <sz val="11"/>
        <rFont val="Calibri"/>
        <family val="2"/>
        <scheme val="minor"/>
      </rPr>
      <t>PHB</t>
    </r>
    <r>
      <rPr>
        <sz val="11"/>
        <rFont val="Calibri"/>
        <family val="2"/>
        <scheme val="minor"/>
      </rPr>
      <t>/Z</t>
    </r>
    <r>
      <rPr>
        <vertAlign val="subscript"/>
        <sz val="11"/>
        <rFont val="Calibri"/>
        <family val="2"/>
        <scheme val="minor"/>
      </rPr>
      <t>P</t>
    </r>
    <r>
      <rPr>
        <sz val="11"/>
        <rFont val="Calibri"/>
        <family val="2"/>
        <scheme val="minor"/>
      </rPr>
      <t>)/(K</t>
    </r>
    <r>
      <rPr>
        <vertAlign val="subscript"/>
        <sz val="11"/>
        <rFont val="Calibri"/>
        <family val="2"/>
        <scheme val="minor"/>
      </rPr>
      <t>SP1</t>
    </r>
    <r>
      <rPr>
        <sz val="11"/>
        <rFont val="Calibri"/>
        <family val="2"/>
        <scheme val="minor"/>
      </rPr>
      <t>+(S</t>
    </r>
    <r>
      <rPr>
        <vertAlign val="subscript"/>
        <sz val="11"/>
        <rFont val="Calibri"/>
        <family val="2"/>
        <scheme val="minor"/>
      </rPr>
      <t>PHB</t>
    </r>
    <r>
      <rPr>
        <sz val="11"/>
        <rFont val="Calibri"/>
        <family val="2"/>
        <scheme val="minor"/>
      </rPr>
      <t>/Z</t>
    </r>
    <r>
      <rPr>
        <vertAlign val="subscript"/>
        <sz val="11"/>
        <rFont val="Calibri"/>
        <family val="2"/>
        <scheme val="minor"/>
      </rPr>
      <t>P</t>
    </r>
    <r>
      <rPr>
        <sz val="11"/>
        <rFont val="Calibri"/>
        <family val="2"/>
        <scheme val="minor"/>
      </rPr>
      <t>))</t>
    </r>
  </si>
  <si>
    <r>
      <t>(S</t>
    </r>
    <r>
      <rPr>
        <vertAlign val="subscript"/>
        <sz val="11"/>
        <rFont val="Calibri"/>
        <family val="2"/>
        <scheme val="minor"/>
      </rPr>
      <t>PHB</t>
    </r>
    <r>
      <rPr>
        <sz val="11"/>
        <rFont val="Calibri"/>
        <family val="2"/>
        <scheme val="minor"/>
      </rPr>
      <t>/Z</t>
    </r>
    <r>
      <rPr>
        <vertAlign val="subscript"/>
        <sz val="11"/>
        <rFont val="Calibri"/>
        <family val="2"/>
        <scheme val="minor"/>
      </rPr>
      <t>P</t>
    </r>
    <r>
      <rPr>
        <sz val="11"/>
        <rFont val="Calibri"/>
        <family val="2"/>
        <scheme val="minor"/>
      </rPr>
      <t>)/(K</t>
    </r>
    <r>
      <rPr>
        <vertAlign val="subscript"/>
        <sz val="11"/>
        <rFont val="Calibri"/>
        <family val="2"/>
        <scheme val="minor"/>
      </rPr>
      <t>SP2</t>
    </r>
    <r>
      <rPr>
        <sz val="11"/>
        <rFont val="Calibri"/>
        <family val="2"/>
        <scheme val="minor"/>
      </rPr>
      <t>+(S</t>
    </r>
    <r>
      <rPr>
        <vertAlign val="subscript"/>
        <sz val="11"/>
        <rFont val="Calibri"/>
        <family val="2"/>
        <scheme val="minor"/>
      </rPr>
      <t>PHB</t>
    </r>
    <r>
      <rPr>
        <sz val="11"/>
        <rFont val="Calibri"/>
        <family val="2"/>
        <scheme val="minor"/>
      </rPr>
      <t>/Z</t>
    </r>
    <r>
      <rPr>
        <vertAlign val="subscript"/>
        <sz val="11"/>
        <rFont val="Calibri"/>
        <family val="2"/>
        <scheme val="minor"/>
      </rPr>
      <t>P</t>
    </r>
    <r>
      <rPr>
        <sz val="11"/>
        <rFont val="Calibri"/>
        <family val="2"/>
        <scheme val="minor"/>
      </rPr>
      <t>))</t>
    </r>
  </si>
  <si>
    <r>
      <t>µ</t>
    </r>
    <r>
      <rPr>
        <i/>
        <vertAlign val="subscript"/>
        <sz val="12"/>
        <rFont val="Arial"/>
        <family val="2"/>
      </rPr>
      <t>P1</t>
    </r>
    <r>
      <rPr>
        <i/>
        <sz val="12"/>
        <rFont val="Arial"/>
        <family val="2"/>
      </rPr>
      <t>*</t>
    </r>
    <r>
      <rPr>
        <i/>
        <sz val="12"/>
        <rFont val="Arial"/>
        <family val="2"/>
      </rPr>
      <t>MRsat</t>
    </r>
    <r>
      <rPr>
        <i/>
        <vertAlign val="subscript"/>
        <sz val="12"/>
        <rFont val="Arial"/>
        <family val="2"/>
      </rPr>
      <t>SPHB,ZP,KSP1</t>
    </r>
    <r>
      <rPr>
        <i/>
        <sz val="12"/>
        <rFont val="Arial"/>
        <family val="2"/>
      </rPr>
      <t>*Msat</t>
    </r>
    <r>
      <rPr>
        <i/>
        <vertAlign val="subscript"/>
        <sz val="12"/>
        <rFont val="Arial"/>
        <family val="2"/>
      </rPr>
      <t>SO,KO,HET</t>
    </r>
    <r>
      <rPr>
        <i/>
        <sz val="12"/>
        <rFont val="Arial"/>
        <family val="2"/>
      </rPr>
      <t>*Msat</t>
    </r>
    <r>
      <rPr>
        <i/>
        <vertAlign val="subscript"/>
        <sz val="12"/>
        <rFont val="Arial"/>
        <family val="2"/>
      </rPr>
      <t>NH3,KNA</t>
    </r>
    <r>
      <rPr>
        <i/>
        <sz val="12"/>
        <rFont val="Arial"/>
        <family val="2"/>
      </rPr>
      <t>*Msat</t>
    </r>
    <r>
      <rPr>
        <i/>
        <vertAlign val="subscript"/>
        <sz val="12"/>
        <rFont val="Arial"/>
        <family val="2"/>
      </rPr>
      <t>PO4,KLP,UPT</t>
    </r>
    <r>
      <rPr>
        <i/>
        <sz val="12"/>
        <rFont val="Arial"/>
        <family val="2"/>
      </rPr>
      <t>*Z</t>
    </r>
    <r>
      <rPr>
        <i/>
        <vertAlign val="subscript"/>
        <sz val="12"/>
        <rFont val="Arial"/>
        <family val="2"/>
      </rPr>
      <t>P</t>
    </r>
  </si>
  <si>
    <r>
      <t>µ</t>
    </r>
    <r>
      <rPr>
        <i/>
        <vertAlign val="subscript"/>
        <sz val="12"/>
        <rFont val="Arial"/>
        <family val="2"/>
      </rPr>
      <t>P1</t>
    </r>
    <r>
      <rPr>
        <i/>
        <sz val="12"/>
        <rFont val="Arial"/>
        <family val="2"/>
      </rPr>
      <t>*</t>
    </r>
    <r>
      <rPr>
        <i/>
        <sz val="12"/>
        <rFont val="Arial"/>
        <family val="2"/>
      </rPr>
      <t>MRsat</t>
    </r>
    <r>
      <rPr>
        <i/>
        <vertAlign val="subscript"/>
        <sz val="12"/>
        <rFont val="Arial"/>
        <family val="2"/>
      </rPr>
      <t>SPHB,ZP,KSP1</t>
    </r>
    <r>
      <rPr>
        <i/>
        <sz val="12"/>
        <rFont val="Arial"/>
        <family val="2"/>
      </rPr>
      <t>*Msat</t>
    </r>
    <r>
      <rPr>
        <i/>
        <vertAlign val="subscript"/>
        <sz val="12"/>
        <rFont val="Arial"/>
        <family val="2"/>
      </rPr>
      <t>SO,KO,HET</t>
    </r>
    <r>
      <rPr>
        <i/>
        <sz val="12"/>
        <rFont val="Arial"/>
        <family val="2"/>
      </rPr>
      <t>*Msat</t>
    </r>
    <r>
      <rPr>
        <i/>
        <vertAlign val="subscript"/>
        <sz val="12"/>
        <rFont val="Arial"/>
        <family val="2"/>
      </rPr>
      <t>NO3,KNO</t>
    </r>
    <r>
      <rPr>
        <i/>
        <sz val="12"/>
        <rFont val="Arial"/>
        <family val="2"/>
      </rPr>
      <t>*Minh</t>
    </r>
    <r>
      <rPr>
        <i/>
        <vertAlign val="subscript"/>
        <sz val="12"/>
        <rFont val="Arial"/>
        <family val="2"/>
      </rPr>
      <t>NH3,KNA</t>
    </r>
    <r>
      <rPr>
        <i/>
        <sz val="12"/>
        <rFont val="Arial"/>
        <family val="2"/>
      </rPr>
      <t>*Msat</t>
    </r>
    <r>
      <rPr>
        <i/>
        <vertAlign val="subscript"/>
        <sz val="12"/>
        <rFont val="Arial"/>
        <family val="2"/>
      </rPr>
      <t>PO4,KLP,UPT</t>
    </r>
    <r>
      <rPr>
        <i/>
        <sz val="12"/>
        <rFont val="Arial"/>
        <family val="2"/>
      </rPr>
      <t>*Z</t>
    </r>
    <r>
      <rPr>
        <i/>
        <vertAlign val="subscript"/>
        <sz val="12"/>
        <rFont val="Arial"/>
        <family val="2"/>
      </rPr>
      <t>P</t>
    </r>
  </si>
  <si>
    <r>
      <t>µ</t>
    </r>
    <r>
      <rPr>
        <i/>
        <vertAlign val="subscript"/>
        <sz val="12"/>
        <rFont val="Arial"/>
        <family val="2"/>
      </rPr>
      <t>P2</t>
    </r>
    <r>
      <rPr>
        <i/>
        <sz val="12"/>
        <rFont val="Arial"/>
        <family val="2"/>
      </rPr>
      <t>*</t>
    </r>
    <r>
      <rPr>
        <i/>
        <sz val="12"/>
        <rFont val="Arial"/>
        <family val="2"/>
      </rPr>
      <t>MRsat</t>
    </r>
    <r>
      <rPr>
        <i/>
        <vertAlign val="subscript"/>
        <sz val="12"/>
        <rFont val="Arial"/>
        <family val="2"/>
      </rPr>
      <t>SPHB,ZP,KSP2</t>
    </r>
    <r>
      <rPr>
        <i/>
        <sz val="12"/>
        <rFont val="Arial"/>
        <family val="2"/>
      </rPr>
      <t>*Msat</t>
    </r>
    <r>
      <rPr>
        <i/>
        <vertAlign val="subscript"/>
        <sz val="12"/>
        <rFont val="Arial"/>
        <family val="2"/>
      </rPr>
      <t>SO,KO,HET</t>
    </r>
    <r>
      <rPr>
        <i/>
        <sz val="12"/>
        <rFont val="Arial"/>
        <family val="2"/>
      </rPr>
      <t>*Msat</t>
    </r>
    <r>
      <rPr>
        <i/>
        <vertAlign val="subscript"/>
        <sz val="12"/>
        <rFont val="Arial"/>
        <family val="2"/>
      </rPr>
      <t>NH3,KNA</t>
    </r>
    <r>
      <rPr>
        <i/>
        <sz val="12"/>
        <rFont val="Arial"/>
        <family val="2"/>
      </rPr>
      <t>*Minh</t>
    </r>
    <r>
      <rPr>
        <i/>
        <vertAlign val="subscript"/>
        <sz val="12"/>
        <rFont val="Arial"/>
        <family val="2"/>
      </rPr>
      <t>PO4,KLP,UPT</t>
    </r>
    <r>
      <rPr>
        <i/>
        <sz val="12"/>
        <rFont val="Arial"/>
        <family val="2"/>
      </rPr>
      <t>*Z</t>
    </r>
    <r>
      <rPr>
        <i/>
        <vertAlign val="subscript"/>
        <sz val="12"/>
        <rFont val="Arial"/>
        <family val="2"/>
      </rPr>
      <t>P</t>
    </r>
  </si>
  <si>
    <r>
      <t>µ</t>
    </r>
    <r>
      <rPr>
        <i/>
        <vertAlign val="subscript"/>
        <sz val="12"/>
        <rFont val="Arial"/>
        <family val="2"/>
      </rPr>
      <t>P2</t>
    </r>
    <r>
      <rPr>
        <i/>
        <sz val="12"/>
        <rFont val="Arial"/>
        <family val="2"/>
      </rPr>
      <t>*</t>
    </r>
    <r>
      <rPr>
        <i/>
        <sz val="12"/>
        <rFont val="Arial"/>
        <family val="2"/>
      </rPr>
      <t>MRsat</t>
    </r>
    <r>
      <rPr>
        <i/>
        <vertAlign val="subscript"/>
        <sz val="12"/>
        <rFont val="Arial"/>
        <family val="2"/>
      </rPr>
      <t>SPHB,ZP,KSP2</t>
    </r>
    <r>
      <rPr>
        <i/>
        <sz val="12"/>
        <rFont val="Arial"/>
        <family val="2"/>
      </rPr>
      <t>*Msat</t>
    </r>
    <r>
      <rPr>
        <i/>
        <vertAlign val="subscript"/>
        <sz val="12"/>
        <rFont val="Arial"/>
        <family val="2"/>
      </rPr>
      <t>SO,KO,HET</t>
    </r>
    <r>
      <rPr>
        <i/>
        <sz val="12"/>
        <rFont val="Arial"/>
        <family val="2"/>
      </rPr>
      <t>*Msat</t>
    </r>
    <r>
      <rPr>
        <i/>
        <vertAlign val="subscript"/>
        <sz val="12"/>
        <rFont val="Arial"/>
        <family val="2"/>
      </rPr>
      <t>NO3,KNO</t>
    </r>
    <r>
      <rPr>
        <i/>
        <sz val="12"/>
        <rFont val="Arial"/>
        <family val="2"/>
      </rPr>
      <t>*Minh</t>
    </r>
    <r>
      <rPr>
        <i/>
        <vertAlign val="subscript"/>
        <sz val="12"/>
        <rFont val="Arial"/>
        <family val="2"/>
      </rPr>
      <t>NH3,KNA</t>
    </r>
    <r>
      <rPr>
        <i/>
        <sz val="12"/>
        <rFont val="Arial"/>
        <family val="2"/>
      </rPr>
      <t>*Minh</t>
    </r>
    <r>
      <rPr>
        <i/>
        <vertAlign val="subscript"/>
        <sz val="12"/>
        <rFont val="Arial"/>
        <family val="2"/>
      </rPr>
      <t>PO4,KLP,UPT</t>
    </r>
    <r>
      <rPr>
        <i/>
        <sz val="12"/>
        <rFont val="Arial"/>
        <family val="2"/>
      </rPr>
      <t>*Z</t>
    </r>
    <r>
      <rPr>
        <i/>
        <vertAlign val="subscript"/>
        <sz val="12"/>
        <rFont val="Arial"/>
        <family val="2"/>
      </rPr>
      <t>P</t>
    </r>
  </si>
  <si>
    <r>
      <t>η</t>
    </r>
    <r>
      <rPr>
        <i/>
        <vertAlign val="subscript"/>
        <sz val="12"/>
        <rFont val="Arial"/>
        <family val="2"/>
      </rPr>
      <t>p</t>
    </r>
    <r>
      <rPr>
        <i/>
        <sz val="12"/>
        <rFont val="Arial"/>
        <family val="2"/>
      </rPr>
      <t>*µ</t>
    </r>
    <r>
      <rPr>
        <i/>
        <vertAlign val="subscript"/>
        <sz val="12"/>
        <rFont val="Arial"/>
        <family val="2"/>
      </rPr>
      <t>P1</t>
    </r>
    <r>
      <rPr>
        <i/>
        <sz val="12"/>
        <rFont val="Arial"/>
        <family val="2"/>
      </rPr>
      <t>*</t>
    </r>
    <r>
      <rPr>
        <i/>
        <sz val="12"/>
        <rFont val="Arial"/>
        <family val="2"/>
      </rPr>
      <t>MRsat</t>
    </r>
    <r>
      <rPr>
        <i/>
        <vertAlign val="subscript"/>
        <sz val="12"/>
        <rFont val="Arial"/>
        <family val="2"/>
      </rPr>
      <t>SPHB,ZP,KSP1</t>
    </r>
    <r>
      <rPr>
        <i/>
        <sz val="12"/>
        <rFont val="Arial"/>
        <family val="2"/>
      </rPr>
      <t>*Minh</t>
    </r>
    <r>
      <rPr>
        <i/>
        <vertAlign val="subscript"/>
        <sz val="12"/>
        <rFont val="Arial"/>
        <family val="2"/>
      </rPr>
      <t>SO,KO,HET</t>
    </r>
    <r>
      <rPr>
        <i/>
        <sz val="12"/>
        <rFont val="Arial"/>
        <family val="2"/>
      </rPr>
      <t>*Msat</t>
    </r>
    <r>
      <rPr>
        <i/>
        <vertAlign val="subscript"/>
        <sz val="12"/>
        <rFont val="Arial"/>
        <family val="2"/>
      </rPr>
      <t>NO3,KNO</t>
    </r>
    <r>
      <rPr>
        <i/>
        <sz val="12"/>
        <rFont val="Arial"/>
        <family val="2"/>
      </rPr>
      <t>*Msat</t>
    </r>
    <r>
      <rPr>
        <i/>
        <vertAlign val="subscript"/>
        <sz val="12"/>
        <rFont val="Arial"/>
        <family val="2"/>
      </rPr>
      <t>NH3,KNA</t>
    </r>
    <r>
      <rPr>
        <i/>
        <sz val="12"/>
        <rFont val="Arial"/>
        <family val="2"/>
      </rPr>
      <t>*Msat</t>
    </r>
    <r>
      <rPr>
        <i/>
        <vertAlign val="subscript"/>
        <sz val="12"/>
        <rFont val="Arial"/>
        <family val="2"/>
      </rPr>
      <t>PO4,KLP,UPT</t>
    </r>
    <r>
      <rPr>
        <i/>
        <sz val="12"/>
        <rFont val="Arial"/>
        <family val="2"/>
      </rPr>
      <t>*Z</t>
    </r>
    <r>
      <rPr>
        <i/>
        <vertAlign val="subscript"/>
        <sz val="12"/>
        <rFont val="Arial"/>
        <family val="2"/>
      </rPr>
      <t>P</t>
    </r>
  </si>
  <si>
    <r>
      <t>Msat</t>
    </r>
    <r>
      <rPr>
        <vertAlign val="subscript"/>
        <sz val="11"/>
        <rFont val="Calibri"/>
        <family val="2"/>
        <scheme val="minor"/>
      </rPr>
      <t>SBSC,KS,ANA</t>
    </r>
  </si>
  <si>
    <t>Saturation term for fermentable organic matter (fermentation)</t>
  </si>
  <si>
    <r>
      <t>S</t>
    </r>
    <r>
      <rPr>
        <vertAlign val="subscript"/>
        <sz val="11"/>
        <rFont val="Calibri"/>
        <family val="2"/>
        <scheme val="minor"/>
      </rPr>
      <t>BSC</t>
    </r>
    <r>
      <rPr>
        <sz val="11"/>
        <rFont val="Calibri"/>
        <family val="2"/>
        <scheme val="minor"/>
      </rPr>
      <t>/(K</t>
    </r>
    <r>
      <rPr>
        <vertAlign val="subscript"/>
        <sz val="11"/>
        <rFont val="Calibri"/>
        <family val="2"/>
        <scheme val="minor"/>
      </rPr>
      <t>S,ANA</t>
    </r>
    <r>
      <rPr>
        <sz val="11"/>
        <rFont val="Calibri"/>
        <family val="2"/>
        <scheme val="minor"/>
      </rPr>
      <t>+S</t>
    </r>
    <r>
      <rPr>
        <vertAlign val="subscript"/>
        <sz val="11"/>
        <rFont val="Calibri"/>
        <family val="2"/>
        <scheme val="minor"/>
      </rPr>
      <t>BSC</t>
    </r>
    <r>
      <rPr>
        <sz val="11"/>
        <rFont val="Calibri"/>
        <family val="2"/>
        <scheme val="minor"/>
      </rPr>
      <t>)</t>
    </r>
  </si>
  <si>
    <r>
      <t>Msat</t>
    </r>
    <r>
      <rPr>
        <vertAlign val="subscript"/>
        <sz val="11"/>
        <color indexed="8"/>
        <rFont val="Calibri"/>
        <family val="2"/>
      </rPr>
      <t>SO,KO,AUT</t>
    </r>
  </si>
  <si>
    <t>Saturation term for dissolved oxygen (autotrophs)</t>
  </si>
  <si>
    <r>
      <t>K</t>
    </r>
    <r>
      <rPr>
        <i/>
        <vertAlign val="subscript"/>
        <sz val="12"/>
        <rFont val="Arial"/>
        <family val="2"/>
      </rPr>
      <t>C</t>
    </r>
    <r>
      <rPr>
        <i/>
        <sz val="12"/>
        <rFont val="Arial"/>
        <family val="2"/>
      </rPr>
      <t>*</t>
    </r>
    <r>
      <rPr>
        <i/>
        <sz val="12"/>
        <rFont val="Arial"/>
        <family val="2"/>
      </rPr>
      <t>Msat</t>
    </r>
    <r>
      <rPr>
        <i/>
        <vertAlign val="subscript"/>
        <sz val="12"/>
        <rFont val="Arial"/>
        <family val="2"/>
      </rPr>
      <t>SBSC,KS,ANA</t>
    </r>
    <r>
      <rPr>
        <i/>
        <sz val="12"/>
        <rFont val="Arial"/>
        <family val="2"/>
      </rPr>
      <t>*Msat</t>
    </r>
    <r>
      <rPr>
        <i/>
        <vertAlign val="subscript"/>
        <sz val="12"/>
        <rFont val="Arial"/>
        <family val="2"/>
      </rPr>
      <t>NH3,KNA</t>
    </r>
    <r>
      <rPr>
        <i/>
        <sz val="12"/>
        <rFont val="Arial"/>
        <family val="2"/>
      </rPr>
      <t>*Msat</t>
    </r>
    <r>
      <rPr>
        <i/>
        <vertAlign val="subscript"/>
        <sz val="12"/>
        <rFont val="Arial"/>
        <family val="2"/>
      </rPr>
      <t>PO4,KLP,GRO</t>
    </r>
    <r>
      <rPr>
        <i/>
        <sz val="12"/>
        <rFont val="Arial"/>
        <family val="2"/>
      </rPr>
      <t>*Minh</t>
    </r>
    <r>
      <rPr>
        <i/>
        <vertAlign val="subscript"/>
        <sz val="12"/>
        <rFont val="Arial"/>
        <family val="2"/>
      </rPr>
      <t>SO,KO,HET</t>
    </r>
    <r>
      <rPr>
        <i/>
        <sz val="12"/>
        <rFont val="Arial"/>
        <family val="2"/>
      </rPr>
      <t>*Minh</t>
    </r>
    <r>
      <rPr>
        <i/>
        <vertAlign val="subscript"/>
        <sz val="12"/>
        <rFont val="Arial"/>
        <family val="2"/>
      </rPr>
      <t>NO3,KNO</t>
    </r>
    <r>
      <rPr>
        <i/>
        <sz val="12"/>
        <rFont val="Arial"/>
        <family val="2"/>
      </rPr>
      <t>*Z</t>
    </r>
    <r>
      <rPr>
        <i/>
        <vertAlign val="subscript"/>
        <sz val="12"/>
        <rFont val="Arial"/>
        <family val="2"/>
      </rPr>
      <t>H</t>
    </r>
  </si>
  <si>
    <r>
      <t>Msat</t>
    </r>
    <r>
      <rPr>
        <vertAlign val="subscript"/>
        <sz val="11"/>
        <rFont val="Calibri"/>
        <family val="2"/>
        <scheme val="minor"/>
      </rPr>
      <t>NH3,KNH</t>
    </r>
  </si>
  <si>
    <r>
      <t>N</t>
    </r>
    <r>
      <rPr>
        <vertAlign val="subscript"/>
        <sz val="11"/>
        <rFont val="Calibri"/>
        <family val="2"/>
        <scheme val="minor"/>
      </rPr>
      <t>H3</t>
    </r>
    <r>
      <rPr>
        <sz val="11"/>
        <rFont val="Calibri"/>
        <family val="2"/>
        <scheme val="minor"/>
      </rPr>
      <t>/(K</t>
    </r>
    <r>
      <rPr>
        <vertAlign val="subscript"/>
        <sz val="11"/>
        <rFont val="Calibri"/>
        <family val="2"/>
        <scheme val="minor"/>
      </rPr>
      <t>NH</t>
    </r>
    <r>
      <rPr>
        <sz val="11"/>
        <rFont val="Calibri"/>
        <family val="2"/>
        <scheme val="minor"/>
      </rPr>
      <t>+N</t>
    </r>
    <r>
      <rPr>
        <vertAlign val="subscript"/>
        <sz val="11"/>
        <rFont val="Calibri"/>
        <family val="2"/>
        <scheme val="minor"/>
      </rPr>
      <t>H3</t>
    </r>
    <r>
      <rPr>
        <sz val="11"/>
        <rFont val="Calibri"/>
        <family val="2"/>
        <scheme val="minor"/>
      </rPr>
      <t>)</t>
    </r>
  </si>
  <si>
    <t>Saturation term for ammonia (autotrophs)</t>
  </si>
  <si>
    <r>
      <t>μ</t>
    </r>
    <r>
      <rPr>
        <i/>
        <vertAlign val="subscript"/>
        <sz val="12"/>
        <rFont val="Arial"/>
        <family val="2"/>
      </rPr>
      <t>A</t>
    </r>
    <r>
      <rPr>
        <i/>
        <sz val="12"/>
        <rFont val="Arial"/>
        <family val="2"/>
      </rPr>
      <t>*</t>
    </r>
    <r>
      <rPr>
        <i/>
        <sz val="12"/>
        <rFont val="Arial"/>
        <family val="2"/>
      </rPr>
      <t>Msat</t>
    </r>
    <r>
      <rPr>
        <i/>
        <vertAlign val="subscript"/>
        <sz val="12"/>
        <rFont val="Arial"/>
        <family val="2"/>
      </rPr>
      <t>SO,KO,AUT</t>
    </r>
    <r>
      <rPr>
        <i/>
        <sz val="12"/>
        <rFont val="Arial"/>
        <family val="2"/>
      </rPr>
      <t>*Msat</t>
    </r>
    <r>
      <rPr>
        <i/>
        <vertAlign val="subscript"/>
        <sz val="12"/>
        <rFont val="Arial"/>
        <family val="2"/>
      </rPr>
      <t>NH3,KNH</t>
    </r>
    <r>
      <rPr>
        <i/>
        <sz val="12"/>
        <rFont val="Arial"/>
        <family val="2"/>
      </rPr>
      <t>*Msat</t>
    </r>
    <r>
      <rPr>
        <i/>
        <vertAlign val="subscript"/>
        <sz val="12"/>
        <rFont val="Arial"/>
        <family val="2"/>
      </rPr>
      <t>PO4,KLP,GRO</t>
    </r>
    <r>
      <rPr>
        <i/>
        <sz val="12"/>
        <rFont val="Arial"/>
        <family val="2"/>
      </rPr>
      <t>*Z</t>
    </r>
    <r>
      <rPr>
        <i/>
        <vertAlign val="subscript"/>
        <sz val="12"/>
        <rFont val="Arial"/>
        <family val="2"/>
      </rPr>
      <t>A</t>
    </r>
  </si>
  <si>
    <r>
      <t>Msat</t>
    </r>
    <r>
      <rPr>
        <vertAlign val="subscript"/>
        <sz val="11"/>
        <rFont val="Calibri"/>
        <family val="2"/>
        <scheme val="minor"/>
      </rPr>
      <t>SBSA,KSSEQ</t>
    </r>
  </si>
  <si>
    <t>Saturation term for fermentation products (PAO)</t>
  </si>
  <si>
    <r>
      <t>S</t>
    </r>
    <r>
      <rPr>
        <vertAlign val="subscript"/>
        <sz val="11"/>
        <rFont val="Calibri"/>
        <family val="2"/>
        <scheme val="minor"/>
      </rPr>
      <t>BSA</t>
    </r>
    <r>
      <rPr>
        <sz val="11"/>
        <rFont val="Calibri"/>
        <family val="2"/>
        <scheme val="minor"/>
      </rPr>
      <t>/(K</t>
    </r>
    <r>
      <rPr>
        <vertAlign val="subscript"/>
        <sz val="11"/>
        <rFont val="Calibri"/>
        <family val="2"/>
        <scheme val="minor"/>
      </rPr>
      <t>SSEQ</t>
    </r>
    <r>
      <rPr>
        <sz val="11"/>
        <rFont val="Calibri"/>
        <family val="2"/>
        <scheme val="minor"/>
      </rPr>
      <t>+S</t>
    </r>
    <r>
      <rPr>
        <vertAlign val="subscript"/>
        <sz val="11"/>
        <rFont val="Calibri"/>
        <family val="2"/>
        <scheme val="minor"/>
      </rPr>
      <t>BSA</t>
    </r>
    <r>
      <rPr>
        <sz val="11"/>
        <rFont val="Calibri"/>
        <family val="2"/>
        <scheme val="minor"/>
      </rPr>
      <t>)</t>
    </r>
  </si>
  <si>
    <r>
      <t>K</t>
    </r>
    <r>
      <rPr>
        <i/>
        <vertAlign val="subscript"/>
        <sz val="12"/>
        <rFont val="Arial"/>
        <family val="2"/>
      </rPr>
      <t>P</t>
    </r>
    <r>
      <rPr>
        <i/>
        <sz val="12"/>
        <rFont val="Arial"/>
        <family val="2"/>
      </rPr>
      <t>*</t>
    </r>
    <r>
      <rPr>
        <i/>
        <sz val="12"/>
        <rFont val="Arial"/>
        <family val="2"/>
      </rPr>
      <t>Msat</t>
    </r>
    <r>
      <rPr>
        <i/>
        <vertAlign val="subscript"/>
        <sz val="12"/>
        <rFont val="Arial"/>
        <family val="2"/>
      </rPr>
      <t>SBSA,KSSEQ</t>
    </r>
    <r>
      <rPr>
        <i/>
        <sz val="12"/>
        <rFont val="Arial"/>
        <family val="2"/>
      </rPr>
      <t>*Msat</t>
    </r>
    <r>
      <rPr>
        <i/>
        <vertAlign val="subscript"/>
        <sz val="12"/>
        <rFont val="Arial"/>
        <family val="2"/>
      </rPr>
      <t>PPP,LO,KXP</t>
    </r>
    <r>
      <rPr>
        <i/>
        <sz val="12"/>
        <rFont val="Arial"/>
        <family val="2"/>
      </rPr>
      <t>*Z</t>
    </r>
    <r>
      <rPr>
        <i/>
        <vertAlign val="subscript"/>
        <sz val="12"/>
        <rFont val="Arial"/>
        <family val="2"/>
      </rPr>
      <t>P</t>
    </r>
  </si>
  <si>
    <t>MsatpH(var;k;varpH;kpH)</t>
  </si>
  <si>
    <t>If(Sumo__pHEffects; varpH/(kpH+varpH); var/(k+var))</t>
  </si>
  <si>
    <t>MinhpH(var;k;varpH;kpH)</t>
  </si>
  <si>
    <t>If(Sumo__pHEffects; kpH/(kpH+varpH); k/(k+var))</t>
  </si>
  <si>
    <t>LogsatpH(var; halfval; slope; varpH; halfvalpH; slopepH)</t>
  </si>
  <si>
    <t>Logistic saturation with check for pH availability</t>
  </si>
  <si>
    <t>If( Sumo__pHEffects; 1 / (1 + Exp((halfvalpH - varpH) * slopepH)); 1/((1 + Exp((halfval - var) * slope))))</t>
  </si>
  <si>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</si>
  <si>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</si>
  <si>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</si>
  <si>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</si>
  <si>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</si>
  <si>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</si>
  <si>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GCH4</t>
    </r>
    <r>
      <rPr>
        <sz val="11"/>
        <rFont val="Calibri"/>
        <family val="2"/>
        <scheme val="minor"/>
      </rPr>
      <t>(T)</t>
    </r>
  </si>
  <si>
    <r>
      <t>Henry</t>
    </r>
    <r>
      <rPr>
        <vertAlign val="subscript"/>
        <sz val="11"/>
        <rFont val="Calibri"/>
        <family val="2"/>
        <scheme val="minor"/>
      </rPr>
      <t>GO2,25</t>
    </r>
  </si>
  <si>
    <t>http://webbook.nist.gov/cgi/cbook.cgi?ID=C7782447&amp;Mask=10</t>
  </si>
  <si>
    <r>
      <t>Henry</t>
    </r>
    <r>
      <rPr>
        <vertAlign val="subscript"/>
        <sz val="11"/>
        <rFont val="Calibri"/>
        <family val="2"/>
        <scheme val="minor"/>
      </rPr>
      <t>GO2,dt</t>
    </r>
  </si>
  <si>
    <r>
      <t>Henry</t>
    </r>
    <r>
      <rPr>
        <vertAlign val="subscript"/>
        <sz val="11"/>
        <rFont val="Calibri"/>
        <family val="2"/>
        <scheme val="minor"/>
      </rPr>
      <t>GCO2,25</t>
    </r>
  </si>
  <si>
    <t>http://webbook.nist.gov/cgi/cbook.cgi?ID=C124389&amp;Mask=10</t>
  </si>
  <si>
    <r>
      <t>Henry</t>
    </r>
    <r>
      <rPr>
        <vertAlign val="subscript"/>
        <sz val="11"/>
        <rFont val="Calibri"/>
        <family val="2"/>
        <scheme val="minor"/>
      </rPr>
      <t>GCO2,dt</t>
    </r>
  </si>
  <si>
    <r>
      <t>Henry</t>
    </r>
    <r>
      <rPr>
        <vertAlign val="subscript"/>
        <sz val="11"/>
        <rFont val="Calibri"/>
        <family val="2"/>
        <scheme val="minor"/>
      </rPr>
      <t>GNO,25</t>
    </r>
  </si>
  <si>
    <t>http://webbook.nist.gov/cgi/cbook.cgi?ID=C10102439&amp;Mask=10</t>
  </si>
  <si>
    <r>
      <t>Henry</t>
    </r>
    <r>
      <rPr>
        <vertAlign val="subscript"/>
        <sz val="11"/>
        <rFont val="Calibri"/>
        <family val="2"/>
        <scheme val="minor"/>
      </rPr>
      <t>GNO,dt</t>
    </r>
  </si>
  <si>
    <r>
      <t>Henry</t>
    </r>
    <r>
      <rPr>
        <vertAlign val="subscript"/>
        <sz val="11"/>
        <rFont val="Calibri"/>
        <family val="2"/>
        <scheme val="minor"/>
      </rPr>
      <t>GN2O,25</t>
    </r>
  </si>
  <si>
    <t>http://webbook.nist.gov/cgi/cbook.cgi?ID=C10024972&amp;Mask=10</t>
  </si>
  <si>
    <r>
      <t>Henry</t>
    </r>
    <r>
      <rPr>
        <vertAlign val="subscript"/>
        <sz val="11"/>
        <rFont val="Calibri"/>
        <family val="2"/>
        <scheme val="minor"/>
      </rPr>
      <t>GN2O,dt</t>
    </r>
  </si>
  <si>
    <r>
      <t>Henry</t>
    </r>
    <r>
      <rPr>
        <vertAlign val="subscript"/>
        <sz val="11"/>
        <rFont val="Calibri"/>
        <family val="2"/>
        <scheme val="minor"/>
      </rPr>
      <t>GN2,25</t>
    </r>
  </si>
  <si>
    <t>http://webbook.nist.gov/cgi/cbook.cgi?ID=C7727379&amp;Mask=10</t>
  </si>
  <si>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</si>
  <si>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</si>
  <si>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</si>
  <si>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</si>
  <si>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</si>
  <si>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</si>
  <si>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</si>
  <si>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</si>
  <si>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</si>
  <si>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</si>
  <si>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</si>
  <si>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</si>
  <si>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</si>
  <si>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</si>
  <si>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</si>
  <si>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</si>
  <si>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</si>
  <si>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</si>
  <si>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</si>
  <si>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</si>
  <si>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</si>
  <si>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</si>
  <si>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</si>
  <si>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</si>
  <si>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</si>
  <si>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</si>
  <si>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</si>
  <si>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</si>
  <si>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</si>
  <si>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</si>
  <si>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</si>
  <si>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</si>
  <si>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</si>
  <si>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</si>
  <si>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</si>
  <si>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</si>
  <si>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</si>
  <si>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</si>
  <si>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</si>
  <si>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</si>
  <si>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</si>
  <si>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</si>
  <si>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</si>
  <si>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</si>
  <si>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</si>
  <si>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</si>
  <si>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</si>
  <si>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</si>
  <si>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</si>
  <si>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</si>
  <si>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</si>
  <si>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</si>
  <si>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</si>
  <si>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</si>
  <si>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</si>
  <si>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</si>
  <si>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</si>
  <si>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</si>
  <si>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</si>
  <si>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</si>
  <si>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</si>
  <si>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</si>
  <si>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</si>
  <si>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</si>
  <si>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</si>
  <si>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</si>
  <si>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</si>
  <si>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</si>
  <si>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</si>
  <si>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</si>
  <si>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</si>
  <si>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</si>
  <si>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</si>
  <si>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</si>
  <si>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</si>
  <si>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</si>
  <si>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</si>
  <si>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</si>
  <si>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</si>
  <si>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</si>
  <si>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</si>
  <si>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</si>
  <si>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</si>
  <si>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</si>
  <si>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</si>
  <si>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</si>
  <si>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</si>
  <si>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</si>
  <si>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</si>
  <si>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</si>
  <si>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</si>
  <si>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unused</t>
  </si>
  <si>
    <r>
      <t>S</t>
    </r>
    <r>
      <rPr>
        <vertAlign val="subscript"/>
        <sz val="11"/>
        <rFont val="Calibri"/>
        <family val="2"/>
        <scheme val="minor"/>
      </rPr>
      <t>BSC</t>
    </r>
    <r>
      <rPr>
        <sz val="11"/>
        <rFont val="Calibri"/>
        <family val="2"/>
        <scheme val="minor"/>
      </rPr>
      <t xml:space="preserve"> +S</t>
    </r>
    <r>
      <rPr>
        <vertAlign val="subscript"/>
        <sz val="11"/>
        <rFont val="Calibri"/>
        <family val="2"/>
        <scheme val="minor"/>
      </rPr>
      <t>BSA</t>
    </r>
  </si>
  <si>
    <r>
      <t>Z</t>
    </r>
    <r>
      <rPr>
        <vertAlign val="subscript"/>
        <sz val="11"/>
        <rFont val="Calibri"/>
        <family val="2"/>
      </rPr>
      <t xml:space="preserve">H </t>
    </r>
    <r>
      <rPr>
        <sz val="11"/>
        <rFont val="Calibri"/>
        <family val="2"/>
      </rPr>
      <t>+ Z</t>
    </r>
    <r>
      <rPr>
        <vertAlign val="subscript"/>
        <sz val="11"/>
        <rFont val="Calibri"/>
        <family val="2"/>
      </rPr>
      <t xml:space="preserve">A </t>
    </r>
    <r>
      <rPr>
        <sz val="11"/>
        <rFont val="Calibri"/>
        <family val="2"/>
      </rPr>
      <t>+ Z</t>
    </r>
    <r>
      <rPr>
        <vertAlign val="subscript"/>
        <sz val="11"/>
        <rFont val="Calibri"/>
        <family val="2"/>
      </rPr>
      <t xml:space="preserve">P </t>
    </r>
    <r>
      <rPr>
        <sz val="11"/>
        <rFont val="Calibri"/>
        <family val="2"/>
      </rPr>
      <t>+ S</t>
    </r>
    <r>
      <rPr>
        <vertAlign val="subscript"/>
        <sz val="11"/>
        <rFont val="Calibri"/>
        <family val="2"/>
      </rPr>
      <t xml:space="preserve">ENM </t>
    </r>
    <r>
      <rPr>
        <sz val="11"/>
        <rFont val="Calibri"/>
        <family val="2"/>
      </rPr>
      <t>+S</t>
    </r>
    <r>
      <rPr>
        <vertAlign val="subscript"/>
        <sz val="11"/>
        <rFont val="Calibri"/>
        <family val="2"/>
      </rPr>
      <t>PHB</t>
    </r>
  </si>
  <si>
    <r>
      <t>S</t>
    </r>
    <r>
      <rPr>
        <vertAlign val="subscript"/>
        <sz val="11"/>
        <rFont val="Calibri"/>
        <family val="2"/>
        <scheme val="minor"/>
      </rPr>
      <t>BOD,5</t>
    </r>
    <r>
      <rPr>
        <sz val="11"/>
        <rFont val="Calibri"/>
        <family val="2"/>
        <scheme val="minor"/>
      </rPr>
      <t xml:space="preserve"> +X</t>
    </r>
    <r>
      <rPr>
        <vertAlign val="subscript"/>
        <sz val="11"/>
        <rFont val="Calibri"/>
        <family val="2"/>
        <scheme val="minor"/>
      </rPr>
      <t>BOD,5</t>
    </r>
  </si>
  <si>
    <r>
      <t>S</t>
    </r>
    <r>
      <rPr>
        <vertAlign val="subscript"/>
        <sz val="11"/>
        <rFont val="Calibri"/>
        <family val="2"/>
        <scheme val="minor"/>
      </rPr>
      <t>BSC</t>
    </r>
    <r>
      <rPr>
        <sz val="11"/>
        <rFont val="Calibri"/>
        <family val="2"/>
        <scheme val="minor"/>
      </rPr>
      <t xml:space="preserve"> + S</t>
    </r>
    <r>
      <rPr>
        <vertAlign val="subscript"/>
        <sz val="11"/>
        <rFont val="Calibri"/>
        <family val="2"/>
        <scheme val="minor"/>
      </rPr>
      <t>BSA</t>
    </r>
    <r>
      <rPr>
        <sz val="11"/>
        <rFont val="Calibri"/>
        <family val="2"/>
        <scheme val="minor"/>
      </rPr>
      <t xml:space="preserve"> +S</t>
    </r>
    <r>
      <rPr>
        <vertAlign val="subscript"/>
        <sz val="11"/>
        <rFont val="Calibri"/>
        <family val="2"/>
        <scheme val="minor"/>
      </rPr>
      <t>US</t>
    </r>
  </si>
  <si>
    <r>
      <t>S</t>
    </r>
    <r>
      <rPr>
        <vertAlign val="subscript"/>
        <sz val="11"/>
        <rFont val="Calibri"/>
        <family val="2"/>
      </rPr>
      <t>COD</t>
    </r>
    <r>
      <rPr>
        <sz val="11"/>
        <rFont val="Calibri"/>
        <family val="2"/>
      </rPr>
      <t xml:space="preserve"> +X</t>
    </r>
    <r>
      <rPr>
        <vertAlign val="subscript"/>
        <sz val="11"/>
        <rFont val="Calibri"/>
        <family val="2"/>
      </rPr>
      <t>COD</t>
    </r>
  </si>
  <si>
    <r>
      <t>T</t>
    </r>
    <r>
      <rPr>
        <vertAlign val="subscript"/>
        <sz val="11"/>
        <rFont val="Calibri"/>
        <family val="2"/>
      </rPr>
      <t>KN</t>
    </r>
    <r>
      <rPr>
        <sz val="11"/>
        <rFont val="Calibri"/>
        <family val="2"/>
      </rPr>
      <t xml:space="preserve"> +N</t>
    </r>
    <r>
      <rPr>
        <vertAlign val="subscript"/>
        <sz val="11"/>
        <rFont val="Calibri"/>
        <family val="2"/>
      </rPr>
      <t>O3</t>
    </r>
  </si>
  <si>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</si>
  <si>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</si>
  <si>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</si>
  <si>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</si>
  <si>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</si>
  <si>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</si>
  <si>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</si>
  <si>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</si>
  <si>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</si>
  <si>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</si>
  <si>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</si>
  <si>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</si>
  <si>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</si>
  <si>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</si>
  <si>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</si>
  <si>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</si>
  <si>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</si>
  <si>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</si>
  <si>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</si>
  <si>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</si>
  <si>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</si>
  <si>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</si>
  <si>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</si>
  <si>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</si>
  <si>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</si>
  <si>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</si>
  <si>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</si>
  <si>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</si>
  <si>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</si>
  <si>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</si>
  <si>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</si>
  <si>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</si>
  <si>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</si>
  <si>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</si>
  <si>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</si>
  <si>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</si>
  <si>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</si>
  <si>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</si>
  <si>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</si>
  <si>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</si>
  <si>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</si>
  <si>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</si>
  <si>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</si>
  <si>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</si>
  <si>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</si>
  <si>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</si>
  <si>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</si>
  <si>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</si>
  <si>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</si>
  <si>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</si>
  <si>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</si>
  <si>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</si>
  <si>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</si>
  <si>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</si>
  <si>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</si>
  <si>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</si>
  <si>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</si>
  <si>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</si>
  <si>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</si>
  <si>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</si>
  <si>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</si>
  <si>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</si>
  <si>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</si>
  <si>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</si>
  <si>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</si>
  <si>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</si>
  <si>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</si>
  <si>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</si>
  <si>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</si>
  <si>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</si>
  <si>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</si>
  <si>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</si>
  <si>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</si>
  <si>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g N.m</t>
    </r>
    <r>
      <rPr>
        <vertAlign val="superscript"/>
        <sz val="11"/>
        <rFont val="Calibri"/>
        <family val="2"/>
      </rPr>
      <t>-3</t>
    </r>
    <r>
      <rPr>
        <sz val="11"/>
        <rFont val="Calibri"/>
        <family val="2"/>
      </rPr>
      <t>.d</t>
    </r>
    <r>
      <rPr>
        <vertAlign val="superscript"/>
        <sz val="11"/>
        <rFont val="Calibri"/>
        <family val="2"/>
      </rPr>
      <t>-1</t>
    </r>
  </si>
  <si>
    <r>
      <t>-(v2_N</t>
    </r>
    <r>
      <rPr>
        <vertAlign val="subscript"/>
        <sz val="11"/>
        <rFont val="Calibri"/>
        <family val="2"/>
      </rPr>
      <t>O3</t>
    </r>
    <r>
      <rPr>
        <sz val="11"/>
        <rFont val="Calibri"/>
        <family val="2"/>
      </rPr>
      <t>*r2+v3_N</t>
    </r>
    <r>
      <rPr>
        <vertAlign val="subscript"/>
        <sz val="11"/>
        <rFont val="Calibri"/>
        <family val="2"/>
      </rPr>
      <t>O3</t>
    </r>
    <r>
      <rPr>
        <sz val="11"/>
        <rFont val="Calibri"/>
        <family val="2"/>
      </rPr>
      <t>*r3+v4_N</t>
    </r>
    <r>
      <rPr>
        <vertAlign val="subscript"/>
        <sz val="11"/>
        <rFont val="Calibri"/>
        <family val="2"/>
      </rPr>
      <t>O3</t>
    </r>
    <r>
      <rPr>
        <sz val="11"/>
        <rFont val="Calibri"/>
        <family val="2"/>
      </rPr>
      <t>*r4+v6_N</t>
    </r>
    <r>
      <rPr>
        <vertAlign val="subscript"/>
        <sz val="11"/>
        <rFont val="Calibri"/>
        <family val="2"/>
      </rPr>
      <t>O3</t>
    </r>
    <r>
      <rPr>
        <sz val="11"/>
        <rFont val="Calibri"/>
        <family val="2"/>
      </rPr>
      <t>*r6+v7_N</t>
    </r>
    <r>
      <rPr>
        <vertAlign val="subscript"/>
        <sz val="11"/>
        <rFont val="Calibri"/>
        <family val="2"/>
      </rPr>
      <t>O3</t>
    </r>
    <r>
      <rPr>
        <sz val="11"/>
        <rFont val="Calibri"/>
        <family val="2"/>
      </rPr>
      <t>*r7+v8_N</t>
    </r>
    <r>
      <rPr>
        <vertAlign val="subscript"/>
        <sz val="11"/>
        <rFont val="Calibri"/>
        <family val="2"/>
      </rPr>
      <t>O3</t>
    </r>
    <r>
      <rPr>
        <sz val="11"/>
        <rFont val="Calibri"/>
        <family val="2"/>
      </rPr>
      <t>*r8+v16_N</t>
    </r>
    <r>
      <rPr>
        <vertAlign val="subscript"/>
        <sz val="11"/>
        <rFont val="Calibri"/>
        <family val="2"/>
      </rPr>
      <t>O3</t>
    </r>
    <r>
      <rPr>
        <sz val="11"/>
        <rFont val="Calibri"/>
        <family val="2"/>
      </rPr>
      <t>*r16+v19_N</t>
    </r>
    <r>
      <rPr>
        <vertAlign val="subscript"/>
        <sz val="11"/>
        <rFont val="Calibri"/>
        <family val="2"/>
      </rPr>
      <t>O3</t>
    </r>
    <r>
      <rPr>
        <sz val="11"/>
        <rFont val="Calibri"/>
        <family val="2"/>
      </rPr>
      <t>*r19+v21_N</t>
    </r>
    <r>
      <rPr>
        <vertAlign val="subscript"/>
        <sz val="11"/>
        <rFont val="Calibri"/>
        <family val="2"/>
      </rPr>
      <t>O3</t>
    </r>
    <r>
      <rPr>
        <sz val="11"/>
        <rFont val="Calibri"/>
        <family val="2"/>
      </rPr>
      <t>*r21+v22_N</t>
    </r>
    <r>
      <rPr>
        <vertAlign val="subscript"/>
        <sz val="11"/>
        <rFont val="Calibri"/>
        <family val="2"/>
      </rPr>
      <t>O3</t>
    </r>
    <r>
      <rPr>
        <sz val="11"/>
        <rFont val="Calibri"/>
        <family val="2"/>
      </rPr>
      <t>*r22+v27_N</t>
    </r>
    <r>
      <rPr>
        <vertAlign val="subscript"/>
        <sz val="11"/>
        <rFont val="Calibri"/>
        <family val="2"/>
      </rPr>
      <t>O3</t>
    </r>
    <r>
      <rPr>
        <sz val="11"/>
        <rFont val="Calibri"/>
        <family val="2"/>
      </rPr>
      <t>*r27)</t>
    </r>
  </si>
  <si>
    <r>
      <t>-(v1_N</t>
    </r>
    <r>
      <rPr>
        <vertAlign val="subscript"/>
        <sz val="11"/>
        <rFont val="Calibri"/>
        <family val="2"/>
      </rPr>
      <t>H3</t>
    </r>
    <r>
      <rPr>
        <sz val="11"/>
        <rFont val="Calibri"/>
        <family val="2"/>
      </rPr>
      <t>*r1+v2_N</t>
    </r>
    <r>
      <rPr>
        <vertAlign val="subscript"/>
        <sz val="11"/>
        <rFont val="Calibri"/>
        <family val="2"/>
      </rPr>
      <t>H3</t>
    </r>
    <r>
      <rPr>
        <sz val="11"/>
        <rFont val="Calibri"/>
        <family val="2"/>
      </rPr>
      <t>*r2+v5_N</t>
    </r>
    <r>
      <rPr>
        <vertAlign val="subscript"/>
        <sz val="11"/>
        <rFont val="Calibri"/>
        <family val="2"/>
      </rPr>
      <t>H3</t>
    </r>
    <r>
      <rPr>
        <sz val="11"/>
        <rFont val="Calibri"/>
        <family val="2"/>
      </rPr>
      <t>*r5+v6_N</t>
    </r>
    <r>
      <rPr>
        <vertAlign val="subscript"/>
        <sz val="11"/>
        <rFont val="Calibri"/>
        <family val="2"/>
      </rPr>
      <t>H3</t>
    </r>
    <r>
      <rPr>
        <sz val="11"/>
        <rFont val="Calibri"/>
        <family val="2"/>
      </rPr>
      <t>*r6+v14_N</t>
    </r>
    <r>
      <rPr>
        <vertAlign val="subscript"/>
        <sz val="11"/>
        <rFont val="Calibri"/>
        <family val="2"/>
      </rPr>
      <t>H3</t>
    </r>
    <r>
      <rPr>
        <sz val="11"/>
        <rFont val="Calibri"/>
        <family val="2"/>
      </rPr>
      <t>*r14+v15_N</t>
    </r>
    <r>
      <rPr>
        <vertAlign val="subscript"/>
        <sz val="11"/>
        <rFont val="Calibri"/>
        <family val="2"/>
      </rPr>
      <t>H3</t>
    </r>
    <r>
      <rPr>
        <sz val="11"/>
        <rFont val="Calibri"/>
        <family val="2"/>
      </rPr>
      <t>*r15+v16_N</t>
    </r>
    <r>
      <rPr>
        <vertAlign val="subscript"/>
        <sz val="11"/>
        <rFont val="Calibri"/>
        <family val="2"/>
      </rPr>
      <t>H3</t>
    </r>
    <r>
      <rPr>
        <sz val="11"/>
        <rFont val="Calibri"/>
        <family val="2"/>
      </rPr>
      <t>*r16+v18_N</t>
    </r>
    <r>
      <rPr>
        <vertAlign val="subscript"/>
        <sz val="11"/>
        <rFont val="Calibri"/>
        <family val="2"/>
      </rPr>
      <t>H3</t>
    </r>
    <r>
      <rPr>
        <sz val="11"/>
        <rFont val="Calibri"/>
        <family val="2"/>
      </rPr>
      <t>*r18+v20_N</t>
    </r>
    <r>
      <rPr>
        <vertAlign val="subscript"/>
        <sz val="11"/>
        <rFont val="Calibri"/>
        <family val="2"/>
      </rPr>
      <t>H3</t>
    </r>
    <r>
      <rPr>
        <sz val="11"/>
        <rFont val="Calibri"/>
        <family val="2"/>
      </rPr>
      <t>*r20+v22_N</t>
    </r>
    <r>
      <rPr>
        <vertAlign val="subscript"/>
        <sz val="11"/>
        <rFont val="Calibri"/>
        <family val="2"/>
      </rPr>
      <t>H3</t>
    </r>
    <r>
      <rPr>
        <sz val="11"/>
        <rFont val="Calibri"/>
        <family val="2"/>
      </rPr>
      <t>*r22+v23_N</t>
    </r>
    <r>
      <rPr>
        <vertAlign val="subscript"/>
        <sz val="11"/>
        <rFont val="Calibri"/>
        <family val="2"/>
      </rPr>
      <t>H3</t>
    </r>
    <r>
      <rPr>
        <sz val="11"/>
        <rFont val="Calibri"/>
        <family val="2"/>
      </rPr>
      <t>*r23+v27_NH3*r27+v31_NH3*r31)</t>
    </r>
  </si>
  <si>
    <t>Biofilm</t>
  </si>
  <si>
    <t>( k )/(s/x+k)</t>
  </si>
  <si>
    <t>If( Sumo__pHEffects; varpH / (halfvalpH + varpH + (( varpH )^2/halfinhpH));var / (halfval + var + (( var )^2/halfinh)))</t>
  </si>
  <si>
    <r>
      <t>Henry</t>
    </r>
    <r>
      <rPr>
        <vertAlign val="subscript"/>
        <sz val="11"/>
        <rFont val="Calibri"/>
        <family val="2"/>
        <scheme val="minor"/>
      </rPr>
      <t>GO2,25</t>
    </r>
    <r>
      <rPr>
        <sz val="11"/>
        <rFont val="Calibri"/>
        <family val="2"/>
        <scheme val="minor"/>
      </rPr>
      <t>*Exp(Henry</t>
    </r>
    <r>
      <rPr>
        <vertAlign val="subscript"/>
        <sz val="11"/>
        <rFont val="Calibri"/>
        <family val="2"/>
        <scheme val="minor"/>
      </rPr>
      <t>GO2,dt</t>
    </r>
    <r>
      <rPr>
        <sz val="11"/>
        <rFont val="Calibri"/>
        <family val="2"/>
        <scheme val="minor"/>
      </rPr>
      <t>*((1/T)-(1/298.15)))</t>
    </r>
  </si>
  <si>
    <r>
      <t>Henry</t>
    </r>
    <r>
      <rPr>
        <vertAlign val="subscript"/>
        <sz val="11"/>
        <rFont val="Calibri"/>
        <family val="2"/>
        <scheme val="minor"/>
      </rPr>
      <t>GCO2,25</t>
    </r>
    <r>
      <rPr>
        <sz val="11"/>
        <rFont val="Calibri"/>
        <family val="2"/>
        <scheme val="minor"/>
      </rPr>
      <t>*Exp(Henry</t>
    </r>
    <r>
      <rPr>
        <vertAlign val="subscript"/>
        <sz val="11"/>
        <rFont val="Calibri"/>
        <family val="2"/>
        <scheme val="minor"/>
      </rPr>
      <t>GCO2,dt</t>
    </r>
    <r>
      <rPr>
        <sz val="11"/>
        <rFont val="Calibri"/>
        <family val="2"/>
        <scheme val="minor"/>
      </rPr>
      <t>*((1/T)-(1/298.15)))</t>
    </r>
  </si>
  <si>
    <r>
      <t>Henry</t>
    </r>
    <r>
      <rPr>
        <vertAlign val="subscript"/>
        <sz val="11"/>
        <rFont val="Calibri"/>
        <family val="2"/>
        <scheme val="minor"/>
      </rPr>
      <t>GNO,25</t>
    </r>
    <r>
      <rPr>
        <sz val="11"/>
        <rFont val="Calibri"/>
        <family val="2"/>
        <scheme val="minor"/>
      </rPr>
      <t>*Exp(Henry</t>
    </r>
    <r>
      <rPr>
        <vertAlign val="subscript"/>
        <sz val="11"/>
        <rFont val="Calibri"/>
        <family val="2"/>
        <scheme val="minor"/>
      </rPr>
      <t>GNO,dt</t>
    </r>
    <r>
      <rPr>
        <sz val="11"/>
        <rFont val="Calibri"/>
        <family val="2"/>
        <scheme val="minor"/>
      </rPr>
      <t>*((1/T)-(1/298.15)))</t>
    </r>
  </si>
  <si>
    <r>
      <t>Henry</t>
    </r>
    <r>
      <rPr>
        <vertAlign val="subscript"/>
        <sz val="11"/>
        <rFont val="Calibri"/>
        <family val="2"/>
        <scheme val="minor"/>
      </rPr>
      <t>GN2O,25</t>
    </r>
    <r>
      <rPr>
        <sz val="11"/>
        <rFont val="Calibri"/>
        <family val="2"/>
        <scheme val="minor"/>
      </rPr>
      <t>*Exp(Henry</t>
    </r>
    <r>
      <rPr>
        <vertAlign val="subscript"/>
        <sz val="11"/>
        <rFont val="Calibri"/>
        <family val="2"/>
        <scheme val="minor"/>
      </rPr>
      <t>GN2O,dt</t>
    </r>
    <r>
      <rPr>
        <sz val="11"/>
        <rFont val="Calibri"/>
        <family val="2"/>
        <scheme val="minor"/>
      </rPr>
      <t>*((1/T)-(1/298.15)))</t>
    </r>
  </si>
  <si>
    <r>
      <t>Henry</t>
    </r>
    <r>
      <rPr>
        <vertAlign val="subscript"/>
        <sz val="11"/>
        <rFont val="Calibri"/>
        <family val="2"/>
        <scheme val="minor"/>
      </rPr>
      <t>GN2,25</t>
    </r>
    <r>
      <rPr>
        <sz val="11"/>
        <rFont val="Calibri"/>
        <family val="2"/>
        <scheme val="minor"/>
      </rPr>
      <t>*Exp(Henry</t>
    </r>
    <r>
      <rPr>
        <vertAlign val="subscript"/>
        <sz val="11"/>
        <rFont val="Calibri"/>
        <family val="2"/>
        <scheme val="minor"/>
      </rPr>
      <t>GN2,dt</t>
    </r>
    <r>
      <rPr>
        <sz val="11"/>
        <rFont val="Calibri"/>
        <family val="2"/>
        <scheme val="minor"/>
      </rPr>
      <t>*((1/T)-(1/298.15)))</t>
    </r>
  </si>
  <si>
    <r>
      <t>Henry</t>
    </r>
    <r>
      <rPr>
        <vertAlign val="subscript"/>
        <sz val="11"/>
        <rFont val="Calibri"/>
        <family val="2"/>
        <scheme val="minor"/>
      </rPr>
      <t>GH2,25</t>
    </r>
    <r>
      <rPr>
        <sz val="11"/>
        <rFont val="Calibri"/>
        <family val="2"/>
        <scheme val="minor"/>
      </rPr>
      <t>*Exp(Henry</t>
    </r>
    <r>
      <rPr>
        <vertAlign val="subscript"/>
        <sz val="11"/>
        <rFont val="Calibri"/>
        <family val="2"/>
        <scheme val="minor"/>
      </rPr>
      <t>GH2,dt</t>
    </r>
    <r>
      <rPr>
        <sz val="11"/>
        <rFont val="Calibri"/>
        <family val="2"/>
        <scheme val="minor"/>
      </rPr>
      <t>*((1/T)-(1/298.15)))</t>
    </r>
  </si>
  <si>
    <r>
      <t>Henry</t>
    </r>
    <r>
      <rPr>
        <vertAlign val="subscript"/>
        <sz val="11"/>
        <rFont val="Calibri"/>
        <family val="2"/>
        <scheme val="minor"/>
      </rPr>
      <t>GCH4,25</t>
    </r>
    <r>
      <rPr>
        <sz val="11"/>
        <rFont val="Calibri"/>
        <family val="2"/>
        <scheme val="minor"/>
      </rPr>
      <t>*Exp(Henry</t>
    </r>
    <r>
      <rPr>
        <vertAlign val="subscript"/>
        <sz val="11"/>
        <rFont val="Calibri"/>
        <family val="2"/>
        <scheme val="minor"/>
      </rPr>
      <t>GCH4,dt</t>
    </r>
    <r>
      <rPr>
        <sz val="11"/>
        <rFont val="Calibri"/>
        <family val="2"/>
        <scheme val="minor"/>
      </rPr>
      <t>*((1/T)-(1/298.15)))</t>
    </r>
  </si>
  <si>
    <r>
      <t>H</t>
    </r>
    <r>
      <rPr>
        <vertAlign val="subscript"/>
        <sz val="11"/>
        <rFont val="Calibri"/>
        <family val="2"/>
        <scheme val="minor"/>
      </rPr>
      <t>null</t>
    </r>
  </si>
  <si>
    <t>Enthalpy of water at 0°C</t>
  </si>
  <si>
    <r>
      <t>EEQ</t>
    </r>
    <r>
      <rPr>
        <vertAlign val="subscript"/>
        <sz val="11"/>
        <rFont val="Calibri"/>
        <family val="2"/>
        <scheme val="minor"/>
      </rPr>
      <t>H2S</t>
    </r>
  </si>
  <si>
    <t>Other system parameters</t>
  </si>
  <si>
    <t>NoName</t>
  </si>
  <si>
    <t>Testing Attributes</t>
  </si>
  <si>
    <t>Input</t>
  </si>
  <si>
    <t>TestAttribute</t>
  </si>
  <si>
    <t>pH</t>
  </si>
  <si>
    <t>NonDetect</t>
  </si>
  <si>
    <t>Rate</t>
  </si>
  <si>
    <t>Zero</t>
  </si>
  <si>
    <t>BigNumber</t>
  </si>
  <si>
    <t>Sidestream</t>
  </si>
  <si>
    <t>Advanced</t>
  </si>
  <si>
    <r>
      <t>c</t>
    </r>
    <r>
      <rPr>
        <vertAlign val="subscript"/>
        <sz val="11"/>
        <rFont val="Calibri"/>
        <family val="2"/>
        <scheme val="minor"/>
      </rPr>
      <t>percent,Vconc</t>
    </r>
  </si>
  <si>
    <t>Conversion coefficient between percents and volumetric concentration</t>
  </si>
  <si>
    <r>
      <t>c</t>
    </r>
    <r>
      <rPr>
        <vertAlign val="subscript"/>
        <sz val="11"/>
        <rFont val="Calibri"/>
        <family val="2"/>
        <scheme val="minor"/>
      </rPr>
      <t>percent,fraction</t>
    </r>
  </si>
  <si>
    <t>Conversion coefficient between percents and fractions</t>
  </si>
  <si>
    <t>%</t>
  </si>
  <si>
    <t>Activated sludge</t>
  </si>
  <si>
    <t>unitless</t>
  </si>
  <si>
    <t>-BigNumber</t>
  </si>
  <si>
    <r>
      <t>X</t>
    </r>
    <r>
      <rPr>
        <vertAlign val="subscript"/>
        <sz val="11"/>
        <rFont val="Calibri"/>
        <family val="2"/>
        <scheme val="minor"/>
      </rPr>
      <t>ISS</t>
    </r>
  </si>
  <si>
    <r>
      <t>X</t>
    </r>
    <r>
      <rPr>
        <vertAlign val="subscript"/>
        <sz val="11"/>
        <rFont val="Calibri"/>
        <family val="2"/>
        <scheme val="minor"/>
      </rPr>
      <t>DM</t>
    </r>
  </si>
  <si>
    <t>Dry matter</t>
  </si>
  <si>
    <r>
      <t>X</t>
    </r>
    <r>
      <rPr>
        <vertAlign val="subscript"/>
        <sz val="11"/>
        <rFont val="Calibri"/>
        <family val="2"/>
      </rPr>
      <t>INORG</t>
    </r>
  </si>
  <si>
    <r>
      <t>X</t>
    </r>
    <r>
      <rPr>
        <vertAlign val="subscript"/>
        <sz val="11"/>
        <rFont val="Calibri"/>
        <family val="2"/>
      </rPr>
      <t>VSS</t>
    </r>
    <r>
      <rPr>
        <sz val="11"/>
        <rFont val="Calibri"/>
        <family val="2"/>
      </rPr>
      <t>+X</t>
    </r>
    <r>
      <rPr>
        <vertAlign val="subscript"/>
        <sz val="11"/>
        <rFont val="Calibri"/>
        <family val="2"/>
      </rPr>
      <t>ISS</t>
    </r>
  </si>
  <si>
    <r>
      <t>g COD.g VS</t>
    </r>
    <r>
      <rPr>
        <vertAlign val="superscript"/>
        <sz val="11"/>
        <rFont val="Calibri"/>
        <family val="2"/>
        <scheme val="minor"/>
      </rPr>
      <t>-1</t>
    </r>
  </si>
  <si>
    <r>
      <rPr>
        <i/>
        <sz val="11"/>
        <rFont val="Calibri"/>
        <family val="2"/>
        <scheme val="minor"/>
      </rPr>
      <t>f</t>
    </r>
    <r>
      <rPr>
        <vertAlign val="subscript"/>
        <sz val="11"/>
        <rFont val="Calibri"/>
        <family val="2"/>
        <scheme val="minor"/>
      </rPr>
      <t>CV,SBSC</t>
    </r>
  </si>
  <si>
    <r>
      <t>S</t>
    </r>
    <r>
      <rPr>
        <vertAlign val="subscript"/>
        <sz val="11"/>
        <rFont val="Calibri"/>
        <family val="2"/>
        <scheme val="minor"/>
      </rPr>
      <t>BSC</t>
    </r>
    <r>
      <rPr>
        <sz val="11"/>
        <rFont val="Calibri"/>
        <family val="2"/>
        <scheme val="minor"/>
      </rPr>
      <t xml:space="preserve"> S</t>
    </r>
    <r>
      <rPr>
        <vertAlign val="subscript"/>
        <sz val="11"/>
        <rFont val="Calibri"/>
        <family val="2"/>
        <scheme val="minor"/>
      </rPr>
      <t>COD</t>
    </r>
    <r>
      <rPr>
        <sz val="11"/>
        <rFont val="Calibri"/>
        <family val="2"/>
        <scheme val="minor"/>
      </rPr>
      <t>/VS ratio</t>
    </r>
  </si>
  <si>
    <r>
      <rPr>
        <i/>
        <sz val="11"/>
        <rFont val="Calibri"/>
        <family val="2"/>
        <scheme val="minor"/>
      </rPr>
      <t>f</t>
    </r>
    <r>
      <rPr>
        <vertAlign val="subscript"/>
        <sz val="11"/>
        <rFont val="Calibri"/>
        <family val="2"/>
        <scheme val="minor"/>
      </rPr>
      <t>CV,SBSA</t>
    </r>
  </si>
  <si>
    <r>
      <t>S</t>
    </r>
    <r>
      <rPr>
        <vertAlign val="subscript"/>
        <sz val="11"/>
        <rFont val="Calibri"/>
        <family val="2"/>
        <scheme val="minor"/>
      </rPr>
      <t>BSA</t>
    </r>
    <r>
      <rPr>
        <sz val="11"/>
        <rFont val="Calibri"/>
        <family val="2"/>
        <scheme val="minor"/>
      </rPr>
      <t xml:space="preserve"> S</t>
    </r>
    <r>
      <rPr>
        <vertAlign val="subscript"/>
        <sz val="11"/>
        <rFont val="Calibri"/>
        <family val="2"/>
        <scheme val="minor"/>
      </rPr>
      <t>COD</t>
    </r>
    <r>
      <rPr>
        <sz val="11"/>
        <rFont val="Calibri"/>
        <family val="2"/>
        <scheme val="minor"/>
      </rPr>
      <t>/VS ratio</t>
    </r>
  </si>
  <si>
    <r>
      <rPr>
        <i/>
        <sz val="11"/>
        <rFont val="Calibri"/>
        <family val="2"/>
        <scheme val="minor"/>
      </rPr>
      <t>f</t>
    </r>
    <r>
      <rPr>
        <vertAlign val="subscript"/>
        <sz val="11"/>
        <rFont val="Calibri"/>
        <family val="2"/>
        <scheme val="minor"/>
      </rPr>
      <t>CV,SUS</t>
    </r>
  </si>
  <si>
    <r>
      <t>S</t>
    </r>
    <r>
      <rPr>
        <vertAlign val="subscript"/>
        <sz val="11"/>
        <rFont val="Calibri"/>
        <family val="2"/>
        <scheme val="minor"/>
      </rPr>
      <t xml:space="preserve">US </t>
    </r>
    <r>
      <rPr>
        <sz val="11"/>
        <rFont val="Calibri"/>
        <family val="2"/>
        <scheme val="minor"/>
      </rPr>
      <t>S</t>
    </r>
    <r>
      <rPr>
        <vertAlign val="subscript"/>
        <sz val="11"/>
        <rFont val="Calibri"/>
        <family val="2"/>
        <scheme val="minor"/>
      </rPr>
      <t>COD</t>
    </r>
    <r>
      <rPr>
        <sz val="11"/>
        <rFont val="Calibri"/>
        <family val="2"/>
        <scheme val="minor"/>
      </rPr>
      <t>/VS ratio</t>
    </r>
  </si>
  <si>
    <r>
      <t>X</t>
    </r>
    <r>
      <rPr>
        <vertAlign val="subscript"/>
        <sz val="11"/>
        <rFont val="Calibri"/>
        <family val="2"/>
        <scheme val="minor"/>
      </rPr>
      <t>TSS</t>
    </r>
    <r>
      <rPr>
        <sz val="11"/>
        <rFont val="Calibri"/>
        <family val="2"/>
        <scheme val="minor"/>
      </rPr>
      <t>+S</t>
    </r>
    <r>
      <rPr>
        <vertAlign val="subscript"/>
        <sz val="11"/>
        <rFont val="Calibri"/>
        <family val="2"/>
        <scheme val="minor"/>
      </rPr>
      <t>US</t>
    </r>
    <r>
      <rPr>
        <sz val="11"/>
        <rFont val="Calibri"/>
        <family val="2"/>
        <scheme val="minor"/>
      </rPr>
      <t>/f</t>
    </r>
    <r>
      <rPr>
        <vertAlign val="subscript"/>
        <sz val="11"/>
        <rFont val="Calibri"/>
        <family val="2"/>
        <scheme val="minor"/>
      </rPr>
      <t>CV,SUS</t>
    </r>
    <r>
      <rPr>
        <sz val="11"/>
        <rFont val="Calibri"/>
        <family val="2"/>
        <scheme val="minor"/>
      </rPr>
      <t>+S</t>
    </r>
    <r>
      <rPr>
        <vertAlign val="subscript"/>
        <sz val="11"/>
        <rFont val="Calibri"/>
        <family val="2"/>
        <scheme val="minor"/>
      </rPr>
      <t>BSC</t>
    </r>
    <r>
      <rPr>
        <sz val="11"/>
        <rFont val="Calibri"/>
        <family val="2"/>
        <scheme val="minor"/>
      </rPr>
      <t>/f</t>
    </r>
    <r>
      <rPr>
        <vertAlign val="subscript"/>
        <sz val="11"/>
        <rFont val="Calibri"/>
        <family val="2"/>
        <scheme val="minor"/>
      </rPr>
      <t>CV,SBSC</t>
    </r>
    <r>
      <rPr>
        <sz val="11"/>
        <rFont val="Calibri"/>
        <family val="2"/>
        <scheme val="minor"/>
      </rPr>
      <t>+S</t>
    </r>
    <r>
      <rPr>
        <vertAlign val="subscript"/>
        <sz val="11"/>
        <rFont val="Calibri"/>
        <family val="2"/>
        <scheme val="minor"/>
      </rPr>
      <t>BSA</t>
    </r>
    <r>
      <rPr>
        <sz val="11"/>
        <rFont val="Calibri"/>
        <family val="2"/>
        <scheme val="minor"/>
      </rPr>
      <t>/f</t>
    </r>
    <r>
      <rPr>
        <vertAlign val="subscript"/>
        <sz val="11"/>
        <rFont val="Calibri"/>
        <family val="2"/>
        <scheme val="minor"/>
      </rPr>
      <t>CV,SBSA</t>
    </r>
    <r>
      <rPr>
        <sz val="11"/>
        <rFont val="Calibri"/>
        <family val="2"/>
        <scheme val="minor"/>
      </rPr>
      <t>+N</t>
    </r>
    <r>
      <rPr>
        <vertAlign val="subscript"/>
        <sz val="11"/>
        <rFont val="Calibri"/>
        <family val="2"/>
        <scheme val="minor"/>
      </rPr>
      <t>H3</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+N</t>
    </r>
    <r>
      <rPr>
        <vertAlign val="subscript"/>
        <sz val="11"/>
        <rFont val="Calibri"/>
        <family val="2"/>
        <scheme val="minor"/>
      </rPr>
      <t>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+P</t>
    </r>
    <r>
      <rPr>
        <vertAlign val="subscript"/>
        <sz val="11"/>
        <rFont val="Calibri"/>
        <family val="2"/>
        <scheme val="minor"/>
      </rPr>
      <t>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</si>
  <si>
    <r>
      <t>g.m</t>
    </r>
    <r>
      <rPr>
        <vertAlign val="superscript"/>
        <sz val="11"/>
        <rFont val="Calibri"/>
        <family val="2"/>
      </rPr>
      <t>-3</t>
    </r>
    <r>
      <rPr>
        <sz val="11"/>
        <rFont val="Calibri"/>
        <family val="2"/>
      </rPr>
      <t>.d</t>
    </r>
    <r>
      <rPr>
        <vertAlign val="superscript"/>
        <sz val="11"/>
        <rFont val="Calibri"/>
        <family val="2"/>
      </rPr>
      <t>-1</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</si>
  <si>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</si>
  <si>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rPr>
        <i/>
        <sz val="11"/>
        <rFont val="Calibri"/>
        <family val="2"/>
        <scheme val="minor"/>
      </rPr>
      <t>f</t>
    </r>
    <r>
      <rPr>
        <vertAlign val="subscript"/>
        <sz val="11"/>
        <rFont val="Calibri"/>
        <family val="2"/>
        <scheme val="minor"/>
      </rPr>
      <t>BOD5,BODult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</si>
  <si>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</si>
  <si>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</si>
  <si>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</si>
  <si>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</si>
  <si>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r>
      <t>S</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</si>
  <si>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</si>
  <si>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t>Filtered biochemical oxygen demand (5 days)</t>
  </si>
  <si>
    <t>Particulate biochemical oxygen demand (5 days)</t>
  </si>
  <si>
    <t>MinStateVar</t>
  </si>
  <si>
    <t>MaxStateVar</t>
  </si>
  <si>
    <t>Separators</t>
  </si>
  <si>
    <r>
      <t>S</t>
    </r>
    <r>
      <rPr>
        <b/>
        <vertAlign val="subscript"/>
        <sz val="12"/>
        <rFont val="Arial"/>
        <family val="2"/>
      </rPr>
      <t>O</t>
    </r>
  </si>
  <si>
    <r>
      <t>S</t>
    </r>
    <r>
      <rPr>
        <vertAlign val="subscript"/>
        <sz val="11"/>
        <rFont val="Calibri"/>
        <family val="2"/>
        <scheme val="minor"/>
      </rPr>
      <t>O</t>
    </r>
  </si>
  <si>
    <r>
      <t>K</t>
    </r>
    <r>
      <rPr>
        <vertAlign val="subscript"/>
        <sz val="11"/>
        <rFont val="Calibri"/>
        <family val="2"/>
        <scheme val="minor"/>
      </rPr>
      <t>O,HET</t>
    </r>
    <r>
      <rPr>
        <sz val="11"/>
        <rFont val="Calibri"/>
        <family val="2"/>
        <scheme val="minor"/>
      </rPr>
      <t>/(K</t>
    </r>
    <r>
      <rPr>
        <vertAlign val="subscript"/>
        <sz val="11"/>
        <rFont val="Calibri"/>
        <family val="2"/>
        <scheme val="minor"/>
      </rPr>
      <t>O,HET</t>
    </r>
    <r>
      <rPr>
        <sz val="11"/>
        <rFont val="Calibri"/>
        <family val="2"/>
        <scheme val="minor"/>
      </rPr>
      <t>+S</t>
    </r>
    <r>
      <rPr>
        <vertAlign val="subscript"/>
        <sz val="11"/>
        <rFont val="Calibri"/>
        <family val="2"/>
        <scheme val="minor"/>
      </rPr>
      <t>O</t>
    </r>
    <r>
      <rPr>
        <sz val="11"/>
        <rFont val="Calibri"/>
        <family val="2"/>
        <scheme val="minor"/>
      </rPr>
      <t>)</t>
    </r>
  </si>
  <si>
    <r>
      <t>-(v1_S</t>
    </r>
    <r>
      <rPr>
        <vertAlign val="subscript"/>
        <sz val="11"/>
        <rFont val="Calibri"/>
        <family val="2"/>
      </rPr>
      <t>O</t>
    </r>
    <r>
      <rPr>
        <sz val="11"/>
        <rFont val="Calibri"/>
        <family val="2"/>
      </rPr>
      <t>*r1+v3_S</t>
    </r>
    <r>
      <rPr>
        <vertAlign val="subscript"/>
        <sz val="11"/>
        <rFont val="Calibri"/>
        <family val="2"/>
      </rPr>
      <t>O</t>
    </r>
    <r>
      <rPr>
        <sz val="11"/>
        <rFont val="Calibri"/>
        <family val="2"/>
      </rPr>
      <t>*r3+v5_S</t>
    </r>
    <r>
      <rPr>
        <vertAlign val="subscript"/>
        <sz val="11"/>
        <rFont val="Calibri"/>
        <family val="2"/>
      </rPr>
      <t>O</t>
    </r>
    <r>
      <rPr>
        <sz val="11"/>
        <rFont val="Calibri"/>
        <family val="2"/>
      </rPr>
      <t>*r5+v7_S</t>
    </r>
    <r>
      <rPr>
        <vertAlign val="subscript"/>
        <sz val="11"/>
        <rFont val="Calibri"/>
        <family val="2"/>
      </rPr>
      <t>O</t>
    </r>
    <r>
      <rPr>
        <sz val="11"/>
        <rFont val="Calibri"/>
        <family val="2"/>
      </rPr>
      <t>*r7+v16_S</t>
    </r>
    <r>
      <rPr>
        <vertAlign val="subscript"/>
        <sz val="11"/>
        <rFont val="Calibri"/>
        <family val="2"/>
      </rPr>
      <t>O</t>
    </r>
    <r>
      <rPr>
        <sz val="11"/>
        <rFont val="Calibri"/>
        <family val="2"/>
      </rPr>
      <t>*r16+v18_S</t>
    </r>
    <r>
      <rPr>
        <vertAlign val="subscript"/>
        <sz val="11"/>
        <rFont val="Calibri"/>
        <family val="2"/>
      </rPr>
      <t>O</t>
    </r>
    <r>
      <rPr>
        <sz val="11"/>
        <rFont val="Calibri"/>
        <family val="2"/>
      </rPr>
      <t>*r18+v19_S</t>
    </r>
    <r>
      <rPr>
        <vertAlign val="subscript"/>
        <sz val="11"/>
        <rFont val="Calibri"/>
        <family val="2"/>
      </rPr>
      <t>O</t>
    </r>
    <r>
      <rPr>
        <sz val="11"/>
        <rFont val="Calibri"/>
        <family val="2"/>
      </rPr>
      <t>*r19+v20_S</t>
    </r>
    <r>
      <rPr>
        <vertAlign val="subscript"/>
        <sz val="11"/>
        <rFont val="Calibri"/>
        <family val="2"/>
      </rPr>
      <t>O</t>
    </r>
    <r>
      <rPr>
        <sz val="11"/>
        <rFont val="Calibri"/>
        <family val="2"/>
      </rPr>
      <t>*r20+v21_S</t>
    </r>
    <r>
      <rPr>
        <vertAlign val="subscript"/>
        <sz val="11"/>
        <rFont val="Calibri"/>
        <family val="2"/>
      </rPr>
      <t>O</t>
    </r>
    <r>
      <rPr>
        <sz val="11"/>
        <rFont val="Calibri"/>
        <family val="2"/>
      </rPr>
      <t>*r21+v23_S</t>
    </r>
    <r>
      <rPr>
        <vertAlign val="subscript"/>
        <sz val="11"/>
        <rFont val="Calibri"/>
        <family val="2"/>
      </rPr>
      <t>O</t>
    </r>
    <r>
      <rPr>
        <sz val="11"/>
        <rFont val="Calibri"/>
        <family val="2"/>
      </rPr>
      <t>*r23)</t>
    </r>
  </si>
  <si>
    <r>
      <t>S</t>
    </r>
    <r>
      <rPr>
        <vertAlign val="subscript"/>
        <sz val="11"/>
        <color indexed="8"/>
        <rFont val="Calibri"/>
        <family val="2"/>
      </rPr>
      <t>O</t>
    </r>
    <r>
      <rPr>
        <sz val="11"/>
        <color indexed="8"/>
        <rFont val="Calibri"/>
        <family val="2"/>
      </rPr>
      <t>/(K</t>
    </r>
    <r>
      <rPr>
        <vertAlign val="subscript"/>
        <sz val="11"/>
        <color indexed="8"/>
        <rFont val="Calibri"/>
        <family val="2"/>
      </rPr>
      <t>O,HET</t>
    </r>
    <r>
      <rPr>
        <sz val="11"/>
        <color indexed="8"/>
        <rFont val="Calibri"/>
        <family val="2"/>
      </rPr>
      <t>+S</t>
    </r>
    <r>
      <rPr>
        <vertAlign val="subscript"/>
        <sz val="11"/>
        <color indexed="8"/>
        <rFont val="Calibri"/>
        <family val="2"/>
      </rPr>
      <t>O</t>
    </r>
    <r>
      <rPr>
        <sz val="11"/>
        <color indexed="8"/>
        <rFont val="Calibri"/>
        <family val="2"/>
      </rPr>
      <t>)</t>
    </r>
  </si>
  <si>
    <r>
      <t>S</t>
    </r>
    <r>
      <rPr>
        <vertAlign val="subscript"/>
        <sz val="11"/>
        <color indexed="8"/>
        <rFont val="Calibri"/>
        <family val="2"/>
      </rPr>
      <t>O</t>
    </r>
    <r>
      <rPr>
        <sz val="11"/>
        <color indexed="8"/>
        <rFont val="Calibri"/>
        <family val="2"/>
      </rPr>
      <t>/(K</t>
    </r>
    <r>
      <rPr>
        <vertAlign val="subscript"/>
        <sz val="11"/>
        <color indexed="8"/>
        <rFont val="Calibri"/>
        <family val="2"/>
      </rPr>
      <t>O,AUT</t>
    </r>
    <r>
      <rPr>
        <sz val="11"/>
        <color indexed="8"/>
        <rFont val="Calibri"/>
        <family val="2"/>
      </rPr>
      <t>+S</t>
    </r>
    <r>
      <rPr>
        <vertAlign val="subscript"/>
        <sz val="11"/>
        <color indexed="8"/>
        <rFont val="Calibri"/>
        <family val="2"/>
      </rPr>
      <t>O</t>
    </r>
    <r>
      <rPr>
        <sz val="11"/>
        <color indexed="8"/>
        <rFont val="Calibri"/>
        <family val="2"/>
      </rPr>
      <t>)</t>
    </r>
  </si>
  <si>
    <r>
      <t>g O</t>
    </r>
    <r>
      <rPr>
        <vertAlign val="subscript"/>
        <sz val="11"/>
        <rFont val="Calibri"/>
        <family val="2"/>
        <charset val="238"/>
      </rPr>
      <t>2</t>
    </r>
    <r>
      <rPr>
        <sz val="11"/>
        <rFont val="Calibri"/>
        <family val="2"/>
      </rPr>
      <t>.m</t>
    </r>
    <r>
      <rPr>
        <vertAlign val="superscript"/>
        <sz val="11"/>
        <rFont val="Calibri"/>
        <family val="2"/>
      </rPr>
      <t>-3</t>
    </r>
    <r>
      <rPr>
        <sz val="11"/>
        <rFont val="Calibri"/>
        <family val="2"/>
      </rPr>
      <t>.d</t>
    </r>
    <r>
      <rPr>
        <vertAlign val="superscript"/>
        <sz val="11"/>
        <rFont val="Calibri"/>
        <family val="2"/>
      </rPr>
      <t>-1</t>
    </r>
  </si>
  <si>
    <t>Balancing</t>
  </si>
  <si>
    <t>Nitrate uptake rate (NUR)</t>
  </si>
  <si>
    <t>Calculated variables</t>
  </si>
  <si>
    <t>Total ultimate biochemical oxygen demand</t>
  </si>
  <si>
    <t>Total biochemical oxygen demand (5 days)</t>
  </si>
  <si>
    <r>
      <t>μ</t>
    </r>
    <r>
      <rPr>
        <i/>
        <vertAlign val="subscript"/>
        <sz val="12"/>
        <rFont val="Arial"/>
        <family val="2"/>
      </rPr>
      <t>H</t>
    </r>
    <r>
      <rPr>
        <i/>
        <sz val="12"/>
        <rFont val="Arial"/>
        <family val="2"/>
      </rPr>
      <t>*Msat</t>
    </r>
    <r>
      <rPr>
        <i/>
        <vertAlign val="subscript"/>
        <sz val="12"/>
        <rFont val="Arial"/>
        <family val="2"/>
      </rPr>
      <t>SO,KO,HET</t>
    </r>
    <r>
      <rPr>
        <i/>
        <sz val="12"/>
        <rFont val="Arial"/>
        <family val="2"/>
      </rPr>
      <t>*Msat</t>
    </r>
    <r>
      <rPr>
        <i/>
        <vertAlign val="subscript"/>
        <sz val="12"/>
        <rFont val="Arial"/>
        <family val="2"/>
      </rPr>
      <t>SBSC,KS,H</t>
    </r>
    <r>
      <rPr>
        <i/>
        <sz val="12"/>
        <rFont val="Arial"/>
        <family val="2"/>
      </rPr>
      <t>*S</t>
    </r>
    <r>
      <rPr>
        <i/>
        <vertAlign val="subscript"/>
        <sz val="12"/>
        <rFont val="Arial"/>
        <family val="2"/>
      </rPr>
      <t>BSC</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</si>
  <si>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r>
      <t>μ</t>
    </r>
    <r>
      <rPr>
        <i/>
        <vertAlign val="subscript"/>
        <sz val="12"/>
        <rFont val="Arial"/>
        <family val="2"/>
      </rPr>
      <t>H</t>
    </r>
    <r>
      <rPr>
        <i/>
        <sz val="12"/>
        <rFont val="Arial"/>
        <family val="2"/>
      </rPr>
      <t>*η</t>
    </r>
    <r>
      <rPr>
        <i/>
        <vertAlign val="subscript"/>
        <sz val="12"/>
        <rFont val="Arial"/>
        <family val="2"/>
      </rPr>
      <t>gro</t>
    </r>
    <r>
      <rPr>
        <i/>
        <sz val="12"/>
        <rFont val="Arial"/>
        <family val="2"/>
      </rPr>
      <t>*Minh</t>
    </r>
    <r>
      <rPr>
        <i/>
        <vertAlign val="subscript"/>
        <sz val="12"/>
        <rFont val="Arial"/>
        <family val="2"/>
      </rPr>
      <t>SO,KO,HET</t>
    </r>
    <r>
      <rPr>
        <i/>
        <sz val="12"/>
        <rFont val="Arial"/>
        <family val="2"/>
      </rPr>
      <t>*Msat</t>
    </r>
    <r>
      <rPr>
        <i/>
        <vertAlign val="subscript"/>
        <sz val="12"/>
        <rFont val="Arial"/>
        <family val="2"/>
      </rPr>
      <t>SBSC,KS,H</t>
    </r>
    <r>
      <rPr>
        <i/>
        <sz val="12"/>
        <rFont val="Arial"/>
        <family val="2"/>
      </rPr>
      <t>*S</t>
    </r>
    <r>
      <rPr>
        <i/>
        <vertAlign val="subscript"/>
        <sz val="12"/>
        <rFont val="Arial"/>
        <family val="2"/>
      </rPr>
      <t>BSC</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NO3,KNO</t>
    </r>
    <r>
      <rPr>
        <i/>
        <sz val="12"/>
        <rFont val="Arial"/>
        <family val="2"/>
      </rPr>
      <t>*Msat</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</si>
  <si>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r>
      <t>μ</t>
    </r>
    <r>
      <rPr>
        <i/>
        <vertAlign val="subscript"/>
        <sz val="12"/>
        <rFont val="Arial"/>
        <family val="2"/>
      </rPr>
      <t>H</t>
    </r>
    <r>
      <rPr>
        <i/>
        <sz val="12"/>
        <rFont val="Arial"/>
        <family val="2"/>
      </rPr>
      <t>*Msat</t>
    </r>
    <r>
      <rPr>
        <i/>
        <vertAlign val="subscript"/>
        <sz val="12"/>
        <rFont val="Arial"/>
        <family val="2"/>
      </rPr>
      <t>SO,KO,HET</t>
    </r>
    <r>
      <rPr>
        <i/>
        <sz val="12"/>
        <rFont val="Arial"/>
        <family val="2"/>
      </rPr>
      <t>*Msat</t>
    </r>
    <r>
      <rPr>
        <i/>
        <vertAlign val="subscript"/>
        <sz val="12"/>
        <rFont val="Arial"/>
        <family val="2"/>
      </rPr>
      <t>SBSC,KS,H</t>
    </r>
    <r>
      <rPr>
        <i/>
        <sz val="12"/>
        <rFont val="Arial"/>
        <family val="2"/>
      </rPr>
      <t>*S</t>
    </r>
    <r>
      <rPr>
        <i/>
        <vertAlign val="subscript"/>
        <sz val="12"/>
        <rFont val="Arial"/>
        <family val="2"/>
      </rPr>
      <t>BSC</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NO3,KNO</t>
    </r>
    <r>
      <rPr>
        <i/>
        <sz val="12"/>
        <rFont val="Arial"/>
        <family val="2"/>
      </rPr>
      <t>*Minh</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</si>
  <si>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r>
      <t>μ</t>
    </r>
    <r>
      <rPr>
        <i/>
        <vertAlign val="subscript"/>
        <sz val="12"/>
        <rFont val="Arial"/>
        <family val="2"/>
      </rPr>
      <t>H</t>
    </r>
    <r>
      <rPr>
        <i/>
        <sz val="12"/>
        <rFont val="Arial"/>
        <family val="2"/>
      </rPr>
      <t>*η</t>
    </r>
    <r>
      <rPr>
        <i/>
        <vertAlign val="subscript"/>
        <sz val="12"/>
        <rFont val="Arial"/>
        <family val="2"/>
      </rPr>
      <t>gro</t>
    </r>
    <r>
      <rPr>
        <i/>
        <sz val="12"/>
        <rFont val="Arial"/>
        <family val="2"/>
      </rPr>
      <t>*Minh</t>
    </r>
    <r>
      <rPr>
        <i/>
        <vertAlign val="subscript"/>
        <sz val="12"/>
        <rFont val="Arial"/>
        <family val="2"/>
      </rPr>
      <t>SO,KO,HET</t>
    </r>
    <r>
      <rPr>
        <i/>
        <sz val="12"/>
        <rFont val="Arial"/>
        <family val="2"/>
      </rPr>
      <t>*Msat</t>
    </r>
    <r>
      <rPr>
        <i/>
        <vertAlign val="subscript"/>
        <sz val="12"/>
        <rFont val="Arial"/>
        <family val="2"/>
      </rPr>
      <t>SBSC,KS,H</t>
    </r>
    <r>
      <rPr>
        <i/>
        <sz val="12"/>
        <rFont val="Arial"/>
        <family val="2"/>
      </rPr>
      <t>*S</t>
    </r>
    <r>
      <rPr>
        <i/>
        <vertAlign val="subscript"/>
        <sz val="12"/>
        <rFont val="Arial"/>
        <family val="2"/>
      </rPr>
      <t>BSC</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NO3,KNO</t>
    </r>
    <r>
      <rPr>
        <i/>
        <sz val="12"/>
        <rFont val="Arial"/>
        <family val="2"/>
      </rPr>
      <t>*Minh</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</si>
  <si>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r>
      <t>μ</t>
    </r>
    <r>
      <rPr>
        <i/>
        <vertAlign val="subscript"/>
        <sz val="12"/>
        <rFont val="Arial"/>
        <family val="2"/>
      </rPr>
      <t>H</t>
    </r>
    <r>
      <rPr>
        <i/>
        <sz val="12"/>
        <rFont val="Arial"/>
        <family val="2"/>
      </rPr>
      <t>*Msat</t>
    </r>
    <r>
      <rPr>
        <i/>
        <vertAlign val="subscript"/>
        <sz val="12"/>
        <rFont val="Arial"/>
        <family val="2"/>
      </rPr>
      <t>SO,KO,HET</t>
    </r>
    <r>
      <rPr>
        <i/>
        <sz val="12"/>
        <rFont val="Arial"/>
        <family val="2"/>
      </rPr>
      <t>*Msat</t>
    </r>
    <r>
      <rPr>
        <i/>
        <vertAlign val="subscript"/>
        <sz val="12"/>
        <rFont val="Arial"/>
        <family val="2"/>
      </rPr>
      <t>SBSA,KS,H,BSA</t>
    </r>
    <r>
      <rPr>
        <i/>
        <sz val="12"/>
        <rFont val="Arial"/>
        <family val="2"/>
      </rPr>
      <t>*S</t>
    </r>
    <r>
      <rPr>
        <i/>
        <vertAlign val="subscript"/>
        <sz val="12"/>
        <rFont val="Arial"/>
        <family val="2"/>
      </rPr>
      <t>BSA</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</si>
  <si>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r>
      <t>μ</t>
    </r>
    <r>
      <rPr>
        <i/>
        <vertAlign val="subscript"/>
        <sz val="12"/>
        <rFont val="Arial"/>
        <family val="2"/>
      </rPr>
      <t>H</t>
    </r>
    <r>
      <rPr>
        <i/>
        <sz val="12"/>
        <rFont val="Arial"/>
        <family val="2"/>
      </rPr>
      <t>*η</t>
    </r>
    <r>
      <rPr>
        <i/>
        <vertAlign val="subscript"/>
        <sz val="12"/>
        <rFont val="Arial"/>
        <family val="2"/>
      </rPr>
      <t>gro</t>
    </r>
    <r>
      <rPr>
        <i/>
        <sz val="12"/>
        <rFont val="Arial"/>
        <family val="2"/>
      </rPr>
      <t>*Minh</t>
    </r>
    <r>
      <rPr>
        <i/>
        <vertAlign val="subscript"/>
        <sz val="12"/>
        <rFont val="Arial"/>
        <family val="2"/>
      </rPr>
      <t>SO,KO,HET</t>
    </r>
    <r>
      <rPr>
        <i/>
        <sz val="12"/>
        <rFont val="Arial"/>
        <family val="2"/>
      </rPr>
      <t>*Msat</t>
    </r>
    <r>
      <rPr>
        <i/>
        <vertAlign val="subscript"/>
        <sz val="12"/>
        <rFont val="Arial"/>
        <family val="2"/>
      </rPr>
      <t>SBSA,KS,H,BSA</t>
    </r>
    <r>
      <rPr>
        <i/>
        <sz val="12"/>
        <rFont val="Arial"/>
        <family val="2"/>
      </rPr>
      <t>*S</t>
    </r>
    <r>
      <rPr>
        <i/>
        <vertAlign val="subscript"/>
        <sz val="12"/>
        <rFont val="Arial"/>
        <family val="2"/>
      </rPr>
      <t>BSA</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NO3,KNO</t>
    </r>
    <r>
      <rPr>
        <i/>
        <sz val="12"/>
        <rFont val="Arial"/>
        <family val="2"/>
      </rPr>
      <t>*Msat</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</si>
  <si>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r>
      <t>μ</t>
    </r>
    <r>
      <rPr>
        <i/>
        <vertAlign val="subscript"/>
        <sz val="12"/>
        <rFont val="Arial"/>
        <family val="2"/>
      </rPr>
      <t>H</t>
    </r>
    <r>
      <rPr>
        <i/>
        <sz val="12"/>
        <rFont val="Arial"/>
        <family val="2"/>
      </rPr>
      <t>*Msat</t>
    </r>
    <r>
      <rPr>
        <i/>
        <vertAlign val="subscript"/>
        <sz val="12"/>
        <rFont val="Arial"/>
        <family val="2"/>
      </rPr>
      <t>SO,KO,HET</t>
    </r>
    <r>
      <rPr>
        <i/>
        <sz val="12"/>
        <rFont val="Arial"/>
        <family val="2"/>
      </rPr>
      <t>*Msat</t>
    </r>
    <r>
      <rPr>
        <i/>
        <vertAlign val="subscript"/>
        <sz val="12"/>
        <rFont val="Arial"/>
        <family val="2"/>
      </rPr>
      <t>SBSA,KS,H,BSA</t>
    </r>
    <r>
      <rPr>
        <i/>
        <sz val="12"/>
        <rFont val="Arial"/>
        <family val="2"/>
      </rPr>
      <t>*S</t>
    </r>
    <r>
      <rPr>
        <i/>
        <vertAlign val="subscript"/>
        <sz val="12"/>
        <rFont val="Arial"/>
        <family val="2"/>
      </rPr>
      <t>BSA</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NO3,KNO</t>
    </r>
    <r>
      <rPr>
        <i/>
        <sz val="12"/>
        <rFont val="Arial"/>
        <family val="2"/>
      </rPr>
      <t>*Minh</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</si>
  <si>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r>
      <t>μ</t>
    </r>
    <r>
      <rPr>
        <i/>
        <vertAlign val="subscript"/>
        <sz val="12"/>
        <rFont val="Arial"/>
        <family val="2"/>
      </rPr>
      <t>H</t>
    </r>
    <r>
      <rPr>
        <i/>
        <sz val="12"/>
        <rFont val="Arial"/>
        <family val="2"/>
      </rPr>
      <t>*η</t>
    </r>
    <r>
      <rPr>
        <i/>
        <vertAlign val="subscript"/>
        <sz val="12"/>
        <rFont val="Arial"/>
        <family val="2"/>
      </rPr>
      <t>gro</t>
    </r>
    <r>
      <rPr>
        <i/>
        <sz val="12"/>
        <rFont val="Arial"/>
        <family val="2"/>
      </rPr>
      <t>*Minh</t>
    </r>
    <r>
      <rPr>
        <i/>
        <vertAlign val="subscript"/>
        <sz val="12"/>
        <rFont val="Arial"/>
        <family val="2"/>
      </rPr>
      <t>SO,KO,HET</t>
    </r>
    <r>
      <rPr>
        <i/>
        <sz val="12"/>
        <rFont val="Arial"/>
        <family val="2"/>
      </rPr>
      <t>*Msat</t>
    </r>
    <r>
      <rPr>
        <i/>
        <vertAlign val="subscript"/>
        <sz val="12"/>
        <rFont val="Arial"/>
        <family val="2"/>
      </rPr>
      <t>SBSA,KS,H,BSA</t>
    </r>
    <r>
      <rPr>
        <i/>
        <sz val="12"/>
        <rFont val="Arial"/>
        <family val="2"/>
      </rPr>
      <t>*S</t>
    </r>
    <r>
      <rPr>
        <i/>
        <vertAlign val="subscript"/>
        <sz val="12"/>
        <rFont val="Arial"/>
        <family val="2"/>
      </rPr>
      <t>BSA</t>
    </r>
    <r>
      <rPr>
        <i/>
        <sz val="12"/>
        <rFont val="Arial"/>
        <family val="2"/>
      </rPr>
      <t>/(S</t>
    </r>
    <r>
      <rPr>
        <i/>
        <vertAlign val="subscript"/>
        <sz val="12"/>
        <rFont val="Arial"/>
        <family val="2"/>
      </rPr>
      <t>BSA</t>
    </r>
    <r>
      <rPr>
        <i/>
        <sz val="12"/>
        <rFont val="Arial"/>
        <family val="2"/>
      </rPr>
      <t>+S</t>
    </r>
    <r>
      <rPr>
        <i/>
        <vertAlign val="subscript"/>
        <sz val="12"/>
        <rFont val="Arial"/>
        <family val="2"/>
      </rPr>
      <t>BSC</t>
    </r>
    <r>
      <rPr>
        <i/>
        <sz val="12"/>
        <rFont val="Arial"/>
        <family val="2"/>
      </rPr>
      <t>)*Msat</t>
    </r>
    <r>
      <rPr>
        <i/>
        <vertAlign val="subscript"/>
        <sz val="12"/>
        <rFont val="Arial"/>
        <family val="2"/>
      </rPr>
      <t>NO3,KNO</t>
    </r>
    <r>
      <rPr>
        <i/>
        <sz val="12"/>
        <rFont val="Arial"/>
        <family val="2"/>
      </rPr>
      <t>*Minh</t>
    </r>
    <r>
      <rPr>
        <i/>
        <vertAlign val="subscript"/>
        <sz val="12"/>
        <rFont val="Arial"/>
        <family val="2"/>
      </rPr>
      <t>NH3,KNA</t>
    </r>
    <r>
      <rPr>
        <i/>
        <sz val="12"/>
        <rFont val="Arial"/>
        <family val="2"/>
      </rPr>
      <t>*Msat</t>
    </r>
    <r>
      <rPr>
        <i/>
        <vertAlign val="subscript"/>
        <sz val="12"/>
        <rFont val="Arial"/>
        <family val="2"/>
      </rPr>
      <t>PO4,KLP,GRO</t>
    </r>
    <r>
      <rPr>
        <i/>
        <sz val="12"/>
        <rFont val="Arial"/>
        <family val="2"/>
      </rPr>
      <t>*Z</t>
    </r>
    <r>
      <rPr>
        <i/>
        <vertAlign val="subscript"/>
        <sz val="12"/>
        <rFont val="Arial"/>
        <family val="2"/>
      </rPr>
      <t>H</t>
    </r>
  </si>
  <si>
    <t>Depreciated constants from next Sumo version</t>
  </si>
  <si>
    <t>Deprecated, do not use it in new code. Will be removed after Sumo18.</t>
  </si>
  <si>
    <r>
      <t>J.m</t>
    </r>
    <r>
      <rPr>
        <vertAlign val="superscript"/>
        <sz val="11"/>
        <rFont val="Calibri"/>
        <family val="2"/>
        <scheme val="minor"/>
      </rPr>
      <t>-3</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</si>
  <si>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</si>
  <si>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</si>
  <si>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</si>
  <si>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</si>
  <si>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</si>
  <si>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</si>
  <si>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</si>
  <si>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</si>
  <si>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</si>
  <si>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</si>
  <si>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</si>
  <si>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</si>
  <si>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t>Diffusion coefficients for gas phase state variables</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</si>
  <si>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</si>
  <si>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</si>
  <si>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</si>
  <si>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</si>
  <si>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</si>
  <si>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</si>
  <si>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</si>
  <si>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</si>
  <si>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Diffusion coefficient of N</t>
    </r>
    <r>
      <rPr>
        <vertAlign val="subscript"/>
        <sz val="11"/>
        <rFont val="Calibri"/>
        <family val="2"/>
      </rPr>
      <t>2</t>
    </r>
    <r>
      <rPr>
        <sz val="11"/>
        <rFont val="Calibri"/>
        <family val="2"/>
      </rPr>
      <t>O in water @ 25°C</t>
    </r>
  </si>
  <si>
    <r>
      <t>D</t>
    </r>
    <r>
      <rPr>
        <vertAlign val="subscript"/>
        <sz val="11"/>
        <rFont val="Calibri"/>
        <family val="2"/>
        <scheme val="minor"/>
      </rPr>
      <t>GH2S,25</t>
    </r>
  </si>
  <si>
    <t>Diffusion coefficient of hydrogen sulfide in water @ 25°C</t>
  </si>
  <si>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</si>
  <si>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</si>
  <si>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</si>
  <si>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</si>
  <si>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r>
      <t>η</t>
    </r>
    <r>
      <rPr>
        <vertAlign val="subscript"/>
        <sz val="11"/>
        <rFont val="Calibri"/>
        <family val="2"/>
        <scheme val="minor"/>
      </rPr>
      <t>H2O</t>
    </r>
  </si>
  <si>
    <t>Dynamic viscosity of water</t>
  </si>
  <si>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</si>
  <si>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rPr>
        <sz val="11"/>
        <rFont val="Calibri"/>
        <family val="2"/>
      </rPr>
      <t>ρ</t>
    </r>
    <r>
      <rPr>
        <vertAlign val="subscript"/>
        <sz val="11"/>
        <rFont val="Calibri"/>
        <family val="2"/>
        <scheme val="minor"/>
      </rPr>
      <t>air</t>
    </r>
  </si>
  <si>
    <t>Density of air</t>
  </si>
  <si>
    <r>
      <t>p</t>
    </r>
    <r>
      <rPr>
        <vertAlign val="subscript"/>
        <sz val="11"/>
        <rFont val="Calibri"/>
        <family val="2"/>
      </rPr>
      <t>STP</t>
    </r>
  </si>
  <si>
    <r>
      <t>p</t>
    </r>
    <r>
      <rPr>
        <vertAlign val="subscript"/>
        <sz val="11"/>
        <rFont val="Calibri"/>
        <family val="2"/>
      </rPr>
      <t>N</t>
    </r>
  </si>
  <si>
    <t>Normal barometric pressure</t>
  </si>
  <si>
    <t>Atmosphere composition</t>
  </si>
  <si>
    <r>
      <t>G</t>
    </r>
    <r>
      <rPr>
        <vertAlign val="subscript"/>
        <sz val="11"/>
        <rFont val="Calibri"/>
        <family val="2"/>
      </rPr>
      <t>CO2,atm</t>
    </r>
  </si>
  <si>
    <r>
      <t>Carbon dioxide gas (CO</t>
    </r>
    <r>
      <rPr>
        <vertAlign val="subscript"/>
        <sz val="11"/>
        <rFont val="Calibri"/>
        <family val="2"/>
      </rPr>
      <t>2</t>
    </r>
    <r>
      <rPr>
        <sz val="11"/>
        <rFont val="Calibri"/>
        <family val="2"/>
      </rPr>
      <t>)</t>
    </r>
  </si>
  <si>
    <t>%v/v</t>
  </si>
  <si>
    <r>
      <t>G</t>
    </r>
    <r>
      <rPr>
        <vertAlign val="subscript"/>
        <sz val="11"/>
        <rFont val="Calibri"/>
        <family val="2"/>
      </rPr>
      <t>CH4,atm</t>
    </r>
  </si>
  <si>
    <r>
      <t>Methane gas (CH</t>
    </r>
    <r>
      <rPr>
        <vertAlign val="subscript"/>
        <sz val="11"/>
        <color rgb="FF000000"/>
        <rFont val="Calibri"/>
        <family val="2"/>
        <scheme val="minor"/>
      </rPr>
      <t>4</t>
    </r>
    <r>
      <rPr>
        <sz val="11"/>
        <color rgb="FF000000"/>
        <rFont val="Calibri"/>
        <family val="2"/>
        <charset val="238"/>
        <scheme val="minor"/>
      </rPr>
      <t>)</t>
    </r>
  </si>
  <si>
    <r>
      <t>G</t>
    </r>
    <r>
      <rPr>
        <vertAlign val="subscript"/>
        <sz val="11"/>
        <rFont val="Calibri"/>
        <family val="2"/>
      </rPr>
      <t>H2,atm</t>
    </r>
  </si>
  <si>
    <r>
      <t>Hydrogen gas (H</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</si>
  <si>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O2,atm</t>
    </r>
  </si>
  <si>
    <r>
      <t>Oxygen gas (O</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</si>
  <si>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NH3,atm</t>
    </r>
  </si>
  <si>
    <r>
      <t>Ammonia gas (NH</t>
    </r>
    <r>
      <rPr>
        <vertAlign val="subscript"/>
        <sz val="11"/>
        <rFont val="Calibri"/>
        <family val="2"/>
      </rPr>
      <t>3</t>
    </r>
    <r>
      <rPr>
        <sz val="11"/>
        <rFont val="Calibri"/>
        <family val="2"/>
      </rPr>
      <t>)</t>
    </r>
  </si>
  <si>
    <r>
      <t>G</t>
    </r>
    <r>
      <rPr>
        <vertAlign val="subscript"/>
        <sz val="11"/>
        <rFont val="Calibri"/>
        <family val="2"/>
      </rPr>
      <t>N2,atm</t>
    </r>
  </si>
  <si>
    <r>
      <t>Nitrogen gas (N</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</si>
  <si>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</si>
  <si>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</si>
  <si>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</si>
  <si>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</si>
  <si>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</si>
  <si>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</si>
  <si>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</si>
  <si>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</si>
  <si>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</si>
  <si>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</si>
  <si>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</si>
  <si>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</si>
  <si>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t>κ</t>
  </si>
  <si>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</si>
  <si>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</si>
  <si>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</si>
  <si>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</si>
  <si>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</si>
  <si>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</si>
  <si>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</si>
  <si>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</si>
  <si>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</si>
  <si>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</si>
  <si>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</si>
  <si>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</si>
  <si>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</si>
  <si>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air</t>
    </r>
  </si>
  <si>
    <t>Molar mass of air</t>
  </si>
  <si>
    <r>
      <t>MM</t>
    </r>
    <r>
      <rPr>
        <vertAlign val="subscript"/>
        <sz val="11"/>
        <rFont val="Calibri"/>
        <family val="2"/>
        <scheme val="minor"/>
      </rPr>
      <t>GH2S</t>
    </r>
  </si>
  <si>
    <t>Molecular mass of hydrogen sulphide</t>
  </si>
  <si>
    <t>Molar mass of ammonium ion</t>
  </si>
  <si>
    <t>Molar mass of nitrite ion</t>
  </si>
  <si>
    <t>Molar mass of nitrate ion</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</si>
  <si>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</si>
  <si>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</si>
  <si>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scheme val="minor"/>
      </rPr>
      <t>FeOH3</t>
    </r>
  </si>
  <si>
    <r>
      <t>Molecular mass of Fe(OH)</t>
    </r>
    <r>
      <rPr>
        <vertAlign val="subscript"/>
        <sz val="11"/>
        <rFont val="Calibri"/>
        <family val="2"/>
        <scheme val="minor"/>
      </rPr>
      <t>3</t>
    </r>
  </si>
  <si>
    <r>
      <t>MM</t>
    </r>
    <r>
      <rPr>
        <vertAlign val="subscript"/>
        <sz val="11"/>
        <rFont val="Calibri"/>
        <family val="2"/>
        <scheme val="minor"/>
      </rPr>
      <t>AlOH3</t>
    </r>
  </si>
  <si>
    <r>
      <t>Molecular mass of Al(OH)</t>
    </r>
    <r>
      <rPr>
        <vertAlign val="subscript"/>
        <sz val="11"/>
        <rFont val="Calibri"/>
        <family val="2"/>
        <scheme val="minor"/>
      </rPr>
      <t>3</t>
    </r>
  </si>
  <si>
    <r>
      <t>MM</t>
    </r>
    <r>
      <rPr>
        <vertAlign val="subscript"/>
        <sz val="11"/>
        <rFont val="Calibri"/>
        <family val="2"/>
        <scheme val="minor"/>
      </rPr>
      <t>AlPO4</t>
    </r>
  </si>
  <si>
    <r>
      <t>Molecular mass of AlPO</t>
    </r>
    <r>
      <rPr>
        <vertAlign val="subscript"/>
        <sz val="11"/>
        <rFont val="Calibri"/>
        <family val="2"/>
        <scheme val="minor"/>
      </rPr>
      <t>4</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</si>
  <si>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</si>
  <si>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</si>
  <si>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</si>
  <si>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</si>
  <si>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</si>
  <si>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</si>
  <si>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</si>
  <si>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</si>
  <si>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</si>
  <si>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</si>
  <si>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</si>
  <si>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</si>
  <si>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</si>
  <si>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</si>
  <si>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</si>
  <si>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</si>
  <si>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</si>
  <si>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</si>
  <si>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</si>
  <si>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</si>
  <si>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</si>
  <si>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</si>
  <si>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</si>
  <si>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</si>
  <si>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</si>
  <si>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</si>
  <si>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</si>
  <si>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</si>
  <si>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MgOH2</t>
    </r>
  </si>
  <si>
    <t>Molecular mass of Mg(OH)2</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</si>
  <si>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</si>
  <si>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</si>
  <si>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</si>
  <si>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</si>
  <si>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</si>
  <si>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</si>
  <si>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</si>
  <si>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</si>
  <si>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</si>
  <si>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</si>
  <si>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</si>
  <si>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</si>
  <si>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</si>
  <si>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</si>
  <si>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</si>
  <si>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</si>
  <si>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</si>
  <si>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</si>
  <si>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</si>
  <si>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</si>
  <si>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MM</t>
    </r>
    <r>
      <rPr>
        <vertAlign val="subscript"/>
        <sz val="11"/>
        <rFont val="Calibri"/>
        <family val="2"/>
        <scheme val="minor"/>
      </rPr>
      <t>MMC</t>
    </r>
  </si>
  <si>
    <t>Molecular mass of methyl mercaptan</t>
  </si>
  <si>
    <r>
      <t>MM</t>
    </r>
    <r>
      <rPr>
        <vertAlign val="subscript"/>
        <sz val="11"/>
        <rFont val="Calibri"/>
        <family val="2"/>
        <scheme val="minor"/>
      </rPr>
      <t>EQ,GN2</t>
    </r>
  </si>
  <si>
    <r>
      <t>g N.mol</t>
    </r>
    <r>
      <rPr>
        <vertAlign val="superscript"/>
        <sz val="11"/>
        <rFont val="Calibri"/>
        <family val="2"/>
        <scheme val="minor"/>
      </rPr>
      <t>-1</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</si>
  <si>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</si>
  <si>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</si>
  <si>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</si>
  <si>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</si>
  <si>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</si>
  <si>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</si>
  <si>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g COD.mol</t>
    </r>
    <r>
      <rPr>
        <vertAlign val="superscript"/>
        <sz val="11"/>
        <rFont val="Calibri"/>
        <family val="2"/>
        <scheme val="minor"/>
      </rPr>
      <t>-1</t>
    </r>
  </si>
  <si>
    <r>
      <t>MM</t>
    </r>
    <r>
      <rPr>
        <vertAlign val="subscript"/>
        <sz val="11"/>
        <rFont val="Calibri"/>
        <family val="2"/>
        <scheme val="minor"/>
      </rPr>
      <t>EQ,GH2S</t>
    </r>
  </si>
  <si>
    <t>Molecular mass of GH2S</t>
  </si>
  <si>
    <r>
      <t>g S.mol</t>
    </r>
    <r>
      <rPr>
        <vertAlign val="superscript"/>
        <sz val="11"/>
        <rFont val="Calibri"/>
        <family val="2"/>
        <scheme val="minor"/>
      </rPr>
      <t>-1</t>
    </r>
  </si>
  <si>
    <t>Dissociation constant of water</t>
  </si>
  <si>
    <t>10^-13.997 NIST  (Minteq V4) 25°C</t>
  </si>
  <si>
    <r>
      <t>K</t>
    </r>
    <r>
      <rPr>
        <vertAlign val="subscript"/>
        <sz val="11"/>
        <rFont val="Calibri"/>
        <family val="2"/>
        <charset val="238"/>
        <scheme val="minor"/>
      </rPr>
      <t>NH3,param</t>
    </r>
  </si>
  <si>
    <t>Dissociation constant of ammonia</t>
  </si>
  <si>
    <t>10^-9.244 NIST  (Minteq V4) 25°C</t>
  </si>
  <si>
    <r>
      <t>K</t>
    </r>
    <r>
      <rPr>
        <vertAlign val="subscript"/>
        <sz val="11"/>
        <rFont val="Calibri"/>
        <family val="2"/>
        <charset val="238"/>
        <scheme val="minor"/>
      </rPr>
      <t>NO2,param</t>
    </r>
  </si>
  <si>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</si>
  <si>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</si>
  <si>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</si>
  <si>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</si>
  <si>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</si>
  <si>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</si>
  <si>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</si>
  <si>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</si>
  <si>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</si>
  <si>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</si>
  <si>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</si>
  <si>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</si>
  <si>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r>
      <t>K</t>
    </r>
    <r>
      <rPr>
        <vertAlign val="subscript"/>
        <sz val="11"/>
        <rFont val="Calibri"/>
        <family val="2"/>
        <charset val="238"/>
        <scheme val="minor"/>
      </rPr>
      <t>Ac,param</t>
    </r>
  </si>
  <si>
    <t>Dissociation constant of acetate</t>
  </si>
  <si>
    <t>10^-4.757 NIST  (Minteq V4) 25°C</t>
  </si>
  <si>
    <r>
      <t>K</t>
    </r>
    <r>
      <rPr>
        <vertAlign val="subscript"/>
        <sz val="11"/>
        <rFont val="Calibri"/>
        <family val="2"/>
        <scheme val="minor"/>
      </rPr>
      <t>S1,param</t>
    </r>
  </si>
  <si>
    <t>Dissociation constant of hydrogen sulfide</t>
  </si>
  <si>
    <t>NIST  (Minteq V4) 25°C</t>
  </si>
  <si>
    <r>
      <t>K</t>
    </r>
    <r>
      <rPr>
        <vertAlign val="subscript"/>
        <sz val="11"/>
        <rFont val="Calibri"/>
        <family val="2"/>
        <scheme val="minor"/>
      </rPr>
      <t>S2,param</t>
    </r>
  </si>
  <si>
    <t>Dissociation constant of bisulfide ion</t>
  </si>
  <si>
    <r>
      <t>K</t>
    </r>
    <r>
      <rPr>
        <vertAlign val="subscript"/>
        <sz val="11"/>
        <rFont val="Calibri"/>
        <family val="2"/>
        <scheme val="minor"/>
      </rPr>
      <t>SO41,param</t>
    </r>
  </si>
  <si>
    <t>Dissociation constant of sulfuric acid</t>
  </si>
  <si>
    <t>Hvitved-Jacobsen 2013</t>
  </si>
  <si>
    <r>
      <t>K</t>
    </r>
    <r>
      <rPr>
        <vertAlign val="subscript"/>
        <sz val="11"/>
        <rFont val="Calibri"/>
        <family val="2"/>
        <scheme val="minor"/>
      </rPr>
      <t>SO42,param</t>
    </r>
  </si>
  <si>
    <t>Dissociation constant of bisulfate</t>
  </si>
  <si>
    <t>NIST (Minteq V4) 25°C</t>
  </si>
  <si>
    <r>
      <t>K</t>
    </r>
    <r>
      <rPr>
        <vertAlign val="subscript"/>
        <sz val="11"/>
        <rFont val="Calibri"/>
        <family val="2"/>
        <charset val="238"/>
        <scheme val="minor"/>
      </rPr>
      <t>H2S,param</t>
    </r>
  </si>
  <si>
    <t>Precipitation constants</t>
  </si>
  <si>
    <r>
      <t>K</t>
    </r>
    <r>
      <rPr>
        <vertAlign val="subscript"/>
        <sz val="11"/>
        <rFont val="Calibri"/>
        <family val="2"/>
        <scheme val="minor"/>
      </rPr>
      <t>sp,CaCO3,param</t>
    </r>
  </si>
  <si>
    <t>Solubility  constant of CaCO3</t>
  </si>
  <si>
    <r>
      <t>K</t>
    </r>
    <r>
      <rPr>
        <vertAlign val="subscript"/>
        <sz val="11"/>
        <rFont val="Calibri"/>
        <family val="2"/>
        <scheme val="minor"/>
      </rPr>
      <t>sp,STR,param</t>
    </r>
  </si>
  <si>
    <t>Solubility  constant of struvite</t>
  </si>
  <si>
    <r>
      <t>K</t>
    </r>
    <r>
      <rPr>
        <vertAlign val="subscript"/>
        <sz val="11"/>
        <rFont val="Calibri"/>
        <family val="2"/>
        <scheme val="minor"/>
      </rPr>
      <t>sp,ACP,param</t>
    </r>
  </si>
  <si>
    <t>Solubility constant of ACP</t>
  </si>
  <si>
    <t>Musvoto et al. (2000) =10^(-25.46)</t>
  </si>
  <si>
    <r>
      <t>K</t>
    </r>
    <r>
      <rPr>
        <vertAlign val="subscript"/>
        <sz val="11"/>
        <rFont val="Calibri"/>
        <family val="2"/>
        <scheme val="minor"/>
      </rPr>
      <t>sp,Vivi,param</t>
    </r>
  </si>
  <si>
    <t>Solubility constant of vivianite</t>
  </si>
  <si>
    <t>Nriagu (1972); Al-Borno and Tomson (1994): 35.755 at 25°C DeltaH°: 5.05 kJ.mol-1 (small temperature dependency)</t>
  </si>
  <si>
    <r>
      <t>K</t>
    </r>
    <r>
      <rPr>
        <vertAlign val="subscript"/>
        <sz val="11"/>
        <rFont val="Calibri"/>
        <family val="2"/>
        <scheme val="minor"/>
      </rPr>
      <t>sp,FeS,param</t>
    </r>
  </si>
  <si>
    <t>Solubility constant of FeS</t>
  </si>
  <si>
    <r>
      <t>K</t>
    </r>
    <r>
      <rPr>
        <vertAlign val="subscript"/>
        <sz val="11"/>
        <rFont val="Calibri"/>
        <family val="2"/>
        <scheme val="minor"/>
      </rPr>
      <t>sp,HDP,param</t>
    </r>
  </si>
  <si>
    <t>Solubility constant of HDP</t>
  </si>
  <si>
    <r>
      <t>K</t>
    </r>
    <r>
      <rPr>
        <vertAlign val="subscript"/>
        <sz val="11"/>
        <rFont val="Calibri"/>
        <family val="2"/>
        <scheme val="minor"/>
      </rPr>
      <t>sp,MKP,param</t>
    </r>
  </si>
  <si>
    <t>Solubility constant of MKP</t>
  </si>
  <si>
    <r>
      <t>g COD.g N</t>
    </r>
    <r>
      <rPr>
        <vertAlign val="superscript"/>
        <sz val="11"/>
        <rFont val="Calibri"/>
        <family val="2"/>
      </rPr>
      <t>-1</t>
    </r>
  </si>
  <si>
    <r>
      <t>EEQ</t>
    </r>
    <r>
      <rPr>
        <vertAlign val="subscript"/>
        <sz val="11"/>
        <rFont val="Calibri"/>
        <family val="2"/>
        <scheme val="minor"/>
      </rPr>
      <t>Fe2</t>
    </r>
  </si>
  <si>
    <r>
      <t>Electron equivalence of Fe</t>
    </r>
    <r>
      <rPr>
        <vertAlign val="superscript"/>
        <sz val="11"/>
        <rFont val="Calibri"/>
        <family val="2"/>
        <scheme val="minor"/>
      </rPr>
      <t>2+</t>
    </r>
  </si>
  <si>
    <r>
      <t>g COD.g Fe</t>
    </r>
    <r>
      <rPr>
        <vertAlign val="superscript"/>
        <sz val="11"/>
        <rFont val="Calibri"/>
        <family val="2"/>
      </rPr>
      <t>-1</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</si>
  <si>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</si>
  <si>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</si>
  <si>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r>
      <t>g COD.g S</t>
    </r>
    <r>
      <rPr>
        <vertAlign val="superscript"/>
        <sz val="11"/>
        <rFont val="Calibri"/>
        <family val="2"/>
      </rPr>
      <t>-1</t>
    </r>
  </si>
  <si>
    <t>base is sulphate</t>
  </si>
  <si>
    <r>
      <t>g COD.g S</t>
    </r>
    <r>
      <rPr>
        <vertAlign val="superscript"/>
        <sz val="11"/>
        <rFont val="Calibri"/>
        <family val="2"/>
        <scheme val="minor"/>
      </rPr>
      <t>-1</t>
    </r>
  </si>
  <si>
    <t>pH = 4.1929</t>
  </si>
  <si>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</si>
  <si>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</si>
  <si>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</si>
  <si>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</si>
  <si>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</si>
  <si>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</si>
  <si>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</si>
  <si>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</si>
  <si>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</si>
  <si>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</si>
  <si>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</si>
  <si>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</si>
  <si>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</si>
  <si>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</si>
  <si>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</si>
  <si>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</si>
  <si>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</si>
  <si>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</si>
  <si>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</si>
  <si>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</si>
  <si>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</si>
  <si>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</si>
  <si>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</si>
  <si>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</si>
  <si>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</si>
  <si>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</si>
  <si>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</si>
  <si>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</si>
  <si>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</si>
  <si>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</si>
  <si>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</si>
  <si>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</si>
  <si>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</si>
  <si>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</si>
  <si>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t>Conversion coefficient between pascal and Hgmm</t>
  </si>
  <si>
    <r>
      <t>Pa.Hgmm</t>
    </r>
    <r>
      <rPr>
        <vertAlign val="superscript"/>
        <sz val="11"/>
        <rFont val="Calibri"/>
        <family val="2"/>
        <scheme val="minor"/>
      </rPr>
      <t>-1</t>
    </r>
  </si>
  <si>
    <t>Conversion coefficient between pascal and bar</t>
  </si>
  <si>
    <r>
      <t>Pa.bar</t>
    </r>
    <r>
      <rPr>
        <vertAlign val="superscript"/>
        <sz val="11"/>
        <rFont val="Calibri"/>
        <family val="2"/>
        <scheme val="minor"/>
      </rPr>
      <t>-1</t>
    </r>
  </si>
  <si>
    <r>
      <t>c</t>
    </r>
    <r>
      <rPr>
        <vertAlign val="subscript"/>
        <sz val="11"/>
        <rFont val="Calibri"/>
        <family val="2"/>
        <scheme val="minor"/>
      </rPr>
      <t>cm,m</t>
    </r>
  </si>
  <si>
    <t>Conversion coefficient between centimeters and meters</t>
  </si>
  <si>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</si>
  <si>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</si>
  <si>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</si>
  <si>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</si>
  <si>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</si>
  <si>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</si>
  <si>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</si>
  <si>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</si>
  <si>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</si>
  <si>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</si>
  <si>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</si>
  <si>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</si>
  <si>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</si>
  <si>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</si>
  <si>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</si>
  <si>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</si>
  <si>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</si>
  <si>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</si>
  <si>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</si>
  <si>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</si>
  <si>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</si>
  <si>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</si>
  <si>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</si>
  <si>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t>Standard enthalpy of Magnesium ion</t>
  </si>
  <si>
    <r>
      <t>H</t>
    </r>
    <r>
      <rPr>
        <vertAlign val="subscript"/>
        <sz val="11"/>
        <rFont val="Calibri"/>
        <family val="2"/>
        <scheme val="minor"/>
      </rPr>
      <t>Nap</t>
    </r>
  </si>
  <si>
    <t>Standard enthalpy of sodium ion</t>
  </si>
  <si>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</si>
  <si>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</si>
  <si>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</si>
  <si>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</si>
  <si>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</si>
  <si>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</si>
  <si>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</si>
  <si>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</si>
  <si>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</si>
  <si>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</si>
  <si>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</si>
  <si>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</si>
  <si>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</si>
  <si>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</si>
  <si>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</si>
  <si>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</si>
  <si>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</si>
  <si>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</si>
  <si>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</si>
  <si>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</si>
  <si>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</si>
  <si>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</si>
  <si>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</si>
  <si>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</si>
  <si>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</si>
  <si>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</si>
  <si>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</si>
  <si>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</si>
  <si>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</si>
  <si>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</si>
  <si>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</si>
  <si>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</si>
  <si>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</si>
  <si>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</si>
  <si>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</si>
  <si>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</si>
  <si>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</si>
  <si>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</si>
  <si>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</si>
  <si>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</si>
  <si>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</si>
  <si>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</si>
  <si>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</si>
  <si>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</si>
  <si>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</si>
  <si>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</si>
  <si>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</si>
  <si>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</si>
  <si>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</si>
  <si>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</si>
  <si>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</si>
  <si>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</si>
  <si>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</si>
  <si>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</si>
  <si>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</si>
  <si>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</si>
  <si>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</si>
  <si>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</si>
  <si>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</si>
  <si>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</si>
  <si>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</si>
  <si>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</si>
  <si>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</si>
  <si>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</si>
  <si>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</si>
  <si>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</si>
  <si>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</si>
  <si>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coefficients for liquid phase state variables</t>
  </si>
  <si>
    <r>
      <t>D</t>
    </r>
    <r>
      <rPr>
        <vertAlign val="subscript"/>
        <sz val="11"/>
        <rFont val="Calibri"/>
        <family val="2"/>
        <charset val="238"/>
        <scheme val="minor"/>
      </rPr>
      <t>SVFA</t>
    </r>
  </si>
  <si>
    <t>Diffusion coefficient of volatile fatty acids</t>
  </si>
  <si>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</si>
  <si>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t>to be set accurately</t>
  </si>
  <si>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</si>
  <si>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</si>
  <si>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</si>
  <si>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t>Diffusion coefficient of soluble degradable organics</t>
  </si>
  <si>
    <r>
      <t>D</t>
    </r>
    <r>
      <rPr>
        <vertAlign val="subscript"/>
        <sz val="11"/>
        <rFont val="Calibri"/>
        <family val="2"/>
        <charset val="238"/>
        <scheme val="minor"/>
      </rPr>
      <t>SB,mono</t>
    </r>
  </si>
  <si>
    <t>Diffusion coefficient of soluble degradable organics (monomers)</t>
  </si>
  <si>
    <r>
      <t>D</t>
    </r>
    <r>
      <rPr>
        <vertAlign val="subscript"/>
        <sz val="11"/>
        <rFont val="Calibri"/>
        <family val="2"/>
        <charset val="238"/>
        <scheme val="minor"/>
      </rPr>
      <t>SB,poly</t>
    </r>
  </si>
  <si>
    <t>Diffusion coefficient of soluble degradable organics (polymers)</t>
  </si>
  <si>
    <r>
      <t>D</t>
    </r>
    <r>
      <rPr>
        <vertAlign val="subscript"/>
        <sz val="11"/>
        <rFont val="Calibri"/>
        <family val="2"/>
        <charset val="238"/>
        <scheme val="minor"/>
      </rPr>
      <t>SS</t>
    </r>
  </si>
  <si>
    <r>
      <t>D</t>
    </r>
    <r>
      <rPr>
        <vertAlign val="subscript"/>
        <sz val="11"/>
        <rFont val="Calibri"/>
        <family val="2"/>
        <charset val="238"/>
        <scheme val="minor"/>
      </rPr>
      <t>SF</t>
    </r>
  </si>
  <si>
    <t>Diffusion coefficient of fermentable organic matter</t>
  </si>
  <si>
    <r>
      <t>D</t>
    </r>
    <r>
      <rPr>
        <vertAlign val="subscript"/>
        <sz val="11"/>
        <rFont val="Calibri"/>
        <family val="2"/>
        <charset val="238"/>
        <scheme val="minor"/>
      </rPr>
      <t>SBSC</t>
    </r>
  </si>
  <si>
    <r>
      <t>D</t>
    </r>
    <r>
      <rPr>
        <vertAlign val="subscript"/>
        <sz val="11"/>
        <rFont val="Calibri"/>
        <family val="2"/>
        <charset val="238"/>
        <scheme val="minor"/>
      </rPr>
      <t>SMEOL</t>
    </r>
  </si>
  <si>
    <t>Diffusion coefficient of methanol</t>
  </si>
  <si>
    <r>
      <t>D</t>
    </r>
    <r>
      <rPr>
        <vertAlign val="subscript"/>
        <sz val="11"/>
        <rFont val="Calibri"/>
        <family val="2"/>
        <charset val="238"/>
        <scheme val="minor"/>
      </rPr>
      <t>SU</t>
    </r>
  </si>
  <si>
    <t>Diffusion coefficient of soluble undegradable organics</t>
  </si>
  <si>
    <r>
      <t>D</t>
    </r>
    <r>
      <rPr>
        <vertAlign val="subscript"/>
        <sz val="11"/>
        <rFont val="Calibri"/>
        <family val="2"/>
        <charset val="238"/>
        <scheme val="minor"/>
      </rPr>
      <t>SI</t>
    </r>
  </si>
  <si>
    <r>
      <t>D</t>
    </r>
    <r>
      <rPr>
        <vertAlign val="subscript"/>
        <sz val="11"/>
        <rFont val="Calibri"/>
        <family val="2"/>
        <charset val="238"/>
        <scheme val="minor"/>
      </rPr>
      <t>CB</t>
    </r>
  </si>
  <si>
    <t>Diffusion coefficient of colloidal biodegradable substrate</t>
  </si>
  <si>
    <r>
      <t>D</t>
    </r>
    <r>
      <rPr>
        <vertAlign val="subscript"/>
        <sz val="11"/>
        <rFont val="Calibri"/>
        <family val="2"/>
        <charset val="238"/>
        <scheme val="minor"/>
      </rPr>
      <t>CU</t>
    </r>
  </si>
  <si>
    <t>Diffusion coefficient of colloidal unbiodegradable organics</t>
  </si>
  <si>
    <r>
      <t>D</t>
    </r>
    <r>
      <rPr>
        <vertAlign val="subscript"/>
        <sz val="11"/>
        <rFont val="Calibri"/>
        <family val="2"/>
        <charset val="238"/>
        <scheme val="minor"/>
      </rPr>
      <t>SNHx</t>
    </r>
  </si>
  <si>
    <t>Diffusion coefficient of total ammonia</t>
  </si>
  <si>
    <t>Diffusivities from Perry, Handbook of Chemical Engineers, Table 2-372, for 25°C, as acetate</t>
  </si>
  <si>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</si>
  <si>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</si>
  <si>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</si>
  <si>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t>Diffusion coefficient of ammonia</t>
  </si>
  <si>
    <t>Diffusitives from Perry, Handbook of Chemical Engineers, Table 2-372, for 25°C, as acetate</t>
  </si>
  <si>
    <r>
      <t>D</t>
    </r>
    <r>
      <rPr>
        <vertAlign val="subscript"/>
        <sz val="11"/>
        <rFont val="Calibri"/>
        <family val="2"/>
        <charset val="238"/>
        <scheme val="minor"/>
      </rPr>
      <t>NO3</t>
    </r>
  </si>
  <si>
    <t>Diffusion coefficient of nitrate and nitrite</t>
  </si>
  <si>
    <r>
      <t>D</t>
    </r>
    <r>
      <rPr>
        <vertAlign val="subscript"/>
        <sz val="11"/>
        <rFont val="Calibri"/>
        <family val="2"/>
        <charset val="238"/>
        <scheme val="minor"/>
      </rPr>
      <t>PO4</t>
    </r>
  </si>
  <si>
    <t>Diffusion coefficient of orthophosphate</t>
  </si>
  <si>
    <r>
      <t>D</t>
    </r>
    <r>
      <rPr>
        <vertAlign val="subscript"/>
        <sz val="11"/>
        <rFont val="Calibri"/>
        <family val="2"/>
        <charset val="238"/>
        <scheme val="minor"/>
      </rPr>
      <t>SN2</t>
    </r>
  </si>
  <si>
    <t>Diffusion coefficient of dissolved nitrogen gas</t>
  </si>
  <si>
    <t>Diffusitives from Perry, Handbook of Chemical Engineers, Table 2-372, for 25°C</t>
  </si>
  <si>
    <r>
      <t>D</t>
    </r>
    <r>
      <rPr>
        <vertAlign val="subscript"/>
        <sz val="11"/>
        <rFont val="Calibri"/>
        <family val="2"/>
        <charset val="238"/>
        <scheme val="minor"/>
      </rPr>
      <t>NUS</t>
    </r>
  </si>
  <si>
    <t>Diffusion coefficient of soluble inert organic nitrogen</t>
  </si>
  <si>
    <t>Assumed the same as SS</t>
  </si>
  <si>
    <r>
      <t>D</t>
    </r>
    <r>
      <rPr>
        <vertAlign val="subscript"/>
        <sz val="11"/>
        <rFont val="Calibri"/>
        <family val="2"/>
        <charset val="238"/>
        <scheme val="minor"/>
      </rPr>
      <t>NBS</t>
    </r>
  </si>
  <si>
    <t>Diffusion coefficient of soluble biodegradable organic nitrogen</t>
  </si>
  <si>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</si>
  <si>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</si>
  <si>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SNOX</t>
    </r>
  </si>
  <si>
    <r>
      <t>D</t>
    </r>
    <r>
      <rPr>
        <vertAlign val="subscript"/>
        <sz val="11"/>
        <rFont val="Calibri"/>
        <family val="2"/>
        <charset val="238"/>
        <scheme val="minor"/>
      </rPr>
      <t>SNO2</t>
    </r>
  </si>
  <si>
    <t>Diffusion coefficient of nitrite</t>
  </si>
  <si>
    <r>
      <t>D</t>
    </r>
    <r>
      <rPr>
        <vertAlign val="subscript"/>
        <sz val="11"/>
        <rFont val="Calibri"/>
        <family val="2"/>
        <charset val="238"/>
        <scheme val="minor"/>
      </rPr>
      <t>SNO3</t>
    </r>
  </si>
  <si>
    <t>Diffusion coefficient of nitrate</t>
  </si>
  <si>
    <r>
      <t>D</t>
    </r>
    <r>
      <rPr>
        <vertAlign val="subscript"/>
        <sz val="11"/>
        <rFont val="Calibri"/>
        <family val="2"/>
        <charset val="238"/>
        <scheme val="minor"/>
      </rPr>
      <t>SN,B</t>
    </r>
  </si>
  <si>
    <t>Diffusion coefficient of soluble biodegradable organic N</t>
  </si>
  <si>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</si>
  <si>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</si>
  <si>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</si>
  <si>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</si>
  <si>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t>Diffusion coefficient of soluble biodegradable organic P</t>
  </si>
  <si>
    <r>
      <t>D</t>
    </r>
    <r>
      <rPr>
        <vertAlign val="subscript"/>
        <sz val="11"/>
        <rFont val="Calibri"/>
        <family val="2"/>
        <charset val="238"/>
        <scheme val="minor"/>
      </rPr>
      <t>SO2</t>
    </r>
  </si>
  <si>
    <t>Diffusion coefficient of dissolved oxygen</t>
  </si>
  <si>
    <t>Diffusivities from Perry, Handbook of Chemical Engineers, Table 2-372, for 25°C</t>
  </si>
  <si>
    <r>
      <t>D</t>
    </r>
    <r>
      <rPr>
        <vertAlign val="subscript"/>
        <sz val="11"/>
        <rFont val="Calibri"/>
        <family val="2"/>
        <charset val="238"/>
        <scheme val="minor"/>
      </rPr>
      <t>SCH4</t>
    </r>
  </si>
  <si>
    <t>Diffusion coefficient of dissolved methane</t>
  </si>
  <si>
    <r>
      <t>D</t>
    </r>
    <r>
      <rPr>
        <vertAlign val="subscript"/>
        <sz val="11"/>
        <rFont val="Calibri"/>
        <family val="2"/>
        <charset val="238"/>
        <scheme val="minor"/>
      </rPr>
      <t>SH2</t>
    </r>
  </si>
  <si>
    <t>Diffusion coefficient of dissolved hydrogen</t>
  </si>
  <si>
    <r>
      <t>D</t>
    </r>
    <r>
      <rPr>
        <vertAlign val="subscript"/>
        <sz val="11"/>
        <rFont val="Calibri"/>
        <family val="2"/>
        <charset val="238"/>
        <scheme val="minor"/>
      </rPr>
      <t>SCO2</t>
    </r>
  </si>
  <si>
    <t>Diffusion coefficient of dissolved carbon dioxide</t>
  </si>
  <si>
    <r>
      <t>D</t>
    </r>
    <r>
      <rPr>
        <vertAlign val="subscript"/>
        <sz val="11"/>
        <rFont val="Calibri"/>
        <family val="2"/>
        <charset val="238"/>
        <scheme val="minor"/>
      </rPr>
      <t>SK</t>
    </r>
  </si>
  <si>
    <t>Diffusion coefficient of dissolved potassium</t>
  </si>
  <si>
    <r>
      <t>D</t>
    </r>
    <r>
      <rPr>
        <vertAlign val="subscript"/>
        <sz val="11"/>
        <rFont val="Calibri"/>
        <family val="2"/>
        <charset val="238"/>
        <scheme val="minor"/>
      </rPr>
      <t>SCa</t>
    </r>
  </si>
  <si>
    <t>Diffusion coefficient of dissolved calcium</t>
  </si>
  <si>
    <r>
      <t>D</t>
    </r>
    <r>
      <rPr>
        <vertAlign val="subscript"/>
        <sz val="11"/>
        <rFont val="Calibri"/>
        <family val="2"/>
        <charset val="238"/>
        <scheme val="minor"/>
      </rPr>
      <t>SMg</t>
    </r>
  </si>
  <si>
    <t>Diffusion coefficient of dissolved magnesium</t>
  </si>
  <si>
    <r>
      <t>D</t>
    </r>
    <r>
      <rPr>
        <vertAlign val="subscript"/>
        <sz val="11"/>
        <rFont val="Calibri"/>
        <family val="2"/>
        <charset val="238"/>
        <scheme val="minor"/>
      </rPr>
      <t>SCAT</t>
    </r>
  </si>
  <si>
    <t>Diffusion coefficient of dissolved strong cations</t>
  </si>
  <si>
    <r>
      <t>D</t>
    </r>
    <r>
      <rPr>
        <vertAlign val="subscript"/>
        <sz val="11"/>
        <rFont val="Calibri"/>
        <family val="2"/>
        <charset val="238"/>
        <scheme val="minor"/>
      </rPr>
      <t>SAN</t>
    </r>
  </si>
  <si>
    <t>Diffusion coefficient of dissolved strong anions</t>
  </si>
  <si>
    <r>
      <t>D</t>
    </r>
    <r>
      <rPr>
        <vertAlign val="subscript"/>
        <sz val="11"/>
        <rFont val="Calibri"/>
        <family val="2"/>
        <charset val="238"/>
        <scheme val="minor"/>
      </rPr>
      <t>SH2S</t>
    </r>
  </si>
  <si>
    <t>Diffusion coefficient of hydrogen sulfide</t>
  </si>
  <si>
    <r>
      <t>D</t>
    </r>
    <r>
      <rPr>
        <vertAlign val="subscript"/>
        <sz val="11"/>
        <rFont val="Calibri"/>
        <family val="2"/>
        <charset val="238"/>
        <scheme val="minor"/>
      </rPr>
      <t>SSO4</t>
    </r>
  </si>
  <si>
    <t>Diffusion coefficient of sulphate</t>
  </si>
  <si>
    <r>
      <t>D</t>
    </r>
    <r>
      <rPr>
        <vertAlign val="subscript"/>
        <sz val="11"/>
        <rFont val="Calibri"/>
        <family val="2"/>
        <charset val="238"/>
        <scheme val="minor"/>
      </rPr>
      <t>SFe2</t>
    </r>
  </si>
  <si>
    <t>Diffusion coefficient of dissolved ferrous ion</t>
  </si>
  <si>
    <r>
      <t>D</t>
    </r>
    <r>
      <rPr>
        <vertAlign val="subscript"/>
        <sz val="11"/>
        <rFont val="Calibri"/>
        <family val="2"/>
        <charset val="238"/>
        <scheme val="minor"/>
      </rPr>
      <t>SALK</t>
    </r>
  </si>
  <si>
    <t>Diffusion coefficient of alkalinity</t>
  </si>
  <si>
    <r>
      <t>D</t>
    </r>
    <r>
      <rPr>
        <vertAlign val="subscript"/>
        <sz val="11"/>
        <rFont val="Calibri"/>
        <family val="2"/>
        <charset val="238"/>
        <scheme val="minor"/>
      </rPr>
      <t>SMM,index</t>
    </r>
  </si>
  <si>
    <t>Diffusion coefficient of Methyl Mercaptan production index</t>
  </si>
  <si>
    <r>
      <t>K</t>
    </r>
    <r>
      <rPr>
        <vertAlign val="subscript"/>
        <sz val="11"/>
        <rFont val="Calibri"/>
        <family val="2"/>
        <scheme val="minor"/>
      </rPr>
      <t>O,AUT</t>
    </r>
  </si>
  <si>
    <r>
      <t>K</t>
    </r>
    <r>
      <rPr>
        <vertAlign val="subscript"/>
        <sz val="11"/>
        <rFont val="Calibri"/>
        <family val="2"/>
        <scheme val="minor"/>
      </rPr>
      <t>NH</t>
    </r>
  </si>
  <si>
    <r>
      <t>K</t>
    </r>
    <r>
      <rPr>
        <vertAlign val="subscript"/>
        <sz val="11"/>
        <rFont val="Calibri"/>
        <family val="2"/>
        <scheme val="minor"/>
      </rPr>
      <t>LP,GRO</t>
    </r>
  </si>
  <si>
    <t>Barker P.S. and Dold, P.L. (1997). General model for biological nutrient removal activated-sludge systems: model presentation, Wat. Env. Res., 69 (5), 969-984.</t>
  </si>
  <si>
    <t>www.dynamita.com</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</si>
  <si>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</si>
  <si>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</si>
  <si>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</si>
  <si>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</si>
  <si>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</si>
  <si>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</si>
  <si>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</si>
  <si>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</si>
  <si>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</si>
  <si>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</si>
  <si>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</si>
  <si>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</si>
  <si>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</si>
  <si>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</si>
  <si>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</si>
  <si>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</si>
  <si>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</si>
  <si>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SV group</t>
  </si>
  <si>
    <t>O2</t>
  </si>
  <si>
    <t>TSS</t>
  </si>
  <si>
    <t>Biomass</t>
  </si>
  <si>
    <t>Saturation term for PHA storage (PAO)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</si>
</sst>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77"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color indexed="81"/>
      <name val="Tahoma"/>
      <family val="2"/>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sz val="11"/>
      <color indexed="9"/>
      <name val="Calibri"/>
      <family val="2"/>
      <charset val="238"/>
    </font>
    <font>
      <sz val="11"/>
      <color indexed="62"/>
      <name val="Calibri"/>
      <family val="2"/>
      <charset val="238"/>
    </font>
    <font>
      <b/>
      <sz val="18"/>
      <color indexed="56"/>
      <name val="Cambria"/>
      <family val="2"/>
      <charset val="238"/>
    </font>
    <font>
      <b/>
      <sz val="15"/>
      <color indexed="56"/>
      <name val="Calibri"/>
      <family val="2"/>
      <charset val="238"/>
    </font>
    <font>
      <b/>
      <sz val="13"/>
      <color indexed="56"/>
      <name val="Calibri"/>
      <family val="2"/>
      <charset val="238"/>
    </font>
    <font>
      <b/>
      <sz val="11"/>
      <color indexed="56"/>
      <name val="Calibri"/>
      <family val="2"/>
      <charset val="238"/>
    </font>
    <font>
      <b/>
      <sz val="11"/>
      <color indexed="9"/>
      <name val="Calibri"/>
      <family val="2"/>
      <charset val="238"/>
    </font>
    <font>
      <sz val="11"/>
      <color indexed="10"/>
      <name val="Calibri"/>
      <family val="2"/>
      <charset val="238"/>
    </font>
    <font>
      <sz val="11"/>
      <color indexed="52"/>
      <name val="Calibri"/>
      <family val="2"/>
      <charset val="238"/>
    </font>
    <font>
      <sz val="10"/>
      <name val="Arial"/>
      <family val="2"/>
      <charset val="238"/>
    </font>
    <font>
      <sz val="11"/>
      <color indexed="17"/>
      <name val="Calibri"/>
      <family val="2"/>
      <charset val="238"/>
    </font>
    <font>
      <b/>
      <sz val="11"/>
      <color indexed="63"/>
      <name val="Calibri"/>
      <family val="2"/>
      <charset val="238"/>
    </font>
    <font>
      <i/>
      <sz val="11"/>
      <color indexed="23"/>
      <name val="Calibri"/>
      <family val="2"/>
      <charset val="238"/>
    </font>
    <font>
      <sz val="11"/>
      <color indexed="20"/>
      <name val="Calibri"/>
      <family val="2"/>
      <charset val="238"/>
    </font>
    <font>
      <sz val="11"/>
      <color indexed="60"/>
      <name val="Calibri"/>
      <family val="2"/>
      <charset val="238"/>
    </font>
    <font>
      <b/>
      <sz val="11"/>
      <color indexed="52"/>
      <name val="Calibri"/>
      <family val="2"/>
      <charset val="238"/>
    </font>
    <font>
      <vertAlign val="subscript"/>
      <sz val="12"/>
      <name val="Arial"/>
      <family val="2"/>
    </font>
    <font>
      <i/>
      <sz val="12"/>
      <name val="Arial"/>
      <family val="2"/>
    </font>
    <font>
      <sz val="12"/>
      <name val="Arial"/>
      <family val="2"/>
    </font>
    <font>
      <b/>
      <sz val="11"/>
      <name val="Calibri"/>
      <family val="2"/>
      <charset val="238"/>
    </font>
    <font>
      <b/>
      <i/>
      <sz val="12"/>
      <name val="Arial"/>
      <family val="2"/>
    </font>
    <font>
      <b/>
      <vertAlign val="subscript"/>
      <sz val="12"/>
      <name val="Arial"/>
      <family val="2"/>
    </font>
    <font>
      <b/>
      <i/>
      <sz val="11"/>
      <name val="Calibri"/>
      <family val="2"/>
      <charset val="238"/>
    </font>
    <font>
      <b/>
      <sz val="10"/>
      <name val="Arial"/>
      <family val="2"/>
    </font>
    <font>
      <b/>
      <vertAlign val="subscript"/>
      <sz val="10"/>
      <name val="Arial"/>
      <family val="2"/>
    </font>
    <font>
      <i/>
      <vertAlign val="subscript"/>
      <sz val="12"/>
      <name val="Arial"/>
      <family val="2"/>
    </font>
    <font>
      <vertAlign val="superscript"/>
      <sz val="11"/>
      <name val="Calibri"/>
      <family val="2"/>
    </font>
    <font>
      <b/>
      <sz val="11"/>
      <name val="Calibri"/>
      <family val="2"/>
      <scheme val="minor"/>
    </font>
    <font>
      <vertAlign val="subscript"/>
      <sz val="11"/>
      <name val="Calibri"/>
      <family val="2"/>
    </font>
    <font>
      <vertAlign val="subscript"/>
      <sz val="11"/>
      <name val="Calibri"/>
      <family val="2"/>
      <scheme val="minor"/>
    </font>
    <font>
      <b/>
      <sz val="11"/>
      <color indexed="8"/>
      <name val="Calibri"/>
      <family val="2"/>
      <scheme val="minor"/>
    </font>
    <font>
      <sz val="11"/>
      <color indexed="8"/>
      <name val="Calibri"/>
      <family val="2"/>
      <scheme val="minor"/>
    </font>
    <font>
      <vertAlign val="superscript"/>
      <sz val="11"/>
      <name val="Calibri"/>
      <family val="2"/>
      <scheme val="minor"/>
    </font>
    <font>
      <i/>
      <sz val="11"/>
      <name val="Calibri"/>
      <family val="2"/>
      <scheme val="minor"/>
    </font>
    <font>
      <i/>
      <vertAlign val="subscript"/>
      <sz val="11"/>
      <name val="Calibri"/>
      <family val="2"/>
      <scheme val="minor"/>
    </font>
    <font>
      <b/>
      <i/>
      <sz val="11"/>
      <name val="Calibri"/>
      <family val="2"/>
      <scheme val="minor"/>
    </font>
    <font>
      <vertAlign val="subscript"/>
      <sz val="11"/>
      <name val="Calibri"/>
      <family val="2"/>
      <charset val="238"/>
    </font>
    <font>
      <vertAlign val="subscript"/>
      <sz val="11"/>
      <name val="Calibri"/>
      <family val="2"/>
      <charset val="238"/>
      <scheme val="minor"/>
    </font>
    <font>
      <vertAlign val="subscript"/>
      <sz val="11"/>
      <color indexed="8"/>
      <name val="Calibri"/>
      <family val="2"/>
    </font>
    <font>
      <vertAlign val="superscript"/>
      <sz val="11"/>
      <color rgb="FF000000"/>
      <name val="Calibri"/>
      <family val="2"/>
      <scheme val="minor"/>
    </font>
    <font>
      <sz val="11"/>
      <color rgb="FF000000"/>
      <name val="Calibri"/>
      <family val="2"/>
      <charset val="238"/>
      <scheme val="minor"/>
    </font>
    <font>
      <vertAlign val="subscript"/>
      <sz val="11"/>
      <color rgb="FF000000"/>
      <name val="Calibri"/>
      <family val="2"/>
      <scheme val="minor"/>
    </font>
    <font>
      <b/>
      <sz val="11"/>
      <color indexed="9"/>
      <name val="Calibri"/>
      <family val="2"/>
      <scheme val="minor"/>
    </font>
    <font>
      <vertAlign val="superscript"/>
      <sz val="11"/>
      <name val="Calibri"/>
      <family val="2"/>
      <charset val="238"/>
      <scheme val="minor"/>
    </font>
    <font>
      <sz val="11"/>
      <color rgb="FF0082C8"/>
      <name val="Calibri"/>
      <family val="2"/>
      <scheme val="minor"/>
    </font>
    <font>
      <u/>
      <sz val="11"/>
      <color theme="10"/>
      <name val="Calibri"/>
      <family val="2"/>
    </font>
  </fonts>
  <fills count="37">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43"/>
      </patternFill>
    </fill>
    <fill>
      <patternFill patternType="solid">
        <fgColor rgb="FFFFFFFF"/>
        <bgColor indexed="64"/>
      </patternFill>
    </fill>
    <fill>
      <patternFill patternType="solid">
        <fgColor indexed="11"/>
        <bgColor indexed="64"/>
      </patternFill>
    </fill>
    <fill>
      <patternFill patternType="solid">
        <fgColor indexed="13"/>
        <bgColor indexed="64"/>
      </patternFill>
    </fill>
    <fill>
      <patternFill patternType="solid">
        <fgColor theme="9" tint="0.79995117038483843"/>
        <bgColor indexed="64"/>
      </patternFill>
    </fill>
    <fill>
      <patternFill patternType="solid">
        <fgColor rgb="FFFFFF00"/>
        <bgColor indexed="64"/>
      </patternFill>
    </fill>
    <fill>
      <patternFill patternType="solid">
        <fgColor theme="8" tint="0.39997558519241921"/>
        <bgColor indexed="64"/>
      </patternFill>
    </fill>
    <fill>
      <patternFill patternType="solid">
        <fgColor rgb="FFC00000"/>
        <bgColor indexed="64"/>
      </patternFill>
    </fill>
    <fill>
      <patternFill patternType="solid">
        <fgColor rgb="FF2B8DD5"/>
        <bgColor indexed="64"/>
      </patternFill>
    </fill>
  </fills>
  <borders count="101">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ck">
        <color indexed="64"/>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s>
  <cellStyleXfs count="65">
    <xf numFmtId="0" fontId="0" fillId="0" borderId="0"/>
    <xf numFmtId="0" fontId="8" fillId="0" borderId="0"/>
    <xf numFmtId="0" fontId="24" fillId="0" borderId="0"/>
    <xf numFmtId="0" fontId="26" fillId="0" borderId="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6" borderId="0" applyNumberFormat="0" applyBorder="0" applyAlignment="0" applyProtection="0"/>
    <xf numFmtId="0" fontId="31" fillId="17" borderId="0" applyNumberFormat="0" applyBorder="0" applyAlignment="0" applyProtection="0"/>
    <xf numFmtId="0" fontId="31" fillId="14" borderId="0" applyNumberFormat="0" applyBorder="0" applyAlignment="0" applyProtection="0"/>
    <xf numFmtId="0" fontId="31" fillId="15"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0" borderId="0" applyNumberFormat="0" applyBorder="0" applyAlignment="0" applyProtection="0"/>
    <xf numFmtId="0" fontId="32" fillId="12" borderId="36" applyNumberFormat="0" applyAlignment="0" applyProtection="0"/>
    <xf numFmtId="0" fontId="33" fillId="0" borderId="0" applyNumberFormat="0" applyFill="0" applyBorder="0" applyAlignment="0" applyProtection="0"/>
    <xf numFmtId="0" fontId="34" fillId="0" borderId="38" applyNumberFormat="0" applyFill="0" applyAlignment="0" applyProtection="0"/>
    <xf numFmtId="0" fontId="35" fillId="0" borderId="39" applyNumberFormat="0" applyFill="0" applyAlignment="0" applyProtection="0"/>
    <xf numFmtId="0" fontId="36" fillId="0" borderId="40" applyNumberFormat="0" applyFill="0" applyAlignment="0" applyProtection="0"/>
    <xf numFmtId="0" fontId="36" fillId="0" borderId="0" applyNumberFormat="0" applyFill="0" applyBorder="0" applyAlignment="0" applyProtection="0"/>
    <xf numFmtId="0" fontId="37" fillId="27" borderId="42" applyNumberFormat="0" applyAlignment="0" applyProtection="0"/>
    <xf numFmtId="0" fontId="38" fillId="0" borderId="0" applyNumberFormat="0" applyFill="0" applyBorder="0" applyAlignment="0" applyProtection="0"/>
    <xf numFmtId="0" fontId="39" fillId="0" borderId="37" applyNumberFormat="0" applyFill="0" applyAlignment="0" applyProtection="0"/>
    <xf numFmtId="0" fontId="40" fillId="26" borderId="41" applyNumberFormat="0" applyFont="0" applyAlignment="0" applyProtection="0"/>
    <xf numFmtId="0" fontId="3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4" borderId="0" applyNumberFormat="0" applyBorder="0" applyAlignment="0" applyProtection="0"/>
    <xf numFmtId="0" fontId="41" fillId="9" borderId="0" applyNumberFormat="0" applyBorder="0" applyAlignment="0" applyProtection="0"/>
    <xf numFmtId="0" fontId="42" fillId="25" borderId="43" applyNumberFormat="0" applyAlignment="0" applyProtection="0"/>
    <xf numFmtId="0" fontId="43" fillId="0" borderId="0" applyNumberFormat="0" applyFill="0" applyBorder="0" applyAlignment="0" applyProtection="0"/>
    <xf numFmtId="0" fontId="18" fillId="0" borderId="44" applyNumberFormat="0" applyFill="0" applyAlignment="0" applyProtection="0"/>
    <xf numFmtId="0" fontId="44" fillId="8" borderId="0" applyNumberFormat="0" applyBorder="0" applyAlignment="0" applyProtection="0"/>
    <xf numFmtId="0" fontId="45" fillId="28" borderId="0" applyNumberFormat="0" applyBorder="0" applyAlignment="0" applyProtection="0"/>
    <xf numFmtId="0" fontId="46" fillId="25" borderId="36" applyNumberFormat="0" applyAlignment="0" applyProtection="0"/>
    <xf numFmtId="0" fontId="26" fillId="0" borderId="0"/>
    <xf numFmtId="0" fontId="26" fillId="0" borderId="0"/>
    <xf numFmtId="0" fontId="7" fillId="0" borderId="0"/>
    <xf numFmtId="0" fontId="6" fillId="0" borderId="0"/>
    <xf numFmtId="0" fontId="6" fillId="0" borderId="0"/>
    <xf numFmtId="0" fontId="2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4" fillId="0" borderId="0"/>
    <xf numFmtId="0" fontId="4" fillId="0" borderId="0"/>
    <xf numFmtId="0" fontId="4" fillId="0" borderId="0"/>
    <xf numFmtId="0" fontId="2" fillId="0" borderId="0"/>
    <xf numFmtId="0" fontId="76" fillId="0" borderId="0" applyNumberFormat="0" applyFill="0" applyBorder="0" applyAlignment="0" applyProtection="0"/>
  </cellStyleXfs>
  <cellXfs count="446">
    <xf numFmtId="0" fontId="0" fillId="0" borderId="0" xfId="0"/>
    <xf numFmtId="0" fontId="10" fillId="0" borderId="0" xfId="0" applyFont="1"/>
    <xf numFmtId="0" fontId="10"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0" fillId="0" borderId="7" xfId="0" applyBorder="1"/>
    <xf numFmtId="0" fontId="18" fillId="0" borderId="0" xfId="0" applyFont="1"/>
    <xf numFmtId="0" fontId="0" fillId="0" borderId="0" xfId="0" applyAlignment="1">
      <alignment vertical="top"/>
    </xf>
    <xf numFmtId="0" fontId="0" fillId="2" borderId="0" xfId="0" applyFill="1"/>
    <xf numFmtId="0" fontId="15" fillId="3" borderId="17" xfId="0" applyFont="1" applyFill="1" applyBorder="1"/>
    <xf numFmtId="0" fontId="15" fillId="3" borderId="18" xfId="0" applyFont="1" applyFill="1" applyBorder="1"/>
    <xf numFmtId="0" fontId="15" fillId="3" borderId="19" xfId="0" applyFont="1" applyFill="1" applyBorder="1"/>
    <xf numFmtId="0" fontId="16" fillId="0" borderId="0" xfId="0" applyFont="1" applyAlignment="1">
      <alignment horizontal="left" vertical="center"/>
    </xf>
    <xf numFmtId="0" fontId="10" fillId="0" borderId="0" xfId="0" applyFont="1" applyAlignment="1">
      <alignment horizontal="center" vertical="center"/>
    </xf>
    <xf numFmtId="0" fontId="10" fillId="0" borderId="0" xfId="0" applyFont="1" applyAlignment="1">
      <alignment horizontal="center" vertical="center" wrapText="1"/>
    </xf>
    <xf numFmtId="0" fontId="16" fillId="0" borderId="29" xfId="0" applyFont="1" applyBorder="1" applyAlignment="1">
      <alignment horizontal="left" vertical="center"/>
    </xf>
    <xf numFmtId="0" fontId="16" fillId="0" borderId="4" xfId="0" applyFont="1" applyBorder="1" applyAlignment="1">
      <alignment horizontal="left" vertical="center"/>
    </xf>
    <xf numFmtId="0" fontId="16" fillId="0" borderId="18" xfId="0" applyFont="1" applyBorder="1" applyAlignment="1">
      <alignment horizontal="left" vertical="center"/>
    </xf>
    <xf numFmtId="0" fontId="16" fillId="0" borderId="28" xfId="0" applyFont="1" applyBorder="1" applyAlignment="1">
      <alignment horizontal="left" vertical="center"/>
    </xf>
    <xf numFmtId="0" fontId="16" fillId="0" borderId="27" xfId="0" applyFont="1" applyBorder="1" applyAlignment="1">
      <alignment horizontal="left" vertical="center"/>
    </xf>
    <xf numFmtId="0" fontId="16" fillId="0" borderId="0" xfId="1" applyFont="1"/>
    <xf numFmtId="0" fontId="8" fillId="0" borderId="0" xfId="1"/>
    <xf numFmtId="0" fontId="25" fillId="4" borderId="2" xfId="1" applyFont="1" applyFill="1" applyBorder="1"/>
    <xf numFmtId="0" fontId="16" fillId="4" borderId="13" xfId="1" applyFont="1" applyFill="1" applyBorder="1" applyAlignment="1">
      <alignment horizontal="center" vertical="center"/>
    </xf>
    <xf numFmtId="0" fontId="16" fillId="4" borderId="3" xfId="1" applyFont="1" applyFill="1" applyBorder="1" applyAlignment="1">
      <alignment horizontal="center" vertical="center"/>
    </xf>
    <xf numFmtId="0" fontId="16" fillId="4" borderId="2" xfId="1" applyFont="1" applyFill="1" applyBorder="1"/>
    <xf numFmtId="0" fontId="8" fillId="4" borderId="13" xfId="1" applyFill="1" applyBorder="1" applyAlignment="1">
      <alignment horizontal="center" vertical="center"/>
    </xf>
    <xf numFmtId="0" fontId="8" fillId="4" borderId="3" xfId="1" applyFill="1" applyBorder="1" applyAlignment="1">
      <alignment horizontal="center" vertical="center"/>
    </xf>
    <xf numFmtId="0" fontId="8" fillId="0" borderId="0" xfId="1" applyAlignment="1">
      <alignment horizontal="center" vertical="center"/>
    </xf>
    <xf numFmtId="0" fontId="16" fillId="4" borderId="30" xfId="1" applyFont="1" applyFill="1" applyBorder="1"/>
    <xf numFmtId="0" fontId="8" fillId="4" borderId="0" xfId="1" applyFill="1" applyAlignment="1">
      <alignment horizontal="center" vertical="center"/>
    </xf>
    <xf numFmtId="0" fontId="8" fillId="4" borderId="21" xfId="1" applyFill="1" applyBorder="1" applyAlignment="1">
      <alignment horizontal="center" vertical="center"/>
    </xf>
    <xf numFmtId="0" fontId="16" fillId="4" borderId="31" xfId="1" applyFont="1" applyFill="1" applyBorder="1"/>
    <xf numFmtId="0" fontId="8" fillId="4" borderId="23" xfId="1" applyFill="1" applyBorder="1" applyAlignment="1">
      <alignment horizontal="center" vertical="center"/>
    </xf>
    <xf numFmtId="0" fontId="8" fillId="4" borderId="24" xfId="1" applyFill="1" applyBorder="1" applyAlignment="1">
      <alignment horizontal="center" vertical="center"/>
    </xf>
    <xf numFmtId="0" fontId="8" fillId="4" borderId="4" xfId="1" applyFill="1" applyBorder="1" applyAlignment="1">
      <alignment horizontal="center" vertical="center"/>
    </xf>
    <xf numFmtId="0" fontId="8" fillId="4" borderId="31" xfId="1" applyFill="1" applyBorder="1" applyAlignment="1">
      <alignment horizontal="center" vertical="center"/>
    </xf>
    <xf numFmtId="0" fontId="16" fillId="4" borderId="4" xfId="1" applyFont="1" applyFill="1" applyBorder="1"/>
    <xf numFmtId="0" fontId="8" fillId="4" borderId="27" xfId="1" applyFill="1" applyBorder="1" applyAlignment="1">
      <alignment horizontal="center" vertical="center"/>
    </xf>
    <xf numFmtId="11" fontId="8" fillId="4" borderId="23" xfId="1" applyNumberFormat="1" applyFill="1" applyBorder="1" applyAlignment="1">
      <alignment horizontal="center" vertical="center"/>
    </xf>
    <xf numFmtId="0" fontId="8" fillId="4" borderId="33" xfId="1" applyFill="1" applyBorder="1" applyAlignment="1">
      <alignment horizontal="center" vertical="center"/>
    </xf>
    <xf numFmtId="0" fontId="28" fillId="0" borderId="15" xfId="3" applyFont="1" applyBorder="1" applyAlignment="1">
      <alignment horizontal="left" vertical="center" wrapText="1"/>
    </xf>
    <xf numFmtId="0" fontId="28" fillId="0" borderId="15" xfId="3" applyFont="1" applyBorder="1" applyAlignment="1">
      <alignment horizontal="center" vertical="center" wrapText="1"/>
    </xf>
    <xf numFmtId="0" fontId="0" fillId="0" borderId="15" xfId="0" applyBorder="1" applyAlignment="1">
      <alignment horizontal="center" vertical="center" wrapText="1"/>
    </xf>
    <xf numFmtId="0" fontId="24" fillId="0" borderId="15" xfId="0" applyFont="1" applyBorder="1" applyAlignment="1">
      <alignment horizontal="center" vertical="center"/>
    </xf>
    <xf numFmtId="0" fontId="30" fillId="0" borderId="0" xfId="0" applyFont="1" applyAlignment="1">
      <alignment vertical="center"/>
    </xf>
    <xf numFmtId="0" fontId="30" fillId="0" borderId="0" xfId="0" applyFont="1"/>
    <xf numFmtId="0" fontId="0" fillId="5" borderId="0" xfId="0" applyFill="1"/>
    <xf numFmtId="0" fontId="14" fillId="5" borderId="0" xfId="0" applyFont="1" applyFill="1" applyAlignment="1">
      <alignment horizontal="center" vertical="center" wrapText="1"/>
    </xf>
    <xf numFmtId="0" fontId="20" fillId="5" borderId="0" xfId="0" applyFont="1" applyFill="1" applyAlignment="1">
      <alignment horizontal="center" vertical="center" wrapText="1"/>
    </xf>
    <xf numFmtId="0" fontId="21" fillId="6" borderId="0" xfId="0" applyFont="1" applyFill="1"/>
    <xf numFmtId="0" fontId="0" fillId="6" borderId="0" xfId="0" applyFill="1"/>
    <xf numFmtId="0" fontId="10" fillId="6" borderId="1" xfId="0" applyFont="1" applyFill="1" applyBorder="1" applyAlignment="1">
      <alignment horizontal="center" vertical="center" wrapText="1"/>
    </xf>
    <xf numFmtId="0" fontId="10" fillId="6" borderId="4" xfId="0" applyFont="1" applyFill="1" applyBorder="1" applyAlignment="1">
      <alignment horizontal="center" vertical="center"/>
    </xf>
    <xf numFmtId="0" fontId="16" fillId="6" borderId="29" xfId="0" applyFont="1" applyFill="1" applyBorder="1" applyAlignment="1">
      <alignment horizontal="left" vertical="center"/>
    </xf>
    <xf numFmtId="0" fontId="16" fillId="6" borderId="4" xfId="0" applyFont="1" applyFill="1" applyBorder="1" applyAlignment="1">
      <alignment horizontal="left" vertical="center"/>
    </xf>
    <xf numFmtId="0" fontId="16" fillId="6" borderId="18" xfId="0" applyFont="1" applyFill="1" applyBorder="1" applyAlignment="1">
      <alignment horizontal="left" vertical="center"/>
    </xf>
    <xf numFmtId="0" fontId="16" fillId="6" borderId="28" xfId="0" applyFont="1" applyFill="1" applyBorder="1" applyAlignment="1">
      <alignment horizontal="left" vertical="center"/>
    </xf>
    <xf numFmtId="0" fontId="16" fillId="6" borderId="27" xfId="0" applyFont="1" applyFill="1" applyBorder="1" applyAlignment="1">
      <alignment horizontal="left" vertical="center"/>
    </xf>
    <xf numFmtId="0" fontId="16" fillId="6" borderId="25" xfId="0" applyFont="1" applyFill="1" applyBorder="1" applyAlignment="1">
      <alignment horizontal="left" vertical="center" wrapText="1"/>
    </xf>
    <xf numFmtId="0" fontId="16" fillId="6" borderId="0" xfId="0" applyFont="1" applyFill="1" applyAlignment="1">
      <alignment horizontal="left" vertical="center"/>
    </xf>
    <xf numFmtId="0" fontId="10" fillId="6" borderId="5" xfId="0" applyFont="1" applyFill="1" applyBorder="1" applyAlignment="1">
      <alignment vertical="top" wrapText="1"/>
    </xf>
    <xf numFmtId="0" fontId="10" fillId="6" borderId="6" xfId="0" applyFont="1" applyFill="1" applyBorder="1" applyAlignment="1">
      <alignment horizontal="center" vertical="center" wrapText="1"/>
    </xf>
    <xf numFmtId="0" fontId="16" fillId="6" borderId="26" xfId="0" applyFont="1" applyFill="1" applyBorder="1" applyAlignment="1">
      <alignment horizontal="left" vertical="center"/>
    </xf>
    <xf numFmtId="0" fontId="16" fillId="6" borderId="2" xfId="0" applyFont="1" applyFill="1" applyBorder="1" applyAlignment="1">
      <alignment horizontal="left" vertical="center"/>
    </xf>
    <xf numFmtId="0" fontId="16" fillId="6" borderId="3" xfId="0" applyFont="1" applyFill="1" applyBorder="1" applyAlignment="1">
      <alignment horizontal="left" vertical="center"/>
    </xf>
    <xf numFmtId="0" fontId="16" fillId="6" borderId="13" xfId="0" applyFont="1" applyFill="1" applyBorder="1" applyAlignment="1">
      <alignment horizontal="left" vertical="center"/>
    </xf>
    <xf numFmtId="0" fontId="16" fillId="6" borderId="16" xfId="0" applyFont="1" applyFill="1" applyBorder="1" applyAlignment="1">
      <alignment horizontal="left" vertical="center"/>
    </xf>
    <xf numFmtId="164" fontId="27" fillId="0" borderId="0" xfId="0" quotePrefix="1" applyNumberFormat="1" applyFont="1" applyAlignment="1">
      <alignment horizontal="center" vertical="center"/>
    </xf>
    <xf numFmtId="164" fontId="10" fillId="0" borderId="0" xfId="0" applyNumberFormat="1" applyFont="1" applyAlignment="1">
      <alignment horizontal="center" vertical="center"/>
    </xf>
    <xf numFmtId="164" fontId="27" fillId="0" borderId="47" xfId="0" quotePrefix="1" applyNumberFormat="1" applyFont="1" applyBorder="1" applyAlignment="1">
      <alignment horizontal="center" vertical="center"/>
    </xf>
    <xf numFmtId="0" fontId="58" fillId="32" borderId="16" xfId="0" applyFont="1" applyFill="1" applyBorder="1" applyAlignment="1">
      <alignment horizontal="center" vertical="center"/>
    </xf>
    <xf numFmtId="164" fontId="58" fillId="32" borderId="16" xfId="0" applyNumberFormat="1" applyFont="1" applyFill="1" applyBorder="1" applyAlignment="1">
      <alignment horizontal="center" vertical="center"/>
    </xf>
    <xf numFmtId="0" fontId="58" fillId="32" borderId="35" xfId="0" applyFont="1" applyFill="1" applyBorder="1" applyAlignment="1">
      <alignment horizontal="left" vertical="center"/>
    </xf>
    <xf numFmtId="164" fontId="27" fillId="0" borderId="15" xfId="0" applyNumberFormat="1" applyFont="1" applyBorder="1" applyAlignment="1">
      <alignment horizontal="center" vertical="center"/>
    </xf>
    <xf numFmtId="0" fontId="27" fillId="0" borderId="47" xfId="0" applyFont="1" applyBorder="1" applyAlignment="1">
      <alignment horizontal="left" vertical="center"/>
    </xf>
    <xf numFmtId="0" fontId="27" fillId="0" borderId="47" xfId="0" applyFont="1" applyBorder="1" applyAlignment="1">
      <alignment horizontal="center" vertical="center"/>
    </xf>
    <xf numFmtId="0" fontId="58" fillId="0" borderId="47" xfId="0" applyFont="1" applyBorder="1" applyAlignment="1">
      <alignment horizontal="center" vertical="center"/>
    </xf>
    <xf numFmtId="0" fontId="30" fillId="0" borderId="47" xfId="0" applyFont="1" applyBorder="1" applyAlignment="1">
      <alignment horizontal="left" vertical="center"/>
    </xf>
    <xf numFmtId="0" fontId="27" fillId="0" borderId="0" xfId="0" applyFont="1" applyAlignment="1">
      <alignment horizontal="left" vertical="center"/>
    </xf>
    <xf numFmtId="0" fontId="62" fillId="5" borderId="0" xfId="0" applyFont="1" applyFill="1" applyAlignment="1">
      <alignment horizontal="left" vertical="center"/>
    </xf>
    <xf numFmtId="0" fontId="62" fillId="0" borderId="0" xfId="0" applyFont="1" applyAlignment="1">
      <alignment vertical="center"/>
    </xf>
    <xf numFmtId="0" fontId="61" fillId="6" borderId="32" xfId="0" applyFont="1" applyFill="1" applyBorder="1" applyAlignment="1">
      <alignment vertical="center" wrapText="1"/>
    </xf>
    <xf numFmtId="0" fontId="62" fillId="0" borderId="0" xfId="0" applyFont="1"/>
    <xf numFmtId="0" fontId="30" fillId="0" borderId="15" xfId="0" applyFont="1" applyBorder="1" applyAlignment="1">
      <alignment vertical="center"/>
    </xf>
    <xf numFmtId="0" fontId="30" fillId="0" borderId="11" xfId="0" applyFont="1" applyBorder="1" applyAlignment="1">
      <alignment vertical="center"/>
    </xf>
    <xf numFmtId="0" fontId="62" fillId="0" borderId="0" xfId="0" applyFont="1" applyAlignment="1">
      <alignment horizontal="center" vertical="center"/>
    </xf>
    <xf numFmtId="0" fontId="62" fillId="0" borderId="0" xfId="0" applyFont="1" applyAlignment="1">
      <alignment horizontal="left" vertical="center" wrapText="1"/>
    </xf>
    <xf numFmtId="0" fontId="62" fillId="0" borderId="0" xfId="0" applyFont="1" applyAlignment="1">
      <alignment horizontal="center" vertical="center" wrapText="1"/>
    </xf>
    <xf numFmtId="0" fontId="30" fillId="0" borderId="15" xfId="0" applyFont="1" applyBorder="1"/>
    <xf numFmtId="0" fontId="62" fillId="0" borderId="0" xfId="0" applyFont="1" applyAlignment="1">
      <alignment horizontal="left" vertical="center"/>
    </xf>
    <xf numFmtId="0" fontId="64" fillId="0" borderId="45" xfId="46" applyFont="1" applyBorder="1" applyAlignment="1">
      <alignment horizontal="center" vertical="center"/>
    </xf>
    <xf numFmtId="0" fontId="30" fillId="0" borderId="15" xfId="46" applyFont="1" applyBorder="1" applyAlignment="1">
      <alignment horizontal="center" vertical="center"/>
    </xf>
    <xf numFmtId="0" fontId="64" fillId="0" borderId="8" xfId="46" applyFont="1" applyBorder="1" applyAlignment="1">
      <alignment horizontal="center" vertical="center"/>
    </xf>
    <xf numFmtId="0" fontId="64" fillId="0" borderId="10" xfId="46" applyFont="1" applyBorder="1" applyAlignment="1">
      <alignment horizontal="center" vertical="center"/>
    </xf>
    <xf numFmtId="0" fontId="30" fillId="0" borderId="11" xfId="46" applyFont="1" applyBorder="1" applyAlignment="1">
      <alignment horizontal="center" vertical="center"/>
    </xf>
    <xf numFmtId="0" fontId="30" fillId="0" borderId="11" xfId="0" applyFont="1" applyBorder="1" applyAlignment="1">
      <alignment horizontal="center" vertical="center"/>
    </xf>
    <xf numFmtId="0" fontId="30" fillId="0" borderId="47" xfId="0" applyFont="1" applyBorder="1" applyAlignment="1">
      <alignment vertical="center"/>
    </xf>
    <xf numFmtId="0" fontId="30" fillId="0" borderId="47" xfId="46" applyFont="1" applyBorder="1" applyAlignment="1">
      <alignment horizontal="center" vertical="center"/>
    </xf>
    <xf numFmtId="0" fontId="30" fillId="0" borderId="15" xfId="0" applyFont="1" applyBorder="1" applyAlignment="1">
      <alignment horizontal="center" vertical="center"/>
    </xf>
    <xf numFmtId="0" fontId="30" fillId="0" borderId="47" xfId="0" applyFont="1" applyBorder="1" applyAlignment="1">
      <alignment horizontal="center" vertical="center"/>
    </xf>
    <xf numFmtId="0" fontId="58" fillId="32" borderId="34" xfId="0" applyFont="1" applyFill="1" applyBorder="1" applyAlignment="1">
      <alignment vertical="center"/>
    </xf>
    <xf numFmtId="0" fontId="58" fillId="32" borderId="16" xfId="0" applyFont="1" applyFill="1" applyBorder="1" applyAlignment="1">
      <alignment vertical="center" wrapText="1"/>
    </xf>
    <xf numFmtId="0" fontId="58" fillId="32" borderId="16" xfId="0" applyFont="1" applyFill="1" applyBorder="1" applyAlignment="1">
      <alignment horizontal="center" vertical="center" wrapText="1"/>
    </xf>
    <xf numFmtId="0" fontId="30" fillId="0" borderId="47" xfId="0" applyFont="1" applyBorder="1"/>
    <xf numFmtId="165" fontId="30" fillId="0" borderId="47" xfId="46" applyNumberFormat="1" applyFont="1" applyBorder="1" applyAlignment="1">
      <alignment horizontal="center" vertical="center"/>
    </xf>
    <xf numFmtId="0" fontId="64" fillId="0" borderId="0" xfId="46" applyFont="1" applyAlignment="1">
      <alignment horizontal="center" vertical="center"/>
    </xf>
    <xf numFmtId="0" fontId="30" fillId="0" borderId="0" xfId="46" applyFont="1" applyAlignment="1">
      <alignment horizontal="center" vertical="center"/>
    </xf>
    <xf numFmtId="0" fontId="30" fillId="0" borderId="0" xfId="0" applyFont="1" applyAlignment="1">
      <alignment horizontal="center" vertical="center"/>
    </xf>
    <xf numFmtId="0" fontId="64" fillId="0" borderId="0" xfId="0" applyFont="1" applyAlignment="1">
      <alignment horizontal="center" vertical="center"/>
    </xf>
    <xf numFmtId="0" fontId="30"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xf>
    <xf numFmtId="0" fontId="10" fillId="6" borderId="32" xfId="0" applyFont="1" applyFill="1" applyBorder="1" applyAlignment="1">
      <alignment vertical="center" wrapText="1"/>
    </xf>
    <xf numFmtId="0" fontId="30" fillId="0" borderId="15" xfId="0" applyFont="1" applyBorder="1" applyAlignment="1">
      <alignment horizontal="left" vertical="center"/>
    </xf>
    <xf numFmtId="0" fontId="30" fillId="0" borderId="10" xfId="0" applyFont="1" applyBorder="1" applyAlignment="1">
      <alignment horizontal="center" vertical="center"/>
    </xf>
    <xf numFmtId="0" fontId="30" fillId="0" borderId="11" xfId="0" applyFont="1" applyBorder="1" applyAlignment="1">
      <alignment vertical="center" wrapText="1"/>
    </xf>
    <xf numFmtId="0" fontId="30" fillId="0" borderId="11" xfId="0" applyFont="1" applyBorder="1" applyAlignment="1">
      <alignment horizontal="center" vertical="center" wrapText="1"/>
    </xf>
    <xf numFmtId="0" fontId="30" fillId="0" borderId="46" xfId="0" applyFont="1" applyBorder="1" applyAlignment="1">
      <alignment horizontal="left" vertical="center"/>
    </xf>
    <xf numFmtId="0" fontId="0" fillId="0" borderId="0" xfId="0" applyAlignment="1">
      <alignment horizontal="left"/>
    </xf>
    <xf numFmtId="0" fontId="66" fillId="32" borderId="34" xfId="0" applyFont="1" applyFill="1" applyBorder="1" applyAlignment="1">
      <alignment horizontal="center" vertical="center" wrapText="1"/>
    </xf>
    <xf numFmtId="0" fontId="66" fillId="32" borderId="16" xfId="0" applyFont="1" applyFill="1" applyBorder="1" applyAlignment="1">
      <alignment horizontal="center" vertical="center" wrapText="1"/>
    </xf>
    <xf numFmtId="0" fontId="66" fillId="32" borderId="35" xfId="0" applyFont="1" applyFill="1" applyBorder="1" applyAlignment="1">
      <alignment horizontal="center" vertical="center" wrapText="1"/>
    </xf>
    <xf numFmtId="0" fontId="27" fillId="0" borderId="48" xfId="0" applyFont="1" applyBorder="1" applyAlignment="1">
      <alignment horizontal="left" vertical="center"/>
    </xf>
    <xf numFmtId="0" fontId="27" fillId="0" borderId="49" xfId="0" applyFont="1" applyBorder="1"/>
    <xf numFmtId="0" fontId="27" fillId="0" borderId="50" xfId="0" applyFont="1" applyBorder="1" applyAlignment="1">
      <alignment horizontal="left" vertical="center"/>
    </xf>
    <xf numFmtId="0" fontId="27" fillId="0" borderId="51" xfId="0" applyFont="1" applyBorder="1" applyAlignment="1">
      <alignment horizontal="left" vertical="center"/>
    </xf>
    <xf numFmtId="164" fontId="27" fillId="0" borderId="51" xfId="0" quotePrefix="1" applyNumberFormat="1" applyFont="1" applyBorder="1" applyAlignment="1">
      <alignment horizontal="center" vertical="center"/>
    </xf>
    <xf numFmtId="0" fontId="27" fillId="0" borderId="51" xfId="0" applyFont="1" applyBorder="1" applyAlignment="1">
      <alignment horizontal="center" vertical="center"/>
    </xf>
    <xf numFmtId="0" fontId="27" fillId="0" borderId="52" xfId="0" applyFont="1" applyBorder="1"/>
    <xf numFmtId="0" fontId="6" fillId="0" borderId="0" xfId="51"/>
    <xf numFmtId="0" fontId="58" fillId="32" borderId="4" xfId="51" applyFont="1" applyFill="1" applyBorder="1"/>
    <xf numFmtId="0" fontId="61" fillId="6" borderId="4" xfId="0" applyFont="1" applyFill="1" applyBorder="1" applyAlignment="1">
      <alignment horizontal="center" vertical="center" wrapText="1"/>
    </xf>
    <xf numFmtId="0" fontId="49" fillId="0" borderId="47" xfId="3" applyFont="1" applyBorder="1" applyAlignment="1">
      <alignment horizontal="center" vertical="center" wrapText="1"/>
    </xf>
    <xf numFmtId="2" fontId="49" fillId="0" borderId="47" xfId="3" applyNumberFormat="1" applyFont="1" applyBorder="1" applyAlignment="1">
      <alignment horizontal="center" vertical="center" wrapText="1"/>
    </xf>
    <xf numFmtId="0" fontId="49" fillId="0" borderId="51" xfId="3" applyFont="1" applyBorder="1" applyAlignment="1">
      <alignment horizontal="center" vertical="center" wrapText="1"/>
    </xf>
    <xf numFmtId="0" fontId="54" fillId="0" borderId="48" xfId="3" applyFont="1" applyBorder="1" applyAlignment="1">
      <alignment horizontal="center" vertical="center" wrapText="1"/>
    </xf>
    <xf numFmtId="0" fontId="54" fillId="0" borderId="47" xfId="3" applyFont="1" applyBorder="1" applyAlignment="1">
      <alignment horizontal="center" vertical="center" wrapText="1"/>
    </xf>
    <xf numFmtId="2" fontId="49" fillId="0" borderId="47" xfId="3" quotePrefix="1" applyNumberFormat="1" applyFont="1" applyBorder="1" applyAlignment="1">
      <alignment horizontal="center" vertical="center" wrapText="1"/>
    </xf>
    <xf numFmtId="0" fontId="48" fillId="0" borderId="47" xfId="3" applyFont="1" applyBorder="1" applyAlignment="1">
      <alignment horizontal="center" vertical="center" wrapText="1"/>
    </xf>
    <xf numFmtId="165" fontId="48" fillId="0" borderId="47" xfId="3" applyNumberFormat="1" applyFont="1" applyBorder="1" applyAlignment="1">
      <alignment horizontal="center" vertical="center" wrapText="1"/>
    </xf>
    <xf numFmtId="2" fontId="48" fillId="0" borderId="47" xfId="3" applyNumberFormat="1" applyFont="1" applyBorder="1" applyAlignment="1">
      <alignment horizontal="center" vertical="center" wrapText="1"/>
    </xf>
    <xf numFmtId="165" fontId="49" fillId="0" borderId="47" xfId="3" applyNumberFormat="1" applyFont="1" applyBorder="1" applyAlignment="1">
      <alignment horizontal="center" vertical="center" wrapText="1"/>
    </xf>
    <xf numFmtId="0" fontId="54" fillId="0" borderId="51" xfId="3" applyFont="1" applyBorder="1" applyAlignment="1">
      <alignment horizontal="center" vertical="center" wrapText="1"/>
    </xf>
    <xf numFmtId="0" fontId="48" fillId="0" borderId="51" xfId="3" applyFont="1" applyBorder="1" applyAlignment="1">
      <alignment horizontal="center" vertical="center" wrapText="1"/>
    </xf>
    <xf numFmtId="0" fontId="13" fillId="0" borderId="56" xfId="0" applyFont="1" applyBorder="1" applyAlignment="1">
      <alignment horizontal="center" vertical="center"/>
    </xf>
    <xf numFmtId="0" fontId="54" fillId="0" borderId="50" xfId="3" applyFont="1" applyBorder="1" applyAlignment="1">
      <alignment horizontal="center" vertical="center" wrapText="1"/>
    </xf>
    <xf numFmtId="0" fontId="30" fillId="0" borderId="51" xfId="0" applyFont="1" applyBorder="1" applyAlignment="1">
      <alignment horizontal="left" vertical="center"/>
    </xf>
    <xf numFmtId="0" fontId="30" fillId="0" borderId="51" xfId="0" applyFont="1" applyBorder="1" applyAlignment="1">
      <alignment horizontal="center" vertical="center"/>
    </xf>
    <xf numFmtId="0" fontId="58" fillId="6" borderId="16" xfId="0" applyFont="1" applyFill="1" applyBorder="1" applyAlignment="1">
      <alignment horizontal="center" vertical="center" wrapText="1"/>
    </xf>
    <xf numFmtId="0" fontId="64" fillId="0" borderId="48" xfId="46" applyFont="1" applyBorder="1" applyAlignment="1">
      <alignment horizontal="center" vertical="center"/>
    </xf>
    <xf numFmtId="0" fontId="64" fillId="0" borderId="50" xfId="46" applyFont="1" applyBorder="1" applyAlignment="1">
      <alignment horizontal="center" vertical="center"/>
    </xf>
    <xf numFmtId="0" fontId="30" fillId="0" borderId="51" xfId="0" applyFont="1" applyBorder="1" applyAlignment="1">
      <alignment vertical="center"/>
    </xf>
    <xf numFmtId="0" fontId="30" fillId="0" borderId="51" xfId="46" applyFont="1" applyBorder="1" applyAlignment="1">
      <alignment horizontal="center" vertical="center"/>
    </xf>
    <xf numFmtId="0" fontId="30" fillId="0" borderId="51" xfId="0" applyFont="1" applyBorder="1"/>
    <xf numFmtId="0" fontId="16" fillId="0" borderId="0" xfId="0" applyFont="1" applyAlignment="1">
      <alignment horizontal="center" vertical="center"/>
    </xf>
    <xf numFmtId="0" fontId="58" fillId="32" borderId="35" xfId="0" applyFont="1" applyFill="1" applyBorder="1" applyAlignment="1">
      <alignment horizontal="center" vertical="center"/>
    </xf>
    <xf numFmtId="0" fontId="27" fillId="0" borderId="0" xfId="0" applyFont="1" applyAlignment="1">
      <alignment horizontal="center" vertical="center"/>
    </xf>
    <xf numFmtId="0" fontId="48" fillId="0" borderId="47" xfId="3" applyFont="1" applyBorder="1" applyAlignment="1">
      <alignment horizontal="left" vertical="center" wrapText="1"/>
    </xf>
    <xf numFmtId="0" fontId="26" fillId="0" borderId="47" xfId="3" applyBorder="1" applyAlignment="1">
      <alignment horizontal="left" vertical="center" wrapText="1"/>
    </xf>
    <xf numFmtId="0" fontId="29" fillId="6" borderId="4" xfId="0" applyFont="1" applyFill="1" applyBorder="1" applyAlignment="1">
      <alignment horizontal="center" vertical="top" wrapText="1"/>
    </xf>
    <xf numFmtId="0" fontId="29" fillId="6" borderId="60" xfId="0" applyFont="1" applyFill="1" applyBorder="1" applyAlignment="1">
      <alignment horizontal="center" vertical="center"/>
    </xf>
    <xf numFmtId="0" fontId="29" fillId="6" borderId="61" xfId="0" applyFont="1" applyFill="1" applyBorder="1" applyAlignment="1">
      <alignment horizontal="center" vertical="center"/>
    </xf>
    <xf numFmtId="0" fontId="29" fillId="6" borderId="61" xfId="0" applyFont="1" applyFill="1" applyBorder="1" applyAlignment="1">
      <alignment horizontal="center" vertical="center" wrapText="1"/>
    </xf>
    <xf numFmtId="0" fontId="29" fillId="6" borderId="62" xfId="0" applyFont="1" applyFill="1" applyBorder="1" applyAlignment="1">
      <alignment horizontal="center" vertical="center" wrapText="1"/>
    </xf>
    <xf numFmtId="0" fontId="10" fillId="0" borderId="0" xfId="0" applyFont="1" applyAlignment="1">
      <alignment horizontal="left" vertical="center" wrapText="1"/>
    </xf>
    <xf numFmtId="0" fontId="30" fillId="0" borderId="45" xfId="0" applyFont="1" applyBorder="1" applyAlignment="1">
      <alignment vertical="center"/>
    </xf>
    <xf numFmtId="0" fontId="30" fillId="0" borderId="15" xfId="0" applyFont="1" applyBorder="1" applyAlignment="1">
      <alignment wrapText="1"/>
    </xf>
    <xf numFmtId="0" fontId="30" fillId="0" borderId="46" xfId="0" applyFont="1" applyBorder="1"/>
    <xf numFmtId="0" fontId="30" fillId="0" borderId="47" xfId="0" applyFont="1" applyBorder="1" applyAlignment="1">
      <alignment wrapText="1"/>
    </xf>
    <xf numFmtId="0" fontId="30" fillId="0" borderId="48" xfId="0" applyFont="1" applyBorder="1" applyAlignment="1">
      <alignment vertical="center"/>
    </xf>
    <xf numFmtId="0" fontId="30" fillId="0" borderId="49" xfId="0" applyFont="1" applyBorder="1"/>
    <xf numFmtId="0" fontId="16" fillId="33" borderId="0" xfId="0" applyFont="1" applyFill="1" applyAlignment="1">
      <alignment horizontal="left" vertical="center"/>
    </xf>
    <xf numFmtId="0" fontId="30" fillId="0" borderId="52" xfId="0" applyFont="1" applyBorder="1"/>
    <xf numFmtId="0" fontId="7" fillId="0" borderId="0" xfId="47"/>
    <xf numFmtId="0" fontId="58" fillId="32" borderId="60" xfId="51" applyFont="1" applyFill="1" applyBorder="1" applyAlignment="1">
      <alignment horizontal="center"/>
    </xf>
    <xf numFmtId="0" fontId="58" fillId="32" borderId="61" xfId="51" applyFont="1" applyFill="1" applyBorder="1" applyAlignment="1">
      <alignment horizontal="center" vertical="top" wrapText="1"/>
    </xf>
    <xf numFmtId="0" fontId="58" fillId="32" borderId="61" xfId="51" applyFont="1" applyFill="1" applyBorder="1" applyAlignment="1">
      <alignment horizontal="center" vertical="center" wrapText="1"/>
    </xf>
    <xf numFmtId="0" fontId="58" fillId="32" borderId="62" xfId="51" applyFont="1" applyFill="1" applyBorder="1" applyAlignment="1">
      <alignment horizontal="center" vertical="top" wrapText="1"/>
    </xf>
    <xf numFmtId="0" fontId="27" fillId="0" borderId="45" xfId="47" applyFont="1" applyBorder="1"/>
    <xf numFmtId="0" fontId="27" fillId="0" borderId="15" xfId="47" applyFont="1" applyBorder="1"/>
    <xf numFmtId="0" fontId="27" fillId="0" borderId="46" xfId="47" applyFont="1" applyBorder="1"/>
    <xf numFmtId="0" fontId="21" fillId="0" borderId="0" xfId="0" applyFont="1"/>
    <xf numFmtId="0" fontId="0" fillId="0" borderId="0" xfId="0" quotePrefix="1" applyAlignment="1">
      <alignment horizontal="right"/>
    </xf>
    <xf numFmtId="0" fontId="22" fillId="0" borderId="0" xfId="0" quotePrefix="1" applyFont="1"/>
    <xf numFmtId="0" fontId="0" fillId="0" borderId="15" xfId="0" applyBorder="1"/>
    <xf numFmtId="0" fontId="15" fillId="0" borderId="0" xfId="0" applyFont="1"/>
    <xf numFmtId="0" fontId="19" fillId="0" borderId="0" xfId="0" applyFont="1"/>
    <xf numFmtId="0" fontId="30" fillId="0" borderId="48" xfId="59" applyFont="1" applyBorder="1" applyAlignment="1">
      <alignment vertical="center"/>
    </xf>
    <xf numFmtId="0" fontId="30" fillId="0" borderId="47" xfId="59" applyFont="1" applyBorder="1"/>
    <xf numFmtId="0" fontId="30" fillId="0" borderId="49" xfId="59" applyFont="1" applyBorder="1"/>
    <xf numFmtId="0" fontId="30" fillId="0" borderId="50" xfId="0" applyFont="1" applyBorder="1" applyAlignment="1">
      <alignment vertical="center"/>
    </xf>
    <xf numFmtId="0" fontId="30" fillId="0" borderId="51" xfId="0" applyFont="1" applyBorder="1" applyAlignment="1">
      <alignment wrapText="1"/>
    </xf>
    <xf numFmtId="0" fontId="27" fillId="0" borderId="1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30" fillId="0" borderId="0" xfId="0" quotePrefix="1" applyFont="1" applyAlignment="1">
      <alignment horizontal="center"/>
    </xf>
    <xf numFmtId="11" fontId="30" fillId="0" borderId="0" xfId="0" applyNumberFormat="1" applyFont="1" applyAlignment="1">
      <alignment horizontal="center"/>
    </xf>
    <xf numFmtId="0" fontId="27" fillId="0" borderId="0" xfId="50" applyFont="1"/>
    <xf numFmtId="0" fontId="27" fillId="0" borderId="54" xfId="47" applyFont="1" applyBorder="1"/>
    <xf numFmtId="0" fontId="27" fillId="0" borderId="53" xfId="47" applyFont="1" applyBorder="1"/>
    <xf numFmtId="0" fontId="27" fillId="0" borderId="53" xfId="47" applyFont="1" applyBorder="1" applyAlignment="1">
      <alignment horizontal="center"/>
    </xf>
    <xf numFmtId="0" fontId="27" fillId="0" borderId="55" xfId="47" applyFont="1" applyBorder="1"/>
    <xf numFmtId="0" fontId="3" fillId="0" borderId="0" xfId="51" applyFont="1"/>
    <xf numFmtId="0" fontId="27" fillId="0" borderId="48" xfId="47" applyFont="1" applyBorder="1"/>
    <xf numFmtId="0" fontId="27" fillId="0" borderId="47" xfId="47" applyFont="1" applyBorder="1"/>
    <xf numFmtId="0" fontId="27" fillId="0" borderId="49" xfId="47" applyFont="1" applyBorder="1"/>
    <xf numFmtId="0" fontId="27" fillId="0" borderId="50" xfId="47" applyFont="1" applyBorder="1"/>
    <xf numFmtId="0" fontId="27" fillId="0" borderId="51" xfId="47" applyFont="1" applyBorder="1"/>
    <xf numFmtId="0" fontId="27" fillId="0" borderId="52" xfId="47" applyFont="1" applyBorder="1"/>
    <xf numFmtId="0" fontId="61" fillId="0" borderId="0" xfId="0" applyFont="1" applyAlignment="1">
      <alignment horizontal="center" vertical="center"/>
    </xf>
    <xf numFmtId="0" fontId="10" fillId="6" borderId="32" xfId="0" applyFont="1" applyFill="1" applyBorder="1" applyAlignment="1">
      <alignment horizontal="left" vertical="center" wrapText="1"/>
    </xf>
    <xf numFmtId="164" fontId="16" fillId="0" borderId="0" xfId="0" applyNumberFormat="1" applyFont="1" applyAlignment="1">
      <alignment horizontal="center" vertical="center"/>
    </xf>
    <xf numFmtId="0" fontId="58" fillId="32" borderId="34" xfId="0" applyFont="1" applyFill="1" applyBorder="1" applyAlignment="1">
      <alignment horizontal="left" vertical="center"/>
    </xf>
    <xf numFmtId="0" fontId="58" fillId="32" borderId="16" xfId="0" applyFont="1" applyFill="1" applyBorder="1" applyAlignment="1">
      <alignment horizontal="left" vertical="center"/>
    </xf>
    <xf numFmtId="164" fontId="62" fillId="0" borderId="0" xfId="0" applyNumberFormat="1" applyFont="1" applyAlignment="1">
      <alignment horizontal="center" vertical="center" wrapText="1"/>
    </xf>
    <xf numFmtId="0" fontId="58" fillId="32" borderId="63" xfId="0" applyFont="1" applyFill="1" applyBorder="1" applyAlignment="1">
      <alignment horizontal="center" vertical="center"/>
    </xf>
    <xf numFmtId="0" fontId="30" fillId="32" borderId="63" xfId="0" applyFont="1" applyFill="1" applyBorder="1" applyAlignment="1">
      <alignment horizontal="left" vertical="center" wrapText="1"/>
    </xf>
    <xf numFmtId="164" fontId="30" fillId="32" borderId="63" xfId="0" applyNumberFormat="1" applyFont="1" applyFill="1" applyBorder="1" applyAlignment="1">
      <alignment horizontal="center" vertical="center" wrapText="1"/>
    </xf>
    <xf numFmtId="0" fontId="30" fillId="32" borderId="63" xfId="0" applyFont="1" applyFill="1" applyBorder="1" applyAlignment="1">
      <alignment horizontal="center" vertical="center" wrapText="1"/>
    </xf>
    <xf numFmtId="0" fontId="58" fillId="0" borderId="0" xfId="0" applyFont="1" applyAlignment="1">
      <alignment horizontal="center" vertical="center"/>
    </xf>
    <xf numFmtId="0" fontId="30" fillId="0" borderId="0" xfId="0" applyFont="1" applyAlignment="1">
      <alignment horizontal="left" vertical="center" wrapText="1"/>
    </xf>
    <xf numFmtId="164" fontId="30" fillId="0" borderId="0" xfId="0" applyNumberFormat="1" applyFont="1" applyAlignment="1">
      <alignment horizontal="center" vertical="center" wrapText="1"/>
    </xf>
    <xf numFmtId="0" fontId="30" fillId="0" borderId="0" xfId="0" applyFont="1" applyAlignment="1">
      <alignment horizontal="center" vertical="center" wrapText="1"/>
    </xf>
    <xf numFmtId="0" fontId="29" fillId="32" borderId="68" xfId="0" applyFont="1" applyFill="1" applyBorder="1" applyAlignment="1">
      <alignment vertical="center"/>
    </xf>
    <xf numFmtId="0" fontId="29" fillId="32" borderId="69" xfId="0" applyFont="1" applyFill="1" applyBorder="1" applyAlignment="1">
      <alignment vertical="center" wrapText="1"/>
    </xf>
    <xf numFmtId="0" fontId="58" fillId="6" borderId="69" xfId="0" applyFont="1" applyFill="1" applyBorder="1" applyAlignment="1">
      <alignment horizontal="center" vertical="center" wrapText="1"/>
    </xf>
    <xf numFmtId="0" fontId="29" fillId="32" borderId="69" xfId="0" applyFont="1" applyFill="1" applyBorder="1" applyAlignment="1">
      <alignment horizontal="center" vertical="center" wrapText="1"/>
    </xf>
    <xf numFmtId="0" fontId="64" fillId="0" borderId="65" xfId="46" applyFont="1" applyBorder="1" applyAlignment="1">
      <alignment horizontal="center" vertical="center"/>
    </xf>
    <xf numFmtId="0" fontId="30" fillId="0" borderId="66" xfId="0" applyFont="1" applyBorder="1" applyAlignment="1">
      <alignment horizontal="left" vertical="center"/>
    </xf>
    <xf numFmtId="165" fontId="30" fillId="0" borderId="66" xfId="46" applyNumberFormat="1" applyFont="1" applyBorder="1" applyAlignment="1">
      <alignment horizontal="center" vertical="center"/>
    </xf>
    <xf numFmtId="0" fontId="30" fillId="0" borderId="66" xfId="0" applyFont="1" applyBorder="1"/>
    <xf numFmtId="0" fontId="30" fillId="0" borderId="66" xfId="0" applyFont="1" applyBorder="1" applyAlignment="1">
      <alignment horizontal="center" vertical="center"/>
    </xf>
    <xf numFmtId="0" fontId="30" fillId="0" borderId="51" xfId="0" applyFont="1" applyBorder="1" applyAlignment="1">
      <alignment horizontal="left" vertical="center" wrapText="1"/>
    </xf>
    <xf numFmtId="0" fontId="30" fillId="0" borderId="48" xfId="0" applyFont="1" applyBorder="1" applyAlignment="1">
      <alignment horizontal="center" vertical="center" wrapText="1"/>
    </xf>
    <xf numFmtId="0" fontId="30" fillId="0" borderId="47" xfId="0" applyFont="1" applyBorder="1" applyAlignment="1">
      <alignment horizontal="left" vertical="center" wrapText="1"/>
    </xf>
    <xf numFmtId="2" fontId="30" fillId="0" borderId="47" xfId="0" applyNumberFormat="1" applyFont="1" applyBorder="1" applyAlignment="1">
      <alignment horizontal="center" vertical="center" wrapText="1"/>
    </xf>
    <xf numFmtId="0" fontId="30" fillId="0" borderId="47" xfId="0" applyFont="1" applyBorder="1" applyAlignment="1">
      <alignment horizontal="center" vertical="center" wrapText="1"/>
    </xf>
    <xf numFmtId="0" fontId="58" fillId="32" borderId="68" xfId="0" applyFont="1" applyFill="1" applyBorder="1" applyAlignment="1">
      <alignment horizontal="left" vertical="center"/>
    </xf>
    <xf numFmtId="0" fontId="58" fillId="32" borderId="69" xfId="0" applyFont="1" applyFill="1" applyBorder="1" applyAlignment="1">
      <alignment horizontal="left" vertical="center"/>
    </xf>
    <xf numFmtId="164" fontId="58" fillId="32" borderId="69" xfId="0" applyNumberFormat="1" applyFont="1" applyFill="1" applyBorder="1" applyAlignment="1">
      <alignment horizontal="center" vertical="center"/>
    </xf>
    <xf numFmtId="0" fontId="58" fillId="32" borderId="69" xfId="0" applyFont="1" applyFill="1" applyBorder="1" applyAlignment="1">
      <alignment horizontal="center" vertical="center"/>
    </xf>
    <xf numFmtId="0" fontId="58" fillId="32" borderId="70" xfId="0" applyFont="1" applyFill="1" applyBorder="1" applyAlignment="1">
      <alignment horizontal="left" vertical="center"/>
    </xf>
    <xf numFmtId="0" fontId="27" fillId="0" borderId="67" xfId="0" applyFont="1" applyBorder="1"/>
    <xf numFmtId="0" fontId="54" fillId="0" borderId="65" xfId="3" applyFont="1" applyBorder="1" applyAlignment="1">
      <alignment horizontal="center" vertical="center" wrapText="1"/>
    </xf>
    <xf numFmtId="0" fontId="54" fillId="0" borderId="66" xfId="3" applyFont="1" applyBorder="1" applyAlignment="1">
      <alignment horizontal="center" vertical="center" wrapText="1"/>
    </xf>
    <xf numFmtId="0" fontId="49" fillId="0" borderId="66" xfId="3" applyFont="1" applyBorder="1" applyAlignment="1">
      <alignment horizontal="center" vertical="center" wrapText="1"/>
    </xf>
    <xf numFmtId="2" fontId="49" fillId="0" borderId="66" xfId="3" applyNumberFormat="1" applyFont="1" applyBorder="1" applyAlignment="1">
      <alignment horizontal="center" vertical="center" wrapText="1"/>
    </xf>
    <xf numFmtId="0" fontId="48" fillId="0" borderId="66" xfId="3" applyFont="1" applyBorder="1" applyAlignment="1">
      <alignment horizontal="left" vertical="center" wrapText="1"/>
    </xf>
    <xf numFmtId="0" fontId="48" fillId="0" borderId="51" xfId="3" applyFont="1" applyBorder="1" applyAlignment="1">
      <alignment horizontal="left" vertical="center" wrapText="1"/>
    </xf>
    <xf numFmtId="0" fontId="50" fillId="32" borderId="68" xfId="0" applyFont="1" applyFill="1" applyBorder="1" applyAlignment="1">
      <alignment horizontal="center" vertical="center"/>
    </xf>
    <xf numFmtId="0" fontId="50" fillId="32" borderId="69" xfId="0" applyFont="1" applyFill="1" applyBorder="1" applyAlignment="1">
      <alignment horizontal="center" vertical="center"/>
    </xf>
    <xf numFmtId="0" fontId="51" fillId="32" borderId="69" xfId="45" applyFont="1" applyFill="1" applyBorder="1" applyAlignment="1">
      <alignment horizontal="center" vertical="center" wrapText="1"/>
    </xf>
    <xf numFmtId="0" fontId="48" fillId="32" borderId="69" xfId="2" applyFont="1" applyFill="1" applyBorder="1" applyAlignment="1">
      <alignment horizontal="center" vertical="center" wrapText="1"/>
    </xf>
    <xf numFmtId="0" fontId="53" fillId="32" borderId="69" xfId="0" applyFont="1" applyFill="1" applyBorder="1" applyAlignment="1">
      <alignment horizontal="center" vertical="center" wrapText="1"/>
    </xf>
    <xf numFmtId="0" fontId="29" fillId="6" borderId="69" xfId="0" applyFont="1" applyFill="1" applyBorder="1" applyAlignment="1">
      <alignment horizontal="left" vertical="center" wrapText="1"/>
    </xf>
    <xf numFmtId="2" fontId="48" fillId="0" borderId="66" xfId="3" applyNumberFormat="1" applyFont="1" applyBorder="1" applyAlignment="1">
      <alignment horizontal="center" vertical="center" wrapText="1"/>
    </xf>
    <xf numFmtId="0" fontId="27" fillId="0" borderId="66" xfId="0" applyFont="1" applyBorder="1" applyAlignment="1">
      <alignment horizontal="left" vertical="center"/>
    </xf>
    <xf numFmtId="0" fontId="58" fillId="6" borderId="64" xfId="0" applyFont="1" applyFill="1" applyBorder="1" applyAlignment="1">
      <alignment horizontal="left" vertical="center" wrapText="1"/>
    </xf>
    <xf numFmtId="0" fontId="27" fillId="0" borderId="15" xfId="0" applyFont="1" applyBorder="1" applyAlignment="1">
      <alignment horizontal="left" vertical="center"/>
    </xf>
    <xf numFmtId="0" fontId="14" fillId="5" borderId="0" xfId="0" applyFont="1" applyFill="1" applyAlignment="1">
      <alignment horizontal="left" vertical="center"/>
    </xf>
    <xf numFmtId="0" fontId="13" fillId="5" borderId="0" xfId="0" applyFont="1" applyFill="1" applyAlignment="1">
      <alignment horizontal="left" vertical="center"/>
    </xf>
    <xf numFmtId="0" fontId="10" fillId="6" borderId="4" xfId="0" applyFont="1" applyFill="1" applyBorder="1" applyAlignment="1">
      <alignment horizontal="left" vertical="center"/>
    </xf>
    <xf numFmtId="0" fontId="14" fillId="0" borderId="0" xfId="0" applyFont="1" applyAlignment="1">
      <alignment horizontal="left" vertical="center"/>
    </xf>
    <xf numFmtId="0" fontId="66" fillId="32" borderId="34" xfId="0" applyFont="1" applyFill="1" applyBorder="1" applyAlignment="1">
      <alignment horizontal="left" vertical="center" wrapText="1"/>
    </xf>
    <xf numFmtId="0" fontId="66" fillId="32" borderId="16" xfId="0" applyFont="1" applyFill="1" applyBorder="1" applyAlignment="1">
      <alignment horizontal="left" vertical="center" wrapText="1"/>
    </xf>
    <xf numFmtId="0" fontId="66" fillId="32" borderId="16" xfId="0" applyFont="1" applyFill="1" applyBorder="1" applyAlignment="1">
      <alignment horizontal="left" vertical="center"/>
    </xf>
    <xf numFmtId="0" fontId="66" fillId="32" borderId="57" xfId="0" applyFont="1" applyFill="1" applyBorder="1" applyAlignment="1">
      <alignment horizontal="left" vertical="center" wrapText="1"/>
    </xf>
    <xf numFmtId="0" fontId="66" fillId="32" borderId="35" xfId="0" applyFont="1" applyFill="1" applyBorder="1" applyAlignment="1">
      <alignment horizontal="left" vertical="center" wrapText="1"/>
    </xf>
    <xf numFmtId="0" fontId="30" fillId="0" borderId="45" xfId="45" applyFont="1" applyBorder="1" applyAlignment="1">
      <alignment horizontal="left" vertical="center" wrapText="1"/>
    </xf>
    <xf numFmtId="0" fontId="64" fillId="0" borderId="15" xfId="0" applyFont="1" applyBorder="1" applyAlignment="1">
      <alignment horizontal="left" vertical="center" wrapText="1"/>
    </xf>
    <xf numFmtId="0" fontId="30" fillId="0" borderId="15" xfId="0" applyFont="1" applyBorder="1" applyAlignment="1">
      <alignment horizontal="left" vertical="center" wrapText="1"/>
    </xf>
    <xf numFmtId="0" fontId="30" fillId="0" borderId="58" xfId="0" applyFont="1" applyBorder="1" applyAlignment="1">
      <alignment horizontal="left" vertical="center" wrapText="1"/>
    </xf>
    <xf numFmtId="0" fontId="30" fillId="0" borderId="48" xfId="45" applyFont="1" applyBorder="1" applyAlignment="1">
      <alignment horizontal="left" vertical="center" wrapText="1"/>
    </xf>
    <xf numFmtId="0" fontId="64" fillId="0" borderId="47" xfId="0" applyFont="1" applyBorder="1" applyAlignment="1">
      <alignment horizontal="left" vertical="center" wrapText="1"/>
    </xf>
    <xf numFmtId="0" fontId="30" fillId="0" borderId="14" xfId="0" applyFont="1" applyBorder="1" applyAlignment="1">
      <alignment horizontal="left" vertical="center" wrapText="1"/>
    </xf>
    <xf numFmtId="0" fontId="30" fillId="0" borderId="49" xfId="0" applyFont="1" applyBorder="1" applyAlignment="1">
      <alignment horizontal="left" vertical="center"/>
    </xf>
    <xf numFmtId="0" fontId="30" fillId="0" borderId="47" xfId="0" quotePrefix="1" applyFont="1" applyBorder="1" applyAlignment="1">
      <alignment horizontal="left" vertical="center"/>
    </xf>
    <xf numFmtId="0" fontId="30" fillId="0" borderId="59" xfId="0" applyFont="1" applyBorder="1" applyAlignment="1">
      <alignment horizontal="left" vertical="center" wrapText="1"/>
    </xf>
    <xf numFmtId="0" fontId="30" fillId="0" borderId="52" xfId="0" applyFont="1" applyBorder="1" applyAlignment="1">
      <alignment horizontal="left" vertical="center" wrapText="1"/>
    </xf>
    <xf numFmtId="0" fontId="0" fillId="5" borderId="0" xfId="0" applyFill="1" applyAlignment="1">
      <alignment horizontal="left" vertical="center"/>
    </xf>
    <xf numFmtId="0" fontId="30" fillId="0" borderId="50" xfId="2" applyFont="1" applyBorder="1" applyAlignment="1">
      <alignment horizontal="left" vertical="center" wrapText="1"/>
    </xf>
    <xf numFmtId="0" fontId="64" fillId="0" borderId="51" xfId="0" applyFont="1" applyBorder="1" applyAlignment="1">
      <alignment horizontal="left" vertical="center" wrapText="1"/>
    </xf>
    <xf numFmtId="0" fontId="30" fillId="0" borderId="65" xfId="0" applyFont="1" applyBorder="1" applyAlignment="1">
      <alignment horizontal="left" vertical="center"/>
    </xf>
    <xf numFmtId="0" fontId="58" fillId="0" borderId="66" xfId="0" applyFont="1" applyBorder="1" applyAlignment="1">
      <alignment horizontal="center" vertical="center"/>
    </xf>
    <xf numFmtId="0" fontId="30" fillId="0" borderId="48" xfId="0" applyFont="1" applyBorder="1" applyAlignment="1">
      <alignment horizontal="left" vertical="center"/>
    </xf>
    <xf numFmtId="0" fontId="30" fillId="0" borderId="50" xfId="0" applyFont="1" applyBorder="1" applyAlignment="1">
      <alignment horizontal="left" vertical="center"/>
    </xf>
    <xf numFmtId="0" fontId="58" fillId="0" borderId="51" xfId="0" applyFont="1" applyBorder="1" applyAlignment="1">
      <alignment horizontal="center" vertical="center"/>
    </xf>
    <xf numFmtId="0" fontId="30" fillId="0" borderId="52" xfId="0" applyFont="1" applyBorder="1" applyAlignment="1">
      <alignment horizontal="left" vertical="center"/>
    </xf>
    <xf numFmtId="0" fontId="58" fillId="0" borderId="71" xfId="0" applyFont="1" applyBorder="1" applyAlignment="1">
      <alignment horizontal="left" vertical="center"/>
    </xf>
    <xf numFmtId="0" fontId="58" fillId="0" borderId="14" xfId="0" applyFont="1" applyBorder="1" applyAlignment="1">
      <alignment horizontal="left" vertical="center"/>
    </xf>
    <xf numFmtId="0" fontId="58" fillId="0" borderId="59" xfId="0" applyFont="1" applyBorder="1" applyAlignment="1">
      <alignment horizontal="left" vertical="center"/>
    </xf>
    <xf numFmtId="0" fontId="30" fillId="0" borderId="72" xfId="0" applyFont="1" applyBorder="1" applyAlignment="1">
      <alignment horizontal="left" vertical="center"/>
    </xf>
    <xf numFmtId="0" fontId="61" fillId="6" borderId="32" xfId="0" applyFont="1" applyFill="1" applyBorder="1" applyAlignment="1">
      <alignment horizontal="left" vertical="center" wrapText="1"/>
    </xf>
    <xf numFmtId="0" fontId="30" fillId="0" borderId="73" xfId="0" applyFont="1" applyBorder="1" applyAlignment="1">
      <alignment horizontal="left" vertical="center"/>
    </xf>
    <xf numFmtId="164" fontId="30" fillId="0" borderId="0" xfId="0" applyNumberFormat="1" applyFont="1" applyAlignment="1">
      <alignment horizontal="center" vertical="center"/>
    </xf>
    <xf numFmtId="164" fontId="30" fillId="0" borderId="73" xfId="0" applyNumberFormat="1" applyFont="1" applyBorder="1" applyAlignment="1">
      <alignment horizontal="center" vertical="center"/>
    </xf>
    <xf numFmtId="0" fontId="58" fillId="0" borderId="73" xfId="0" applyFont="1" applyBorder="1" applyAlignment="1">
      <alignment horizontal="center" vertical="center"/>
    </xf>
    <xf numFmtId="164" fontId="27" fillId="0" borderId="73" xfId="0" applyNumberFormat="1" applyFont="1" applyBorder="1" applyAlignment="1">
      <alignment horizontal="center" vertical="center"/>
    </xf>
    <xf numFmtId="0" fontId="27" fillId="0" borderId="73" xfId="0" applyFont="1" applyBorder="1" applyAlignment="1">
      <alignment horizontal="left" vertical="center"/>
    </xf>
    <xf numFmtId="164" fontId="30" fillId="0" borderId="66" xfId="0" applyNumberFormat="1" applyFont="1" applyBorder="1" applyAlignment="1">
      <alignment horizontal="center" vertical="center"/>
    </xf>
    <xf numFmtId="0" fontId="30" fillId="0" borderId="74" xfId="0" applyFont="1" applyBorder="1" applyAlignment="1">
      <alignment horizontal="left" vertical="center"/>
    </xf>
    <xf numFmtId="0" fontId="58" fillId="0" borderId="75" xfId="0" applyFont="1" applyBorder="1" applyAlignment="1">
      <alignment horizontal="left" vertical="center"/>
    </xf>
    <xf numFmtId="0" fontId="27" fillId="0" borderId="74" xfId="0" applyFont="1" applyBorder="1" applyAlignment="1">
      <alignment horizontal="left" vertical="center"/>
    </xf>
    <xf numFmtId="0" fontId="30" fillId="0" borderId="76" xfId="0" applyFont="1" applyBorder="1" applyAlignment="1">
      <alignment horizontal="left" vertical="center"/>
    </xf>
    <xf numFmtId="0" fontId="30" fillId="0" borderId="77" xfId="0" applyFont="1" applyBorder="1" applyAlignment="1">
      <alignment horizontal="left" vertical="center"/>
    </xf>
    <xf numFmtId="0" fontId="30" fillId="0" borderId="77" xfId="0" applyFont="1" applyBorder="1" applyAlignment="1">
      <alignment horizontal="left" vertical="center" wrapText="1"/>
    </xf>
    <xf numFmtId="164" fontId="30" fillId="0" borderId="77" xfId="0" applyNumberFormat="1" applyFont="1" applyBorder="1" applyAlignment="1">
      <alignment horizontal="center" vertical="center"/>
    </xf>
    <xf numFmtId="0" fontId="30" fillId="0" borderId="77" xfId="0" applyFont="1" applyBorder="1" applyAlignment="1">
      <alignment horizontal="center" vertical="center"/>
    </xf>
    <xf numFmtId="0" fontId="30" fillId="0" borderId="78" xfId="0" applyFont="1" applyBorder="1" applyAlignment="1">
      <alignment horizontal="center" vertical="center"/>
    </xf>
    <xf numFmtId="0" fontId="2" fillId="0" borderId="0" xfId="63" applyAlignment="1">
      <alignment horizontal="left" vertical="center"/>
    </xf>
    <xf numFmtId="0" fontId="73" fillId="35" borderId="79" xfId="63" applyFont="1" applyFill="1" applyBorder="1" applyAlignment="1">
      <alignment horizontal="left" vertical="center"/>
    </xf>
    <xf numFmtId="0" fontId="73" fillId="35" borderId="80" xfId="63" applyFont="1" applyFill="1" applyBorder="1" applyAlignment="1">
      <alignment horizontal="left" vertical="center"/>
    </xf>
    <xf numFmtId="0" fontId="73" fillId="35" borderId="81" xfId="63" applyFont="1" applyFill="1" applyBorder="1" applyAlignment="1">
      <alignment horizontal="left" vertical="center"/>
    </xf>
    <xf numFmtId="0" fontId="73" fillId="35" borderId="82" xfId="63" applyFont="1" applyFill="1" applyBorder="1" applyAlignment="1">
      <alignment horizontal="left" vertical="center"/>
    </xf>
    <xf numFmtId="0" fontId="73" fillId="35" borderId="83" xfId="63" applyFont="1" applyFill="1" applyBorder="1" applyAlignment="1">
      <alignment horizontal="left" vertical="center"/>
    </xf>
    <xf numFmtId="0" fontId="27" fillId="0" borderId="84" xfId="0" applyFont="1" applyBorder="1" applyAlignment="1">
      <alignment horizontal="left" vertical="center"/>
    </xf>
    <xf numFmtId="0" fontId="30" fillId="0" borderId="84" xfId="0" applyFont="1" applyBorder="1" applyAlignment="1">
      <alignment horizontal="left" vertical="center"/>
    </xf>
    <xf numFmtId="0" fontId="30" fillId="0" borderId="84" xfId="0" applyFont="1" applyBorder="1" applyAlignment="1">
      <alignment horizontal="left"/>
    </xf>
    <xf numFmtId="0" fontId="30" fillId="0" borderId="84" xfId="0" applyFont="1" applyBorder="1" applyAlignment="1">
      <alignment horizontal="center" vertical="center"/>
    </xf>
    <xf numFmtId="0" fontId="73" fillId="36" borderId="79" xfId="63" applyFont="1" applyFill="1" applyBorder="1" applyAlignment="1">
      <alignment horizontal="left" vertical="center"/>
    </xf>
    <xf numFmtId="0" fontId="73" fillId="36" borderId="80" xfId="63" applyFont="1" applyFill="1" applyBorder="1" applyAlignment="1">
      <alignment horizontal="left" vertical="center"/>
    </xf>
    <xf numFmtId="0" fontId="73" fillId="36" borderId="81" xfId="63" applyFont="1" applyFill="1" applyBorder="1" applyAlignment="1">
      <alignment horizontal="left" vertical="center"/>
    </xf>
    <xf numFmtId="0" fontId="73" fillId="36" borderId="82" xfId="63" applyFont="1" applyFill="1" applyBorder="1" applyAlignment="1">
      <alignment horizontal="left" vertical="center"/>
    </xf>
    <xf numFmtId="0" fontId="73" fillId="36" borderId="83" xfId="63" applyFont="1" applyFill="1" applyBorder="1" applyAlignment="1">
      <alignment horizontal="left" vertical="center"/>
    </xf>
    <xf numFmtId="0" fontId="30" fillId="0" borderId="36" xfId="63" applyFont="1" applyBorder="1" applyAlignment="1">
      <alignment horizontal="left" vertical="center"/>
    </xf>
    <xf numFmtId="0" fontId="0" fillId="30" borderId="85" xfId="0" applyFill="1" applyBorder="1"/>
    <xf numFmtId="0" fontId="11" fillId="0" borderId="0" xfId="0" applyFont="1" applyAlignment="1">
      <alignment horizontal="right"/>
    </xf>
    <xf numFmtId="0" fontId="0" fillId="0" borderId="85" xfId="0" applyBorder="1"/>
    <xf numFmtId="0" fontId="0" fillId="0" borderId="86" xfId="0" applyBorder="1"/>
    <xf numFmtId="0" fontId="0" fillId="0" borderId="87" xfId="0" applyBorder="1"/>
    <xf numFmtId="0" fontId="0" fillId="34" borderId="65" xfId="0" applyFill="1" applyBorder="1"/>
    <xf numFmtId="0" fontId="0" fillId="34" borderId="66" xfId="0" applyFill="1" applyBorder="1"/>
    <xf numFmtId="2" fontId="0" fillId="34" borderId="72" xfId="0" applyNumberFormat="1" applyFill="1" applyBorder="1"/>
    <xf numFmtId="0" fontId="0" fillId="0" borderId="88" xfId="0" applyBorder="1"/>
    <xf numFmtId="0" fontId="0" fillId="34" borderId="89" xfId="0" applyFill="1" applyBorder="1"/>
    <xf numFmtId="0" fontId="0" fillId="34" borderId="85" xfId="0" applyFill="1" applyBorder="1"/>
    <xf numFmtId="2" fontId="0" fillId="34" borderId="90" xfId="0" applyNumberFormat="1" applyFill="1" applyBorder="1"/>
    <xf numFmtId="0" fontId="0" fillId="34" borderId="91" xfId="0" applyFill="1" applyBorder="1"/>
    <xf numFmtId="0" fontId="0" fillId="34" borderId="92" xfId="0" applyFill="1" applyBorder="1"/>
    <xf numFmtId="2" fontId="0" fillId="34" borderId="93" xfId="0" applyNumberFormat="1" applyFill="1" applyBorder="1"/>
    <xf numFmtId="0" fontId="58" fillId="6" borderId="60" xfId="0" applyFont="1" applyFill="1" applyBorder="1" applyAlignment="1">
      <alignment horizontal="left" vertical="center"/>
    </xf>
    <xf numFmtId="0" fontId="30" fillId="0" borderId="45" xfId="0" applyFont="1" applyBorder="1" applyAlignment="1">
      <alignment horizontal="left" vertical="center"/>
    </xf>
    <xf numFmtId="0" fontId="30" fillId="0" borderId="89" xfId="0" applyFont="1" applyBorder="1" applyAlignment="1">
      <alignment horizontal="left" vertical="center"/>
    </xf>
    <xf numFmtId="0" fontId="30" fillId="0" borderId="85" xfId="0" applyFont="1" applyBorder="1" applyAlignment="1">
      <alignment horizontal="left" vertical="center"/>
    </xf>
    <xf numFmtId="0" fontId="30" fillId="0" borderId="91" xfId="0" applyFont="1" applyBorder="1" applyAlignment="1">
      <alignment horizontal="left" vertical="center"/>
    </xf>
    <xf numFmtId="0" fontId="30" fillId="0" borderId="92" xfId="0" applyFont="1" applyBorder="1" applyAlignment="1">
      <alignment horizontal="left" vertical="center"/>
    </xf>
    <xf numFmtId="0" fontId="58" fillId="6" borderId="68" xfId="0" applyFont="1" applyFill="1" applyBorder="1" applyAlignment="1">
      <alignment horizontal="left" vertical="center"/>
    </xf>
    <xf numFmtId="0" fontId="58" fillId="6" borderId="69" xfId="0" applyFont="1" applyFill="1" applyBorder="1" applyAlignment="1">
      <alignment horizontal="left" vertical="center" wrapText="1"/>
    </xf>
    <xf numFmtId="0" fontId="58" fillId="6" borderId="70" xfId="0" applyFont="1" applyFill="1" applyBorder="1" applyAlignment="1">
      <alignment vertical="center" wrapText="1"/>
    </xf>
    <xf numFmtId="0" fontId="30" fillId="0" borderId="65" xfId="0" applyFont="1" applyBorder="1" applyAlignment="1">
      <alignment vertical="center"/>
    </xf>
    <xf numFmtId="0" fontId="30" fillId="0" borderId="72" xfId="0" applyFont="1" applyBorder="1"/>
    <xf numFmtId="0" fontId="30" fillId="0" borderId="89" xfId="0" applyFont="1" applyBorder="1" applyAlignment="1">
      <alignment vertical="center"/>
    </xf>
    <xf numFmtId="0" fontId="30" fillId="0" borderId="85" xfId="0" applyFont="1" applyBorder="1"/>
    <xf numFmtId="0" fontId="30" fillId="0" borderId="90" xfId="0" applyFont="1" applyBorder="1"/>
    <xf numFmtId="0" fontId="30" fillId="0" borderId="85" xfId="0" applyFont="1" applyBorder="1" applyAlignment="1">
      <alignment vertical="center"/>
    </xf>
    <xf numFmtId="0" fontId="30" fillId="0" borderId="90" xfId="0" applyFont="1" applyBorder="1" applyAlignment="1">
      <alignment vertical="center"/>
    </xf>
    <xf numFmtId="0" fontId="30" fillId="0" borderId="91" xfId="0" applyFont="1" applyBorder="1" applyAlignment="1">
      <alignment vertical="center"/>
    </xf>
    <xf numFmtId="0" fontId="30" fillId="0" borderId="92" xfId="0" applyFont="1" applyBorder="1" applyAlignment="1">
      <alignment vertical="center"/>
    </xf>
    <xf numFmtId="0" fontId="30" fillId="0" borderId="93" xfId="0" applyFont="1" applyBorder="1" applyAlignment="1">
      <alignment vertical="center"/>
    </xf>
    <xf numFmtId="0" fontId="76" fillId="0" borderId="0" xfId="64" applyAlignment="1" applyProtection="1"/>
    <xf numFmtId="0" fontId="29" fillId="32" borderId="70" xfId="0" applyFont="1" applyFill="1" applyBorder="1" applyAlignment="1">
      <alignment horizontal="center" vertical="center" wrapText="1"/>
    </xf>
    <xf numFmtId="0" fontId="30" fillId="0" borderId="87" xfId="0" applyFont="1" applyBorder="1" applyAlignment="1">
      <alignment horizontal="left" vertical="center" wrapText="1"/>
    </xf>
    <xf numFmtId="0" fontId="30" fillId="0" borderId="98" xfId="0" applyFont="1" applyBorder="1" applyAlignment="1">
      <alignment horizontal="left" vertical="center" wrapText="1"/>
    </xf>
    <xf numFmtId="0" fontId="61" fillId="5" borderId="0" xfId="0" applyFont="1" applyFill="1" applyAlignment="1">
      <alignment horizontal="center" vertical="center" wrapText="1"/>
    </xf>
    <xf numFmtId="0" fontId="62" fillId="5" borderId="0" xfId="0" applyFont="1" applyFill="1" applyAlignment="1">
      <alignment vertical="center"/>
    </xf>
    <xf numFmtId="0" fontId="61" fillId="0" borderId="0" xfId="0" applyFont="1" applyAlignment="1">
      <alignment vertical="center"/>
    </xf>
    <xf numFmtId="0" fontId="58" fillId="32" borderId="35" xfId="0" applyFont="1" applyFill="1" applyBorder="1" applyAlignment="1">
      <alignment vertical="center"/>
    </xf>
    <xf numFmtId="0" fontId="58" fillId="0" borderId="15" xfId="0" applyFont="1" applyBorder="1" applyAlignment="1">
      <alignment vertical="center"/>
    </xf>
    <xf numFmtId="0" fontId="58" fillId="0" borderId="46" xfId="0" applyFont="1" applyBorder="1" applyAlignment="1">
      <alignment vertical="center"/>
    </xf>
    <xf numFmtId="0" fontId="58" fillId="0" borderId="47" xfId="0" applyFont="1" applyBorder="1" applyAlignment="1">
      <alignment vertical="center"/>
    </xf>
    <xf numFmtId="0" fontId="58" fillId="0" borderId="9" xfId="0" applyFont="1" applyBorder="1" applyAlignment="1">
      <alignment vertical="center"/>
    </xf>
    <xf numFmtId="0" fontId="58" fillId="0" borderId="11" xfId="0" applyFont="1" applyBorder="1" applyAlignment="1">
      <alignment vertical="center"/>
    </xf>
    <xf numFmtId="0" fontId="58" fillId="0" borderId="12" xfId="0" applyFont="1" applyBorder="1" applyAlignment="1">
      <alignment vertical="center"/>
    </xf>
    <xf numFmtId="0" fontId="58" fillId="0" borderId="0" xfId="0" applyFont="1" applyAlignment="1">
      <alignment vertical="center"/>
    </xf>
    <xf numFmtId="0" fontId="58" fillId="0" borderId="49" xfId="0" applyFont="1" applyBorder="1" applyAlignment="1">
      <alignment vertical="center"/>
    </xf>
    <xf numFmtId="0" fontId="58" fillId="0" borderId="51" xfId="0" applyFont="1" applyBorder="1" applyAlignment="1">
      <alignment vertical="center"/>
    </xf>
    <xf numFmtId="0" fontId="58" fillId="0" borderId="52" xfId="0" applyFont="1" applyBorder="1" applyAlignment="1">
      <alignment vertical="center"/>
    </xf>
    <xf numFmtId="0" fontId="30" fillId="0" borderId="12" xfId="0" applyFont="1" applyBorder="1" applyAlignment="1">
      <alignment vertical="center"/>
    </xf>
    <xf numFmtId="0" fontId="10" fillId="0" borderId="0" xfId="0" applyFont="1" applyAlignment="1">
      <alignment vertical="center"/>
    </xf>
    <xf numFmtId="0" fontId="29" fillId="32" borderId="70" xfId="0" applyFont="1" applyFill="1" applyBorder="1" applyAlignment="1">
      <alignment vertical="center"/>
    </xf>
    <xf numFmtId="0" fontId="30" fillId="0" borderId="66" xfId="0" applyFont="1" applyBorder="1" applyAlignment="1">
      <alignment vertical="center"/>
    </xf>
    <xf numFmtId="0" fontId="58" fillId="0" borderId="67" xfId="0" applyFont="1" applyBorder="1" applyAlignment="1">
      <alignment vertical="center"/>
    </xf>
    <xf numFmtId="0" fontId="58" fillId="32" borderId="69" xfId="0" applyFont="1" applyFill="1" applyBorder="1" applyAlignment="1">
      <alignment horizontal="left" vertical="center" wrapText="1"/>
    </xf>
    <xf numFmtId="0" fontId="30" fillId="0" borderId="66" xfId="0" applyFont="1" applyBorder="1" applyAlignment="1">
      <alignment horizontal="left" vertical="center" wrapText="1"/>
    </xf>
    <xf numFmtId="0" fontId="30" fillId="0" borderId="73" xfId="0" applyFont="1" applyBorder="1" applyAlignment="1">
      <alignment horizontal="left" vertical="center" wrapText="1"/>
    </xf>
    <xf numFmtId="0" fontId="16" fillId="0" borderId="0" xfId="0" applyFont="1" applyAlignment="1">
      <alignment horizontal="left" vertical="center" wrapText="1"/>
    </xf>
    <xf numFmtId="0" fontId="58" fillId="32" borderId="16" xfId="0" applyFont="1" applyFill="1" applyBorder="1" applyAlignment="1">
      <alignment horizontal="left" vertical="center" wrapText="1"/>
    </xf>
    <xf numFmtId="164" fontId="30" fillId="0" borderId="66" xfId="0" applyNumberFormat="1" applyFont="1" applyBorder="1" applyAlignment="1">
      <alignment horizontal="left" vertical="center" wrapText="1"/>
    </xf>
    <xf numFmtId="164" fontId="30" fillId="0" borderId="47" xfId="0" applyNumberFormat="1" applyFont="1" applyBorder="1" applyAlignment="1">
      <alignment horizontal="left" vertical="center" wrapText="1"/>
    </xf>
    <xf numFmtId="164" fontId="30" fillId="0" borderId="51" xfId="0" applyNumberFormat="1" applyFont="1" applyBorder="1" applyAlignment="1">
      <alignment horizontal="left" vertical="center" wrapText="1"/>
    </xf>
    <xf numFmtId="0" fontId="0" fillId="0" borderId="0" xfId="0" quotePrefix="1" applyAlignment="1">
      <alignment horizontal="left" vertical="center" wrapText="1"/>
    </xf>
    <xf numFmtId="0" fontId="0" fillId="5" borderId="0" xfId="0" applyFill="1" applyAlignment="1">
      <alignment horizontal="left" vertical="center" wrapText="1"/>
    </xf>
    <xf numFmtId="164" fontId="0" fillId="5" borderId="0" xfId="0" applyNumberFormat="1" applyFill="1" applyAlignment="1">
      <alignment horizontal="center" vertical="center"/>
    </xf>
    <xf numFmtId="0" fontId="0" fillId="5" borderId="0" xfId="0" applyFill="1" applyAlignment="1">
      <alignment horizontal="center" vertical="center"/>
    </xf>
    <xf numFmtId="0" fontId="0" fillId="5" borderId="0" xfId="0" applyFill="1" applyAlignment="1">
      <alignment vertical="center"/>
    </xf>
    <xf numFmtId="0" fontId="27" fillId="0" borderId="66" xfId="0" applyFont="1" applyBorder="1" applyAlignment="1">
      <alignment horizontal="center" vertical="center"/>
    </xf>
    <xf numFmtId="0" fontId="27" fillId="0" borderId="73" xfId="0" applyFont="1" applyBorder="1" applyAlignment="1">
      <alignment horizontal="left" vertical="center" wrapText="1"/>
    </xf>
    <xf numFmtId="0" fontId="27" fillId="0" borderId="73" xfId="0" applyFont="1" applyBorder="1" applyAlignment="1">
      <alignment horizontal="center" vertical="center"/>
    </xf>
    <xf numFmtId="0" fontId="27" fillId="0" borderId="73" xfId="0" applyFont="1" applyBorder="1" applyAlignment="1">
      <alignment vertical="center"/>
    </xf>
    <xf numFmtId="0" fontId="27" fillId="0" borderId="75" xfId="0" applyFont="1" applyBorder="1" applyAlignment="1">
      <alignment vertical="center"/>
    </xf>
    <xf numFmtId="0" fontId="27" fillId="0" borderId="45" xfId="0" applyFont="1" applyBorder="1" applyAlignment="1">
      <alignment horizontal="left" vertical="center"/>
    </xf>
    <xf numFmtId="0" fontId="27" fillId="0" borderId="15" xfId="0" quotePrefix="1" applyFont="1" applyBorder="1" applyAlignment="1">
      <alignment horizontal="left" vertical="center" wrapText="1"/>
    </xf>
    <xf numFmtId="0" fontId="27" fillId="0" borderId="15" xfId="0" applyFont="1" applyBorder="1" applyAlignment="1">
      <alignment vertical="center"/>
    </xf>
    <xf numFmtId="0" fontId="27" fillId="0" borderId="46" xfId="0" applyFont="1" applyBorder="1" applyAlignment="1">
      <alignment vertical="center"/>
    </xf>
    <xf numFmtId="0" fontId="27" fillId="0" borderId="47" xfId="0" quotePrefix="1" applyFont="1" applyBorder="1" applyAlignment="1">
      <alignment horizontal="left" vertical="center" wrapText="1"/>
    </xf>
    <xf numFmtId="0" fontId="27" fillId="0" borderId="49" xfId="0" applyFont="1" applyBorder="1" applyAlignment="1">
      <alignment vertical="center"/>
    </xf>
    <xf numFmtId="0" fontId="27" fillId="0" borderId="51" xfId="0" quotePrefix="1" applyFont="1" applyBorder="1" applyAlignment="1">
      <alignment horizontal="left" vertical="center" wrapText="1"/>
    </xf>
    <xf numFmtId="0" fontId="27" fillId="0" borderId="52" xfId="0" applyFont="1" applyBorder="1" applyAlignment="1">
      <alignment vertical="center"/>
    </xf>
    <xf numFmtId="0" fontId="27" fillId="0" borderId="0" xfId="0" quotePrefix="1" applyFont="1" applyAlignment="1">
      <alignment horizontal="left" vertical="center" wrapText="1"/>
    </xf>
    <xf numFmtId="0" fontId="27" fillId="0" borderId="0" xfId="0" applyFont="1" applyAlignment="1">
      <alignment vertical="center"/>
    </xf>
    <xf numFmtId="164" fontId="0" fillId="0" borderId="0" xfId="0" applyNumberFormat="1" applyAlignment="1">
      <alignment horizontal="center" vertical="center"/>
    </xf>
    <xf numFmtId="0" fontId="30" fillId="0" borderId="73" xfId="0" applyFont="1" applyBorder="1" applyAlignment="1">
      <alignment horizontal="center" vertical="center"/>
    </xf>
    <xf numFmtId="0" fontId="49" fillId="0" borderId="66" xfId="3" applyNumberFormat="1" applyFont="1" applyBorder="1" applyAlignment="1">
      <alignment horizontal="center" vertical="center" wrapText="1"/>
    </xf>
    <xf numFmtId="0" fontId="49" fillId="0" borderId="47" xfId="3" applyNumberFormat="1" applyFont="1" applyBorder="1" applyAlignment="1">
      <alignment horizontal="center" vertical="center" wrapText="1"/>
    </xf>
    <xf numFmtId="0" fontId="48" fillId="0" borderId="47" xfId="3" applyNumberFormat="1" applyFont="1" applyBorder="1" applyAlignment="1">
      <alignment horizontal="center" vertical="center" wrapText="1"/>
    </xf>
    <xf numFmtId="0" fontId="49" fillId="0" borderId="51" xfId="3" applyNumberFormat="1" applyFont="1" applyBorder="1" applyAlignment="1">
      <alignment horizontal="center" vertical="center" wrapText="1"/>
    </xf>
    <xf numFmtId="0" fontId="49" fillId="0" borderId="47" xfId="3" quotePrefix="1" applyNumberFormat="1" applyFont="1" applyBorder="1" applyAlignment="1">
      <alignment horizontal="center" vertical="center" wrapText="1"/>
    </xf>
    <xf numFmtId="0" fontId="48" fillId="0" borderId="51" xfId="3" applyNumberFormat="1" applyFont="1" applyBorder="1" applyAlignment="1">
      <alignment horizontal="center" vertical="center" wrapText="1"/>
    </xf>
    <xf numFmtId="0" fontId="49" fillId="31" borderId="47" xfId="3" applyNumberFormat="1" applyFont="1" applyFill="1" applyBorder="1" applyAlignment="1">
      <alignment horizontal="center" vertical="center" wrapText="1"/>
    </xf>
    <xf numFmtId="0" fontId="48" fillId="29" borderId="66" xfId="3" quotePrefix="1" applyNumberFormat="1" applyFont="1" applyFill="1" applyBorder="1" applyAlignment="1">
      <alignment horizontal="left" vertical="center" wrapText="1"/>
    </xf>
    <xf numFmtId="0" fontId="48" fillId="29" borderId="47" xfId="3" quotePrefix="1" applyNumberFormat="1" applyFont="1" applyFill="1" applyBorder="1" applyAlignment="1">
      <alignment horizontal="left" vertical="center" wrapText="1"/>
    </xf>
    <xf numFmtId="0" fontId="26" fillId="29" borderId="47" xfId="3" quotePrefix="1" applyNumberFormat="1" applyFill="1" applyBorder="1" applyAlignment="1">
      <alignment horizontal="left" vertical="center" wrapText="1"/>
    </xf>
    <xf numFmtId="0" fontId="48" fillId="29" borderId="51" xfId="3" quotePrefix="1" applyNumberFormat="1" applyFont="1" applyFill="1" applyBorder="1" applyAlignment="1">
      <alignment horizontal="left" vertical="center" wrapText="1"/>
    </xf>
    <xf numFmtId="0" fontId="54" fillId="0" borderId="0" xfId="3" applyFont="1" applyBorder="1" applyAlignment="1">
      <alignment horizontal="center" vertical="center" wrapText="1"/>
    </xf>
    <xf numFmtId="0" fontId="58" fillId="6" borderId="57" xfId="0" applyFont="1" applyFill="1" applyBorder="1" applyAlignment="1">
      <alignment horizontal="left" vertical="center" wrapText="1"/>
    </xf>
    <xf numFmtId="0" fontId="58" fillId="6" borderId="63" xfId="0" applyFont="1" applyFill="1" applyBorder="1" applyAlignment="1">
      <alignment horizontal="left" vertical="center" wrapText="1"/>
    </xf>
    <xf numFmtId="0" fontId="58" fillId="6" borderId="3" xfId="0" applyFont="1" applyFill="1" applyBorder="1" applyAlignment="1">
      <alignment horizontal="left" vertical="center" wrapText="1"/>
    </xf>
    <xf numFmtId="0" fontId="30" fillId="0" borderId="71" xfId="0" applyFont="1" applyBorder="1" applyAlignment="1">
      <alignment horizontal="left" vertical="center"/>
    </xf>
    <xf numFmtId="0" fontId="30" fillId="0" borderId="94" xfId="0" applyFont="1" applyBorder="1" applyAlignment="1">
      <alignment horizontal="left" vertical="center"/>
    </xf>
    <xf numFmtId="0" fontId="30" fillId="0" borderId="95" xfId="0" applyFont="1" applyBorder="1" applyAlignment="1">
      <alignment horizontal="left" vertical="center"/>
    </xf>
    <xf numFmtId="0" fontId="30" fillId="0" borderId="87" xfId="0" applyFont="1" applyBorder="1" applyAlignment="1">
      <alignment horizontal="left" vertical="center"/>
    </xf>
    <xf numFmtId="0" fontId="30" fillId="0" borderId="96" xfId="0" applyFont="1" applyBorder="1" applyAlignment="1">
      <alignment horizontal="left" vertical="center"/>
    </xf>
    <xf numFmtId="0" fontId="30" fillId="0" borderId="97" xfId="0" applyFont="1" applyBorder="1" applyAlignment="1">
      <alignment horizontal="left" vertical="center"/>
    </xf>
    <xf numFmtId="0" fontId="0" fillId="0" borderId="0" xfId="0" applyAlignment="1">
      <alignment horizontal="left" wrapText="1"/>
    </xf>
    <xf numFmtId="0" fontId="30" fillId="0" borderId="98" xfId="0" applyFont="1" applyBorder="1" applyAlignment="1">
      <alignment horizontal="left" vertical="center"/>
    </xf>
    <xf numFmtId="0" fontId="30" fillId="0" borderId="99" xfId="0" applyFont="1" applyBorder="1" applyAlignment="1">
      <alignment horizontal="left" vertical="center"/>
    </xf>
    <xf numFmtId="0" fontId="30" fillId="0" borderId="100" xfId="0" applyFont="1" applyBorder="1" applyAlignment="1">
      <alignment horizontal="left" vertical="center"/>
    </xf>
    <xf numFmtId="0" fontId="23" fillId="3" borderId="20" xfId="0" applyFont="1" applyFill="1" applyBorder="1" applyAlignment="1">
      <alignment horizontal="center" vertical="top" wrapText="1"/>
    </xf>
    <xf numFmtId="0" fontId="23" fillId="3" borderId="0" xfId="0" applyFont="1" applyFill="1" applyAlignment="1">
      <alignment horizontal="center" vertical="top" wrapText="1"/>
    </xf>
    <xf numFmtId="0" fontId="23" fillId="3" borderId="21" xfId="0" applyFont="1" applyFill="1" applyBorder="1" applyAlignment="1">
      <alignment horizontal="center" vertical="top" wrapText="1"/>
    </xf>
    <xf numFmtId="0" fontId="23" fillId="3" borderId="22" xfId="0" applyFont="1" applyFill="1" applyBorder="1" applyAlignment="1">
      <alignment wrapText="1"/>
    </xf>
    <xf numFmtId="0" fontId="23" fillId="3" borderId="23" xfId="0" applyFont="1" applyFill="1" applyBorder="1" applyAlignment="1">
      <alignment wrapText="1"/>
    </xf>
    <xf numFmtId="0" fontId="23" fillId="3" borderId="24" xfId="0" applyFont="1" applyFill="1" applyBorder="1" applyAlignment="1">
      <alignment wrapText="1"/>
    </xf>
    <xf numFmtId="0" fontId="0" fillId="2" borderId="0" xfId="0" applyFill="1" applyAlignment="1">
      <alignment wrapText="1"/>
    </xf>
  </cellXfs>
  <cellStyles count="65">
    <cellStyle name="20% - 1. jelölőszín" xfId="4"/>
    <cellStyle name="20% - 2. jelölőszín" xfId="5"/>
    <cellStyle name="20% - 3. jelölőszín" xfId="6"/>
    <cellStyle name="20% - 4. jelölőszín" xfId="7"/>
    <cellStyle name="20% - 5. jelölőszín" xfId="8"/>
    <cellStyle name="20% - 6. jelölőszín" xfId="9"/>
    <cellStyle name="40% - 1. jelölőszín" xfId="10"/>
    <cellStyle name="40% - 2. jelölőszín" xfId="11"/>
    <cellStyle name="40% - 3. jelölőszín" xfId="12"/>
    <cellStyle name="40% - 4. jelölőszín" xfId="13"/>
    <cellStyle name="40% - 5. jelölőszín" xfId="14"/>
    <cellStyle name="40% - 6. jelölőszín" xfId="15"/>
    <cellStyle name="60% - 1. jelölőszín" xfId="16"/>
    <cellStyle name="60% - 2. jelölőszín" xfId="17"/>
    <cellStyle name="60% - 3. jelölőszín" xfId="18"/>
    <cellStyle name="60% - 4. jelölőszín" xfId="19"/>
    <cellStyle name="60% - 5. jelölőszín" xfId="20"/>
    <cellStyle name="60% - 6. jelölőszín" xfId="21"/>
    <cellStyle name="Bevitel" xfId="22"/>
    <cellStyle name="Cím" xfId="23"/>
    <cellStyle name="Címsor 1" xfId="24"/>
    <cellStyle name="Címsor 2" xfId="25"/>
    <cellStyle name="Címsor 3" xfId="26"/>
    <cellStyle name="Címsor 4" xfId="27"/>
    <cellStyle name="Ellenőrzőcella" xfId="28"/>
    <cellStyle name="Figyelmeztetés" xfId="29"/>
    <cellStyle name="Hivatkozás" xfId="64" builtinId="8"/>
    <cellStyle name="Hivatkozott cella" xfId="30"/>
    <cellStyle name="Jegyzet" xfId="31"/>
    <cellStyle name="Jelölőszín (1)" xfId="32"/>
    <cellStyle name="Jelölőszín (2)" xfId="33"/>
    <cellStyle name="Jelölőszín (3)" xfId="34"/>
    <cellStyle name="Jelölőszín (4)" xfId="35"/>
    <cellStyle name="Jelölőszín (5)" xfId="36"/>
    <cellStyle name="Jelölőszín (6)" xfId="37"/>
    <cellStyle name="Jó" xfId="38"/>
    <cellStyle name="Kimenet" xfId="39"/>
    <cellStyle name="Magyarázó szöveg" xfId="40"/>
    <cellStyle name="Normál" xfId="0" builtinId="0"/>
    <cellStyle name="Normal 10" xfId="59"/>
    <cellStyle name="Normal 11 2" xfId="60"/>
    <cellStyle name="Normal 11 2 2" xfId="63"/>
    <cellStyle name="Normal 2" xfId="1"/>
    <cellStyle name="Normál 2" xfId="52"/>
    <cellStyle name="Normal 2 2" xfId="47"/>
    <cellStyle name="Normal 2 3" xfId="50"/>
    <cellStyle name="Normal 3" xfId="48"/>
    <cellStyle name="Normal 3 2" xfId="53"/>
    <cellStyle name="Normal 3 5" xfId="61"/>
    <cellStyle name="Normal 4" xfId="49"/>
    <cellStyle name="Normal 4 2" xfId="54"/>
    <cellStyle name="Normal 4 3" xfId="55"/>
    <cellStyle name="Normal 4 6" xfId="62"/>
    <cellStyle name="Normal 5" xfId="56"/>
    <cellStyle name="Normal 6" xfId="57"/>
    <cellStyle name="Normal 7" xfId="58"/>
    <cellStyle name="Normal 8" xfId="51"/>
    <cellStyle name="Normal_ASM1" xfId="2"/>
    <cellStyle name="Normal_Kinetic matrix" xfId="3"/>
    <cellStyle name="Normal_Parameters" xfId="46"/>
    <cellStyle name="Normal_States_1" xfId="45"/>
    <cellStyle name="Összesen" xfId="41"/>
    <cellStyle name="Rossz" xfId="42"/>
    <cellStyle name="Semleges" xfId="43"/>
    <cellStyle name="Számítás" xfId="44"/>
  </cellStyles>
  <dxfs count="2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66675</xdr:colOff>
      <xdr:row>0</xdr:row>
      <xdr:rowOff>76200</xdr:rowOff>
    </xdr:from>
    <xdr:to>
      <xdr:col>4</xdr:col>
      <xdr:colOff>1066800</xdr:colOff>
      <xdr:row>0</xdr:row>
      <xdr:rowOff>476250</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2019300" y="76200"/>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234</xdr:row>
      <xdr:rowOff>58232</xdr:rowOff>
    </xdr:from>
    <xdr:ext cx="5000625" cy="833438"/>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230</xdr:row>
      <xdr:rowOff>80341</xdr:rowOff>
    </xdr:from>
    <xdr:ext cx="3455193" cy="622300"/>
    <xdr:pic>
      <xdr:nvPicPr>
        <xdr:cNvPr id="14" name="Picture 2">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142</xdr:row>
      <xdr:rowOff>114300</xdr:rowOff>
    </xdr:from>
    <xdr:to>
      <xdr:col>5</xdr:col>
      <xdr:colOff>476251</xdr:colOff>
      <xdr:row>145</xdr:row>
      <xdr:rowOff>133350</xdr:rowOff>
    </xdr:to>
    <xdr:sp macro="" textlink="">
      <xdr:nvSpPr>
        <xdr:cNvPr id="15" name="Curved Up Arrow 3">
          <a:extLst>
            <a:ext uri="{FF2B5EF4-FFF2-40B4-BE49-F238E27FC236}">
              <a16:creationId xmlns:a16="http://schemas.microsoft.com/office/drawing/2014/main" id="{00000000-0008-0000-0000-00000F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327670</xdr:colOff>
      <xdr:row>10</xdr:row>
      <xdr:rowOff>40008</xdr:rowOff>
    </xdr:to>
    <xdr:pic>
      <xdr:nvPicPr>
        <xdr:cNvPr id="3" name="Kép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91325"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xdr:colOff>
      <xdr:row>0</xdr:row>
      <xdr:rowOff>59531</xdr:rowOff>
    </xdr:from>
    <xdr:to>
      <xdr:col>2</xdr:col>
      <xdr:colOff>392906</xdr:colOff>
      <xdr:row>0</xdr:row>
      <xdr:rowOff>591344</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83406" y="59531"/>
          <a:ext cx="1547813"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unused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377296</xdr:colOff>
      <xdr:row>0</xdr:row>
      <xdr:rowOff>595313</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122464</xdr:colOff>
      <xdr:row>0</xdr:row>
      <xdr:rowOff>81642</xdr:rowOff>
    </xdr:from>
    <xdr:to>
      <xdr:col>3</xdr:col>
      <xdr:colOff>1559946</xdr:colOff>
      <xdr:row>0</xdr:row>
      <xdr:rowOff>613455</xdr:rowOff>
    </xdr:to>
    <xdr:sp macro="" textlink="">
      <xdr:nvSpPr>
        <xdr:cNvPr id="3" name="bt_chkcont">
          <a:extLst>
            <a:ext uri="{FF2B5EF4-FFF2-40B4-BE49-F238E27FC236}">
              <a16:creationId xmlns:a16="http://schemas.microsoft.com/office/drawing/2014/main" id="{00000000-0008-0000-0200-000003000000}"/>
            </a:ext>
          </a:extLst>
        </xdr:cNvPr>
        <xdr:cNvSpPr/>
      </xdr:nvSpPr>
      <xdr:spPr>
        <a:xfrm>
          <a:off x="2013857" y="81642"/>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295275</xdr:colOff>
      <xdr:row>0</xdr:row>
      <xdr:rowOff>466725</xdr:rowOff>
    </xdr:to>
    <xdr:sp macro="[0]!bt_pewpph" textlink="">
      <xdr:nvSpPr>
        <xdr:cNvPr id="2" name="bt_prepph">
          <a:extLst>
            <a:ext uri="{FF2B5EF4-FFF2-40B4-BE49-F238E27FC236}">
              <a16:creationId xmlns:a16="http://schemas.microsoft.com/office/drawing/2014/main" id="{00000000-0008-0000-03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653693</xdr:colOff>
      <xdr:row>0</xdr:row>
      <xdr:rowOff>523875</xdr:rowOff>
    </xdr:to>
    <xdr:sp macro="[0]!bt_crkinma_click" textlink="">
      <xdr:nvSpPr>
        <xdr:cNvPr id="2" name="bt_crkinma">
          <a:extLst>
            <a:ext uri="{FF2B5EF4-FFF2-40B4-BE49-F238E27FC236}">
              <a16:creationId xmlns:a16="http://schemas.microsoft.com/office/drawing/2014/main" id="{00000000-0008-0000-05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17124</xdr:colOff>
      <xdr:row>0</xdr:row>
      <xdr:rowOff>95250</xdr:rowOff>
    </xdr:from>
    <xdr:to>
      <xdr:col>2</xdr:col>
      <xdr:colOff>1607906</xdr:colOff>
      <xdr:row>0</xdr:row>
      <xdr:rowOff>523875</xdr:rowOff>
    </xdr:to>
    <xdr:sp macro="[0]!bt_chkst_click" textlink="">
      <xdr:nvSpPr>
        <xdr:cNvPr id="3" name="bt_chkst">
          <a:extLst>
            <a:ext uri="{FF2B5EF4-FFF2-40B4-BE49-F238E27FC236}">
              <a16:creationId xmlns:a16="http://schemas.microsoft.com/office/drawing/2014/main" id="{00000000-0008-0000-05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6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8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432128</xdr:colOff>
      <xdr:row>0</xdr:row>
      <xdr:rowOff>552450</xdr:rowOff>
    </xdr:to>
    <xdr:sp macro="[0]!bt_calcvar" textlink="">
      <xdr:nvSpPr>
        <xdr:cNvPr id="2" name="bt_calc">
          <a:extLst>
            <a:ext uri="{FF2B5EF4-FFF2-40B4-BE49-F238E27FC236}">
              <a16:creationId xmlns:a16="http://schemas.microsoft.com/office/drawing/2014/main" id="{00000000-0008-0000-09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B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9525</xdr:colOff>
      <xdr:row>0</xdr:row>
      <xdr:rowOff>0</xdr:rowOff>
    </xdr:from>
    <xdr:to>
      <xdr:col>2</xdr:col>
      <xdr:colOff>1257300</xdr:colOff>
      <xdr:row>0</xdr:row>
      <xdr:rowOff>428625</xdr:rowOff>
    </xdr:to>
    <xdr:sp macro="[0]!bt_creqma_click" textlink="">
      <xdr:nvSpPr>
        <xdr:cNvPr id="2" name="bt_creqma">
          <a:extLst>
            <a:ext uri="{FF2B5EF4-FFF2-40B4-BE49-F238E27FC236}">
              <a16:creationId xmlns:a16="http://schemas.microsoft.com/office/drawing/2014/main" id="{00000000-0008-0000-1000-000002000000}"/>
            </a:ext>
          </a:extLst>
        </xdr:cNvPr>
        <xdr:cNvSpPr/>
      </xdr:nvSpPr>
      <xdr:spPr>
        <a:xfrm>
          <a:off x="619125"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2</xdr:col>
      <xdr:colOff>1828800</xdr:colOff>
      <xdr:row>0</xdr:row>
      <xdr:rowOff>0</xdr:rowOff>
    </xdr:from>
    <xdr:to>
      <xdr:col>5</xdr:col>
      <xdr:colOff>295275</xdr:colOff>
      <xdr:row>0</xdr:row>
      <xdr:rowOff>400050</xdr:rowOff>
    </xdr:to>
    <xdr:sp macro="[0]!bt_chksp_click" textlink="">
      <xdr:nvSpPr>
        <xdr:cNvPr id="3" name="bt_chksp">
          <a:extLst>
            <a:ext uri="{FF2B5EF4-FFF2-40B4-BE49-F238E27FC236}">
              <a16:creationId xmlns:a16="http://schemas.microsoft.com/office/drawing/2014/main" id="{00000000-0008-0000-1000-000003000000}"/>
            </a:ext>
          </a:extLst>
        </xdr:cNvPr>
        <xdr:cNvSpPr/>
      </xdr:nvSpPr>
      <xdr:spPr>
        <a:xfrm>
          <a:off x="3048000" y="0"/>
          <a:ext cx="1609725"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8.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9.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9.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4"/>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 customWidth="1"/>
    <col min="6" max="6" width="25.140625" customWidth="1"/>
    <col min="7" max="7" width="13.28515625" customWidth="1"/>
    <col min="14" max="14" width="5.140625" customWidth="1"/>
  </cols>
  <sheetData>
    <row r="1" spans="1:10" s="47" customFormat="1" ht="47.25" customHeight="1" x14ac:dyDescent="0.25"/>
    <row r="3" spans="1:10" ht="14.45" customHeight="1" x14ac:dyDescent="0.25">
      <c r="B3" s="50" t="s">
        <v>151</v>
      </c>
      <c r="C3" t="s">
        <v>984</v>
      </c>
      <c r="D3" s="435" t="s">
        <v>1823</v>
      </c>
      <c r="E3" s="435"/>
      <c r="F3" s="435"/>
    </row>
    <row r="4" spans="1:10" x14ac:dyDescent="0.25">
      <c r="D4" s="435"/>
      <c r="E4" s="435"/>
      <c r="F4" s="435"/>
    </row>
    <row r="5" spans="1:10" x14ac:dyDescent="0.25">
      <c r="D5" s="435"/>
      <c r="E5" s="435"/>
      <c r="F5" s="435"/>
      <c r="I5" s="120"/>
    </row>
    <row r="11" spans="1:10" x14ac:dyDescent="0.25">
      <c r="H11" s="361" t="s">
        <v>1824</v>
      </c>
    </row>
    <row r="13" spans="1:10" x14ac:dyDescent="0.25">
      <c r="B13" s="50" t="s">
        <v>25</v>
      </c>
      <c r="C13" s="51"/>
      <c r="H13" s="50" t="s">
        <v>210</v>
      </c>
      <c r="I13" s="51"/>
      <c r="J13" s="51"/>
    </row>
    <row r="14" spans="1:10" x14ac:dyDescent="0.25">
      <c r="A14" s="183" t="s">
        <v>1224</v>
      </c>
      <c r="H14">
        <v>1</v>
      </c>
      <c r="I14" t="s">
        <v>211</v>
      </c>
    </row>
    <row r="15" spans="1:10" x14ac:dyDescent="0.25">
      <c r="A15">
        <v>1</v>
      </c>
      <c r="B15" t="s">
        <v>1225</v>
      </c>
      <c r="H15">
        <v>2</v>
      </c>
      <c r="I15" t="s">
        <v>1825</v>
      </c>
    </row>
    <row r="16" spans="1:10" x14ac:dyDescent="0.25">
      <c r="A16">
        <v>2</v>
      </c>
      <c r="B16" t="s">
        <v>1226</v>
      </c>
    </row>
    <row r="17" spans="1:5" x14ac:dyDescent="0.25">
      <c r="B17">
        <v>1</v>
      </c>
      <c r="C17" t="s">
        <v>1227</v>
      </c>
    </row>
    <row r="18" spans="1:5" x14ac:dyDescent="0.25">
      <c r="B18">
        <v>2</v>
      </c>
      <c r="C18" t="s">
        <v>1228</v>
      </c>
    </row>
    <row r="19" spans="1:5" x14ac:dyDescent="0.25">
      <c r="B19">
        <v>3</v>
      </c>
      <c r="C19" t="s">
        <v>1229</v>
      </c>
    </row>
    <row r="20" spans="1:5" x14ac:dyDescent="0.25">
      <c r="B20">
        <v>4</v>
      </c>
      <c r="C20" t="s">
        <v>1230</v>
      </c>
    </row>
    <row r="21" spans="1:5" x14ac:dyDescent="0.25">
      <c r="B21">
        <v>5</v>
      </c>
      <c r="C21" t="s">
        <v>1231</v>
      </c>
    </row>
    <row r="22" spans="1:5" x14ac:dyDescent="0.25">
      <c r="A22">
        <v>3</v>
      </c>
      <c r="B22" t="s">
        <v>1232</v>
      </c>
    </row>
    <row r="23" spans="1:5" x14ac:dyDescent="0.25">
      <c r="C23" t="s">
        <v>1233</v>
      </c>
    </row>
    <row r="25" spans="1:5" x14ac:dyDescent="0.25">
      <c r="A25" s="1" t="s">
        <v>26</v>
      </c>
      <c r="B25" s="1" t="s">
        <v>27</v>
      </c>
    </row>
    <row r="26" spans="1:5" x14ac:dyDescent="0.25">
      <c r="B26">
        <v>1</v>
      </c>
      <c r="C26" t="s">
        <v>977</v>
      </c>
    </row>
    <row r="27" spans="1:5" x14ac:dyDescent="0.25">
      <c r="D27" t="s">
        <v>28</v>
      </c>
    </row>
    <row r="28" spans="1:5" x14ac:dyDescent="0.25">
      <c r="D28">
        <v>1</v>
      </c>
      <c r="E28" t="s">
        <v>29</v>
      </c>
    </row>
    <row r="29" spans="1:5" x14ac:dyDescent="0.25">
      <c r="D29">
        <v>2</v>
      </c>
      <c r="E29" t="s">
        <v>99</v>
      </c>
    </row>
    <row r="30" spans="1:5" x14ac:dyDescent="0.25">
      <c r="D30">
        <v>3</v>
      </c>
      <c r="E30" t="s">
        <v>152</v>
      </c>
    </row>
    <row r="31" spans="1:5" x14ac:dyDescent="0.25">
      <c r="D31">
        <v>4</v>
      </c>
      <c r="E31" t="s">
        <v>31</v>
      </c>
    </row>
    <row r="32" spans="1:5" x14ac:dyDescent="0.25">
      <c r="B32">
        <v>2</v>
      </c>
      <c r="C32" t="s">
        <v>978</v>
      </c>
    </row>
    <row r="33" spans="2:5" x14ac:dyDescent="0.25">
      <c r="D33">
        <v>1</v>
      </c>
      <c r="E33" t="s">
        <v>32</v>
      </c>
    </row>
    <row r="34" spans="2:5" x14ac:dyDescent="0.25">
      <c r="D34">
        <v>2</v>
      </c>
      <c r="E34" t="s">
        <v>153</v>
      </c>
    </row>
    <row r="35" spans="2:5" x14ac:dyDescent="0.25">
      <c r="D35">
        <v>3</v>
      </c>
      <c r="E35" t="s">
        <v>154</v>
      </c>
    </row>
    <row r="36" spans="2:5" x14ac:dyDescent="0.25">
      <c r="D36">
        <v>3</v>
      </c>
      <c r="E36" t="s">
        <v>155</v>
      </c>
    </row>
    <row r="37" spans="2:5" x14ac:dyDescent="0.25">
      <c r="D37">
        <v>4</v>
      </c>
      <c r="E37" t="s">
        <v>156</v>
      </c>
    </row>
    <row r="38" spans="2:5" x14ac:dyDescent="0.25">
      <c r="D38" s="184" t="s">
        <v>157</v>
      </c>
      <c r="E38" t="s">
        <v>34</v>
      </c>
    </row>
    <row r="39" spans="2:5" x14ac:dyDescent="0.25">
      <c r="D39">
        <v>6</v>
      </c>
      <c r="E39" t="s">
        <v>35</v>
      </c>
    </row>
    <row r="40" spans="2:5" x14ac:dyDescent="0.25">
      <c r="B40">
        <v>3</v>
      </c>
      <c r="C40" t="s">
        <v>36</v>
      </c>
    </row>
    <row r="41" spans="2:5" x14ac:dyDescent="0.25">
      <c r="D41">
        <v>1</v>
      </c>
      <c r="E41" t="s">
        <v>37</v>
      </c>
    </row>
    <row r="42" spans="2:5" x14ac:dyDescent="0.25">
      <c r="D42">
        <v>2</v>
      </c>
      <c r="E42" t="s">
        <v>38</v>
      </c>
    </row>
    <row r="43" spans="2:5" x14ac:dyDescent="0.25">
      <c r="D43">
        <v>3</v>
      </c>
      <c r="E43" t="s">
        <v>39</v>
      </c>
    </row>
    <row r="44" spans="2:5" x14ac:dyDescent="0.25">
      <c r="B44">
        <v>4</v>
      </c>
      <c r="C44" t="s">
        <v>158</v>
      </c>
    </row>
    <row r="45" spans="2:5" x14ac:dyDescent="0.25">
      <c r="D45">
        <v>1</v>
      </c>
      <c r="E45" t="s">
        <v>159</v>
      </c>
    </row>
    <row r="46" spans="2:5" x14ac:dyDescent="0.25">
      <c r="B46">
        <v>5</v>
      </c>
      <c r="C46" t="s">
        <v>978</v>
      </c>
    </row>
    <row r="47" spans="2:5" x14ac:dyDescent="0.25">
      <c r="D47">
        <v>1</v>
      </c>
      <c r="E47" t="s">
        <v>40</v>
      </c>
    </row>
    <row r="48" spans="2:5" x14ac:dyDescent="0.25">
      <c r="D48">
        <v>2</v>
      </c>
      <c r="E48" t="s">
        <v>97</v>
      </c>
    </row>
    <row r="49" spans="2:10" x14ac:dyDescent="0.25">
      <c r="D49">
        <v>3</v>
      </c>
      <c r="E49" t="s">
        <v>41</v>
      </c>
    </row>
    <row r="50" spans="2:10" x14ac:dyDescent="0.25">
      <c r="B50">
        <v>6</v>
      </c>
      <c r="C50" t="s">
        <v>1826</v>
      </c>
      <c r="J50" s="185"/>
    </row>
    <row r="51" spans="2:10" x14ac:dyDescent="0.25">
      <c r="D51">
        <v>1</v>
      </c>
      <c r="E51" t="s">
        <v>1827</v>
      </c>
    </row>
    <row r="52" spans="2:10" x14ac:dyDescent="0.25">
      <c r="D52">
        <v>2</v>
      </c>
      <c r="E52" t="s">
        <v>1828</v>
      </c>
    </row>
    <row r="53" spans="2:10" x14ac:dyDescent="0.25">
      <c r="D53">
        <v>3</v>
      </c>
      <c r="E53" t="s">
        <v>1829</v>
      </c>
    </row>
    <row r="54" spans="2:10" x14ac:dyDescent="0.25">
      <c r="D54">
        <v>4</v>
      </c>
      <c r="E54" t="s">
        <v>1830</v>
      </c>
    </row>
    <row r="56" spans="2:10" x14ac:dyDescent="0.25">
      <c r="B56" s="1" t="s">
        <v>979</v>
      </c>
    </row>
    <row r="57" spans="2:10" x14ac:dyDescent="0.25">
      <c r="B57">
        <v>1</v>
      </c>
      <c r="C57" t="s">
        <v>980</v>
      </c>
    </row>
    <row r="58" spans="2:10" x14ac:dyDescent="0.25">
      <c r="D58" t="s">
        <v>42</v>
      </c>
    </row>
    <row r="59" spans="2:10" x14ac:dyDescent="0.25">
      <c r="D59">
        <v>1</v>
      </c>
      <c r="E59" t="s">
        <v>43</v>
      </c>
    </row>
    <row r="60" spans="2:10" x14ac:dyDescent="0.25">
      <c r="D60">
        <v>2</v>
      </c>
      <c r="E60" t="s">
        <v>44</v>
      </c>
    </row>
    <row r="61" spans="2:10" x14ac:dyDescent="0.25">
      <c r="D61">
        <v>3</v>
      </c>
      <c r="E61" t="s">
        <v>117</v>
      </c>
    </row>
    <row r="62" spans="2:10" x14ac:dyDescent="0.25">
      <c r="D62">
        <v>4</v>
      </c>
      <c r="E62" t="s">
        <v>1831</v>
      </c>
    </row>
    <row r="63" spans="2:10" x14ac:dyDescent="0.25">
      <c r="B63">
        <v>2</v>
      </c>
      <c r="C63" t="s">
        <v>981</v>
      </c>
    </row>
    <row r="64" spans="2:10" x14ac:dyDescent="0.25">
      <c r="D64">
        <v>1</v>
      </c>
      <c r="E64" t="s">
        <v>160</v>
      </c>
    </row>
    <row r="65" spans="1:5" x14ac:dyDescent="0.25">
      <c r="D65">
        <v>2</v>
      </c>
      <c r="E65" t="s">
        <v>161</v>
      </c>
    </row>
    <row r="66" spans="1:5" x14ac:dyDescent="0.25">
      <c r="B66">
        <v>3</v>
      </c>
      <c r="C66" t="s">
        <v>1832</v>
      </c>
    </row>
    <row r="67" spans="1:5" x14ac:dyDescent="0.25">
      <c r="D67">
        <v>1</v>
      </c>
      <c r="E67" t="s">
        <v>1833</v>
      </c>
    </row>
    <row r="68" spans="1:5" x14ac:dyDescent="0.25">
      <c r="B68">
        <v>4</v>
      </c>
      <c r="C68" t="s">
        <v>1834</v>
      </c>
    </row>
    <row r="69" spans="1:5" x14ac:dyDescent="0.25">
      <c r="D69">
        <v>1</v>
      </c>
      <c r="E69" t="s">
        <v>1835</v>
      </c>
    </row>
    <row r="70" spans="1:5" x14ac:dyDescent="0.25">
      <c r="D70">
        <v>2</v>
      </c>
      <c r="E70" t="s">
        <v>1836</v>
      </c>
    </row>
    <row r="71" spans="1:5" x14ac:dyDescent="0.25">
      <c r="D71">
        <v>3</v>
      </c>
      <c r="E71" t="s">
        <v>1837</v>
      </c>
    </row>
    <row r="73" spans="1:5" x14ac:dyDescent="0.25">
      <c r="B73">
        <v>5</v>
      </c>
      <c r="C73" t="s">
        <v>981</v>
      </c>
    </row>
    <row r="74" spans="1:5" x14ac:dyDescent="0.25">
      <c r="D74">
        <v>1</v>
      </c>
      <c r="E74" t="s">
        <v>45</v>
      </c>
    </row>
    <row r="75" spans="1:5" x14ac:dyDescent="0.25">
      <c r="D75">
        <v>2</v>
      </c>
      <c r="E75" t="s">
        <v>162</v>
      </c>
    </row>
    <row r="77" spans="1:5" x14ac:dyDescent="0.25">
      <c r="A77" s="1" t="s">
        <v>46</v>
      </c>
      <c r="B77" s="1" t="s">
        <v>47</v>
      </c>
    </row>
    <row r="78" spans="1:5" x14ac:dyDescent="0.25">
      <c r="B78">
        <v>1</v>
      </c>
      <c r="C78" t="s">
        <v>977</v>
      </c>
    </row>
    <row r="79" spans="1:5" x14ac:dyDescent="0.25">
      <c r="D79" t="s">
        <v>28</v>
      </c>
    </row>
    <row r="80" spans="1:5" x14ac:dyDescent="0.25">
      <c r="D80">
        <v>1</v>
      </c>
      <c r="E80" t="s">
        <v>48</v>
      </c>
    </row>
    <row r="81" spans="2:6" x14ac:dyDescent="0.25">
      <c r="D81">
        <v>2</v>
      </c>
      <c r="E81" t="s">
        <v>100</v>
      </c>
    </row>
    <row r="82" spans="2:6" x14ac:dyDescent="0.25">
      <c r="D82">
        <v>3</v>
      </c>
      <c r="E82" t="s">
        <v>30</v>
      </c>
    </row>
    <row r="83" spans="2:6" x14ac:dyDescent="0.25">
      <c r="E83" s="328" t="s">
        <v>49</v>
      </c>
      <c r="F83" t="s">
        <v>50</v>
      </c>
    </row>
    <row r="84" spans="2:6" x14ac:dyDescent="0.25">
      <c r="E84" s="328" t="s">
        <v>51</v>
      </c>
      <c r="F84" t="s">
        <v>1838</v>
      </c>
    </row>
    <row r="85" spans="2:6" x14ac:dyDescent="0.25">
      <c r="F85" t="s">
        <v>52</v>
      </c>
    </row>
    <row r="86" spans="2:6" x14ac:dyDescent="0.25">
      <c r="B86">
        <v>2</v>
      </c>
      <c r="C86" t="s">
        <v>978</v>
      </c>
    </row>
    <row r="87" spans="2:6" x14ac:dyDescent="0.25">
      <c r="D87">
        <v>1</v>
      </c>
      <c r="E87" t="s">
        <v>53</v>
      </c>
    </row>
    <row r="88" spans="2:6" x14ac:dyDescent="0.25">
      <c r="D88">
        <v>2</v>
      </c>
      <c r="E88" t="s">
        <v>153</v>
      </c>
    </row>
    <row r="89" spans="2:6" x14ac:dyDescent="0.25">
      <c r="D89" s="184" t="s">
        <v>33</v>
      </c>
      <c r="E89" t="s">
        <v>34</v>
      </c>
    </row>
    <row r="90" spans="2:6" x14ac:dyDescent="0.25">
      <c r="D90">
        <v>4</v>
      </c>
      <c r="E90" t="s">
        <v>54</v>
      </c>
    </row>
    <row r="91" spans="2:6" x14ac:dyDescent="0.25">
      <c r="B91">
        <v>3</v>
      </c>
      <c r="C91" t="s">
        <v>36</v>
      </c>
    </row>
    <row r="92" spans="2:6" x14ac:dyDescent="0.25">
      <c r="D92">
        <v>1</v>
      </c>
      <c r="E92" t="s">
        <v>55</v>
      </c>
    </row>
    <row r="93" spans="2:6" x14ac:dyDescent="0.25">
      <c r="D93">
        <v>2</v>
      </c>
      <c r="E93" t="s">
        <v>38</v>
      </c>
    </row>
    <row r="94" spans="2:6" x14ac:dyDescent="0.25">
      <c r="D94">
        <v>3</v>
      </c>
      <c r="E94" t="s">
        <v>39</v>
      </c>
    </row>
    <row r="95" spans="2:6" x14ac:dyDescent="0.25">
      <c r="B95">
        <v>4</v>
      </c>
      <c r="C95" t="s">
        <v>158</v>
      </c>
    </row>
    <row r="96" spans="2:6" x14ac:dyDescent="0.25">
      <c r="D96">
        <v>1</v>
      </c>
      <c r="E96" t="s">
        <v>159</v>
      </c>
    </row>
    <row r="97" spans="2:10" x14ac:dyDescent="0.25">
      <c r="B97">
        <v>5</v>
      </c>
      <c r="C97" t="s">
        <v>978</v>
      </c>
    </row>
    <row r="98" spans="2:10" x14ac:dyDescent="0.25">
      <c r="D98">
        <v>1</v>
      </c>
      <c r="E98" t="s">
        <v>40</v>
      </c>
    </row>
    <row r="99" spans="2:10" x14ac:dyDescent="0.25">
      <c r="D99">
        <v>2</v>
      </c>
      <c r="E99" t="s">
        <v>97</v>
      </c>
    </row>
    <row r="100" spans="2:10" x14ac:dyDescent="0.25">
      <c r="D100">
        <v>3</v>
      </c>
      <c r="E100" t="s">
        <v>41</v>
      </c>
      <c r="J100" s="185"/>
    </row>
    <row r="101" spans="2:10" x14ac:dyDescent="0.25">
      <c r="B101">
        <v>6</v>
      </c>
      <c r="C101" t="s">
        <v>1826</v>
      </c>
    </row>
    <row r="102" spans="2:10" x14ac:dyDescent="0.25">
      <c r="D102">
        <v>1</v>
      </c>
      <c r="E102" t="s">
        <v>1827</v>
      </c>
    </row>
    <row r="103" spans="2:10" x14ac:dyDescent="0.25">
      <c r="D103">
        <v>2</v>
      </c>
      <c r="E103" t="s">
        <v>1828</v>
      </c>
    </row>
    <row r="104" spans="2:10" x14ac:dyDescent="0.25">
      <c r="D104">
        <v>3</v>
      </c>
      <c r="E104" t="s">
        <v>1829</v>
      </c>
    </row>
    <row r="105" spans="2:10" x14ac:dyDescent="0.25">
      <c r="D105">
        <v>4</v>
      </c>
      <c r="E105" t="s">
        <v>1830</v>
      </c>
    </row>
    <row r="106" spans="2:10" x14ac:dyDescent="0.25">
      <c r="B106" s="1" t="s">
        <v>56</v>
      </c>
    </row>
    <row r="107" spans="2:10" x14ac:dyDescent="0.25">
      <c r="B107">
        <v>1</v>
      </c>
      <c r="C107" t="s">
        <v>980</v>
      </c>
    </row>
    <row r="108" spans="2:10" x14ac:dyDescent="0.25">
      <c r="D108" t="s">
        <v>42</v>
      </c>
    </row>
    <row r="109" spans="2:10" x14ac:dyDescent="0.25">
      <c r="D109">
        <v>1</v>
      </c>
      <c r="E109" t="s">
        <v>57</v>
      </c>
    </row>
    <row r="110" spans="2:10" x14ac:dyDescent="0.25">
      <c r="D110">
        <v>2</v>
      </c>
      <c r="E110" t="s">
        <v>44</v>
      </c>
    </row>
    <row r="111" spans="2:10" x14ac:dyDescent="0.25">
      <c r="E111" s="328" t="s">
        <v>49</v>
      </c>
      <c r="F111" t="s">
        <v>58</v>
      </c>
    </row>
    <row r="112" spans="2:10" x14ac:dyDescent="0.25">
      <c r="E112" s="328" t="s">
        <v>51</v>
      </c>
      <c r="F112" t="s">
        <v>59</v>
      </c>
    </row>
    <row r="113" spans="2:6" x14ac:dyDescent="0.25">
      <c r="F113" t="s">
        <v>60</v>
      </c>
    </row>
    <row r="114" spans="2:6" x14ac:dyDescent="0.25">
      <c r="D114">
        <v>3</v>
      </c>
      <c r="E114" t="s">
        <v>1831</v>
      </c>
    </row>
    <row r="115" spans="2:6" x14ac:dyDescent="0.25">
      <c r="B115">
        <v>2</v>
      </c>
      <c r="C115" t="s">
        <v>981</v>
      </c>
    </row>
    <row r="116" spans="2:6" x14ac:dyDescent="0.25">
      <c r="D116">
        <v>1</v>
      </c>
      <c r="E116" t="s">
        <v>61</v>
      </c>
    </row>
    <row r="117" spans="2:6" x14ac:dyDescent="0.25">
      <c r="D117">
        <v>2</v>
      </c>
      <c r="E117" t="s">
        <v>161</v>
      </c>
    </row>
    <row r="118" spans="2:6" x14ac:dyDescent="0.25">
      <c r="E118" t="s">
        <v>1839</v>
      </c>
    </row>
    <row r="119" spans="2:6" x14ac:dyDescent="0.25">
      <c r="B119">
        <v>3</v>
      </c>
      <c r="C119" t="s">
        <v>1832</v>
      </c>
    </row>
    <row r="120" spans="2:6" x14ac:dyDescent="0.25">
      <c r="D120">
        <v>1</v>
      </c>
      <c r="E120" t="s">
        <v>1833</v>
      </c>
    </row>
    <row r="121" spans="2:6" x14ac:dyDescent="0.25">
      <c r="B121">
        <v>4</v>
      </c>
      <c r="C121" t="s">
        <v>1834</v>
      </c>
    </row>
    <row r="122" spans="2:6" x14ac:dyDescent="0.25">
      <c r="D122">
        <v>1</v>
      </c>
      <c r="E122" t="s">
        <v>1835</v>
      </c>
    </row>
    <row r="123" spans="2:6" x14ac:dyDescent="0.25">
      <c r="D123">
        <v>2</v>
      </c>
      <c r="E123" t="s">
        <v>1836</v>
      </c>
    </row>
    <row r="124" spans="2:6" x14ac:dyDescent="0.25">
      <c r="D124">
        <v>3</v>
      </c>
      <c r="E124" t="s">
        <v>1840</v>
      </c>
    </row>
    <row r="125" spans="2:6" x14ac:dyDescent="0.25">
      <c r="D125">
        <v>4</v>
      </c>
      <c r="E125" t="s">
        <v>1837</v>
      </c>
    </row>
    <row r="126" spans="2:6" x14ac:dyDescent="0.25">
      <c r="B126">
        <v>5</v>
      </c>
      <c r="C126" t="s">
        <v>981</v>
      </c>
    </row>
    <row r="127" spans="2:6" x14ac:dyDescent="0.25">
      <c r="D127">
        <v>1</v>
      </c>
      <c r="E127" t="s">
        <v>45</v>
      </c>
    </row>
    <row r="132" spans="2:7" x14ac:dyDescent="0.25">
      <c r="B132" s="50" t="s">
        <v>62</v>
      </c>
      <c r="C132" s="50"/>
      <c r="D132" s="50"/>
    </row>
    <row r="134" spans="2:7" x14ac:dyDescent="0.25">
      <c r="B134" s="1" t="s">
        <v>63</v>
      </c>
      <c r="C134" t="s">
        <v>64</v>
      </c>
    </row>
    <row r="135" spans="2:7" x14ac:dyDescent="0.25">
      <c r="C135" t="s">
        <v>65</v>
      </c>
    </row>
    <row r="136" spans="2:7" x14ac:dyDescent="0.25">
      <c r="C136" t="s">
        <v>123</v>
      </c>
    </row>
    <row r="137" spans="2:7" ht="15.75" thickBot="1" x14ac:dyDescent="0.3">
      <c r="C137" s="329"/>
      <c r="D137" s="330"/>
      <c r="E137" s="330"/>
      <c r="F137" s="330"/>
      <c r="G137" s="329"/>
    </row>
    <row r="138" spans="2:7" x14ac:dyDescent="0.25">
      <c r="C138" s="331"/>
      <c r="D138" s="332" t="s">
        <v>24</v>
      </c>
      <c r="E138" s="333"/>
      <c r="F138" s="334">
        <v>3.52</v>
      </c>
      <c r="G138" s="335"/>
    </row>
    <row r="139" spans="2:7" x14ac:dyDescent="0.25">
      <c r="C139" s="331"/>
      <c r="D139" s="336" t="s">
        <v>66</v>
      </c>
      <c r="E139" s="337"/>
      <c r="F139" s="338">
        <v>1.23</v>
      </c>
      <c r="G139" s="335"/>
    </row>
    <row r="140" spans="2:7" x14ac:dyDescent="0.25">
      <c r="C140" s="331"/>
      <c r="D140" s="336" t="s">
        <v>67</v>
      </c>
      <c r="E140" s="337"/>
      <c r="F140" s="338">
        <v>0.02</v>
      </c>
      <c r="G140" s="335"/>
    </row>
    <row r="141" spans="2:7" ht="15.75" thickBot="1" x14ac:dyDescent="0.3">
      <c r="C141" s="331"/>
      <c r="D141" s="339" t="s">
        <v>68</v>
      </c>
      <c r="E141" s="340"/>
      <c r="F141" s="341">
        <v>4.21</v>
      </c>
      <c r="G141" s="335"/>
    </row>
    <row r="142" spans="2:7" x14ac:dyDescent="0.25">
      <c r="C142" s="329"/>
      <c r="D142" s="186"/>
      <c r="E142" s="186"/>
      <c r="F142" s="186"/>
      <c r="G142" s="329"/>
    </row>
    <row r="150" spans="2:4" x14ac:dyDescent="0.25">
      <c r="B150" s="1" t="s">
        <v>977</v>
      </c>
    </row>
    <row r="151" spans="2:4" x14ac:dyDescent="0.25">
      <c r="C151" s="6" t="s">
        <v>69</v>
      </c>
    </row>
    <row r="152" spans="2:4" x14ac:dyDescent="0.25">
      <c r="C152" t="s">
        <v>70</v>
      </c>
    </row>
    <row r="153" spans="2:4" x14ac:dyDescent="0.25">
      <c r="C153" t="s">
        <v>71</v>
      </c>
    </row>
    <row r="154" spans="2:4" x14ac:dyDescent="0.25">
      <c r="C154" t="s">
        <v>72</v>
      </c>
    </row>
    <row r="156" spans="2:4" x14ac:dyDescent="0.25">
      <c r="C156" s="6" t="s">
        <v>73</v>
      </c>
    </row>
    <row r="157" spans="2:4" x14ac:dyDescent="0.25">
      <c r="C157" t="s">
        <v>74</v>
      </c>
    </row>
    <row r="158" spans="2:4" x14ac:dyDescent="0.25">
      <c r="D158" t="s">
        <v>14</v>
      </c>
    </row>
    <row r="159" spans="2:4" x14ac:dyDescent="0.25">
      <c r="C159" t="s">
        <v>101</v>
      </c>
    </row>
    <row r="161" spans="2:5" x14ac:dyDescent="0.25">
      <c r="B161" s="1" t="s">
        <v>980</v>
      </c>
    </row>
    <row r="162" spans="2:5" x14ac:dyDescent="0.25">
      <c r="C162" s="6" t="s">
        <v>75</v>
      </c>
    </row>
    <row r="163" spans="2:5" x14ac:dyDescent="0.25">
      <c r="C163" t="s">
        <v>76</v>
      </c>
    </row>
    <row r="164" spans="2:5" x14ac:dyDescent="0.25">
      <c r="C164" t="s">
        <v>71</v>
      </c>
    </row>
    <row r="166" spans="2:5" x14ac:dyDescent="0.25">
      <c r="C166" s="6" t="s">
        <v>77</v>
      </c>
    </row>
    <row r="167" spans="2:5" x14ac:dyDescent="0.25">
      <c r="C167" s="188" t="s">
        <v>15</v>
      </c>
    </row>
    <row r="168" spans="2:5" x14ac:dyDescent="0.25">
      <c r="C168" s="188"/>
      <c r="D168" t="s">
        <v>14</v>
      </c>
    </row>
    <row r="169" spans="2:5" x14ac:dyDescent="0.25">
      <c r="C169" s="188"/>
    </row>
    <row r="170" spans="2:5" x14ac:dyDescent="0.25">
      <c r="B170" s="1" t="s">
        <v>978</v>
      </c>
      <c r="C170" s="188"/>
    </row>
    <row r="171" spans="2:5" x14ac:dyDescent="0.25">
      <c r="C171" s="6" t="s">
        <v>102</v>
      </c>
    </row>
    <row r="172" spans="2:5" x14ac:dyDescent="0.25">
      <c r="C172" t="s">
        <v>103</v>
      </c>
    </row>
    <row r="173" spans="2:5" x14ac:dyDescent="0.25">
      <c r="D173" t="s">
        <v>78</v>
      </c>
    </row>
    <row r="174" spans="2:5" x14ac:dyDescent="0.25">
      <c r="E174" t="s">
        <v>79</v>
      </c>
    </row>
    <row r="175" spans="2:5" x14ac:dyDescent="0.25">
      <c r="E175" t="s">
        <v>80</v>
      </c>
    </row>
    <row r="176" spans="2:5" x14ac:dyDescent="0.25">
      <c r="D176" t="s">
        <v>16</v>
      </c>
    </row>
    <row r="177" spans="3:12" x14ac:dyDescent="0.25">
      <c r="E177" t="s">
        <v>17</v>
      </c>
    </row>
    <row r="178" spans="3:12" x14ac:dyDescent="0.25">
      <c r="E178" t="s">
        <v>10</v>
      </c>
    </row>
    <row r="179" spans="3:12" x14ac:dyDescent="0.25">
      <c r="E179" t="s">
        <v>81</v>
      </c>
    </row>
    <row r="180" spans="3:12" x14ac:dyDescent="0.25">
      <c r="D180" t="s">
        <v>82</v>
      </c>
    </row>
    <row r="181" spans="3:12" x14ac:dyDescent="0.25">
      <c r="D181" t="s">
        <v>98</v>
      </c>
    </row>
    <row r="182" spans="3:12" x14ac:dyDescent="0.25">
      <c r="D182" t="s">
        <v>18</v>
      </c>
    </row>
    <row r="183" spans="3:12" x14ac:dyDescent="0.25">
      <c r="C183" t="s">
        <v>104</v>
      </c>
    </row>
    <row r="185" spans="3:12" x14ac:dyDescent="0.25">
      <c r="D185" t="s">
        <v>982</v>
      </c>
    </row>
    <row r="186" spans="3:12" ht="15.75" thickBot="1" x14ac:dyDescent="0.3"/>
    <row r="187" spans="3:12" ht="15.75" thickBot="1" x14ac:dyDescent="0.3">
      <c r="E187" s="342" t="s">
        <v>0</v>
      </c>
      <c r="F187" s="259" t="s">
        <v>1</v>
      </c>
      <c r="G187" s="426" t="s">
        <v>4</v>
      </c>
      <c r="H187" s="427"/>
      <c r="I187" s="427"/>
      <c r="J187" s="427"/>
      <c r="K187" s="427"/>
      <c r="L187" s="428"/>
    </row>
    <row r="188" spans="3:12" x14ac:dyDescent="0.25">
      <c r="E188" s="343" t="s">
        <v>163</v>
      </c>
      <c r="F188" s="115" t="s">
        <v>164</v>
      </c>
      <c r="G188" s="429" t="s">
        <v>165</v>
      </c>
      <c r="H188" s="430"/>
      <c r="I188" s="430"/>
      <c r="J188" s="430"/>
      <c r="K188" s="430"/>
      <c r="L188" s="431"/>
    </row>
    <row r="189" spans="3:12" x14ac:dyDescent="0.25">
      <c r="E189" s="344" t="s">
        <v>166</v>
      </c>
      <c r="F189" s="345" t="s">
        <v>167</v>
      </c>
      <c r="G189" s="432" t="s">
        <v>168</v>
      </c>
      <c r="H189" s="433"/>
      <c r="I189" s="433"/>
      <c r="J189" s="433"/>
      <c r="K189" s="433"/>
      <c r="L189" s="434"/>
    </row>
    <row r="190" spans="3:12" x14ac:dyDescent="0.25">
      <c r="E190" s="344" t="s">
        <v>169</v>
      </c>
      <c r="F190" s="345" t="s">
        <v>170</v>
      </c>
      <c r="G190" s="432" t="s">
        <v>171</v>
      </c>
      <c r="H190" s="433"/>
      <c r="I190" s="433"/>
      <c r="J190" s="433"/>
      <c r="K190" s="433"/>
      <c r="L190" s="434"/>
    </row>
    <row r="191" spans="3:12" x14ac:dyDescent="0.25">
      <c r="E191" s="344" t="s">
        <v>172</v>
      </c>
      <c r="F191" s="345" t="s">
        <v>173</v>
      </c>
      <c r="G191" s="432" t="s">
        <v>174</v>
      </c>
      <c r="H191" s="433"/>
      <c r="I191" s="433"/>
      <c r="J191" s="433"/>
      <c r="K191" s="433"/>
      <c r="L191" s="434"/>
    </row>
    <row r="192" spans="3:12" x14ac:dyDescent="0.25">
      <c r="E192" s="344" t="s">
        <v>175</v>
      </c>
      <c r="F192" s="345" t="s">
        <v>176</v>
      </c>
      <c r="G192" s="432" t="s">
        <v>177</v>
      </c>
      <c r="H192" s="433"/>
      <c r="I192" s="433"/>
      <c r="J192" s="433"/>
      <c r="K192" s="433"/>
      <c r="L192" s="434"/>
    </row>
    <row r="193" spans="4:12" x14ac:dyDescent="0.25">
      <c r="E193" s="344" t="s">
        <v>178</v>
      </c>
      <c r="F193" s="345" t="s">
        <v>179</v>
      </c>
      <c r="G193" s="432" t="s">
        <v>180</v>
      </c>
      <c r="H193" s="433"/>
      <c r="I193" s="433"/>
      <c r="J193" s="433"/>
      <c r="K193" s="433"/>
      <c r="L193" s="434"/>
    </row>
    <row r="194" spans="4:12" x14ac:dyDescent="0.25">
      <c r="E194" s="344" t="s">
        <v>181</v>
      </c>
      <c r="F194" s="345" t="s">
        <v>182</v>
      </c>
      <c r="G194" s="432" t="s">
        <v>183</v>
      </c>
      <c r="H194" s="433"/>
      <c r="I194" s="433"/>
      <c r="J194" s="433"/>
      <c r="K194" s="433"/>
      <c r="L194" s="434"/>
    </row>
    <row r="195" spans="4:12" x14ac:dyDescent="0.25">
      <c r="E195" s="344" t="s">
        <v>149</v>
      </c>
      <c r="F195" s="345" t="s">
        <v>147</v>
      </c>
      <c r="G195" s="432" t="s">
        <v>148</v>
      </c>
      <c r="H195" s="433"/>
      <c r="I195" s="433"/>
      <c r="J195" s="433"/>
      <c r="K195" s="433"/>
      <c r="L195" s="434"/>
    </row>
    <row r="196" spans="4:12" ht="15.75" thickBot="1" x14ac:dyDescent="0.3">
      <c r="E196" s="346" t="s">
        <v>184</v>
      </c>
      <c r="F196" s="347" t="s">
        <v>185</v>
      </c>
      <c r="G196" s="436" t="s">
        <v>186</v>
      </c>
      <c r="H196" s="437"/>
      <c r="I196" s="437"/>
      <c r="J196" s="437"/>
      <c r="K196" s="437"/>
      <c r="L196" s="438"/>
    </row>
    <row r="197" spans="4:12" x14ac:dyDescent="0.25">
      <c r="E197" s="45"/>
      <c r="F197" s="46"/>
      <c r="G197" s="46"/>
    </row>
    <row r="198" spans="4:12" ht="15.75" thickBot="1" x14ac:dyDescent="0.3">
      <c r="D198" t="s">
        <v>187</v>
      </c>
    </row>
    <row r="199" spans="4:12" ht="15.75" thickBot="1" x14ac:dyDescent="0.3">
      <c r="E199" s="348" t="s">
        <v>0</v>
      </c>
      <c r="F199" s="349" t="s">
        <v>1</v>
      </c>
      <c r="G199" s="350" t="s">
        <v>4</v>
      </c>
    </row>
    <row r="200" spans="4:12" x14ac:dyDescent="0.25">
      <c r="E200" s="351" t="s">
        <v>188</v>
      </c>
      <c r="F200" s="232" t="s">
        <v>189</v>
      </c>
      <c r="G200" s="352" t="s">
        <v>190</v>
      </c>
    </row>
    <row r="201" spans="4:12" x14ac:dyDescent="0.25">
      <c r="E201" s="353" t="s">
        <v>191</v>
      </c>
      <c r="F201" s="354" t="s">
        <v>192</v>
      </c>
      <c r="G201" s="355" t="s">
        <v>193</v>
      </c>
    </row>
    <row r="202" spans="4:12" x14ac:dyDescent="0.25">
      <c r="E202" s="353" t="s">
        <v>194</v>
      </c>
      <c r="F202" s="356" t="s">
        <v>195</v>
      </c>
      <c r="G202" s="357" t="s">
        <v>196</v>
      </c>
    </row>
    <row r="203" spans="4:12" x14ac:dyDescent="0.25">
      <c r="E203" s="353" t="s">
        <v>197</v>
      </c>
      <c r="F203" s="356" t="s">
        <v>198</v>
      </c>
      <c r="G203" s="357" t="s">
        <v>199</v>
      </c>
    </row>
    <row r="204" spans="4:12" x14ac:dyDescent="0.25">
      <c r="E204" s="353" t="s">
        <v>200</v>
      </c>
      <c r="F204" s="356" t="s">
        <v>201</v>
      </c>
      <c r="G204" s="357" t="s">
        <v>202</v>
      </c>
    </row>
    <row r="205" spans="4:12" ht="15.75" thickBot="1" x14ac:dyDescent="0.3">
      <c r="E205" s="358" t="s">
        <v>203</v>
      </c>
      <c r="F205" s="359" t="s">
        <v>204</v>
      </c>
      <c r="G205" s="360" t="s">
        <v>205</v>
      </c>
    </row>
    <row r="207" spans="4:12" x14ac:dyDescent="0.25">
      <c r="D207" t="s">
        <v>206</v>
      </c>
    </row>
    <row r="209" spans="2:7" x14ac:dyDescent="0.25">
      <c r="C209" t="s">
        <v>1841</v>
      </c>
    </row>
    <row r="210" spans="2:7" x14ac:dyDescent="0.25">
      <c r="C210" t="s">
        <v>109</v>
      </c>
    </row>
    <row r="211" spans="2:7" x14ac:dyDescent="0.25">
      <c r="D211" t="s">
        <v>112</v>
      </c>
    </row>
    <row r="212" spans="2:7" x14ac:dyDescent="0.25">
      <c r="C212" t="s">
        <v>110</v>
      </c>
    </row>
    <row r="213" spans="2:7" x14ac:dyDescent="0.25">
      <c r="C213" t="s">
        <v>207</v>
      </c>
    </row>
    <row r="216" spans="2:7" x14ac:dyDescent="0.25">
      <c r="B216" s="1" t="s">
        <v>981</v>
      </c>
    </row>
    <row r="217" spans="2:7" x14ac:dyDescent="0.25">
      <c r="C217" s="6" t="s">
        <v>83</v>
      </c>
    </row>
    <row r="218" spans="2:7" x14ac:dyDescent="0.25">
      <c r="C218" t="s">
        <v>84</v>
      </c>
    </row>
    <row r="219" spans="2:7" x14ac:dyDescent="0.25">
      <c r="D219" t="s">
        <v>85</v>
      </c>
      <c r="F219" s="187"/>
      <c r="G219" s="187"/>
    </row>
    <row r="220" spans="2:7" x14ac:dyDescent="0.25">
      <c r="E220" t="s">
        <v>19</v>
      </c>
    </row>
    <row r="221" spans="2:7" x14ac:dyDescent="0.25">
      <c r="E221" t="s">
        <v>20</v>
      </c>
    </row>
    <row r="222" spans="2:7" x14ac:dyDescent="0.25">
      <c r="D222" t="s">
        <v>86</v>
      </c>
    </row>
    <row r="223" spans="2:7" ht="18" x14ac:dyDescent="0.35">
      <c r="E223" t="s">
        <v>21</v>
      </c>
    </row>
    <row r="224" spans="2:7" ht="18" x14ac:dyDescent="0.35">
      <c r="E224" t="s">
        <v>87</v>
      </c>
    </row>
    <row r="225" spans="2:4" x14ac:dyDescent="0.25">
      <c r="D225" t="s">
        <v>23</v>
      </c>
    </row>
    <row r="226" spans="2:4" x14ac:dyDescent="0.25">
      <c r="D226" t="s">
        <v>22</v>
      </c>
    </row>
    <row r="227" spans="2:4" x14ac:dyDescent="0.25">
      <c r="D227" t="s">
        <v>88</v>
      </c>
    </row>
    <row r="229" spans="2:4" x14ac:dyDescent="0.25">
      <c r="C229" s="6"/>
    </row>
    <row r="233" spans="2:4" x14ac:dyDescent="0.25">
      <c r="D233" t="s">
        <v>89</v>
      </c>
    </row>
    <row r="237" spans="2:4" x14ac:dyDescent="0.25">
      <c r="D237" t="s">
        <v>90</v>
      </c>
    </row>
    <row r="240" spans="2:4" x14ac:dyDescent="0.25">
      <c r="B240" s="6" t="s">
        <v>119</v>
      </c>
    </row>
    <row r="241" spans="2:4" x14ac:dyDescent="0.25">
      <c r="B241" s="6"/>
      <c r="C241" s="6" t="s">
        <v>120</v>
      </c>
    </row>
    <row r="242" spans="2:4" x14ac:dyDescent="0.25">
      <c r="B242" s="6"/>
      <c r="C242" t="s">
        <v>121</v>
      </c>
    </row>
    <row r="243" spans="2:4" x14ac:dyDescent="0.25">
      <c r="B243" s="6"/>
      <c r="D243" t="s">
        <v>122</v>
      </c>
    </row>
    <row r="244" spans="2:4" x14ac:dyDescent="0.25">
      <c r="B244" s="6"/>
    </row>
    <row r="245" spans="2:4" x14ac:dyDescent="0.25">
      <c r="B245" s="6" t="s">
        <v>158</v>
      </c>
    </row>
    <row r="246" spans="2:4" x14ac:dyDescent="0.25">
      <c r="B246" s="6"/>
      <c r="C246" s="6" t="s">
        <v>208</v>
      </c>
    </row>
    <row r="247" spans="2:4" x14ac:dyDescent="0.25">
      <c r="B247" s="6"/>
      <c r="C247" t="s">
        <v>209</v>
      </c>
    </row>
    <row r="248" spans="2:4" x14ac:dyDescent="0.25">
      <c r="B248" s="6"/>
    </row>
    <row r="249" spans="2:4" x14ac:dyDescent="0.25">
      <c r="B249" s="6" t="s">
        <v>92</v>
      </c>
    </row>
    <row r="250" spans="2:4" x14ac:dyDescent="0.25">
      <c r="C250" t="s">
        <v>983</v>
      </c>
    </row>
    <row r="251" spans="2:4" x14ac:dyDescent="0.25">
      <c r="C251" s="6" t="s">
        <v>96</v>
      </c>
    </row>
    <row r="252" spans="2:4" x14ac:dyDescent="0.25">
      <c r="D252" t="s">
        <v>93</v>
      </c>
    </row>
    <row r="253" spans="2:4" x14ac:dyDescent="0.25">
      <c r="D253" t="s">
        <v>94</v>
      </c>
    </row>
    <row r="254" spans="2:4" x14ac:dyDescent="0.25">
      <c r="D254" t="s">
        <v>95</v>
      </c>
    </row>
  </sheetData>
  <mergeCells count="11">
    <mergeCell ref="G196:L196"/>
    <mergeCell ref="G191:L191"/>
    <mergeCell ref="G192:L192"/>
    <mergeCell ref="G193:L193"/>
    <mergeCell ref="G194:L194"/>
    <mergeCell ref="G195:L195"/>
    <mergeCell ref="G187:L187"/>
    <mergeCell ref="G188:L188"/>
    <mergeCell ref="G189:L189"/>
    <mergeCell ref="G190:L190"/>
    <mergeCell ref="D3:F5"/>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100"/>
  <sheetViews>
    <sheetView showGridLines="0" zoomScaleNormal="100" workbookViewId="0">
      <selection activeCell="B100" sqref="B100:D100"/>
    </sheetView>
  </sheetViews>
  <sheetFormatPr defaultColWidth="9.140625" defaultRowHeight="15" x14ac:dyDescent="0.25"/>
  <cols>
    <col min="1" max="1" width="8.5703125" style="81" customWidth="1"/>
    <col min="2" max="2" width="17.42578125" style="90" customWidth="1"/>
    <col min="3" max="3" width="78.42578125" style="90" bestFit="1" customWidth="1"/>
    <col min="4" max="6" width="14.42578125" style="81" customWidth="1"/>
    <col min="7" max="7" width="22.7109375" style="81" bestFit="1" customWidth="1"/>
    <col min="8" max="8" width="22.7109375" style="81" customWidth="1"/>
    <col min="9" max="9" width="19.5703125" style="81" customWidth="1"/>
    <col min="10" max="10" width="18.42578125" style="81" bestFit="1" customWidth="1"/>
    <col min="11" max="11" width="9.85546875" style="81" customWidth="1"/>
    <col min="12" max="12" width="16" style="81" customWidth="1"/>
    <col min="13" max="13" width="14.85546875" style="81" customWidth="1"/>
    <col min="14" max="14" width="47" style="81" customWidth="1"/>
    <col min="15" max="15" width="9.140625" style="81" customWidth="1"/>
    <col min="16" max="16" width="12" style="81" bestFit="1" customWidth="1"/>
    <col min="17" max="16384" width="9.140625" style="81"/>
  </cols>
  <sheetData>
    <row r="1" spans="1:10" s="366" customFormat="1" ht="54" customHeight="1" x14ac:dyDescent="0.25">
      <c r="A1" s="365"/>
      <c r="B1" s="80"/>
      <c r="C1" s="80"/>
    </row>
    <row r="2" spans="1:10" s="211" customFormat="1" ht="15.75" thickBot="1" x14ac:dyDescent="0.3">
      <c r="B2" s="86"/>
      <c r="C2" s="87"/>
      <c r="D2" s="216"/>
      <c r="E2" s="216"/>
      <c r="F2" s="216"/>
      <c r="G2" s="88"/>
      <c r="H2" s="88"/>
      <c r="I2" s="88"/>
      <c r="J2" s="88"/>
    </row>
    <row r="3" spans="1:10" s="217" customFormat="1" ht="15.75" thickBot="1" x14ac:dyDescent="0.3">
      <c r="A3" s="217" t="s">
        <v>1217</v>
      </c>
      <c r="B3" s="217" t="s">
        <v>1324</v>
      </c>
      <c r="C3" s="218"/>
      <c r="D3" s="219"/>
      <c r="E3" s="219"/>
      <c r="F3" s="219"/>
      <c r="G3" s="220"/>
      <c r="H3" s="220"/>
      <c r="I3" s="220"/>
      <c r="J3" s="220"/>
    </row>
    <row r="4" spans="1:10" s="221" customFormat="1" ht="15.75" thickBot="1" x14ac:dyDescent="0.3">
      <c r="C4" s="222"/>
      <c r="D4" s="223"/>
      <c r="E4" s="223"/>
      <c r="F4" s="223"/>
      <c r="G4" s="224"/>
      <c r="H4" s="224"/>
      <c r="I4" s="224"/>
      <c r="J4" s="224"/>
    </row>
    <row r="5" spans="1:10" ht="15.75" thickBot="1" x14ac:dyDescent="0.3">
      <c r="A5" s="367"/>
      <c r="B5" s="81"/>
      <c r="C5" s="82" t="s">
        <v>519</v>
      </c>
      <c r="D5" s="81" t="s">
        <v>520</v>
      </c>
    </row>
    <row r="6" spans="1:10" s="367" customFormat="1" ht="15.75" thickBot="1" x14ac:dyDescent="0.3">
      <c r="B6" s="101" t="s">
        <v>0</v>
      </c>
      <c r="C6" s="102" t="s">
        <v>1</v>
      </c>
      <c r="D6" s="150" t="s">
        <v>1011</v>
      </c>
      <c r="E6" s="150" t="s">
        <v>561</v>
      </c>
      <c r="F6" s="150" t="s">
        <v>562</v>
      </c>
      <c r="G6" s="103" t="s">
        <v>2</v>
      </c>
      <c r="H6" s="103" t="s">
        <v>431</v>
      </c>
      <c r="I6" s="103" t="s">
        <v>114</v>
      </c>
      <c r="J6" s="368" t="s">
        <v>115</v>
      </c>
    </row>
    <row r="7" spans="1:10" s="367" customFormat="1" ht="18" x14ac:dyDescent="0.25">
      <c r="B7" s="91" t="s">
        <v>451</v>
      </c>
      <c r="C7" s="84" t="s">
        <v>212</v>
      </c>
      <c r="D7" s="92">
        <v>2.81</v>
      </c>
      <c r="E7" s="92">
        <v>0</v>
      </c>
      <c r="F7" s="92" t="s">
        <v>1322</v>
      </c>
      <c r="G7" s="99" t="s">
        <v>456</v>
      </c>
      <c r="H7" s="99"/>
      <c r="I7" s="369"/>
      <c r="J7" s="370"/>
    </row>
    <row r="8" spans="1:10" s="367" customFormat="1" ht="18" x14ac:dyDescent="0.25">
      <c r="B8" s="93" t="s">
        <v>452</v>
      </c>
      <c r="C8" s="97" t="s">
        <v>913</v>
      </c>
      <c r="D8" s="98">
        <v>0.15</v>
      </c>
      <c r="E8" s="98">
        <v>0</v>
      </c>
      <c r="F8" s="98" t="s">
        <v>1322</v>
      </c>
      <c r="G8" s="100" t="s">
        <v>912</v>
      </c>
      <c r="H8" s="100"/>
      <c r="I8" s="371"/>
      <c r="J8" s="372"/>
    </row>
    <row r="9" spans="1:10" s="367" customFormat="1" ht="18" x14ac:dyDescent="0.25">
      <c r="B9" s="93" t="s">
        <v>453</v>
      </c>
      <c r="C9" s="97" t="s">
        <v>213</v>
      </c>
      <c r="D9" s="98">
        <v>1</v>
      </c>
      <c r="E9" s="98">
        <v>0</v>
      </c>
      <c r="F9" s="98" t="s">
        <v>1322</v>
      </c>
      <c r="G9" s="100" t="s">
        <v>1331</v>
      </c>
      <c r="H9" s="100"/>
      <c r="I9" s="371"/>
      <c r="J9" s="372"/>
    </row>
    <row r="10" spans="1:10" s="367" customFormat="1" ht="18.75" thickBot="1" x14ac:dyDescent="0.3">
      <c r="B10" s="94" t="s">
        <v>454</v>
      </c>
      <c r="C10" s="85" t="s">
        <v>215</v>
      </c>
      <c r="D10" s="95">
        <v>0.5</v>
      </c>
      <c r="E10" s="95">
        <v>0</v>
      </c>
      <c r="F10" s="95" t="s">
        <v>1322</v>
      </c>
      <c r="G10" s="96" t="s">
        <v>1331</v>
      </c>
      <c r="H10" s="96"/>
      <c r="I10" s="373"/>
      <c r="J10" s="374"/>
    </row>
    <row r="11" spans="1:10" s="367" customFormat="1" ht="15.75" thickBot="1" x14ac:dyDescent="0.3">
      <c r="B11" s="106"/>
      <c r="C11" s="45"/>
      <c r="D11" s="107"/>
      <c r="E11" s="107"/>
      <c r="F11" s="107"/>
      <c r="G11" s="108"/>
      <c r="H11" s="108"/>
      <c r="I11" s="375"/>
      <c r="J11" s="375"/>
    </row>
    <row r="12" spans="1:10" ht="15.75" thickBot="1" x14ac:dyDescent="0.3">
      <c r="A12" s="367"/>
      <c r="B12" s="81"/>
      <c r="C12" s="82" t="s">
        <v>522</v>
      </c>
      <c r="D12" s="81" t="s">
        <v>520</v>
      </c>
    </row>
    <row r="13" spans="1:10" s="367" customFormat="1" ht="15.75" thickBot="1" x14ac:dyDescent="0.3">
      <c r="B13" s="101" t="s">
        <v>0</v>
      </c>
      <c r="C13" s="102" t="s">
        <v>1</v>
      </c>
      <c r="D13" s="150" t="s">
        <v>1011</v>
      </c>
      <c r="E13" s="150" t="s">
        <v>561</v>
      </c>
      <c r="F13" s="150" t="s">
        <v>562</v>
      </c>
      <c r="G13" s="103" t="s">
        <v>2</v>
      </c>
      <c r="H13" s="103" t="s">
        <v>431</v>
      </c>
      <c r="I13" s="103" t="s">
        <v>114</v>
      </c>
      <c r="J13" s="368" t="s">
        <v>115</v>
      </c>
    </row>
    <row r="14" spans="1:10" s="367" customFormat="1" ht="18" x14ac:dyDescent="0.25">
      <c r="B14" s="91" t="s">
        <v>1822</v>
      </c>
      <c r="C14" s="84" t="s">
        <v>914</v>
      </c>
      <c r="D14" s="92">
        <v>5.0000000000000001E-3</v>
      </c>
      <c r="E14" s="92">
        <v>0</v>
      </c>
      <c r="F14" s="92" t="s">
        <v>1322</v>
      </c>
      <c r="G14" s="99" t="s">
        <v>915</v>
      </c>
      <c r="H14" s="99"/>
      <c r="I14" s="369"/>
      <c r="J14" s="370"/>
    </row>
    <row r="15" spans="1:10" s="367" customFormat="1" ht="18" x14ac:dyDescent="0.25">
      <c r="B15" s="93" t="s">
        <v>455</v>
      </c>
      <c r="C15" s="97" t="s">
        <v>916</v>
      </c>
      <c r="D15" s="98">
        <v>3.2</v>
      </c>
      <c r="E15" s="98">
        <v>0</v>
      </c>
      <c r="F15" s="98" t="s">
        <v>1322</v>
      </c>
      <c r="G15" s="100" t="s">
        <v>456</v>
      </c>
      <c r="H15" s="100"/>
      <c r="I15" s="371"/>
      <c r="J15" s="372"/>
    </row>
    <row r="16" spans="1:10" s="367" customFormat="1" ht="18" x14ac:dyDescent="0.25">
      <c r="B16" s="93" t="s">
        <v>457</v>
      </c>
      <c r="C16" s="97" t="s">
        <v>917</v>
      </c>
      <c r="D16" s="98">
        <v>0.37</v>
      </c>
      <c r="E16" s="98">
        <v>0</v>
      </c>
      <c r="F16" s="98" t="s">
        <v>1322</v>
      </c>
      <c r="G16" s="100" t="s">
        <v>1331</v>
      </c>
      <c r="H16" s="100"/>
      <c r="I16" s="371"/>
      <c r="J16" s="372"/>
    </row>
    <row r="17" spans="1:10" s="367" customFormat="1" ht="18" x14ac:dyDescent="0.25">
      <c r="B17" s="93" t="s">
        <v>458</v>
      </c>
      <c r="C17" s="97" t="s">
        <v>216</v>
      </c>
      <c r="D17" s="98">
        <v>4</v>
      </c>
      <c r="E17" s="98">
        <v>0</v>
      </c>
      <c r="F17" s="98" t="s">
        <v>1322</v>
      </c>
      <c r="G17" s="100" t="s">
        <v>918</v>
      </c>
      <c r="H17" s="100"/>
      <c r="I17" s="371"/>
      <c r="J17" s="372"/>
    </row>
    <row r="18" spans="1:10" s="367" customFormat="1" ht="18" x14ac:dyDescent="0.25">
      <c r="B18" s="93" t="s">
        <v>459</v>
      </c>
      <c r="C18" s="97" t="s">
        <v>922</v>
      </c>
      <c r="D18" s="98">
        <v>5</v>
      </c>
      <c r="E18" s="98">
        <v>0</v>
      </c>
      <c r="F18" s="98" t="s">
        <v>1322</v>
      </c>
      <c r="G18" s="100" t="s">
        <v>919</v>
      </c>
      <c r="H18" s="100"/>
      <c r="I18" s="371"/>
      <c r="J18" s="372"/>
    </row>
    <row r="19" spans="1:10" s="367" customFormat="1" ht="18" x14ac:dyDescent="0.25">
      <c r="B19" s="93" t="s">
        <v>460</v>
      </c>
      <c r="C19" s="97" t="s">
        <v>923</v>
      </c>
      <c r="D19" s="98">
        <v>5</v>
      </c>
      <c r="E19" s="98">
        <v>0</v>
      </c>
      <c r="F19" s="98" t="s">
        <v>1322</v>
      </c>
      <c r="G19" s="100" t="s">
        <v>919</v>
      </c>
      <c r="H19" s="100"/>
      <c r="I19" s="371"/>
      <c r="J19" s="372"/>
    </row>
    <row r="20" spans="1:10" s="367" customFormat="1" ht="18" x14ac:dyDescent="0.25">
      <c r="B20" s="93" t="s">
        <v>461</v>
      </c>
      <c r="C20" s="97" t="s">
        <v>924</v>
      </c>
      <c r="D20" s="98">
        <v>0.62</v>
      </c>
      <c r="E20" s="98">
        <v>0</v>
      </c>
      <c r="F20" s="98" t="s">
        <v>1322</v>
      </c>
      <c r="G20" s="100" t="s">
        <v>456</v>
      </c>
      <c r="H20" s="100"/>
      <c r="I20" s="371"/>
      <c r="J20" s="372"/>
    </row>
    <row r="21" spans="1:10" s="367" customFormat="1" ht="18" x14ac:dyDescent="0.25">
      <c r="B21" s="93" t="s">
        <v>462</v>
      </c>
      <c r="C21" s="97" t="s">
        <v>925</v>
      </c>
      <c r="D21" s="98">
        <v>2</v>
      </c>
      <c r="E21" s="98">
        <v>0</v>
      </c>
      <c r="F21" s="98" t="s">
        <v>1322</v>
      </c>
      <c r="G21" s="100" t="s">
        <v>919</v>
      </c>
      <c r="H21" s="100"/>
      <c r="I21" s="371"/>
      <c r="J21" s="372"/>
    </row>
    <row r="22" spans="1:10" s="367" customFormat="1" ht="18" x14ac:dyDescent="0.25">
      <c r="B22" s="93" t="s">
        <v>463</v>
      </c>
      <c r="C22" s="97" t="s">
        <v>926</v>
      </c>
      <c r="D22" s="98">
        <v>2E-3</v>
      </c>
      <c r="E22" s="98">
        <v>0</v>
      </c>
      <c r="F22" s="98" t="s">
        <v>1322</v>
      </c>
      <c r="G22" s="100" t="s">
        <v>920</v>
      </c>
      <c r="H22" s="100"/>
      <c r="I22" s="371"/>
      <c r="J22" s="372"/>
    </row>
    <row r="23" spans="1:10" s="367" customFormat="1" ht="18" x14ac:dyDescent="0.25">
      <c r="B23" s="93" t="s">
        <v>464</v>
      </c>
      <c r="C23" s="97" t="s">
        <v>927</v>
      </c>
      <c r="D23" s="98">
        <v>0.1</v>
      </c>
      <c r="E23" s="98">
        <v>0</v>
      </c>
      <c r="F23" s="98" t="s">
        <v>1322</v>
      </c>
      <c r="G23" s="100" t="s">
        <v>921</v>
      </c>
      <c r="H23" s="100"/>
      <c r="I23" s="371"/>
      <c r="J23" s="372"/>
    </row>
    <row r="24" spans="1:10" s="367" customFormat="1" ht="18.75" thickBot="1" x14ac:dyDescent="0.3">
      <c r="B24" s="94" t="s">
        <v>465</v>
      </c>
      <c r="C24" s="85" t="s">
        <v>928</v>
      </c>
      <c r="D24" s="95">
        <v>5.0000000000000001E-3</v>
      </c>
      <c r="E24" s="95">
        <v>0</v>
      </c>
      <c r="F24" s="95" t="s">
        <v>1322</v>
      </c>
      <c r="G24" s="96" t="s">
        <v>921</v>
      </c>
      <c r="H24" s="96"/>
      <c r="I24" s="373"/>
      <c r="J24" s="374"/>
    </row>
    <row r="25" spans="1:10" s="367" customFormat="1" ht="15.75" thickBot="1" x14ac:dyDescent="0.3">
      <c r="B25" s="106"/>
      <c r="C25" s="45"/>
      <c r="D25" s="107"/>
      <c r="E25" s="107"/>
      <c r="F25" s="107"/>
      <c r="G25" s="108"/>
      <c r="H25" s="108"/>
      <c r="I25" s="375"/>
      <c r="J25" s="375"/>
    </row>
    <row r="26" spans="1:10" ht="15.75" thickBot="1" x14ac:dyDescent="0.3">
      <c r="A26" s="367"/>
      <c r="B26" s="81"/>
      <c r="C26" s="82" t="s">
        <v>521</v>
      </c>
      <c r="D26" s="81" t="s">
        <v>520</v>
      </c>
    </row>
    <row r="27" spans="1:10" s="367" customFormat="1" ht="15.75" thickBot="1" x14ac:dyDescent="0.3">
      <c r="B27" s="101" t="s">
        <v>0</v>
      </c>
      <c r="C27" s="102" t="s">
        <v>1</v>
      </c>
      <c r="D27" s="103" t="s">
        <v>1011</v>
      </c>
      <c r="E27" s="103" t="s">
        <v>561</v>
      </c>
      <c r="F27" s="103" t="s">
        <v>562</v>
      </c>
      <c r="G27" s="103" t="s">
        <v>2</v>
      </c>
      <c r="H27" s="103" t="s">
        <v>431</v>
      </c>
      <c r="I27" s="103" t="s">
        <v>114</v>
      </c>
      <c r="J27" s="368" t="s">
        <v>115</v>
      </c>
    </row>
    <row r="28" spans="1:10" s="367" customFormat="1" ht="18" x14ac:dyDescent="0.25">
      <c r="B28" s="91" t="s">
        <v>466</v>
      </c>
      <c r="C28" s="84" t="s">
        <v>929</v>
      </c>
      <c r="D28" s="92">
        <v>2</v>
      </c>
      <c r="E28" s="92">
        <v>0</v>
      </c>
      <c r="F28" s="92" t="s">
        <v>1322</v>
      </c>
      <c r="G28" s="99" t="s">
        <v>918</v>
      </c>
      <c r="H28" s="99"/>
      <c r="I28" s="369"/>
      <c r="J28" s="370"/>
    </row>
    <row r="29" spans="1:10" s="367" customFormat="1" ht="18" x14ac:dyDescent="0.25">
      <c r="B29" s="151" t="s">
        <v>467</v>
      </c>
      <c r="C29" s="97" t="s">
        <v>930</v>
      </c>
      <c r="D29" s="98">
        <v>0.95</v>
      </c>
      <c r="E29" s="98">
        <v>0</v>
      </c>
      <c r="F29" s="98" t="s">
        <v>1322</v>
      </c>
      <c r="G29" s="100" t="s">
        <v>456</v>
      </c>
      <c r="H29" s="100"/>
      <c r="I29" s="371"/>
      <c r="J29" s="376"/>
    </row>
    <row r="30" spans="1:10" s="367" customFormat="1" ht="18" x14ac:dyDescent="0.25">
      <c r="B30" s="151" t="s">
        <v>468</v>
      </c>
      <c r="C30" s="97" t="s">
        <v>931</v>
      </c>
      <c r="D30" s="98">
        <v>0.42</v>
      </c>
      <c r="E30" s="98">
        <v>0</v>
      </c>
      <c r="F30" s="98" t="s">
        <v>1322</v>
      </c>
      <c r="G30" s="100" t="s">
        <v>456</v>
      </c>
      <c r="H30" s="100"/>
      <c r="I30" s="371"/>
      <c r="J30" s="376"/>
    </row>
    <row r="31" spans="1:10" s="367" customFormat="1" ht="18" x14ac:dyDescent="0.25">
      <c r="B31" s="151" t="s">
        <v>469</v>
      </c>
      <c r="C31" s="97" t="s">
        <v>932</v>
      </c>
      <c r="D31" s="98">
        <v>0.4</v>
      </c>
      <c r="E31" s="98">
        <v>0</v>
      </c>
      <c r="F31" s="98" t="s">
        <v>1322</v>
      </c>
      <c r="G31" s="100" t="s">
        <v>1331</v>
      </c>
      <c r="H31" s="100"/>
      <c r="I31" s="371"/>
      <c r="J31" s="376"/>
    </row>
    <row r="32" spans="1:10" s="367" customFormat="1" ht="18" x14ac:dyDescent="0.25">
      <c r="B32" s="151" t="s">
        <v>470</v>
      </c>
      <c r="C32" s="97" t="s">
        <v>933</v>
      </c>
      <c r="D32" s="98">
        <v>0.1</v>
      </c>
      <c r="E32" s="98">
        <v>0</v>
      </c>
      <c r="F32" s="98" t="s">
        <v>1322</v>
      </c>
      <c r="G32" s="100" t="s">
        <v>912</v>
      </c>
      <c r="H32" s="100"/>
      <c r="I32" s="371"/>
      <c r="J32" s="376"/>
    </row>
    <row r="33" spans="1:10" s="367" customFormat="1" ht="18" x14ac:dyDescent="0.25">
      <c r="B33" s="151" t="s">
        <v>471</v>
      </c>
      <c r="C33" s="97" t="s">
        <v>934</v>
      </c>
      <c r="D33" s="98">
        <v>0.05</v>
      </c>
      <c r="E33" s="98">
        <v>0</v>
      </c>
      <c r="F33" s="98" t="s">
        <v>1322</v>
      </c>
      <c r="G33" s="100" t="s">
        <v>912</v>
      </c>
      <c r="H33" s="100"/>
      <c r="I33" s="371"/>
      <c r="J33" s="376"/>
    </row>
    <row r="34" spans="1:10" s="367" customFormat="1" ht="18" x14ac:dyDescent="0.25">
      <c r="B34" s="151" t="s">
        <v>472</v>
      </c>
      <c r="C34" s="97" t="s">
        <v>935</v>
      </c>
      <c r="D34" s="98">
        <v>0.04</v>
      </c>
      <c r="E34" s="98">
        <v>0</v>
      </c>
      <c r="F34" s="98" t="s">
        <v>1322</v>
      </c>
      <c r="G34" s="100" t="s">
        <v>456</v>
      </c>
      <c r="H34" s="100"/>
      <c r="I34" s="371"/>
      <c r="J34" s="376"/>
    </row>
    <row r="35" spans="1:10" s="367" customFormat="1" ht="18" x14ac:dyDescent="0.25">
      <c r="B35" s="151" t="s">
        <v>473</v>
      </c>
      <c r="C35" s="97" t="s">
        <v>936</v>
      </c>
      <c r="D35" s="98">
        <v>0.03</v>
      </c>
      <c r="E35" s="98">
        <v>0</v>
      </c>
      <c r="F35" s="98" t="s">
        <v>1322</v>
      </c>
      <c r="G35" s="100" t="s">
        <v>456</v>
      </c>
      <c r="H35" s="100"/>
      <c r="I35" s="371"/>
      <c r="J35" s="376"/>
    </row>
    <row r="36" spans="1:10" s="367" customFormat="1" ht="18" x14ac:dyDescent="0.25">
      <c r="B36" s="151" t="s">
        <v>474</v>
      </c>
      <c r="C36" s="97" t="s">
        <v>922</v>
      </c>
      <c r="D36" s="98">
        <v>2.5</v>
      </c>
      <c r="E36" s="98">
        <v>0</v>
      </c>
      <c r="F36" s="98" t="s">
        <v>1322</v>
      </c>
      <c r="G36" s="100" t="s">
        <v>987</v>
      </c>
      <c r="H36" s="100"/>
      <c r="I36" s="371"/>
      <c r="J36" s="376"/>
    </row>
    <row r="37" spans="1:10" s="367" customFormat="1" ht="18" x14ac:dyDescent="0.25">
      <c r="B37" s="151" t="s">
        <v>475</v>
      </c>
      <c r="C37" s="97" t="s">
        <v>937</v>
      </c>
      <c r="D37" s="98">
        <v>0.25</v>
      </c>
      <c r="E37" s="98">
        <v>0</v>
      </c>
      <c r="F37" s="98" t="s">
        <v>1322</v>
      </c>
      <c r="G37" s="100" t="s">
        <v>998</v>
      </c>
      <c r="H37" s="100"/>
      <c r="I37" s="371"/>
      <c r="J37" s="376"/>
    </row>
    <row r="38" spans="1:10" s="367" customFormat="1" ht="18.75" thickBot="1" x14ac:dyDescent="0.3">
      <c r="B38" s="152" t="s">
        <v>476</v>
      </c>
      <c r="C38" s="153" t="s">
        <v>938</v>
      </c>
      <c r="D38" s="154">
        <v>0.01</v>
      </c>
      <c r="E38" s="154">
        <v>0</v>
      </c>
      <c r="F38" s="154" t="s">
        <v>1322</v>
      </c>
      <c r="G38" s="149" t="s">
        <v>998</v>
      </c>
      <c r="H38" s="149"/>
      <c r="I38" s="377"/>
      <c r="J38" s="378"/>
    </row>
    <row r="39" spans="1:10" s="367" customFormat="1" ht="15.75" thickBot="1" x14ac:dyDescent="0.3">
      <c r="B39" s="106"/>
      <c r="C39" s="45"/>
      <c r="D39" s="107"/>
      <c r="E39" s="107"/>
      <c r="F39" s="107"/>
      <c r="G39" s="108"/>
      <c r="H39" s="108"/>
      <c r="I39" s="375"/>
      <c r="J39" s="375"/>
    </row>
    <row r="40" spans="1:10" ht="15.75" thickBot="1" x14ac:dyDescent="0.3">
      <c r="A40" s="367"/>
      <c r="B40" s="81"/>
      <c r="C40" s="82" t="s">
        <v>523</v>
      </c>
      <c r="D40" s="81" t="s">
        <v>520</v>
      </c>
    </row>
    <row r="41" spans="1:10" s="367" customFormat="1" ht="15.75" thickBot="1" x14ac:dyDescent="0.3">
      <c r="B41" s="101" t="s">
        <v>0</v>
      </c>
      <c r="C41" s="102" t="s">
        <v>1</v>
      </c>
      <c r="D41" s="150" t="s">
        <v>1011</v>
      </c>
      <c r="E41" s="150" t="s">
        <v>561</v>
      </c>
      <c r="F41" s="150" t="s">
        <v>562</v>
      </c>
      <c r="G41" s="103" t="s">
        <v>2</v>
      </c>
      <c r="H41" s="103" t="s">
        <v>431</v>
      </c>
      <c r="I41" s="103" t="s">
        <v>114</v>
      </c>
      <c r="J41" s="368" t="s">
        <v>115</v>
      </c>
    </row>
    <row r="42" spans="1:10" s="367" customFormat="1" ht="18" x14ac:dyDescent="0.25">
      <c r="B42" s="93" t="s">
        <v>477</v>
      </c>
      <c r="C42" s="97" t="s">
        <v>939</v>
      </c>
      <c r="D42" s="98">
        <v>0.2</v>
      </c>
      <c r="E42" s="98">
        <v>0</v>
      </c>
      <c r="F42" s="98" t="s">
        <v>1322</v>
      </c>
      <c r="G42" s="100" t="s">
        <v>456</v>
      </c>
      <c r="H42" s="100"/>
      <c r="I42" s="371"/>
      <c r="J42" s="372"/>
    </row>
    <row r="43" spans="1:10" s="367" customFormat="1" ht="18" x14ac:dyDescent="0.25">
      <c r="B43" s="93" t="s">
        <v>478</v>
      </c>
      <c r="C43" s="97" t="s">
        <v>940</v>
      </c>
      <c r="D43" s="98">
        <v>0.04</v>
      </c>
      <c r="E43" s="98">
        <v>0</v>
      </c>
      <c r="F43" s="98" t="s">
        <v>1322</v>
      </c>
      <c r="G43" s="100" t="s">
        <v>456</v>
      </c>
      <c r="H43" s="100"/>
      <c r="I43" s="371"/>
      <c r="J43" s="372"/>
    </row>
    <row r="44" spans="1:10" s="367" customFormat="1" ht="18" x14ac:dyDescent="0.25">
      <c r="B44" s="93" t="s">
        <v>479</v>
      </c>
      <c r="C44" s="97" t="s">
        <v>217</v>
      </c>
      <c r="D44" s="98">
        <v>0.08</v>
      </c>
      <c r="E44" s="98">
        <v>0</v>
      </c>
      <c r="F44" s="98" t="s">
        <v>1322</v>
      </c>
      <c r="G44" s="100" t="s">
        <v>941</v>
      </c>
      <c r="H44" s="100"/>
      <c r="I44" s="371"/>
      <c r="J44" s="372"/>
    </row>
    <row r="45" spans="1:10" s="367" customFormat="1" ht="18" x14ac:dyDescent="0.25">
      <c r="B45" s="93" t="s">
        <v>1820</v>
      </c>
      <c r="C45" s="97" t="s">
        <v>926</v>
      </c>
      <c r="D45" s="98">
        <v>0.5</v>
      </c>
      <c r="E45" s="98">
        <v>0</v>
      </c>
      <c r="F45" s="98" t="s">
        <v>1322</v>
      </c>
      <c r="G45" s="100" t="s">
        <v>920</v>
      </c>
      <c r="H45" s="100"/>
      <c r="I45" s="371"/>
      <c r="J45" s="372"/>
    </row>
    <row r="46" spans="1:10" s="367" customFormat="1" ht="18.75" thickBot="1" x14ac:dyDescent="0.3">
      <c r="B46" s="94" t="s">
        <v>1821</v>
      </c>
      <c r="C46" s="85" t="s">
        <v>928</v>
      </c>
      <c r="D46" s="95">
        <v>1</v>
      </c>
      <c r="E46" s="95">
        <v>0</v>
      </c>
      <c r="F46" s="95" t="s">
        <v>1322</v>
      </c>
      <c r="G46" s="96" t="s">
        <v>921</v>
      </c>
      <c r="H46" s="96"/>
      <c r="I46" s="373"/>
      <c r="J46" s="374"/>
    </row>
    <row r="47" spans="1:10" s="367" customFormat="1" ht="15.75" thickBot="1" x14ac:dyDescent="0.3">
      <c r="B47" s="86"/>
      <c r="C47" s="87"/>
      <c r="D47" s="88"/>
      <c r="E47" s="88"/>
      <c r="F47" s="88"/>
      <c r="G47" s="88"/>
      <c r="H47" s="88"/>
      <c r="I47" s="88"/>
    </row>
    <row r="48" spans="1:10" ht="15.75" thickBot="1" x14ac:dyDescent="0.3">
      <c r="A48" s="367"/>
      <c r="B48" s="81"/>
      <c r="C48" s="82" t="s">
        <v>524</v>
      </c>
      <c r="D48" s="81" t="s">
        <v>430</v>
      </c>
    </row>
    <row r="49" spans="2:10" s="367" customFormat="1" ht="15.75" thickBot="1" x14ac:dyDescent="0.3">
      <c r="B49" s="101" t="s">
        <v>0</v>
      </c>
      <c r="C49" s="102" t="s">
        <v>1</v>
      </c>
      <c r="D49" s="150" t="s">
        <v>1011</v>
      </c>
      <c r="E49" s="150" t="s">
        <v>561</v>
      </c>
      <c r="F49" s="150" t="s">
        <v>562</v>
      </c>
      <c r="G49" s="103" t="s">
        <v>2</v>
      </c>
      <c r="H49" s="103" t="s">
        <v>431</v>
      </c>
      <c r="I49" s="103" t="s">
        <v>114</v>
      </c>
      <c r="J49" s="368" t="s">
        <v>115</v>
      </c>
    </row>
    <row r="50" spans="2:10" s="367" customFormat="1" ht="18" x14ac:dyDescent="0.25">
      <c r="B50" s="91" t="s">
        <v>480</v>
      </c>
      <c r="C50" s="84" t="s">
        <v>219</v>
      </c>
      <c r="D50" s="92">
        <v>0.9</v>
      </c>
      <c r="E50" s="92">
        <v>0</v>
      </c>
      <c r="F50" s="92" t="s">
        <v>1322</v>
      </c>
      <c r="G50" s="99" t="s">
        <v>912</v>
      </c>
      <c r="H50" s="99"/>
      <c r="I50" s="84"/>
      <c r="J50" s="370"/>
    </row>
    <row r="51" spans="2:10" s="367" customFormat="1" ht="18" x14ac:dyDescent="0.25">
      <c r="B51" s="93" t="s">
        <v>481</v>
      </c>
      <c r="C51" s="97" t="s">
        <v>221</v>
      </c>
      <c r="D51" s="98">
        <v>0.6</v>
      </c>
      <c r="E51" s="98">
        <v>0</v>
      </c>
      <c r="F51" s="98" t="s">
        <v>1322</v>
      </c>
      <c r="G51" s="99" t="s">
        <v>912</v>
      </c>
      <c r="H51" s="100"/>
      <c r="I51" s="97"/>
      <c r="J51" s="372"/>
    </row>
    <row r="52" spans="2:10" s="367" customFormat="1" ht="18" x14ac:dyDescent="0.25">
      <c r="B52" s="93" t="s">
        <v>482</v>
      </c>
      <c r="C52" s="78" t="s">
        <v>944</v>
      </c>
      <c r="D52" s="98">
        <v>0.66600000000000004</v>
      </c>
      <c r="E52" s="98">
        <v>0</v>
      </c>
      <c r="F52" s="98" t="s">
        <v>1322</v>
      </c>
      <c r="G52" s="99" t="s">
        <v>912</v>
      </c>
      <c r="H52" s="100"/>
      <c r="I52" s="97"/>
      <c r="J52" s="372"/>
    </row>
    <row r="53" spans="2:10" s="367" customFormat="1" ht="18" x14ac:dyDescent="0.25">
      <c r="B53" s="93" t="s">
        <v>483</v>
      </c>
      <c r="C53" s="78" t="s">
        <v>945</v>
      </c>
      <c r="D53" s="98">
        <v>0.66600000000000004</v>
      </c>
      <c r="E53" s="98">
        <v>0</v>
      </c>
      <c r="F53" s="98" t="s">
        <v>1322</v>
      </c>
      <c r="G53" s="99" t="s">
        <v>912</v>
      </c>
      <c r="H53" s="100"/>
      <c r="I53" s="97"/>
      <c r="J53" s="372"/>
    </row>
    <row r="54" spans="2:10" s="367" customFormat="1" ht="18" x14ac:dyDescent="0.25">
      <c r="B54" s="93" t="s">
        <v>484</v>
      </c>
      <c r="C54" s="78" t="s">
        <v>946</v>
      </c>
      <c r="D54" s="98">
        <v>0.1</v>
      </c>
      <c r="E54" s="98">
        <v>0</v>
      </c>
      <c r="F54" s="98" t="s">
        <v>1322</v>
      </c>
      <c r="G54" s="99" t="s">
        <v>912</v>
      </c>
      <c r="H54" s="100"/>
      <c r="I54" s="97"/>
      <c r="J54" s="372"/>
    </row>
    <row r="55" spans="2:10" s="367" customFormat="1" ht="18" x14ac:dyDescent="0.25">
      <c r="B55" s="93" t="s">
        <v>485</v>
      </c>
      <c r="C55" s="78" t="s">
        <v>954</v>
      </c>
      <c r="D55" s="98">
        <v>0.08</v>
      </c>
      <c r="E55" s="98">
        <v>0</v>
      </c>
      <c r="F55" s="98" t="s">
        <v>1322</v>
      </c>
      <c r="G55" s="99" t="s">
        <v>912</v>
      </c>
      <c r="H55" s="100"/>
      <c r="I55" s="97"/>
      <c r="J55" s="372"/>
    </row>
    <row r="56" spans="2:10" s="367" customFormat="1" ht="18" x14ac:dyDescent="0.25">
      <c r="B56" s="93" t="s">
        <v>486</v>
      </c>
      <c r="C56" s="78" t="s">
        <v>224</v>
      </c>
      <c r="D56" s="98">
        <v>0.5</v>
      </c>
      <c r="E56" s="98">
        <v>0</v>
      </c>
      <c r="F56" s="98" t="s">
        <v>1322</v>
      </c>
      <c r="G56" s="99" t="s">
        <v>912</v>
      </c>
      <c r="H56" s="100"/>
      <c r="I56" s="97"/>
      <c r="J56" s="372"/>
    </row>
    <row r="57" spans="2:10" s="367" customFormat="1" ht="18" x14ac:dyDescent="0.25">
      <c r="B57" s="93" t="s">
        <v>487</v>
      </c>
      <c r="C57" s="97" t="s">
        <v>947</v>
      </c>
      <c r="D57" s="98">
        <v>0.63900000000000001</v>
      </c>
      <c r="E57" s="98">
        <v>0</v>
      </c>
      <c r="F57" s="98" t="s">
        <v>1322</v>
      </c>
      <c r="G57" s="99" t="s">
        <v>912</v>
      </c>
      <c r="H57" s="100"/>
      <c r="I57" s="97"/>
      <c r="J57" s="372"/>
    </row>
    <row r="58" spans="2:10" s="367" customFormat="1" ht="18" x14ac:dyDescent="0.25">
      <c r="B58" s="93" t="s">
        <v>488</v>
      </c>
      <c r="C58" s="97" t="s">
        <v>948</v>
      </c>
      <c r="D58" s="98">
        <v>0.95</v>
      </c>
      <c r="E58" s="98">
        <v>0</v>
      </c>
      <c r="F58" s="98" t="s">
        <v>1322</v>
      </c>
      <c r="G58" s="100" t="s">
        <v>942</v>
      </c>
      <c r="H58" s="100"/>
      <c r="I58" s="97"/>
      <c r="J58" s="372"/>
    </row>
    <row r="59" spans="2:10" s="367" customFormat="1" ht="18" x14ac:dyDescent="0.25">
      <c r="B59" s="93" t="s">
        <v>489</v>
      </c>
      <c r="C59" s="97" t="s">
        <v>949</v>
      </c>
      <c r="D59" s="98">
        <v>0.55000000000000004</v>
      </c>
      <c r="E59" s="98">
        <v>0</v>
      </c>
      <c r="F59" s="98" t="s">
        <v>1322</v>
      </c>
      <c r="G59" s="100" t="s">
        <v>942</v>
      </c>
      <c r="H59" s="100"/>
      <c r="I59" s="97"/>
      <c r="J59" s="372"/>
    </row>
    <row r="60" spans="2:10" s="367" customFormat="1" ht="18" x14ac:dyDescent="0.25">
      <c r="B60" s="93" t="s">
        <v>490</v>
      </c>
      <c r="C60" s="97" t="s">
        <v>950</v>
      </c>
      <c r="D60" s="98">
        <v>0.88900000000000001</v>
      </c>
      <c r="E60" s="98">
        <v>0</v>
      </c>
      <c r="F60" s="98" t="s">
        <v>1322</v>
      </c>
      <c r="G60" s="99" t="s">
        <v>912</v>
      </c>
      <c r="H60" s="100"/>
      <c r="I60" s="97"/>
      <c r="J60" s="372"/>
    </row>
    <row r="61" spans="2:10" s="367" customFormat="1" ht="18" x14ac:dyDescent="0.25">
      <c r="B61" s="93" t="s">
        <v>491</v>
      </c>
      <c r="C61" s="97" t="s">
        <v>951</v>
      </c>
      <c r="D61" s="98">
        <v>0.52</v>
      </c>
      <c r="E61" s="98">
        <v>0</v>
      </c>
      <c r="F61" s="98" t="s">
        <v>1322</v>
      </c>
      <c r="G61" s="100" t="s">
        <v>942</v>
      </c>
      <c r="H61" s="100"/>
      <c r="I61" s="97"/>
      <c r="J61" s="372"/>
    </row>
    <row r="62" spans="2:10" s="367" customFormat="1" ht="18" x14ac:dyDescent="0.25">
      <c r="B62" s="93" t="s">
        <v>492</v>
      </c>
      <c r="C62" s="97" t="s">
        <v>952</v>
      </c>
      <c r="D62" s="98">
        <v>0.94</v>
      </c>
      <c r="E62" s="98">
        <v>0</v>
      </c>
      <c r="F62" s="98" t="s">
        <v>1322</v>
      </c>
      <c r="G62" s="100" t="s">
        <v>943</v>
      </c>
      <c r="H62" s="100"/>
      <c r="I62" s="97"/>
      <c r="J62" s="372"/>
    </row>
    <row r="63" spans="2:10" s="367" customFormat="1" ht="18" x14ac:dyDescent="0.25">
      <c r="B63" s="93" t="s">
        <v>493</v>
      </c>
      <c r="C63" s="97" t="s">
        <v>953</v>
      </c>
      <c r="D63" s="98">
        <v>0.25</v>
      </c>
      <c r="E63" s="98">
        <v>0</v>
      </c>
      <c r="F63" s="98" t="s">
        <v>1322</v>
      </c>
      <c r="G63" s="99" t="s">
        <v>912</v>
      </c>
      <c r="H63" s="100"/>
      <c r="I63" s="97"/>
      <c r="J63" s="372"/>
    </row>
    <row r="64" spans="2:10" s="367" customFormat="1" ht="18" x14ac:dyDescent="0.25">
      <c r="B64" s="93" t="s">
        <v>494</v>
      </c>
      <c r="C64" s="97" t="s">
        <v>953</v>
      </c>
      <c r="D64" s="98">
        <v>0.2</v>
      </c>
      <c r="E64" s="98">
        <v>0</v>
      </c>
      <c r="F64" s="98" t="s">
        <v>1322</v>
      </c>
      <c r="G64" s="99" t="s">
        <v>912</v>
      </c>
      <c r="H64" s="100"/>
      <c r="I64" s="97"/>
      <c r="J64" s="372"/>
    </row>
    <row r="65" spans="1:10" s="367" customFormat="1" ht="18" x14ac:dyDescent="0.25">
      <c r="B65" s="93" t="s">
        <v>495</v>
      </c>
      <c r="C65" s="97" t="s">
        <v>955</v>
      </c>
      <c r="D65" s="98">
        <v>0.15</v>
      </c>
      <c r="E65" s="98">
        <v>0</v>
      </c>
      <c r="F65" s="98" t="s">
        <v>1322</v>
      </c>
      <c r="G65" s="100" t="s">
        <v>514</v>
      </c>
      <c r="H65" s="100"/>
      <c r="I65" s="97"/>
      <c r="J65" s="372"/>
    </row>
    <row r="66" spans="1:10" s="367" customFormat="1" ht="18.75" thickBot="1" x14ac:dyDescent="0.3">
      <c r="B66" s="94" t="s">
        <v>496</v>
      </c>
      <c r="C66" s="85" t="s">
        <v>956</v>
      </c>
      <c r="D66" s="95">
        <v>0.08</v>
      </c>
      <c r="E66" s="95">
        <v>0</v>
      </c>
      <c r="F66" s="95" t="s">
        <v>1322</v>
      </c>
      <c r="G66" s="96" t="s">
        <v>912</v>
      </c>
      <c r="H66" s="96"/>
      <c r="I66" s="85"/>
      <c r="J66" s="374"/>
    </row>
    <row r="67" spans="1:10" s="367" customFormat="1" ht="15.75" thickBot="1" x14ac:dyDescent="0.3">
      <c r="B67" s="86"/>
      <c r="C67" s="87"/>
      <c r="D67" s="88"/>
      <c r="E67" s="88"/>
      <c r="F67" s="88"/>
      <c r="G67" s="88"/>
      <c r="H67" s="88"/>
      <c r="I67" s="88"/>
    </row>
    <row r="68" spans="1:10" ht="15.75" thickBot="1" x14ac:dyDescent="0.3">
      <c r="A68" s="367"/>
      <c r="B68" s="81"/>
      <c r="C68" s="82" t="s">
        <v>525</v>
      </c>
      <c r="D68" s="81" t="s">
        <v>430</v>
      </c>
    </row>
    <row r="69" spans="1:10" s="367" customFormat="1" ht="15.75" thickBot="1" x14ac:dyDescent="0.3">
      <c r="B69" s="101" t="s">
        <v>0</v>
      </c>
      <c r="C69" s="102" t="s">
        <v>1</v>
      </c>
      <c r="D69" s="103" t="s">
        <v>1011</v>
      </c>
      <c r="E69" s="103" t="s">
        <v>561</v>
      </c>
      <c r="F69" s="103" t="s">
        <v>562</v>
      </c>
      <c r="G69" s="103" t="s">
        <v>2</v>
      </c>
      <c r="H69" s="103" t="s">
        <v>431</v>
      </c>
      <c r="I69" s="103" t="s">
        <v>114</v>
      </c>
      <c r="J69" s="368" t="s">
        <v>115</v>
      </c>
    </row>
    <row r="70" spans="1:10" s="367" customFormat="1" ht="18" x14ac:dyDescent="0.25">
      <c r="B70" s="91" t="s">
        <v>497</v>
      </c>
      <c r="C70" s="84" t="s">
        <v>957</v>
      </c>
      <c r="D70" s="92">
        <v>7.0000000000000007E-2</v>
      </c>
      <c r="E70" s="92">
        <v>0</v>
      </c>
      <c r="F70" s="92" t="s">
        <v>1322</v>
      </c>
      <c r="G70" s="99" t="s">
        <v>970</v>
      </c>
      <c r="H70" s="99"/>
      <c r="I70" s="84"/>
      <c r="J70" s="370"/>
    </row>
    <row r="71" spans="1:10" s="367" customFormat="1" ht="18" x14ac:dyDescent="0.25">
      <c r="B71" s="151" t="s">
        <v>498</v>
      </c>
      <c r="C71" s="97" t="s">
        <v>958</v>
      </c>
      <c r="D71" s="98">
        <v>7.0000000000000007E-2</v>
      </c>
      <c r="E71" s="98">
        <v>0</v>
      </c>
      <c r="F71" s="98" t="s">
        <v>1322</v>
      </c>
      <c r="G71" s="100" t="s">
        <v>970</v>
      </c>
      <c r="H71" s="100"/>
      <c r="I71" s="97"/>
      <c r="J71" s="376"/>
    </row>
    <row r="72" spans="1:10" s="367" customFormat="1" ht="18" x14ac:dyDescent="0.25">
      <c r="B72" s="151" t="s">
        <v>499</v>
      </c>
      <c r="C72" s="97" t="s">
        <v>959</v>
      </c>
      <c r="D72" s="98">
        <v>7.0000000000000007E-2</v>
      </c>
      <c r="E72" s="98">
        <v>0</v>
      </c>
      <c r="F72" s="98" t="s">
        <v>1322</v>
      </c>
      <c r="G72" s="100" t="s">
        <v>970</v>
      </c>
      <c r="H72" s="100"/>
      <c r="I72" s="97"/>
      <c r="J72" s="376"/>
    </row>
    <row r="73" spans="1:10" s="367" customFormat="1" ht="18" x14ac:dyDescent="0.25">
      <c r="B73" s="151" t="s">
        <v>500</v>
      </c>
      <c r="C73" s="97" t="s">
        <v>960</v>
      </c>
      <c r="D73" s="98">
        <v>7.0000000000000007E-2</v>
      </c>
      <c r="E73" s="98">
        <v>0</v>
      </c>
      <c r="F73" s="98" t="s">
        <v>1322</v>
      </c>
      <c r="G73" s="100" t="s">
        <v>970</v>
      </c>
      <c r="H73" s="100"/>
      <c r="I73" s="97"/>
      <c r="J73" s="376"/>
    </row>
    <row r="74" spans="1:10" s="367" customFormat="1" ht="18" x14ac:dyDescent="0.25">
      <c r="B74" s="151" t="s">
        <v>501</v>
      </c>
      <c r="C74" s="97" t="s">
        <v>961</v>
      </c>
      <c r="D74" s="98">
        <v>7.0000000000000007E-2</v>
      </c>
      <c r="E74" s="98">
        <v>0</v>
      </c>
      <c r="F74" s="98" t="s">
        <v>1322</v>
      </c>
      <c r="G74" s="100" t="s">
        <v>970</v>
      </c>
      <c r="H74" s="100"/>
      <c r="I74" s="97"/>
      <c r="J74" s="376"/>
    </row>
    <row r="75" spans="1:10" s="367" customFormat="1" ht="18" x14ac:dyDescent="0.25">
      <c r="B75" s="151" t="s">
        <v>502</v>
      </c>
      <c r="C75" s="97" t="s">
        <v>962</v>
      </c>
      <c r="D75" s="98">
        <v>7.0000000000000007E-2</v>
      </c>
      <c r="E75" s="98">
        <v>0</v>
      </c>
      <c r="F75" s="98" t="s">
        <v>1322</v>
      </c>
      <c r="G75" s="100" t="s">
        <v>970</v>
      </c>
      <c r="H75" s="100"/>
      <c r="I75" s="97"/>
      <c r="J75" s="376"/>
    </row>
    <row r="76" spans="1:10" s="367" customFormat="1" ht="18" x14ac:dyDescent="0.25">
      <c r="B76" s="151" t="s">
        <v>503</v>
      </c>
      <c r="C76" s="97" t="s">
        <v>963</v>
      </c>
      <c r="D76" s="98">
        <v>7.0000000000000007E-2</v>
      </c>
      <c r="E76" s="98">
        <v>0</v>
      </c>
      <c r="F76" s="98" t="s">
        <v>1322</v>
      </c>
      <c r="G76" s="100" t="s">
        <v>970</v>
      </c>
      <c r="H76" s="100"/>
      <c r="I76" s="97"/>
      <c r="J76" s="376"/>
    </row>
    <row r="77" spans="1:10" s="367" customFormat="1" ht="18" x14ac:dyDescent="0.25">
      <c r="B77" s="151" t="s">
        <v>504</v>
      </c>
      <c r="C77" s="97" t="s">
        <v>964</v>
      </c>
      <c r="D77" s="98">
        <v>2.1000000000000001E-2</v>
      </c>
      <c r="E77" s="98">
        <v>0</v>
      </c>
      <c r="F77" s="98" t="s">
        <v>1322</v>
      </c>
      <c r="G77" s="100" t="s">
        <v>942</v>
      </c>
      <c r="H77" s="100"/>
      <c r="I77" s="97"/>
      <c r="J77" s="376"/>
    </row>
    <row r="78" spans="1:10" s="367" customFormat="1" ht="18" x14ac:dyDescent="0.25">
      <c r="B78" s="151" t="s">
        <v>505</v>
      </c>
      <c r="C78" s="97" t="s">
        <v>965</v>
      </c>
      <c r="D78" s="98">
        <v>2.1000000000000001E-2</v>
      </c>
      <c r="E78" s="98">
        <v>0</v>
      </c>
      <c r="F78" s="98" t="s">
        <v>1322</v>
      </c>
      <c r="G78" s="100" t="s">
        <v>942</v>
      </c>
      <c r="H78" s="100"/>
      <c r="I78" s="97"/>
      <c r="J78" s="376"/>
    </row>
    <row r="79" spans="1:10" s="367" customFormat="1" ht="18" x14ac:dyDescent="0.25">
      <c r="B79" s="151" t="s">
        <v>506</v>
      </c>
      <c r="C79" s="97" t="s">
        <v>966</v>
      </c>
      <c r="D79" s="98">
        <v>2.1000000000000001E-2</v>
      </c>
      <c r="E79" s="98">
        <v>0</v>
      </c>
      <c r="F79" s="98" t="s">
        <v>1322</v>
      </c>
      <c r="G79" s="100" t="s">
        <v>942</v>
      </c>
      <c r="H79" s="100"/>
      <c r="I79" s="97"/>
      <c r="J79" s="376"/>
    </row>
    <row r="80" spans="1:10" s="367" customFormat="1" ht="18" x14ac:dyDescent="0.25">
      <c r="B80" s="151" t="s">
        <v>507</v>
      </c>
      <c r="C80" s="97" t="s">
        <v>967</v>
      </c>
      <c r="D80" s="98">
        <v>2.1000000000000001E-2</v>
      </c>
      <c r="E80" s="98">
        <v>0</v>
      </c>
      <c r="F80" s="98" t="s">
        <v>1322</v>
      </c>
      <c r="G80" s="100" t="s">
        <v>942</v>
      </c>
      <c r="H80" s="100"/>
      <c r="I80" s="97"/>
      <c r="J80" s="376"/>
    </row>
    <row r="81" spans="2:10" s="367" customFormat="1" ht="18" x14ac:dyDescent="0.25">
      <c r="B81" s="151" t="s">
        <v>508</v>
      </c>
      <c r="C81" s="97" t="s">
        <v>968</v>
      </c>
      <c r="D81" s="98">
        <v>2.1000000000000001E-2</v>
      </c>
      <c r="E81" s="98">
        <v>0</v>
      </c>
      <c r="F81" s="98" t="s">
        <v>1322</v>
      </c>
      <c r="G81" s="100" t="s">
        <v>942</v>
      </c>
      <c r="H81" s="100"/>
      <c r="I81" s="97"/>
      <c r="J81" s="376"/>
    </row>
    <row r="82" spans="2:10" s="367" customFormat="1" ht="18.75" thickBot="1" x14ac:dyDescent="0.3">
      <c r="B82" s="152" t="s">
        <v>509</v>
      </c>
      <c r="C82" s="153" t="s">
        <v>969</v>
      </c>
      <c r="D82" s="154">
        <v>2.1000000000000001E-2</v>
      </c>
      <c r="E82" s="154">
        <v>0</v>
      </c>
      <c r="F82" s="154" t="s">
        <v>1322</v>
      </c>
      <c r="G82" s="149" t="s">
        <v>942</v>
      </c>
      <c r="H82" s="149"/>
      <c r="I82" s="153"/>
      <c r="J82" s="378"/>
    </row>
    <row r="83" spans="2:10" s="367" customFormat="1" ht="15.75" thickBot="1" x14ac:dyDescent="0.3">
      <c r="B83" s="109"/>
      <c r="C83" s="110"/>
      <c r="D83" s="108"/>
      <c r="E83" s="108"/>
      <c r="F83" s="108"/>
      <c r="G83" s="108"/>
      <c r="H83" s="45"/>
      <c r="I83" s="45"/>
    </row>
    <row r="84" spans="2:10" s="367" customFormat="1" ht="15.75" thickBot="1" x14ac:dyDescent="0.3">
      <c r="B84" s="81"/>
      <c r="C84" s="82" t="s">
        <v>526</v>
      </c>
      <c r="D84" s="81" t="s">
        <v>430</v>
      </c>
      <c r="E84" s="81"/>
      <c r="F84" s="81"/>
      <c r="G84" s="81"/>
      <c r="H84" s="81"/>
      <c r="I84" s="81"/>
    </row>
    <row r="85" spans="2:10" s="367" customFormat="1" ht="15.75" thickBot="1" x14ac:dyDescent="0.3">
      <c r="B85" s="101" t="s">
        <v>0</v>
      </c>
      <c r="C85" s="102" t="s">
        <v>1</v>
      </c>
      <c r="D85" s="150" t="s">
        <v>1011</v>
      </c>
      <c r="E85" s="150" t="s">
        <v>561</v>
      </c>
      <c r="F85" s="150" t="s">
        <v>562</v>
      </c>
      <c r="G85" s="102" t="s">
        <v>2</v>
      </c>
      <c r="H85" s="102" t="s">
        <v>431</v>
      </c>
      <c r="I85" s="103" t="s">
        <v>114</v>
      </c>
      <c r="J85" s="368" t="s">
        <v>115</v>
      </c>
    </row>
    <row r="86" spans="2:10" s="367" customFormat="1" ht="18" x14ac:dyDescent="0.25">
      <c r="B86" s="91" t="s">
        <v>510</v>
      </c>
      <c r="C86" s="84" t="s">
        <v>971</v>
      </c>
      <c r="D86" s="92">
        <v>1.48</v>
      </c>
      <c r="E86" s="92">
        <v>0</v>
      </c>
      <c r="F86" s="92" t="s">
        <v>1322</v>
      </c>
      <c r="G86" s="99" t="s">
        <v>974</v>
      </c>
      <c r="H86" s="99"/>
      <c r="I86" s="84"/>
      <c r="J86" s="370"/>
    </row>
    <row r="87" spans="2:10" s="367" customFormat="1" ht="18" x14ac:dyDescent="0.25">
      <c r="B87" s="93" t="s">
        <v>511</v>
      </c>
      <c r="C87" s="97" t="s">
        <v>972</v>
      </c>
      <c r="D87" s="98">
        <v>1.42</v>
      </c>
      <c r="E87" s="98">
        <v>0</v>
      </c>
      <c r="F87" s="98" t="s">
        <v>1322</v>
      </c>
      <c r="G87" s="99" t="s">
        <v>974</v>
      </c>
      <c r="H87" s="100"/>
      <c r="I87" s="97"/>
      <c r="J87" s="372"/>
    </row>
    <row r="88" spans="2:10" s="367" customFormat="1" ht="18" x14ac:dyDescent="0.25">
      <c r="B88" s="93" t="s">
        <v>512</v>
      </c>
      <c r="C88" s="97" t="s">
        <v>973</v>
      </c>
      <c r="D88" s="98">
        <v>1.42</v>
      </c>
      <c r="E88" s="98">
        <v>0</v>
      </c>
      <c r="F88" s="98" t="s">
        <v>1322</v>
      </c>
      <c r="G88" s="99" t="s">
        <v>974</v>
      </c>
      <c r="H88" s="100"/>
      <c r="I88" s="97"/>
      <c r="J88" s="372"/>
    </row>
    <row r="89" spans="2:10" s="367" customFormat="1" ht="18" x14ac:dyDescent="0.25">
      <c r="B89" s="93" t="s">
        <v>528</v>
      </c>
      <c r="C89" s="97" t="s">
        <v>529</v>
      </c>
      <c r="D89" s="98">
        <v>1.48</v>
      </c>
      <c r="E89" s="98">
        <v>0</v>
      </c>
      <c r="F89" s="98" t="s">
        <v>1322</v>
      </c>
      <c r="G89" s="100" t="s">
        <v>450</v>
      </c>
      <c r="H89" s="100"/>
      <c r="I89" s="97"/>
      <c r="J89" s="372"/>
    </row>
    <row r="90" spans="2:10" s="367" customFormat="1" ht="18" x14ac:dyDescent="0.25">
      <c r="B90" s="235" t="s">
        <v>1339</v>
      </c>
      <c r="C90" s="236" t="s">
        <v>1340</v>
      </c>
      <c r="D90" s="237">
        <v>1.0660000000000001</v>
      </c>
      <c r="E90" s="238">
        <v>0</v>
      </c>
      <c r="F90" s="238">
        <v>5</v>
      </c>
      <c r="G90" s="238" t="s">
        <v>1338</v>
      </c>
      <c r="H90" s="238">
        <v>2</v>
      </c>
      <c r="I90" s="97"/>
      <c r="J90" s="372"/>
    </row>
    <row r="91" spans="2:10" s="367" customFormat="1" ht="18" x14ac:dyDescent="0.25">
      <c r="B91" s="235" t="s">
        <v>1341</v>
      </c>
      <c r="C91" s="236" t="s">
        <v>1342</v>
      </c>
      <c r="D91" s="237">
        <v>1.0660000000000001</v>
      </c>
      <c r="E91" s="238">
        <v>0</v>
      </c>
      <c r="F91" s="238">
        <v>5</v>
      </c>
      <c r="G91" s="238" t="s">
        <v>1338</v>
      </c>
      <c r="H91" s="238">
        <v>2</v>
      </c>
      <c r="I91" s="97"/>
      <c r="J91" s="372"/>
    </row>
    <row r="92" spans="2:10" s="367" customFormat="1" ht="18" x14ac:dyDescent="0.25">
      <c r="B92" s="235" t="s">
        <v>1343</v>
      </c>
      <c r="C92" s="236" t="s">
        <v>1344</v>
      </c>
      <c r="D92" s="237">
        <v>0.92600000000000005</v>
      </c>
      <c r="E92" s="238">
        <v>0</v>
      </c>
      <c r="F92" s="238">
        <v>5</v>
      </c>
      <c r="G92" s="238" t="s">
        <v>1338</v>
      </c>
      <c r="H92" s="238">
        <v>2</v>
      </c>
      <c r="I92" s="97"/>
      <c r="J92" s="372"/>
    </row>
    <row r="93" spans="2:10" ht="18.75" thickBot="1" x14ac:dyDescent="0.3">
      <c r="B93" s="116" t="s">
        <v>1348</v>
      </c>
      <c r="C93" s="117" t="s">
        <v>531</v>
      </c>
      <c r="D93" s="118">
        <v>0.65</v>
      </c>
      <c r="E93" s="118">
        <v>0</v>
      </c>
      <c r="F93" s="118" t="s">
        <v>1322</v>
      </c>
      <c r="G93" s="118" t="s">
        <v>532</v>
      </c>
      <c r="H93" s="117"/>
      <c r="I93" s="118"/>
      <c r="J93" s="379"/>
    </row>
    <row r="94" spans="2:10" s="380" customFormat="1" ht="15.75" thickBot="1" x14ac:dyDescent="0.3">
      <c r="B94" s="3"/>
      <c r="C94" s="111"/>
      <c r="D94" s="112"/>
      <c r="E94" s="112"/>
      <c r="F94" s="112"/>
      <c r="G94" s="112"/>
      <c r="H94" s="112"/>
      <c r="I94" s="112"/>
    </row>
    <row r="95" spans="2:10" s="380" customFormat="1" ht="15.75" thickBot="1" x14ac:dyDescent="0.3">
      <c r="B95" s="113"/>
      <c r="C95" s="114" t="s">
        <v>527</v>
      </c>
      <c r="D95" s="113" t="s">
        <v>430</v>
      </c>
      <c r="E95" s="113"/>
      <c r="F95" s="113"/>
      <c r="G95" s="113"/>
      <c r="H95" s="113"/>
      <c r="I95" s="113"/>
    </row>
    <row r="96" spans="2:10" s="380" customFormat="1" ht="15.75" thickBot="1" x14ac:dyDescent="0.3">
      <c r="B96" s="225" t="s">
        <v>0</v>
      </c>
      <c r="C96" s="226" t="s">
        <v>1</v>
      </c>
      <c r="D96" s="227" t="s">
        <v>1011</v>
      </c>
      <c r="E96" s="227" t="s">
        <v>561</v>
      </c>
      <c r="F96" s="227" t="s">
        <v>562</v>
      </c>
      <c r="G96" s="228" t="s">
        <v>2</v>
      </c>
      <c r="H96" s="228" t="s">
        <v>431</v>
      </c>
      <c r="I96" s="228" t="s">
        <v>114</v>
      </c>
      <c r="J96" s="381" t="s">
        <v>115</v>
      </c>
    </row>
    <row r="97" spans="2:10" s="367" customFormat="1" ht="18" x14ac:dyDescent="0.25">
      <c r="B97" s="229" t="s">
        <v>513</v>
      </c>
      <c r="C97" s="230" t="s">
        <v>446</v>
      </c>
      <c r="D97" s="231">
        <v>2.8571428571428572</v>
      </c>
      <c r="E97" s="231">
        <v>0</v>
      </c>
      <c r="F97" s="231" t="s">
        <v>1322</v>
      </c>
      <c r="G97" s="233" t="s">
        <v>514</v>
      </c>
      <c r="H97" s="233"/>
      <c r="I97" s="382"/>
      <c r="J97" s="383"/>
    </row>
    <row r="98" spans="2:10" s="367" customFormat="1" ht="18" x14ac:dyDescent="0.25">
      <c r="B98" s="151" t="s">
        <v>515</v>
      </c>
      <c r="C98" s="78" t="s">
        <v>447</v>
      </c>
      <c r="D98" s="105">
        <v>-4.5714285714285712</v>
      </c>
      <c r="E98" s="105" t="s">
        <v>1332</v>
      </c>
      <c r="F98" s="105" t="s">
        <v>1322</v>
      </c>
      <c r="G98" s="100" t="s">
        <v>514</v>
      </c>
      <c r="H98" s="100"/>
      <c r="I98" s="97"/>
      <c r="J98" s="376"/>
    </row>
    <row r="99" spans="2:10" s="367" customFormat="1" ht="18" x14ac:dyDescent="0.25">
      <c r="B99" s="151" t="s">
        <v>516</v>
      </c>
      <c r="C99" s="78" t="s">
        <v>448</v>
      </c>
      <c r="D99" s="98">
        <v>-1.7142857142857142</v>
      </c>
      <c r="E99" s="98" t="s">
        <v>1332</v>
      </c>
      <c r="F99" s="98" t="s">
        <v>1322</v>
      </c>
      <c r="G99" s="100" t="s">
        <v>514</v>
      </c>
      <c r="H99" s="100"/>
      <c r="I99" s="97"/>
      <c r="J99" s="376"/>
    </row>
    <row r="100" spans="2:10" s="367" customFormat="1" ht="18.75" thickBot="1" x14ac:dyDescent="0.3">
      <c r="B100" s="152" t="s">
        <v>517</v>
      </c>
      <c r="C100" s="148" t="s">
        <v>449</v>
      </c>
      <c r="D100" s="154">
        <v>8</v>
      </c>
      <c r="E100" s="154">
        <v>0</v>
      </c>
      <c r="F100" s="154" t="s">
        <v>1322</v>
      </c>
      <c r="G100" s="149" t="s">
        <v>518</v>
      </c>
      <c r="H100" s="149"/>
      <c r="I100" s="153"/>
      <c r="J100" s="378"/>
    </row>
  </sheetData>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3"/>
  <dimension ref="A1:AE92"/>
  <sheetViews>
    <sheetView showGridLines="0" zoomScaleNormal="100" workbookViewId="0">
      <pane xSplit="4" ySplit="3" topLeftCell="E4" activePane="bottomRight" state="frozen"/>
      <selection pane="topRight" activeCell="E1" sqref="E1"/>
      <selection pane="bottomLeft" activeCell="A4" sqref="A4"/>
      <selection pane="bottomRight" activeCell="A2" sqref="A2"/>
    </sheetView>
  </sheetViews>
  <sheetFormatPr defaultColWidth="9.140625" defaultRowHeight="15" x14ac:dyDescent="0.25"/>
  <cols>
    <col min="1" max="1" width="17.140625" customWidth="1"/>
    <col min="2" max="2" width="3.7109375" customWidth="1"/>
    <col min="3" max="3" width="7.5703125" bestFit="1" customWidth="1"/>
    <col min="4" max="4" width="43.5703125" bestFit="1" customWidth="1"/>
    <col min="5" max="5" width="11.140625" customWidth="1"/>
    <col min="6" max="6" width="10.28515625" customWidth="1"/>
    <col min="7" max="7" width="8.85546875" bestFit="1" customWidth="1"/>
    <col min="10" max="10" width="36.140625" customWidth="1"/>
    <col min="11" max="11" width="28.7109375" customWidth="1"/>
    <col min="12" max="12" width="17.28515625" bestFit="1" customWidth="1"/>
    <col min="15" max="16" width="24.42578125" customWidth="1"/>
    <col min="17" max="17" width="20.140625" customWidth="1"/>
    <col min="18" max="18" width="11.85546875" bestFit="1" customWidth="1"/>
    <col min="19" max="19" width="9.85546875" bestFit="1" customWidth="1"/>
    <col min="20" max="20" width="36.28515625" customWidth="1"/>
    <col min="21" max="21" width="20.28515625" customWidth="1"/>
    <col min="23" max="23" width="37.7109375" customWidth="1"/>
    <col min="24" max="24" width="30.5703125" customWidth="1"/>
    <col min="25" max="25" width="22" customWidth="1"/>
    <col min="27" max="27" width="137.7109375" customWidth="1"/>
    <col min="28" max="28" width="9.28515625" bestFit="1" customWidth="1"/>
  </cols>
  <sheetData>
    <row r="1" spans="1:30" s="47" customFormat="1" ht="54" customHeight="1" thickBot="1" x14ac:dyDescent="0.3">
      <c r="A1" s="48"/>
    </row>
    <row r="2" spans="1:30" ht="18.75" customHeight="1" thickBot="1" x14ac:dyDescent="0.3">
      <c r="C2" s="146"/>
      <c r="D2" s="52" t="s">
        <v>126</v>
      </c>
      <c r="E2" s="14"/>
      <c r="F2" s="14"/>
    </row>
    <row r="3" spans="1:30" s="6" customFormat="1" ht="25.5" customHeight="1" thickBot="1" x14ac:dyDescent="0.3">
      <c r="B3" s="251" t="s">
        <v>91</v>
      </c>
      <c r="C3" s="252" t="s">
        <v>0</v>
      </c>
      <c r="D3" s="252" t="s">
        <v>1</v>
      </c>
      <c r="E3" s="253" t="s">
        <v>241</v>
      </c>
      <c r="F3" s="253" t="s">
        <v>242</v>
      </c>
      <c r="G3" s="253" t="s">
        <v>243</v>
      </c>
      <c r="H3" s="253" t="s">
        <v>244</v>
      </c>
      <c r="I3" s="253" t="s">
        <v>245</v>
      </c>
      <c r="J3" s="253" t="s">
        <v>246</v>
      </c>
      <c r="K3" s="253" t="s">
        <v>247</v>
      </c>
      <c r="L3" s="253" t="s">
        <v>248</v>
      </c>
      <c r="M3" s="253" t="s">
        <v>249</v>
      </c>
      <c r="N3" s="253" t="s">
        <v>250</v>
      </c>
      <c r="O3" s="253" t="s">
        <v>251</v>
      </c>
      <c r="P3" s="253" t="s">
        <v>252</v>
      </c>
      <c r="Q3" s="253" t="s">
        <v>253</v>
      </c>
      <c r="R3" s="253" t="s">
        <v>254</v>
      </c>
      <c r="S3" s="253" t="s">
        <v>255</v>
      </c>
      <c r="T3" s="253" t="s">
        <v>256</v>
      </c>
      <c r="U3" s="253" t="s">
        <v>257</v>
      </c>
      <c r="V3" s="253" t="s">
        <v>258</v>
      </c>
      <c r="W3" s="253" t="s">
        <v>1360</v>
      </c>
      <c r="X3" s="253" t="s">
        <v>259</v>
      </c>
      <c r="Y3" s="253" t="s">
        <v>260</v>
      </c>
      <c r="Z3" s="254" t="s">
        <v>261</v>
      </c>
      <c r="AA3" s="255" t="s">
        <v>1320</v>
      </c>
      <c r="AB3" s="256" t="s">
        <v>2</v>
      </c>
      <c r="AC3" s="256" t="s">
        <v>9</v>
      </c>
      <c r="AD3" s="362" t="s">
        <v>114</v>
      </c>
    </row>
    <row r="4" spans="1:30" ht="25.5" customHeight="1" x14ac:dyDescent="0.25">
      <c r="B4" s="245">
        <v>1</v>
      </c>
      <c r="C4" s="246" t="s">
        <v>262</v>
      </c>
      <c r="D4" s="246" t="s">
        <v>263</v>
      </c>
      <c r="E4" s="247">
        <v>1</v>
      </c>
      <c r="F4" s="247"/>
      <c r="G4" s="247"/>
      <c r="H4" s="247"/>
      <c r="I4" s="247"/>
      <c r="J4" s="248" t="s">
        <v>264</v>
      </c>
      <c r="K4" s="248"/>
      <c r="L4" s="247"/>
      <c r="M4" s="247"/>
      <c r="N4" s="247"/>
      <c r="O4" s="247"/>
      <c r="P4" s="247"/>
      <c r="Q4" s="247" t="s">
        <v>265</v>
      </c>
      <c r="R4" s="247"/>
      <c r="S4" s="247"/>
      <c r="T4" s="247"/>
      <c r="U4" s="247" t="s">
        <v>266</v>
      </c>
      <c r="V4" s="247"/>
      <c r="W4" s="248" t="s">
        <v>267</v>
      </c>
      <c r="X4" s="248"/>
      <c r="Y4" s="247"/>
      <c r="Z4" s="247"/>
      <c r="AA4" s="249" t="s">
        <v>1372</v>
      </c>
      <c r="AB4" s="258" t="s">
        <v>1346</v>
      </c>
      <c r="AC4" s="258"/>
      <c r="AD4" s="244"/>
    </row>
    <row r="5" spans="1:30" ht="25.5" customHeight="1" x14ac:dyDescent="0.25">
      <c r="B5" s="137">
        <v>2</v>
      </c>
      <c r="C5" s="138" t="s">
        <v>268</v>
      </c>
      <c r="D5" s="138" t="s">
        <v>269</v>
      </c>
      <c r="E5" s="134">
        <v>1</v>
      </c>
      <c r="F5" s="134"/>
      <c r="G5" s="134"/>
      <c r="H5" s="134"/>
      <c r="I5" s="134"/>
      <c r="J5" s="135" t="s">
        <v>270</v>
      </c>
      <c r="K5" s="135"/>
      <c r="L5" s="134"/>
      <c r="M5" s="134"/>
      <c r="N5" s="134"/>
      <c r="O5" s="134"/>
      <c r="P5" s="134"/>
      <c r="Q5" s="134" t="s">
        <v>265</v>
      </c>
      <c r="R5" s="134"/>
      <c r="S5" s="134"/>
      <c r="T5" s="139" t="s">
        <v>271</v>
      </c>
      <c r="U5" s="134" t="s">
        <v>266</v>
      </c>
      <c r="V5" s="134"/>
      <c r="W5" s="135"/>
      <c r="X5" s="135" t="s">
        <v>272</v>
      </c>
      <c r="Y5" s="134"/>
      <c r="Z5" s="134"/>
      <c r="AA5" s="159" t="s">
        <v>1373</v>
      </c>
      <c r="AB5" s="75" t="s">
        <v>1346</v>
      </c>
      <c r="AC5" s="75"/>
      <c r="AD5" s="125"/>
    </row>
    <row r="6" spans="1:30" ht="25.5" customHeight="1" x14ac:dyDescent="0.25">
      <c r="B6" s="137">
        <v>3</v>
      </c>
      <c r="C6" s="138" t="s">
        <v>273</v>
      </c>
      <c r="D6" s="138" t="s">
        <v>274</v>
      </c>
      <c r="E6" s="134" t="s">
        <v>275</v>
      </c>
      <c r="F6" s="134"/>
      <c r="G6" s="134"/>
      <c r="H6" s="134"/>
      <c r="I6" s="134"/>
      <c r="J6" s="135" t="s">
        <v>264</v>
      </c>
      <c r="K6" s="135"/>
      <c r="L6" s="134"/>
      <c r="M6" s="134"/>
      <c r="N6" s="134"/>
      <c r="O6" s="134"/>
      <c r="P6" s="134"/>
      <c r="Q6" s="134" t="s">
        <v>265</v>
      </c>
      <c r="R6" s="134"/>
      <c r="S6" s="134"/>
      <c r="T6" s="134" t="s">
        <v>266</v>
      </c>
      <c r="U6" s="134"/>
      <c r="V6" s="134"/>
      <c r="W6" s="139" t="s">
        <v>276</v>
      </c>
      <c r="X6" s="135"/>
      <c r="Y6" s="135"/>
      <c r="Z6" s="135"/>
      <c r="AA6" s="159" t="s">
        <v>1374</v>
      </c>
      <c r="AB6" s="75" t="s">
        <v>1346</v>
      </c>
      <c r="AC6" s="75"/>
      <c r="AD6" s="125"/>
    </row>
    <row r="7" spans="1:30" ht="25.5" customHeight="1" x14ac:dyDescent="0.25">
      <c r="B7" s="137">
        <v>4</v>
      </c>
      <c r="C7" s="138" t="s">
        <v>277</v>
      </c>
      <c r="D7" s="138" t="s">
        <v>278</v>
      </c>
      <c r="E7" s="134">
        <v>1</v>
      </c>
      <c r="F7" s="134"/>
      <c r="G7" s="134"/>
      <c r="H7" s="134"/>
      <c r="I7" s="134"/>
      <c r="J7" s="139" t="s">
        <v>279</v>
      </c>
      <c r="K7" s="135"/>
      <c r="L7" s="134"/>
      <c r="M7" s="134"/>
      <c r="N7" s="134"/>
      <c r="O7" s="134"/>
      <c r="P7" s="134"/>
      <c r="Q7" s="134" t="s">
        <v>265</v>
      </c>
      <c r="R7" s="134"/>
      <c r="S7" s="134"/>
      <c r="T7" s="139" t="s">
        <v>280</v>
      </c>
      <c r="U7" s="134"/>
      <c r="V7" s="134"/>
      <c r="W7" s="135"/>
      <c r="X7" s="135" t="s">
        <v>272</v>
      </c>
      <c r="Y7" s="135"/>
      <c r="Z7" s="135"/>
      <c r="AA7" s="159" t="s">
        <v>1375</v>
      </c>
      <c r="AB7" s="75" t="s">
        <v>1347</v>
      </c>
      <c r="AC7" s="75"/>
      <c r="AD7" s="125"/>
    </row>
    <row r="8" spans="1:30" ht="25.5" customHeight="1" x14ac:dyDescent="0.25">
      <c r="B8" s="137">
        <v>5</v>
      </c>
      <c r="C8" s="138" t="s">
        <v>281</v>
      </c>
      <c r="D8" s="138" t="s">
        <v>282</v>
      </c>
      <c r="E8" s="134" t="s">
        <v>275</v>
      </c>
      <c r="F8" s="134"/>
      <c r="G8" s="134"/>
      <c r="H8" s="134"/>
      <c r="I8" s="134"/>
      <c r="J8" s="135"/>
      <c r="K8" s="135" t="s">
        <v>264</v>
      </c>
      <c r="L8" s="134"/>
      <c r="M8" s="134"/>
      <c r="N8" s="134"/>
      <c r="O8" s="134"/>
      <c r="P8" s="134"/>
      <c r="Q8" s="134" t="s">
        <v>265</v>
      </c>
      <c r="R8" s="134"/>
      <c r="S8" s="134"/>
      <c r="T8" s="135"/>
      <c r="U8" s="134" t="s">
        <v>266</v>
      </c>
      <c r="V8" s="134"/>
      <c r="W8" s="135" t="s">
        <v>267</v>
      </c>
      <c r="X8" s="135"/>
      <c r="Y8" s="135"/>
      <c r="Z8" s="135"/>
      <c r="AA8" s="159" t="s">
        <v>1376</v>
      </c>
      <c r="AB8" s="75" t="s">
        <v>1347</v>
      </c>
      <c r="AC8" s="75"/>
      <c r="AD8" s="125"/>
    </row>
    <row r="9" spans="1:30" ht="25.5" customHeight="1" x14ac:dyDescent="0.25">
      <c r="B9" s="137">
        <v>6</v>
      </c>
      <c r="C9" s="138" t="s">
        <v>283</v>
      </c>
      <c r="D9" s="138" t="s">
        <v>284</v>
      </c>
      <c r="E9" s="134">
        <v>1</v>
      </c>
      <c r="F9" s="134"/>
      <c r="G9" s="134"/>
      <c r="H9" s="134"/>
      <c r="I9" s="134"/>
      <c r="J9" s="135"/>
      <c r="K9" s="135" t="s">
        <v>270</v>
      </c>
      <c r="L9" s="134"/>
      <c r="M9" s="134"/>
      <c r="N9" s="134"/>
      <c r="O9" s="134"/>
      <c r="P9" s="134"/>
      <c r="Q9" s="134" t="s">
        <v>265</v>
      </c>
      <c r="R9" s="134"/>
      <c r="S9" s="134"/>
      <c r="T9" s="139" t="s">
        <v>271</v>
      </c>
      <c r="U9" s="134" t="s">
        <v>266</v>
      </c>
      <c r="V9" s="134"/>
      <c r="W9" s="135"/>
      <c r="X9" s="135" t="s">
        <v>272</v>
      </c>
      <c r="Y9" s="135"/>
      <c r="Z9" s="135"/>
      <c r="AA9" s="159" t="s">
        <v>1377</v>
      </c>
      <c r="AB9" s="75" t="s">
        <v>1347</v>
      </c>
      <c r="AC9" s="75"/>
      <c r="AD9" s="125"/>
    </row>
    <row r="10" spans="1:30" ht="25.5" customHeight="1" x14ac:dyDescent="0.25">
      <c r="B10" s="137">
        <v>7</v>
      </c>
      <c r="C10" s="138" t="s">
        <v>285</v>
      </c>
      <c r="D10" s="138" t="s">
        <v>286</v>
      </c>
      <c r="E10" s="134" t="s">
        <v>275</v>
      </c>
      <c r="F10" s="134"/>
      <c r="G10" s="134"/>
      <c r="H10" s="134"/>
      <c r="I10" s="134"/>
      <c r="J10" s="135"/>
      <c r="K10" s="135" t="s">
        <v>264</v>
      </c>
      <c r="L10" s="134"/>
      <c r="M10" s="134"/>
      <c r="N10" s="134"/>
      <c r="O10" s="134"/>
      <c r="P10" s="134"/>
      <c r="Q10" s="134" t="s">
        <v>265</v>
      </c>
      <c r="R10" s="134"/>
      <c r="S10" s="134"/>
      <c r="T10" s="134" t="s">
        <v>266</v>
      </c>
      <c r="U10" s="134"/>
      <c r="V10" s="134"/>
      <c r="W10" s="139" t="s">
        <v>276</v>
      </c>
      <c r="X10" s="135"/>
      <c r="Y10" s="135"/>
      <c r="Z10" s="135"/>
      <c r="AA10" s="159" t="s">
        <v>1378</v>
      </c>
      <c r="AB10" s="75" t="s">
        <v>1347</v>
      </c>
      <c r="AC10" s="75"/>
      <c r="AD10" s="125"/>
    </row>
    <row r="11" spans="1:30" ht="25.5" customHeight="1" x14ac:dyDescent="0.25">
      <c r="B11" s="137">
        <v>8</v>
      </c>
      <c r="C11" s="138" t="s">
        <v>287</v>
      </c>
      <c r="D11" s="138" t="s">
        <v>288</v>
      </c>
      <c r="E11" s="134">
        <v>1</v>
      </c>
      <c r="F11" s="134"/>
      <c r="G11" s="134"/>
      <c r="H11" s="134"/>
      <c r="I11" s="134"/>
      <c r="J11" s="135"/>
      <c r="K11" s="139" t="s">
        <v>279</v>
      </c>
      <c r="L11" s="134"/>
      <c r="M11" s="134"/>
      <c r="N11" s="134"/>
      <c r="O11" s="134"/>
      <c r="P11" s="134"/>
      <c r="Q11" s="134" t="s">
        <v>265</v>
      </c>
      <c r="R11" s="134"/>
      <c r="S11" s="134"/>
      <c r="T11" s="139" t="s">
        <v>280</v>
      </c>
      <c r="U11" s="134"/>
      <c r="V11" s="134"/>
      <c r="W11" s="134"/>
      <c r="X11" s="135" t="s">
        <v>272</v>
      </c>
      <c r="Y11" s="135"/>
      <c r="Z11" s="135"/>
      <c r="AA11" s="159" t="s">
        <v>1379</v>
      </c>
      <c r="AB11" s="75" t="s">
        <v>1347</v>
      </c>
      <c r="AC11" s="75"/>
      <c r="AD11" s="125"/>
    </row>
    <row r="12" spans="1:30" ht="25.5" customHeight="1" x14ac:dyDescent="0.25">
      <c r="B12" s="137">
        <v>9</v>
      </c>
      <c r="C12" s="138" t="s">
        <v>289</v>
      </c>
      <c r="D12" s="138" t="s">
        <v>290</v>
      </c>
      <c r="E12" s="134" t="s">
        <v>291</v>
      </c>
      <c r="F12" s="134"/>
      <c r="G12" s="134"/>
      <c r="H12" s="140" t="s">
        <v>223</v>
      </c>
      <c r="I12" s="134" t="s">
        <v>292</v>
      </c>
      <c r="J12" s="134"/>
      <c r="K12" s="134"/>
      <c r="L12" s="134"/>
      <c r="M12" s="134"/>
      <c r="N12" s="134"/>
      <c r="O12" s="134"/>
      <c r="P12" s="134"/>
      <c r="Q12" s="141" t="s">
        <v>293</v>
      </c>
      <c r="R12" s="141" t="s">
        <v>294</v>
      </c>
      <c r="S12" s="134"/>
      <c r="T12" s="134"/>
      <c r="U12" s="134"/>
      <c r="V12" s="134"/>
      <c r="W12" s="134"/>
      <c r="X12" s="134"/>
      <c r="Y12" s="134"/>
      <c r="Z12" s="134"/>
      <c r="AA12" s="159" t="s">
        <v>295</v>
      </c>
      <c r="AB12" s="75" t="s">
        <v>1347</v>
      </c>
      <c r="AC12" s="75"/>
      <c r="AD12" s="125"/>
    </row>
    <row r="13" spans="1:30" ht="25.5" customHeight="1" x14ac:dyDescent="0.25">
      <c r="B13" s="137">
        <v>10</v>
      </c>
      <c r="C13" s="138" t="s">
        <v>296</v>
      </c>
      <c r="D13" s="138" t="s">
        <v>297</v>
      </c>
      <c r="E13" s="134"/>
      <c r="F13" s="134"/>
      <c r="G13" s="134"/>
      <c r="H13" s="134"/>
      <c r="I13" s="134" t="s">
        <v>291</v>
      </c>
      <c r="J13" s="134" t="s">
        <v>275</v>
      </c>
      <c r="K13" s="134"/>
      <c r="L13" s="134"/>
      <c r="M13" s="134"/>
      <c r="N13" s="134"/>
      <c r="O13" s="134"/>
      <c r="P13" s="134"/>
      <c r="Q13" s="134"/>
      <c r="R13" s="134"/>
      <c r="S13" s="134"/>
      <c r="T13" s="134"/>
      <c r="U13" s="134"/>
      <c r="V13" s="134"/>
      <c r="W13" s="134"/>
      <c r="X13" s="134"/>
      <c r="Y13" s="134"/>
      <c r="Z13" s="134"/>
      <c r="AA13" s="159" t="s">
        <v>1071</v>
      </c>
      <c r="AB13" s="75" t="s">
        <v>1347</v>
      </c>
      <c r="AC13" s="75"/>
      <c r="AD13" s="125"/>
    </row>
    <row r="14" spans="1:30" ht="25.5" customHeight="1" x14ac:dyDescent="0.25">
      <c r="B14" s="137">
        <v>11</v>
      </c>
      <c r="C14" s="138" t="s">
        <v>298</v>
      </c>
      <c r="D14" s="138" t="s">
        <v>299</v>
      </c>
      <c r="E14" s="134"/>
      <c r="F14" s="134"/>
      <c r="G14" s="134"/>
      <c r="H14" s="134"/>
      <c r="I14" s="134" t="s">
        <v>291</v>
      </c>
      <c r="J14" s="140" t="s">
        <v>218</v>
      </c>
      <c r="K14" s="134"/>
      <c r="L14" s="134"/>
      <c r="M14" s="134"/>
      <c r="N14" s="134"/>
      <c r="O14" s="134"/>
      <c r="P14" s="134"/>
      <c r="Q14" s="134"/>
      <c r="R14" s="134"/>
      <c r="S14" s="134"/>
      <c r="T14" s="134"/>
      <c r="U14" s="134"/>
      <c r="V14" s="134"/>
      <c r="W14" s="134"/>
      <c r="X14" s="134"/>
      <c r="Y14" s="134" t="s">
        <v>300</v>
      </c>
      <c r="Z14" s="134"/>
      <c r="AA14" s="159" t="s">
        <v>1072</v>
      </c>
      <c r="AB14" s="75" t="s">
        <v>1347</v>
      </c>
      <c r="AC14" s="75"/>
      <c r="AD14" s="125"/>
    </row>
    <row r="15" spans="1:30" ht="25.5" customHeight="1" x14ac:dyDescent="0.25">
      <c r="B15" s="137">
        <v>12</v>
      </c>
      <c r="C15" s="138" t="s">
        <v>301</v>
      </c>
      <c r="D15" s="138" t="s">
        <v>302</v>
      </c>
      <c r="E15" s="134"/>
      <c r="F15" s="134"/>
      <c r="G15" s="134"/>
      <c r="H15" s="134"/>
      <c r="I15" s="134" t="s">
        <v>291</v>
      </c>
      <c r="J15" s="140" t="s">
        <v>220</v>
      </c>
      <c r="K15" s="134"/>
      <c r="L15" s="134"/>
      <c r="M15" s="134"/>
      <c r="N15" s="134"/>
      <c r="O15" s="134"/>
      <c r="P15" s="134"/>
      <c r="Q15" s="134"/>
      <c r="R15" s="134"/>
      <c r="S15" s="134"/>
      <c r="T15" s="134"/>
      <c r="U15" s="134"/>
      <c r="V15" s="134"/>
      <c r="W15" s="134"/>
      <c r="X15" s="134"/>
      <c r="Y15" s="134" t="s">
        <v>303</v>
      </c>
      <c r="Z15" s="134"/>
      <c r="AA15" s="159" t="s">
        <v>1073</v>
      </c>
      <c r="AB15" s="75" t="s">
        <v>1347</v>
      </c>
      <c r="AC15" s="75"/>
      <c r="AD15" s="125"/>
    </row>
    <row r="16" spans="1:30" ht="25.5" customHeight="1" x14ac:dyDescent="0.25">
      <c r="B16" s="137">
        <v>13</v>
      </c>
      <c r="C16" s="138" t="s">
        <v>304</v>
      </c>
      <c r="D16" s="138" t="s">
        <v>305</v>
      </c>
      <c r="E16" s="134"/>
      <c r="F16" s="134"/>
      <c r="G16" s="134"/>
      <c r="H16" s="134"/>
      <c r="I16" s="134"/>
      <c r="J16" s="134"/>
      <c r="K16" s="134"/>
      <c r="L16" s="134"/>
      <c r="M16" s="134"/>
      <c r="N16" s="134"/>
      <c r="O16" s="134"/>
      <c r="P16" s="134"/>
      <c r="Q16" s="134"/>
      <c r="R16" s="134" t="s">
        <v>291</v>
      </c>
      <c r="S16" s="134" t="s">
        <v>275</v>
      </c>
      <c r="T16" s="134"/>
      <c r="U16" s="134"/>
      <c r="V16" s="134"/>
      <c r="W16" s="134"/>
      <c r="X16" s="134"/>
      <c r="Y16" s="134"/>
      <c r="Z16" s="134"/>
      <c r="AA16" s="160" t="s">
        <v>306</v>
      </c>
      <c r="AB16" s="75" t="s">
        <v>1347</v>
      </c>
      <c r="AC16" s="75"/>
      <c r="AD16" s="125"/>
    </row>
    <row r="17" spans="2:30" ht="25.5" customHeight="1" x14ac:dyDescent="0.25">
      <c r="B17" s="137">
        <v>14</v>
      </c>
      <c r="C17" s="138" t="s">
        <v>307</v>
      </c>
      <c r="D17" s="138" t="s">
        <v>308</v>
      </c>
      <c r="E17" s="134"/>
      <c r="F17" s="134"/>
      <c r="G17" s="134"/>
      <c r="H17" s="134"/>
      <c r="I17" s="134"/>
      <c r="J17" s="134"/>
      <c r="K17" s="134"/>
      <c r="L17" s="134"/>
      <c r="M17" s="134"/>
      <c r="N17" s="134"/>
      <c r="O17" s="134"/>
      <c r="P17" s="134"/>
      <c r="Q17" s="134"/>
      <c r="R17" s="134"/>
      <c r="S17" s="134" t="s">
        <v>291</v>
      </c>
      <c r="T17" s="134"/>
      <c r="U17" s="134" t="s">
        <v>275</v>
      </c>
      <c r="V17" s="134"/>
      <c r="W17" s="134"/>
      <c r="X17" s="134"/>
      <c r="Y17" s="134"/>
      <c r="Z17" s="134"/>
      <c r="AA17" s="159" t="s">
        <v>309</v>
      </c>
      <c r="AB17" s="75" t="s">
        <v>1347</v>
      </c>
      <c r="AC17" s="75"/>
      <c r="AD17" s="125"/>
    </row>
    <row r="18" spans="2:30" ht="25.5" customHeight="1" x14ac:dyDescent="0.25">
      <c r="B18" s="137">
        <v>15</v>
      </c>
      <c r="C18" s="138" t="s">
        <v>310</v>
      </c>
      <c r="D18" s="138" t="s">
        <v>311</v>
      </c>
      <c r="E18" s="140" t="s">
        <v>222</v>
      </c>
      <c r="F18" s="134"/>
      <c r="G18" s="134"/>
      <c r="H18" s="134"/>
      <c r="I18" s="134"/>
      <c r="J18" s="134" t="s">
        <v>291</v>
      </c>
      <c r="K18" s="134" t="s">
        <v>312</v>
      </c>
      <c r="L18" s="134"/>
      <c r="M18" s="134"/>
      <c r="N18" s="134"/>
      <c r="O18" s="134"/>
      <c r="P18" s="134"/>
      <c r="Q18" s="134" t="s">
        <v>313</v>
      </c>
      <c r="R18" s="134"/>
      <c r="S18" s="134"/>
      <c r="T18" s="134"/>
      <c r="U18" s="134" t="s">
        <v>314</v>
      </c>
      <c r="V18" s="134"/>
      <c r="W18" s="134"/>
      <c r="X18" s="134"/>
      <c r="Y18" s="134" t="s">
        <v>315</v>
      </c>
      <c r="Z18" s="134"/>
      <c r="AA18" s="159" t="s">
        <v>1089</v>
      </c>
      <c r="AB18" s="75" t="s">
        <v>1347</v>
      </c>
      <c r="AC18" s="75"/>
      <c r="AD18" s="125"/>
    </row>
    <row r="19" spans="2:30" ht="25.5" customHeight="1" x14ac:dyDescent="0.25">
      <c r="B19" s="137">
        <v>16</v>
      </c>
      <c r="C19" s="138" t="s">
        <v>316</v>
      </c>
      <c r="D19" s="138" t="s">
        <v>317</v>
      </c>
      <c r="E19" s="134"/>
      <c r="F19" s="134" t="s">
        <v>275</v>
      </c>
      <c r="G19" s="134"/>
      <c r="H19" s="134"/>
      <c r="I19" s="134"/>
      <c r="J19" s="134"/>
      <c r="K19" s="134"/>
      <c r="L19" s="134"/>
      <c r="M19" s="134"/>
      <c r="N19" s="134"/>
      <c r="O19" s="134"/>
      <c r="P19" s="134"/>
      <c r="Q19" s="134" t="s">
        <v>318</v>
      </c>
      <c r="R19" s="134"/>
      <c r="S19" s="134"/>
      <c r="T19" s="135" t="s">
        <v>319</v>
      </c>
      <c r="U19" s="135" t="s">
        <v>320</v>
      </c>
      <c r="V19" s="135"/>
      <c r="W19" s="139" t="s">
        <v>321</v>
      </c>
      <c r="X19" s="135"/>
      <c r="Y19" s="134"/>
      <c r="Z19" s="134"/>
      <c r="AA19" s="159" t="s">
        <v>1093</v>
      </c>
      <c r="AB19" s="75" t="s">
        <v>1347</v>
      </c>
      <c r="AC19" s="75"/>
      <c r="AD19" s="125"/>
    </row>
    <row r="20" spans="2:30" ht="25.5" customHeight="1" x14ac:dyDescent="0.25">
      <c r="B20" s="137">
        <v>17</v>
      </c>
      <c r="C20" s="138" t="s">
        <v>322</v>
      </c>
      <c r="D20" s="138" t="s">
        <v>323</v>
      </c>
      <c r="E20" s="134"/>
      <c r="F20" s="134">
        <v>-1</v>
      </c>
      <c r="G20" s="134"/>
      <c r="H20" s="140" t="s">
        <v>229</v>
      </c>
      <c r="I20" s="134" t="s">
        <v>324</v>
      </c>
      <c r="J20" s="134"/>
      <c r="K20" s="134"/>
      <c r="L20" s="134"/>
      <c r="M20" s="134"/>
      <c r="N20" s="134"/>
      <c r="O20" s="134"/>
      <c r="P20" s="134"/>
      <c r="Q20" s="140" t="s">
        <v>325</v>
      </c>
      <c r="R20" s="141" t="s">
        <v>326</v>
      </c>
      <c r="S20" s="134"/>
      <c r="T20" s="134"/>
      <c r="U20" s="134"/>
      <c r="V20" s="134"/>
      <c r="W20" s="134"/>
      <c r="X20" s="134"/>
      <c r="Y20" s="134"/>
      <c r="Z20" s="134"/>
      <c r="AA20" s="159" t="s">
        <v>327</v>
      </c>
      <c r="AB20" s="75" t="s">
        <v>1347</v>
      </c>
      <c r="AC20" s="75"/>
      <c r="AD20" s="125"/>
    </row>
    <row r="21" spans="2:30" ht="25.5" customHeight="1" x14ac:dyDescent="0.25">
      <c r="B21" s="137">
        <v>18</v>
      </c>
      <c r="C21" s="138" t="s">
        <v>328</v>
      </c>
      <c r="D21" s="138" t="s">
        <v>329</v>
      </c>
      <c r="E21" s="134"/>
      <c r="F21" s="134"/>
      <c r="G21" s="134">
        <v>1</v>
      </c>
      <c r="H21" s="134"/>
      <c r="I21" s="134"/>
      <c r="J21" s="134"/>
      <c r="K21" s="134"/>
      <c r="L21" s="135" t="s">
        <v>330</v>
      </c>
      <c r="M21" s="134"/>
      <c r="N21" s="134"/>
      <c r="O21" s="142" t="s">
        <v>331</v>
      </c>
      <c r="P21" s="143" t="s">
        <v>332</v>
      </c>
      <c r="Q21" s="135" t="s">
        <v>333</v>
      </c>
      <c r="R21" s="134"/>
      <c r="S21" s="134"/>
      <c r="T21" s="134"/>
      <c r="U21" s="134" t="s">
        <v>334</v>
      </c>
      <c r="V21" s="134"/>
      <c r="W21" s="135" t="s">
        <v>335</v>
      </c>
      <c r="X21" s="135"/>
      <c r="Y21" s="134"/>
      <c r="Z21" s="134"/>
      <c r="AA21" s="159" t="s">
        <v>1079</v>
      </c>
      <c r="AB21" s="75" t="s">
        <v>1347</v>
      </c>
      <c r="AC21" s="75"/>
      <c r="AD21" s="125"/>
    </row>
    <row r="22" spans="2:30" ht="25.5" customHeight="1" x14ac:dyDescent="0.25">
      <c r="B22" s="137">
        <v>19</v>
      </c>
      <c r="C22" s="138" t="s">
        <v>336</v>
      </c>
      <c r="D22" s="138" t="s">
        <v>337</v>
      </c>
      <c r="E22" s="134"/>
      <c r="F22" s="134"/>
      <c r="G22" s="134" t="s">
        <v>275</v>
      </c>
      <c r="H22" s="134"/>
      <c r="I22" s="134"/>
      <c r="J22" s="134"/>
      <c r="K22" s="134"/>
      <c r="L22" s="135" t="s">
        <v>330</v>
      </c>
      <c r="M22" s="134"/>
      <c r="N22" s="134"/>
      <c r="O22" s="142" t="s">
        <v>331</v>
      </c>
      <c r="P22" s="143" t="s">
        <v>332</v>
      </c>
      <c r="Q22" s="135" t="s">
        <v>333</v>
      </c>
      <c r="R22" s="134"/>
      <c r="S22" s="134"/>
      <c r="T22" s="134" t="s">
        <v>334</v>
      </c>
      <c r="U22" s="134"/>
      <c r="V22" s="134"/>
      <c r="W22" s="139" t="s">
        <v>338</v>
      </c>
      <c r="X22" s="135"/>
      <c r="Y22" s="134"/>
      <c r="Z22" s="134"/>
      <c r="AA22" s="159" t="s">
        <v>1080</v>
      </c>
      <c r="AB22" s="75" t="s">
        <v>1347</v>
      </c>
      <c r="AC22" s="75"/>
      <c r="AD22" s="125"/>
    </row>
    <row r="23" spans="2:30" ht="25.5" customHeight="1" x14ac:dyDescent="0.25">
      <c r="B23" s="137">
        <v>20</v>
      </c>
      <c r="C23" s="138" t="s">
        <v>339</v>
      </c>
      <c r="D23" s="138" t="s">
        <v>340</v>
      </c>
      <c r="E23" s="134"/>
      <c r="F23" s="134"/>
      <c r="G23" s="134" t="s">
        <v>275</v>
      </c>
      <c r="H23" s="134"/>
      <c r="I23" s="134"/>
      <c r="J23" s="134"/>
      <c r="K23" s="134"/>
      <c r="L23" s="135" t="s">
        <v>330</v>
      </c>
      <c r="M23" s="134"/>
      <c r="N23" s="134"/>
      <c r="O23" s="134" t="s">
        <v>341</v>
      </c>
      <c r="P23" s="134"/>
      <c r="Q23" s="134"/>
      <c r="R23" s="134"/>
      <c r="S23" s="134"/>
      <c r="T23" s="134"/>
      <c r="U23" s="134" t="s">
        <v>334</v>
      </c>
      <c r="V23" s="134"/>
      <c r="W23" s="135" t="s">
        <v>335</v>
      </c>
      <c r="X23" s="135"/>
      <c r="Y23" s="134"/>
      <c r="Z23" s="134"/>
      <c r="AA23" s="159" t="s">
        <v>1081</v>
      </c>
      <c r="AB23" s="75" t="s">
        <v>1347</v>
      </c>
      <c r="AC23" s="75"/>
      <c r="AD23" s="125"/>
    </row>
    <row r="24" spans="2:30" ht="25.5" customHeight="1" x14ac:dyDescent="0.25">
      <c r="B24" s="137">
        <v>21</v>
      </c>
      <c r="C24" s="138" t="s">
        <v>342</v>
      </c>
      <c r="D24" s="138" t="s">
        <v>343</v>
      </c>
      <c r="E24" s="134"/>
      <c r="F24" s="134"/>
      <c r="G24" s="134" t="s">
        <v>275</v>
      </c>
      <c r="H24" s="134"/>
      <c r="I24" s="134"/>
      <c r="J24" s="134"/>
      <c r="K24" s="134"/>
      <c r="L24" s="135" t="s">
        <v>330</v>
      </c>
      <c r="M24" s="134"/>
      <c r="N24" s="134"/>
      <c r="O24" s="134" t="s">
        <v>341</v>
      </c>
      <c r="P24" s="134"/>
      <c r="Q24" s="134"/>
      <c r="R24" s="134"/>
      <c r="S24" s="134"/>
      <c r="T24" s="134" t="s">
        <v>334</v>
      </c>
      <c r="U24" s="134"/>
      <c r="V24" s="134"/>
      <c r="W24" s="139" t="s">
        <v>338</v>
      </c>
      <c r="X24" s="135"/>
      <c r="Y24" s="134"/>
      <c r="Z24" s="134"/>
      <c r="AA24" s="159" t="s">
        <v>1082</v>
      </c>
      <c r="AB24" s="75" t="s">
        <v>1347</v>
      </c>
      <c r="AC24" s="75"/>
      <c r="AD24" s="125"/>
    </row>
    <row r="25" spans="2:30" ht="25.5" customHeight="1" x14ac:dyDescent="0.25">
      <c r="B25" s="137">
        <v>22</v>
      </c>
      <c r="C25" s="138" t="s">
        <v>344</v>
      </c>
      <c r="D25" s="138" t="s">
        <v>345</v>
      </c>
      <c r="E25" s="134"/>
      <c r="F25" s="134"/>
      <c r="G25" s="134" t="s">
        <v>275</v>
      </c>
      <c r="H25" s="134"/>
      <c r="I25" s="134"/>
      <c r="J25" s="134"/>
      <c r="K25" s="134"/>
      <c r="L25" s="135" t="s">
        <v>330</v>
      </c>
      <c r="M25" s="134"/>
      <c r="N25" s="134"/>
      <c r="O25" s="142" t="s">
        <v>346</v>
      </c>
      <c r="P25" s="143" t="s">
        <v>347</v>
      </c>
      <c r="Q25" s="135" t="s">
        <v>348</v>
      </c>
      <c r="R25" s="134"/>
      <c r="S25" s="134"/>
      <c r="T25" s="139" t="s">
        <v>349</v>
      </c>
      <c r="U25" s="134" t="s">
        <v>334</v>
      </c>
      <c r="V25" s="134"/>
      <c r="W25" s="134"/>
      <c r="X25" s="134" t="s">
        <v>350</v>
      </c>
      <c r="Y25" s="134"/>
      <c r="Z25" s="134"/>
      <c r="AA25" s="159" t="s">
        <v>1083</v>
      </c>
      <c r="AB25" s="75" t="s">
        <v>1347</v>
      </c>
      <c r="AC25" s="75"/>
      <c r="AD25" s="125"/>
    </row>
    <row r="26" spans="2:30" ht="25.5" customHeight="1" x14ac:dyDescent="0.25">
      <c r="B26" s="137">
        <v>23</v>
      </c>
      <c r="C26" s="138" t="s">
        <v>351</v>
      </c>
      <c r="D26" s="138" t="s">
        <v>352</v>
      </c>
      <c r="E26" s="134"/>
      <c r="F26" s="134"/>
      <c r="G26" s="134" t="s">
        <v>291</v>
      </c>
      <c r="H26" s="140" t="s">
        <v>227</v>
      </c>
      <c r="I26" s="134"/>
      <c r="J26" s="134"/>
      <c r="K26" s="134"/>
      <c r="L26" s="134"/>
      <c r="M26" s="134"/>
      <c r="N26" s="140" t="s">
        <v>228</v>
      </c>
      <c r="O26" s="134"/>
      <c r="P26" s="134"/>
      <c r="Q26" s="141" t="s">
        <v>353</v>
      </c>
      <c r="R26" s="134"/>
      <c r="S26" s="140" t="s">
        <v>354</v>
      </c>
      <c r="T26" s="135"/>
      <c r="U26" s="141" t="s">
        <v>355</v>
      </c>
      <c r="V26" s="134"/>
      <c r="W26" s="134" t="s">
        <v>356</v>
      </c>
      <c r="X26" s="134"/>
      <c r="Y26" s="134"/>
      <c r="Z26" s="134"/>
      <c r="AA26" s="159" t="s">
        <v>1037</v>
      </c>
      <c r="AB26" s="75" t="s">
        <v>1347</v>
      </c>
      <c r="AC26" s="75"/>
      <c r="AD26" s="125"/>
    </row>
    <row r="27" spans="2:30" ht="25.5" customHeight="1" x14ac:dyDescent="0.25">
      <c r="B27" s="137">
        <v>24</v>
      </c>
      <c r="C27" s="138" t="s">
        <v>357</v>
      </c>
      <c r="D27" s="138" t="s">
        <v>358</v>
      </c>
      <c r="E27" s="134"/>
      <c r="F27" s="134"/>
      <c r="G27" s="134"/>
      <c r="H27" s="134"/>
      <c r="I27" s="134"/>
      <c r="J27" s="134"/>
      <c r="K27" s="134"/>
      <c r="L27" s="134"/>
      <c r="M27" s="134"/>
      <c r="N27" s="134"/>
      <c r="O27" s="134" t="s">
        <v>291</v>
      </c>
      <c r="P27" s="134"/>
      <c r="Q27" s="134" t="s">
        <v>275</v>
      </c>
      <c r="R27" s="134"/>
      <c r="S27" s="134"/>
      <c r="T27" s="135"/>
      <c r="U27" s="143"/>
      <c r="V27" s="134"/>
      <c r="W27" s="134"/>
      <c r="X27" s="134"/>
      <c r="Y27" s="134"/>
      <c r="Z27" s="134"/>
      <c r="AA27" s="159" t="s">
        <v>1038</v>
      </c>
      <c r="AB27" s="75" t="s">
        <v>1347</v>
      </c>
      <c r="AC27" s="75"/>
      <c r="AD27" s="125"/>
    </row>
    <row r="28" spans="2:30" ht="25.5" customHeight="1" x14ac:dyDescent="0.25">
      <c r="B28" s="137">
        <v>25</v>
      </c>
      <c r="C28" s="138" t="s">
        <v>359</v>
      </c>
      <c r="D28" s="138" t="s">
        <v>360</v>
      </c>
      <c r="E28" s="134"/>
      <c r="F28" s="134"/>
      <c r="G28" s="134"/>
      <c r="H28" s="134"/>
      <c r="I28" s="134"/>
      <c r="J28" s="134"/>
      <c r="K28" s="134"/>
      <c r="L28" s="134"/>
      <c r="M28" s="134"/>
      <c r="N28" s="134"/>
      <c r="O28" s="134"/>
      <c r="P28" s="134" t="s">
        <v>291</v>
      </c>
      <c r="Q28" s="134" t="s">
        <v>275</v>
      </c>
      <c r="R28" s="134"/>
      <c r="S28" s="134"/>
      <c r="T28" s="135"/>
      <c r="U28" s="143"/>
      <c r="V28" s="134"/>
      <c r="W28" s="134"/>
      <c r="X28" s="134"/>
      <c r="Y28" s="134"/>
      <c r="Z28" s="134"/>
      <c r="AA28" s="159" t="s">
        <v>1039</v>
      </c>
      <c r="AB28" s="75" t="s">
        <v>1347</v>
      </c>
      <c r="AC28" s="75"/>
      <c r="AD28" s="125"/>
    </row>
    <row r="29" spans="2:30" ht="25.5" customHeight="1" x14ac:dyDescent="0.25">
      <c r="B29" s="137">
        <v>26</v>
      </c>
      <c r="C29" s="138" t="s">
        <v>361</v>
      </c>
      <c r="D29" s="138" t="s">
        <v>362</v>
      </c>
      <c r="E29" s="134"/>
      <c r="F29" s="134"/>
      <c r="G29" s="134"/>
      <c r="H29" s="134"/>
      <c r="I29" s="134"/>
      <c r="J29" s="134"/>
      <c r="K29" s="134" t="s">
        <v>275</v>
      </c>
      <c r="L29" s="134" t="s">
        <v>291</v>
      </c>
      <c r="M29" s="134"/>
      <c r="N29" s="134"/>
      <c r="O29" s="134"/>
      <c r="P29" s="134"/>
      <c r="Q29" s="134"/>
      <c r="R29" s="134"/>
      <c r="S29" s="134"/>
      <c r="T29" s="135"/>
      <c r="U29" s="143"/>
      <c r="V29" s="134"/>
      <c r="W29" s="134"/>
      <c r="X29" s="134"/>
      <c r="Y29" s="134"/>
      <c r="Z29" s="134"/>
      <c r="AA29" s="159" t="s">
        <v>1040</v>
      </c>
      <c r="AB29" s="75" t="s">
        <v>1347</v>
      </c>
      <c r="AC29" s="75"/>
      <c r="AD29" s="125"/>
    </row>
    <row r="30" spans="2:30" ht="25.5" customHeight="1" x14ac:dyDescent="0.25">
      <c r="B30" s="137">
        <v>27</v>
      </c>
      <c r="C30" s="138" t="s">
        <v>363</v>
      </c>
      <c r="D30" s="138" t="s">
        <v>364</v>
      </c>
      <c r="E30" s="134"/>
      <c r="F30" s="134"/>
      <c r="G30" s="134" t="s">
        <v>291</v>
      </c>
      <c r="H30" s="140" t="s">
        <v>227</v>
      </c>
      <c r="I30" s="134"/>
      <c r="J30" s="134"/>
      <c r="K30" s="134"/>
      <c r="L30" s="134"/>
      <c r="M30" s="134"/>
      <c r="N30" s="140" t="s">
        <v>228</v>
      </c>
      <c r="O30" s="134"/>
      <c r="P30" s="134"/>
      <c r="Q30" s="141" t="s">
        <v>353</v>
      </c>
      <c r="R30" s="134"/>
      <c r="S30" s="140" t="s">
        <v>354</v>
      </c>
      <c r="T30" s="139" t="s">
        <v>365</v>
      </c>
      <c r="U30" s="141" t="s">
        <v>355</v>
      </c>
      <c r="V30" s="134"/>
      <c r="W30" s="134"/>
      <c r="X30" s="134" t="s">
        <v>366</v>
      </c>
      <c r="Y30" s="134"/>
      <c r="Z30" s="134"/>
      <c r="AA30" s="159" t="s">
        <v>1041</v>
      </c>
      <c r="AB30" s="75" t="s">
        <v>1347</v>
      </c>
      <c r="AC30" s="75"/>
      <c r="AD30" s="125"/>
    </row>
    <row r="31" spans="2:30" ht="25.5" customHeight="1" x14ac:dyDescent="0.25">
      <c r="B31" s="137">
        <v>28</v>
      </c>
      <c r="C31" s="138" t="s">
        <v>367</v>
      </c>
      <c r="D31" s="138" t="s">
        <v>368</v>
      </c>
      <c r="E31" s="134"/>
      <c r="F31" s="134"/>
      <c r="G31" s="134"/>
      <c r="H31" s="134"/>
      <c r="I31" s="134"/>
      <c r="J31" s="134"/>
      <c r="K31" s="134"/>
      <c r="L31" s="134"/>
      <c r="M31" s="134"/>
      <c r="N31" s="134"/>
      <c r="O31" s="134" t="s">
        <v>291</v>
      </c>
      <c r="P31" s="134"/>
      <c r="Q31" s="134" t="s">
        <v>275</v>
      </c>
      <c r="R31" s="134"/>
      <c r="S31" s="134"/>
      <c r="T31" s="134"/>
      <c r="U31" s="134"/>
      <c r="V31" s="134"/>
      <c r="W31" s="134"/>
      <c r="X31" s="134"/>
      <c r="Y31" s="134"/>
      <c r="Z31" s="134"/>
      <c r="AA31" s="159" t="s">
        <v>1042</v>
      </c>
      <c r="AB31" s="75" t="s">
        <v>1347</v>
      </c>
      <c r="AC31" s="75"/>
      <c r="AD31" s="125"/>
    </row>
    <row r="32" spans="2:30" ht="25.5" customHeight="1" x14ac:dyDescent="0.25">
      <c r="B32" s="137">
        <v>29</v>
      </c>
      <c r="C32" s="138" t="s">
        <v>369</v>
      </c>
      <c r="D32" s="138" t="s">
        <v>370</v>
      </c>
      <c r="E32" s="134"/>
      <c r="F32" s="134"/>
      <c r="G32" s="134"/>
      <c r="H32" s="134"/>
      <c r="I32" s="134"/>
      <c r="J32" s="134"/>
      <c r="K32" s="134"/>
      <c r="L32" s="134"/>
      <c r="M32" s="134"/>
      <c r="N32" s="134"/>
      <c r="O32" s="134"/>
      <c r="P32" s="134" t="s">
        <v>291</v>
      </c>
      <c r="Q32" s="134" t="s">
        <v>275</v>
      </c>
      <c r="R32" s="134"/>
      <c r="S32" s="134"/>
      <c r="T32" s="134"/>
      <c r="U32" s="134"/>
      <c r="V32" s="134"/>
      <c r="W32" s="134"/>
      <c r="X32" s="134"/>
      <c r="Y32" s="134"/>
      <c r="Z32" s="134"/>
      <c r="AA32" s="159" t="s">
        <v>1043</v>
      </c>
      <c r="AB32" s="75" t="s">
        <v>1347</v>
      </c>
      <c r="AC32" s="75"/>
      <c r="AD32" s="125"/>
    </row>
    <row r="33" spans="2:30" ht="25.5" customHeight="1" x14ac:dyDescent="0.25">
      <c r="B33" s="137">
        <v>30</v>
      </c>
      <c r="C33" s="138" t="s">
        <v>371</v>
      </c>
      <c r="D33" s="138" t="s">
        <v>372</v>
      </c>
      <c r="E33" s="134"/>
      <c r="F33" s="134"/>
      <c r="G33" s="134"/>
      <c r="H33" s="134"/>
      <c r="I33" s="134"/>
      <c r="J33" s="134"/>
      <c r="K33" s="134" t="s">
        <v>275</v>
      </c>
      <c r="L33" s="134" t="s">
        <v>291</v>
      </c>
      <c r="M33" s="134"/>
      <c r="N33" s="134"/>
      <c r="O33" s="134"/>
      <c r="P33" s="134"/>
      <c r="Q33" s="134"/>
      <c r="R33" s="134"/>
      <c r="S33" s="134"/>
      <c r="T33" s="134"/>
      <c r="U33" s="134"/>
      <c r="V33" s="134"/>
      <c r="W33" s="134"/>
      <c r="X33" s="134"/>
      <c r="Y33" s="134"/>
      <c r="Z33" s="134"/>
      <c r="AA33" s="159" t="s">
        <v>1044</v>
      </c>
      <c r="AB33" s="75" t="s">
        <v>1347</v>
      </c>
      <c r="AC33" s="75"/>
      <c r="AD33" s="125"/>
    </row>
    <row r="34" spans="2:30" ht="25.5" customHeight="1" x14ac:dyDescent="0.25">
      <c r="B34" s="137">
        <v>31</v>
      </c>
      <c r="C34" s="138" t="s">
        <v>373</v>
      </c>
      <c r="D34" s="138" t="s">
        <v>374</v>
      </c>
      <c r="E34" s="134"/>
      <c r="F34" s="134"/>
      <c r="G34" s="134" t="s">
        <v>291</v>
      </c>
      <c r="H34" s="140" t="s">
        <v>227</v>
      </c>
      <c r="I34" s="134"/>
      <c r="J34" s="134"/>
      <c r="K34" s="134"/>
      <c r="L34" s="134"/>
      <c r="M34" s="134"/>
      <c r="N34" s="134" t="s">
        <v>375</v>
      </c>
      <c r="O34" s="134"/>
      <c r="P34" s="134"/>
      <c r="Q34" s="141" t="s">
        <v>353</v>
      </c>
      <c r="R34" s="134"/>
      <c r="S34" s="140" t="s">
        <v>354</v>
      </c>
      <c r="T34" s="134"/>
      <c r="U34" s="140" t="s">
        <v>355</v>
      </c>
      <c r="V34" s="134"/>
      <c r="W34" s="134"/>
      <c r="X34" s="134"/>
      <c r="Y34" s="134"/>
      <c r="Z34" s="134"/>
      <c r="AA34" s="159" t="s">
        <v>1045</v>
      </c>
      <c r="AB34" s="75" t="s">
        <v>1347</v>
      </c>
      <c r="AC34" s="75"/>
      <c r="AD34" s="125"/>
    </row>
    <row r="35" spans="2:30" ht="25.5" customHeight="1" x14ac:dyDescent="0.25">
      <c r="B35" s="137">
        <v>32</v>
      </c>
      <c r="C35" s="138" t="s">
        <v>376</v>
      </c>
      <c r="D35" s="138" t="s">
        <v>377</v>
      </c>
      <c r="E35" s="134"/>
      <c r="F35" s="134"/>
      <c r="G35" s="134"/>
      <c r="H35" s="134"/>
      <c r="I35" s="134"/>
      <c r="J35" s="134"/>
      <c r="K35" s="134"/>
      <c r="L35" s="134"/>
      <c r="M35" s="134"/>
      <c r="N35" s="134"/>
      <c r="O35" s="134" t="s">
        <v>291</v>
      </c>
      <c r="P35" s="134"/>
      <c r="Q35" s="134" t="s">
        <v>275</v>
      </c>
      <c r="R35" s="134"/>
      <c r="S35" s="134"/>
      <c r="T35" s="134"/>
      <c r="U35" s="134"/>
      <c r="V35" s="134"/>
      <c r="W35" s="134"/>
      <c r="X35" s="134"/>
      <c r="Y35" s="134"/>
      <c r="Z35" s="134"/>
      <c r="AA35" s="159" t="s">
        <v>1046</v>
      </c>
      <c r="AB35" s="75" t="s">
        <v>1347</v>
      </c>
      <c r="AC35" s="75"/>
      <c r="AD35" s="125"/>
    </row>
    <row r="36" spans="2:30" ht="25.5" customHeight="1" x14ac:dyDescent="0.25">
      <c r="B36" s="137">
        <v>33</v>
      </c>
      <c r="C36" s="138" t="s">
        <v>378</v>
      </c>
      <c r="D36" s="138" t="s">
        <v>379</v>
      </c>
      <c r="E36" s="134"/>
      <c r="F36" s="134"/>
      <c r="G36" s="134"/>
      <c r="H36" s="134"/>
      <c r="I36" s="134"/>
      <c r="J36" s="134"/>
      <c r="K36" s="134"/>
      <c r="L36" s="134"/>
      <c r="M36" s="134"/>
      <c r="N36" s="134"/>
      <c r="O36" s="134"/>
      <c r="P36" s="134" t="s">
        <v>291</v>
      </c>
      <c r="Q36" s="134" t="s">
        <v>275</v>
      </c>
      <c r="R36" s="134"/>
      <c r="S36" s="134"/>
      <c r="T36" s="134"/>
      <c r="U36" s="134"/>
      <c r="V36" s="134"/>
      <c r="W36" s="134"/>
      <c r="X36" s="134"/>
      <c r="Y36" s="134"/>
      <c r="Z36" s="134"/>
      <c r="AA36" s="159" t="s">
        <v>1047</v>
      </c>
      <c r="AB36" s="75" t="s">
        <v>1347</v>
      </c>
      <c r="AC36" s="75"/>
      <c r="AD36" s="125"/>
    </row>
    <row r="37" spans="2:30" ht="25.5" customHeight="1" x14ac:dyDescent="0.25">
      <c r="B37" s="137">
        <v>34</v>
      </c>
      <c r="C37" s="138" t="s">
        <v>380</v>
      </c>
      <c r="D37" s="138" t="s">
        <v>381</v>
      </c>
      <c r="E37" s="134"/>
      <c r="F37" s="134"/>
      <c r="G37" s="134"/>
      <c r="H37" s="134"/>
      <c r="I37" s="134"/>
      <c r="J37" s="134"/>
      <c r="K37" s="134" t="s">
        <v>275</v>
      </c>
      <c r="L37" s="134" t="s">
        <v>291</v>
      </c>
      <c r="M37" s="134"/>
      <c r="N37" s="134"/>
      <c r="O37" s="134"/>
      <c r="P37" s="134"/>
      <c r="Q37" s="134"/>
      <c r="R37" s="134"/>
      <c r="S37" s="134"/>
      <c r="T37" s="134"/>
      <c r="U37" s="134"/>
      <c r="V37" s="134"/>
      <c r="W37" s="134"/>
      <c r="X37" s="134"/>
      <c r="Y37" s="134"/>
      <c r="Z37" s="134"/>
      <c r="AA37" s="159" t="s">
        <v>1048</v>
      </c>
      <c r="AB37" s="75" t="s">
        <v>1347</v>
      </c>
      <c r="AC37" s="75"/>
      <c r="AD37" s="125"/>
    </row>
    <row r="38" spans="2:30" ht="25.5" customHeight="1" x14ac:dyDescent="0.25">
      <c r="B38" s="137">
        <v>35</v>
      </c>
      <c r="C38" s="138" t="s">
        <v>382</v>
      </c>
      <c r="D38" s="138" t="s">
        <v>383</v>
      </c>
      <c r="E38" s="134"/>
      <c r="F38" s="134"/>
      <c r="G38" s="134"/>
      <c r="H38" s="134"/>
      <c r="I38" s="134"/>
      <c r="J38" s="134"/>
      <c r="K38" s="134"/>
      <c r="L38" s="134"/>
      <c r="M38" s="134"/>
      <c r="N38" s="134"/>
      <c r="O38" s="134" t="s">
        <v>291</v>
      </c>
      <c r="P38" s="134"/>
      <c r="Q38" s="134" t="s">
        <v>275</v>
      </c>
      <c r="R38" s="134"/>
      <c r="S38" s="134"/>
      <c r="T38" s="134"/>
      <c r="U38" s="134"/>
      <c r="V38" s="134"/>
      <c r="W38" s="134"/>
      <c r="X38" s="134"/>
      <c r="Y38" s="134"/>
      <c r="Z38" s="134"/>
      <c r="AA38" s="159" t="s">
        <v>1049</v>
      </c>
      <c r="AB38" s="75" t="s">
        <v>1347</v>
      </c>
      <c r="AC38" s="75"/>
      <c r="AD38" s="125"/>
    </row>
    <row r="39" spans="2:30" ht="25.5" customHeight="1" thickBot="1" x14ac:dyDescent="0.3">
      <c r="B39" s="147">
        <v>36</v>
      </c>
      <c r="C39" s="144" t="s">
        <v>384</v>
      </c>
      <c r="D39" s="144" t="s">
        <v>385</v>
      </c>
      <c r="E39" s="136"/>
      <c r="F39" s="136"/>
      <c r="G39" s="136"/>
      <c r="H39" s="136"/>
      <c r="I39" s="136"/>
      <c r="J39" s="136"/>
      <c r="K39" s="136" t="s">
        <v>291</v>
      </c>
      <c r="L39" s="145" t="s">
        <v>225</v>
      </c>
      <c r="M39" s="136"/>
      <c r="N39" s="136"/>
      <c r="O39" s="136" t="s">
        <v>386</v>
      </c>
      <c r="P39" s="136"/>
      <c r="Q39" s="145" t="s">
        <v>226</v>
      </c>
      <c r="R39" s="136"/>
      <c r="S39" s="136"/>
      <c r="T39" s="136"/>
      <c r="U39" s="136"/>
      <c r="V39" s="136"/>
      <c r="W39" s="136"/>
      <c r="X39" s="136"/>
      <c r="Y39" s="136" t="s">
        <v>387</v>
      </c>
      <c r="Z39" s="136"/>
      <c r="AA39" s="250" t="s">
        <v>1097</v>
      </c>
      <c r="AB39" s="127" t="s">
        <v>1347</v>
      </c>
      <c r="AC39" s="127"/>
      <c r="AD39" s="130"/>
    </row>
    <row r="40" spans="2:30" ht="15.75" thickBot="1" x14ac:dyDescent="0.3"/>
    <row r="41" spans="2:30" ht="15.75" thickBot="1" x14ac:dyDescent="0.3">
      <c r="D41" s="53" t="s">
        <v>5</v>
      </c>
      <c r="E41" s="13"/>
    </row>
    <row r="42" spans="2:30" ht="19.5" x14ac:dyDescent="0.25">
      <c r="D42" s="245" t="s">
        <v>146</v>
      </c>
      <c r="E42" s="247">
        <v>1</v>
      </c>
      <c r="F42" s="247">
        <v>1</v>
      </c>
      <c r="G42" s="247">
        <v>1</v>
      </c>
      <c r="H42" s="247">
        <v>1</v>
      </c>
      <c r="I42" s="247">
        <v>1</v>
      </c>
      <c r="J42" s="247">
        <v>1</v>
      </c>
      <c r="K42" s="247">
        <v>1</v>
      </c>
      <c r="L42" s="247">
        <v>1</v>
      </c>
      <c r="M42" s="247">
        <v>1</v>
      </c>
      <c r="N42" s="247">
        <v>1</v>
      </c>
      <c r="O42" s="247"/>
      <c r="P42" s="247"/>
      <c r="Q42" s="247"/>
      <c r="R42" s="247"/>
      <c r="S42" s="247"/>
      <c r="T42" s="257" t="s">
        <v>238</v>
      </c>
      <c r="U42" s="247"/>
      <c r="V42" s="247"/>
      <c r="W42" s="247">
        <v>-1</v>
      </c>
      <c r="X42" s="257" t="s">
        <v>239</v>
      </c>
      <c r="Y42" s="257" t="s">
        <v>240</v>
      </c>
      <c r="Z42" s="257"/>
    </row>
    <row r="43" spans="2:30" ht="19.5" x14ac:dyDescent="0.25">
      <c r="D43" s="137" t="s">
        <v>388</v>
      </c>
      <c r="E43" s="140" t="s">
        <v>230</v>
      </c>
      <c r="F43" s="140" t="s">
        <v>233</v>
      </c>
      <c r="G43" s="140" t="s">
        <v>232</v>
      </c>
      <c r="H43" s="140" t="s">
        <v>231</v>
      </c>
      <c r="I43" s="134"/>
      <c r="J43" s="134"/>
      <c r="K43" s="134"/>
      <c r="L43" s="134"/>
      <c r="M43" s="134"/>
      <c r="N43" s="134"/>
      <c r="O43" s="134"/>
      <c r="P43" s="134"/>
      <c r="Q43" s="134"/>
      <c r="R43" s="134">
        <v>1</v>
      </c>
      <c r="S43" s="134">
        <v>1</v>
      </c>
      <c r="T43" s="134">
        <v>1</v>
      </c>
      <c r="U43" s="134">
        <v>1</v>
      </c>
      <c r="V43" s="134">
        <v>1</v>
      </c>
      <c r="W43" s="134"/>
      <c r="X43" s="134">
        <v>1</v>
      </c>
      <c r="Y43" s="134"/>
      <c r="Z43" s="134"/>
    </row>
    <row r="44" spans="2:30" ht="20.25" thickBot="1" x14ac:dyDescent="0.3">
      <c r="D44" s="147" t="s">
        <v>389</v>
      </c>
      <c r="E44" s="145" t="s">
        <v>234</v>
      </c>
      <c r="F44" s="145" t="s">
        <v>237</v>
      </c>
      <c r="G44" s="145" t="s">
        <v>236</v>
      </c>
      <c r="H44" s="145" t="s">
        <v>235</v>
      </c>
      <c r="I44" s="136"/>
      <c r="J44" s="136"/>
      <c r="K44" s="136"/>
      <c r="L44" s="136"/>
      <c r="M44" s="136"/>
      <c r="N44" s="136"/>
      <c r="O44" s="136">
        <v>1</v>
      </c>
      <c r="P44" s="136">
        <v>1</v>
      </c>
      <c r="Q44" s="136">
        <v>1</v>
      </c>
      <c r="R44" s="136"/>
      <c r="S44" s="136"/>
      <c r="T44" s="136"/>
      <c r="U44" s="136"/>
      <c r="V44" s="136"/>
      <c r="W44" s="136"/>
      <c r="X44" s="136"/>
      <c r="Y44" s="136"/>
      <c r="Z44" s="136"/>
    </row>
    <row r="47" spans="2:30" x14ac:dyDescent="0.25">
      <c r="AD47" t="s">
        <v>416</v>
      </c>
    </row>
    <row r="49" spans="2:31" ht="15.75" thickBot="1" x14ac:dyDescent="0.3">
      <c r="AC49" t="s">
        <v>416</v>
      </c>
    </row>
    <row r="50" spans="2:31" ht="20.25" thickBot="1" x14ac:dyDescent="0.3">
      <c r="B50" s="251" t="s">
        <v>91</v>
      </c>
      <c r="C50" s="252"/>
      <c r="D50" s="252" t="s">
        <v>1</v>
      </c>
      <c r="E50" s="253" t="s">
        <v>241</v>
      </c>
      <c r="F50" s="253" t="s">
        <v>242</v>
      </c>
      <c r="G50" s="253" t="s">
        <v>243</v>
      </c>
      <c r="H50" s="253" t="s">
        <v>244</v>
      </c>
      <c r="I50" s="253" t="s">
        <v>245</v>
      </c>
      <c r="J50" s="253" t="s">
        <v>246</v>
      </c>
      <c r="K50" s="253" t="s">
        <v>247</v>
      </c>
      <c r="L50" s="253" t="s">
        <v>248</v>
      </c>
      <c r="M50" s="253" t="s">
        <v>249</v>
      </c>
      <c r="N50" s="253" t="s">
        <v>250</v>
      </c>
      <c r="O50" s="253" t="s">
        <v>251</v>
      </c>
      <c r="P50" s="253" t="s">
        <v>252</v>
      </c>
      <c r="Q50" s="253" t="s">
        <v>253</v>
      </c>
      <c r="R50" s="253" t="s">
        <v>254</v>
      </c>
      <c r="S50" s="253" t="s">
        <v>255</v>
      </c>
      <c r="T50" s="253" t="s">
        <v>256</v>
      </c>
      <c r="U50" s="253" t="s">
        <v>257</v>
      </c>
      <c r="V50" s="253" t="s">
        <v>258</v>
      </c>
      <c r="W50" s="253" t="s">
        <v>1360</v>
      </c>
      <c r="X50" s="253" t="s">
        <v>259</v>
      </c>
      <c r="Y50" s="253" t="s">
        <v>260</v>
      </c>
      <c r="Z50" s="254" t="s">
        <v>261</v>
      </c>
      <c r="AA50" s="255" t="s">
        <v>1320</v>
      </c>
      <c r="AC50" s="425" t="s">
        <v>146</v>
      </c>
      <c r="AD50" s="425" t="s">
        <v>388</v>
      </c>
      <c r="AE50" s="425" t="s">
        <v>389</v>
      </c>
    </row>
    <row r="51" spans="2:31" x14ac:dyDescent="0.25">
      <c r="B51" s="245">
        <v>1</v>
      </c>
      <c r="C51" s="246" t="s">
        <v>262</v>
      </c>
      <c r="D51" s="246" t="s">
        <v>263</v>
      </c>
      <c r="E51" s="414">
        <f>1</f>
        <v>1</v>
      </c>
      <c r="F51" s="414">
        <f>0</f>
        <v>0</v>
      </c>
      <c r="G51" s="414">
        <f>0</f>
        <v>0</v>
      </c>
      <c r="H51" s="414">
        <f>0</f>
        <v>0</v>
      </c>
      <c r="I51" s="414">
        <f>0</f>
        <v>0</v>
      </c>
      <c r="J51" s="414">
        <f>-1/Y_H_AER</f>
        <v>-1.5015015015015014</v>
      </c>
      <c r="K51" s="414">
        <f>0</f>
        <v>0</v>
      </c>
      <c r="L51" s="414">
        <f>0</f>
        <v>0</v>
      </c>
      <c r="M51" s="414">
        <f>0</f>
        <v>0</v>
      </c>
      <c r="N51" s="414">
        <f>0</f>
        <v>0</v>
      </c>
      <c r="O51" s="414">
        <f>0</f>
        <v>0</v>
      </c>
      <c r="P51" s="414">
        <f>0</f>
        <v>0</v>
      </c>
      <c r="Q51" s="414">
        <f t="shared" ref="Q51:Q58" si="0">-f_P_ZH</f>
        <v>-2.1000000000000001E-2</v>
      </c>
      <c r="R51" s="414">
        <f>0</f>
        <v>0</v>
      </c>
      <c r="S51" s="414">
        <f>0</f>
        <v>0</v>
      </c>
      <c r="T51" s="414">
        <f>0</f>
        <v>0</v>
      </c>
      <c r="U51" s="414">
        <f>-f_N_ZH</f>
        <v>-7.0000000000000007E-2</v>
      </c>
      <c r="V51" s="414">
        <f>0</f>
        <v>0</v>
      </c>
      <c r="W51" s="414">
        <f>-(1-Y_H_AER)/Y_H_AER</f>
        <v>-0.50150150150150141</v>
      </c>
      <c r="X51" s="414">
        <f>0</f>
        <v>0</v>
      </c>
      <c r="Y51" s="414">
        <f>0</f>
        <v>0</v>
      </c>
      <c r="Z51" s="414">
        <f>0</f>
        <v>0</v>
      </c>
      <c r="AA51" s="421">
        <f>μ_H*M_satSO_KO_HET*M_satSBSC_KS_H*S_BSC/(S_BSA+S_BSC)*M_satNH3_KNA*M_satPO4_KLP_GRO*Z_H</f>
        <v>661.58458886995913</v>
      </c>
      <c r="AC51" s="327">
        <f>E90*E51+F90*F51+G90*G51+H90*H51+I90*I51+J90*J51+K90*K51+L90*L51+M90*M51+N90*N51+O90*O51+P90*P51+Q90*Q51+R90*R51+S90*S51+T90*T51+U90*U51+V90*V51+W90*W51+X90*X51+Y90*Y51+Z90*Z51</f>
        <v>0</v>
      </c>
      <c r="AD51" s="327">
        <f>E91*E51+F91*F51+G91*G51+H91*H51+I91*I51+J91*J51+K91*K51+L91*L51+M91*M51+N91*N51+O91*O51+P91*P51+Q91*Q51+R91*R51+S91*S51+T91*T51+U91*U51+V91*V51+W91*W51+X91*X51+Y91*Y51+Z91*Z51</f>
        <v>0</v>
      </c>
      <c r="AE51" s="327">
        <f>E92*E51+F92*F51+G92*G51+H92*H51+I92*I51+J92*J51+K92*K51+L92*L51+M92*M51+N92*N51+O92*O51+P92*P51+Q92*Q51+R92*R51+S92*S51+T92*T51+U92*U51+V92*V51+W92*W51+X92*X51+Y92*Y51+Z92*Z51</f>
        <v>0</v>
      </c>
    </row>
    <row r="52" spans="2:31" x14ac:dyDescent="0.25">
      <c r="B52" s="137">
        <v>2</v>
      </c>
      <c r="C52" s="138" t="s">
        <v>268</v>
      </c>
      <c r="D52" s="138" t="s">
        <v>269</v>
      </c>
      <c r="E52" s="415">
        <f>1</f>
        <v>1</v>
      </c>
      <c r="F52" s="415">
        <f>0</f>
        <v>0</v>
      </c>
      <c r="G52" s="415">
        <f>0</f>
        <v>0</v>
      </c>
      <c r="H52" s="415">
        <f>0</f>
        <v>0</v>
      </c>
      <c r="I52" s="415">
        <f>0</f>
        <v>0</v>
      </c>
      <c r="J52" s="415">
        <f>-1/Y_H_ANOX</f>
        <v>-1.5015015015015014</v>
      </c>
      <c r="K52" s="415">
        <f>0</f>
        <v>0</v>
      </c>
      <c r="L52" s="415">
        <f>0</f>
        <v>0</v>
      </c>
      <c r="M52" s="415">
        <f>0</f>
        <v>0</v>
      </c>
      <c r="N52" s="415">
        <f>0</f>
        <v>0</v>
      </c>
      <c r="O52" s="415">
        <f>0</f>
        <v>0</v>
      </c>
      <c r="P52" s="415">
        <f>0</f>
        <v>0</v>
      </c>
      <c r="Q52" s="415">
        <f t="shared" si="0"/>
        <v>-2.1000000000000001E-2</v>
      </c>
      <c r="R52" s="415">
        <f>0</f>
        <v>0</v>
      </c>
      <c r="S52" s="415">
        <f>0</f>
        <v>0</v>
      </c>
      <c r="T52" s="418">
        <f>-(1-Y_H_ANOX)/(i_NO3_N2*Y_H_ANOX)</f>
        <v>-0.1755255255255255</v>
      </c>
      <c r="U52" s="415">
        <f>-f_N_ZH</f>
        <v>-7.0000000000000007E-2</v>
      </c>
      <c r="V52" s="415">
        <f>0</f>
        <v>0</v>
      </c>
      <c r="W52" s="415">
        <f>0</f>
        <v>0</v>
      </c>
      <c r="X52" s="415">
        <f>(1-Y_H_ANOX)/(i_NO3_N2*Y_H_ANOX)</f>
        <v>0.1755255255255255</v>
      </c>
      <c r="Y52" s="415">
        <f>0</f>
        <v>0</v>
      </c>
      <c r="Z52" s="415">
        <f>0</f>
        <v>0</v>
      </c>
      <c r="AA52" s="422">
        <f>μ_H*η_gro*M_inhSO_KO_HET*M_satSBSC_KS_H*S_BSC/(S_BSA+S_BSC)*M_satNO3_KNO*M_satNH3_KNA*M_satPO4_KLP_GRO*Z_H</f>
        <v>0.24316519657140886</v>
      </c>
      <c r="AC52" s="327">
        <f>E90*E52+F90*F52+G90*G52+H90*H52+I90*I52+J90*J52+K90*K52+L90*L52+M90*M52+N90*N52+O90*O52+P90*P52+Q90*Q52+R90*R52+S90*S52+T90*T52+U90*U52+V90*V52+W90*W52+X90*X52+Y90*Y52+Z90*Z52</f>
        <v>0</v>
      </c>
      <c r="AD52" s="327">
        <f>E91*E52+F91*F52+G91*G52+H91*H52+I91*I52+J91*J52+K91*K52+L91*L52+M91*M52+N91*N52+O91*O52+P91*P52+Q91*Q52+R91*R52+S91*S52+T91*T52+U91*U52+V91*V52+W91*W52+X91*X52+Y91*Y52+Z91*Z52</f>
        <v>0</v>
      </c>
      <c r="AE52" s="327">
        <f>E92*E52+F92*F52+G92*G52+H92*H52+I92*I52+J92*J52+K92*K52+L92*L52+M92*M52+N92*N52+O92*O52+P92*P52+Q92*Q52+R92*R52+S92*S52+T92*T52+U92*U52+V92*V52+W92*W52+X92*X52+Y92*Y52+Z92*Z52</f>
        <v>0</v>
      </c>
    </row>
    <row r="53" spans="2:31" x14ac:dyDescent="0.25">
      <c r="B53" s="137">
        <v>3</v>
      </c>
      <c r="C53" s="138" t="s">
        <v>273</v>
      </c>
      <c r="D53" s="138" t="s">
        <v>274</v>
      </c>
      <c r="E53" s="415">
        <f>1</f>
        <v>1</v>
      </c>
      <c r="F53" s="415">
        <f>0</f>
        <v>0</v>
      </c>
      <c r="G53" s="415">
        <f>0</f>
        <v>0</v>
      </c>
      <c r="H53" s="415">
        <f>0</f>
        <v>0</v>
      </c>
      <c r="I53" s="415">
        <f>0</f>
        <v>0</v>
      </c>
      <c r="J53" s="415">
        <f>-1/Y_H_AER</f>
        <v>-1.5015015015015014</v>
      </c>
      <c r="K53" s="415">
        <f>0</f>
        <v>0</v>
      </c>
      <c r="L53" s="415">
        <f>0</f>
        <v>0</v>
      </c>
      <c r="M53" s="415">
        <f>0</f>
        <v>0</v>
      </c>
      <c r="N53" s="415">
        <f>0</f>
        <v>0</v>
      </c>
      <c r="O53" s="415">
        <f>0</f>
        <v>0</v>
      </c>
      <c r="P53" s="415">
        <f>0</f>
        <v>0</v>
      </c>
      <c r="Q53" s="415">
        <f t="shared" si="0"/>
        <v>-2.1000000000000001E-2</v>
      </c>
      <c r="R53" s="415">
        <f>0</f>
        <v>0</v>
      </c>
      <c r="S53" s="415">
        <f>0</f>
        <v>0</v>
      </c>
      <c r="T53" s="415">
        <f>-f_N_ZH</f>
        <v>-7.0000000000000007E-2</v>
      </c>
      <c r="U53" s="415">
        <f>0</f>
        <v>0</v>
      </c>
      <c r="V53" s="415">
        <f>0</f>
        <v>0</v>
      </c>
      <c r="W53" s="418">
        <f>-(1-Y_H_AER)/Y_H_AER-i_COD_NO3*f_N_ZH</f>
        <v>-0.18150150150150141</v>
      </c>
      <c r="X53" s="415">
        <f>0</f>
        <v>0</v>
      </c>
      <c r="Y53" s="415">
        <f>0</f>
        <v>0</v>
      </c>
      <c r="Z53" s="415">
        <f>0</f>
        <v>0</v>
      </c>
      <c r="AA53" s="422">
        <f>μ_H*M_satSO_KO_HET*M_satSBSC_KS_H*S_BSC/(S_BSA+S_BSC)*M_satNO3_KNO*M_inhNH3_KNA*M_satPO4_KLP_GRO*Z_H</f>
        <v>1.0953387232946346</v>
      </c>
      <c r="AC53" s="327">
        <f>E90*E53+F90*F53+G90*G53+H90*H53+I90*I53+J90*J53+K90*K53+L90*L53+M90*M53+N90*N53+O90*O53+P90*P53+Q90*Q53+R90*R53+S90*S53+T90*T53+U90*U53+V90*V53+W90*W53+X90*X53+Y90*Y53+Z90*Z53</f>
        <v>0</v>
      </c>
      <c r="AD53" s="327">
        <f>E91*E53+F91*F53+G91*G53+H91*H53+I91*I53+J91*J53+K91*K53+L91*L53+M91*M53+N91*N53+O91*O53+P91*P53+Q91*Q53+R91*R53+S91*S53+T91*T53+U91*U53+V91*V53+W91*W53+X91*X53+Y91*Y53+Z91*Z53</f>
        <v>0</v>
      </c>
      <c r="AE53" s="327">
        <f>E92*E53+F92*F53+G92*G53+H92*H53+I92*I53+J92*J53+K92*K53+L92*L53+M92*M53+N92*N53+O92*O53+P92*P53+Q92*Q53+R92*R53+S92*S53+T92*T53+U92*U53+V92*V53+W92*W53+X92*X53+Y92*Y53+Z92*Z53</f>
        <v>0</v>
      </c>
    </row>
    <row r="54" spans="2:31" x14ac:dyDescent="0.25">
      <c r="B54" s="137">
        <v>4</v>
      </c>
      <c r="C54" s="138" t="s">
        <v>277</v>
      </c>
      <c r="D54" s="138" t="s">
        <v>278</v>
      </c>
      <c r="E54" s="415">
        <f>1</f>
        <v>1</v>
      </c>
      <c r="F54" s="415">
        <f>0</f>
        <v>0</v>
      </c>
      <c r="G54" s="415">
        <f>0</f>
        <v>0</v>
      </c>
      <c r="H54" s="415">
        <f>0</f>
        <v>0</v>
      </c>
      <c r="I54" s="415">
        <f>0</f>
        <v>0</v>
      </c>
      <c r="J54" s="418">
        <f>-1/Y_H_ANOX+i_COD_NO3*f_N_ZH</f>
        <v>-1.8215015015015015</v>
      </c>
      <c r="K54" s="415">
        <f>0</f>
        <v>0</v>
      </c>
      <c r="L54" s="415">
        <f>0</f>
        <v>0</v>
      </c>
      <c r="M54" s="415">
        <f>0</f>
        <v>0</v>
      </c>
      <c r="N54" s="415">
        <f>0</f>
        <v>0</v>
      </c>
      <c r="O54" s="415">
        <f>0</f>
        <v>0</v>
      </c>
      <c r="P54" s="415">
        <f>0</f>
        <v>0</v>
      </c>
      <c r="Q54" s="415">
        <f t="shared" si="0"/>
        <v>-2.1000000000000001E-2</v>
      </c>
      <c r="R54" s="415">
        <f>0</f>
        <v>0</v>
      </c>
      <c r="S54" s="415">
        <f>0</f>
        <v>0</v>
      </c>
      <c r="T54" s="418">
        <f>-f_N_ZH-(1-Y_H_ANOX)/(i_NO3_N2*Y_H_ANOX)</f>
        <v>-0.24552552552552551</v>
      </c>
      <c r="U54" s="415">
        <f>0</f>
        <v>0</v>
      </c>
      <c r="V54" s="415">
        <f>0</f>
        <v>0</v>
      </c>
      <c r="W54" s="415">
        <f>0</f>
        <v>0</v>
      </c>
      <c r="X54" s="415">
        <f>(1-Y_H_ANOX)/(i_NO3_N2*Y_H_ANOX)</f>
        <v>0.1755255255255255</v>
      </c>
      <c r="Y54" s="415">
        <f>0</f>
        <v>0</v>
      </c>
      <c r="Z54" s="415">
        <f>0</f>
        <v>0</v>
      </c>
      <c r="AA54" s="422">
        <f>μ_H*η_gro*M_inhSO_KO_HET*M_satSBSC_KS_H*S_BSC/(S_BSA+S_BSC)*M_satNO3_KNO*M_inhNH3_KNA*M_satPO4_KLP_GRO*Z_H</f>
        <v>4.0527532761901479E-4</v>
      </c>
      <c r="AC54" s="327">
        <f>E90*E54+F90*F54+G90*G54+H90*H54+I90*I54+J90*J54+K90*K54+L90*L54+M90*M54+N90*N54+O90*O54+P90*P54+Q90*Q54+R90*R54+S90*S54+T90*T54+U90*U54+V90*V54+W90*W54+X90*X54+Y90*Y54+Z90*Z54</f>
        <v>-1.1102230246251565E-16</v>
      </c>
      <c r="AD54" s="327">
        <f>E91*E54+F91*F54+G91*G54+H91*H54+I91*I54+J91*J54+K91*K54+L91*L54+M91*M54+N91*N54+O91*O54+P91*P54+Q91*Q54+R91*R54+S91*S54+T91*T54+U91*U54+V91*V54+W91*W54+X91*X54+Y91*Y54+Z91*Z54</f>
        <v>0</v>
      </c>
      <c r="AE54" s="327">
        <f>E92*E54+F92*F54+G92*G54+H92*H54+I92*I54+J92*J54+K92*K54+L92*L54+M92*M54+N92*N54+O92*O54+P92*P54+Q92*Q54+R92*R54+S92*S54+T92*T54+U92*U54+V92*V54+W92*W54+X92*X54+Y92*Y54+Z92*Z54</f>
        <v>0</v>
      </c>
    </row>
    <row r="55" spans="2:31" x14ac:dyDescent="0.25">
      <c r="B55" s="137">
        <v>5</v>
      </c>
      <c r="C55" s="138" t="s">
        <v>281</v>
      </c>
      <c r="D55" s="138" t="s">
        <v>282</v>
      </c>
      <c r="E55" s="415">
        <f>1</f>
        <v>1</v>
      </c>
      <c r="F55" s="415">
        <f>0</f>
        <v>0</v>
      </c>
      <c r="G55" s="415">
        <f>0</f>
        <v>0</v>
      </c>
      <c r="H55" s="415">
        <f>0</f>
        <v>0</v>
      </c>
      <c r="I55" s="415">
        <f>0</f>
        <v>0</v>
      </c>
      <c r="J55" s="415">
        <f>0</f>
        <v>0</v>
      </c>
      <c r="K55" s="415">
        <f>-1/Y_H_AER</f>
        <v>-1.5015015015015014</v>
      </c>
      <c r="L55" s="415">
        <f>0</f>
        <v>0</v>
      </c>
      <c r="M55" s="415">
        <f>0</f>
        <v>0</v>
      </c>
      <c r="N55" s="415">
        <f>0</f>
        <v>0</v>
      </c>
      <c r="O55" s="415">
        <f>0</f>
        <v>0</v>
      </c>
      <c r="P55" s="415">
        <f>0</f>
        <v>0</v>
      </c>
      <c r="Q55" s="415">
        <f t="shared" si="0"/>
        <v>-2.1000000000000001E-2</v>
      </c>
      <c r="R55" s="415">
        <f>0</f>
        <v>0</v>
      </c>
      <c r="S55" s="415">
        <f>0</f>
        <v>0</v>
      </c>
      <c r="T55" s="415">
        <f>0</f>
        <v>0</v>
      </c>
      <c r="U55" s="415">
        <f>-f_N_ZH</f>
        <v>-7.0000000000000007E-2</v>
      </c>
      <c r="V55" s="415">
        <f>0</f>
        <v>0</v>
      </c>
      <c r="W55" s="415">
        <f>-(1-Y_H_AER)/Y_H_AER</f>
        <v>-0.50150150150150141</v>
      </c>
      <c r="X55" s="415">
        <f>0</f>
        <v>0</v>
      </c>
      <c r="Y55" s="415">
        <f>0</f>
        <v>0</v>
      </c>
      <c r="Z55" s="415">
        <f>0</f>
        <v>0</v>
      </c>
      <c r="AA55" s="422">
        <f>μ_H*M_satSO_KO_HET*M_satSBSA_KS_H_BSA*S_BSA/(S_BSA+S_BSC)*M_satNH3_KNA*M_satPO4_KLP_GRO*Z_H</f>
        <v>44.105639257997275</v>
      </c>
      <c r="AC55" s="327">
        <f>E90*E55+F90*F55+G90*G55+H90*H55+I90*I55+J90*J55+K90*K55+L90*L55+M90*M55+N90*N55+O90*O55+P90*P55+Q90*Q55+R90*R55+S90*S55+T90*T55+U90*U55+V90*V55+W90*W55+X90*X55+Y90*Y55+Z90*Z55</f>
        <v>0</v>
      </c>
      <c r="AD55" s="327">
        <f>E91*E55+F91*F55+G91*G55+H91*H55+I91*I55+J91*J55+K91*K55+L91*L55+M91*M55+N91*N55+O91*O55+P91*P55+Q91*Q55+R91*R55+S91*S55+T91*T55+U91*U55+V91*V55+W91*W55+X91*X55+Y91*Y55+Z91*Z55</f>
        <v>0</v>
      </c>
      <c r="AE55" s="327">
        <f>E92*E55+F92*F55+G92*G55+H92*H55+I92*I55+J92*J55+K92*K55+L92*L55+M92*M55+N92*N55+O92*O55+P92*P55+Q92*Q55+R92*R55+S92*S55+T92*T55+U92*U55+V92*V55+W92*W55+X92*X55+Y92*Y55+Z92*Z55</f>
        <v>0</v>
      </c>
    </row>
    <row r="56" spans="2:31" x14ac:dyDescent="0.25">
      <c r="B56" s="137">
        <v>6</v>
      </c>
      <c r="C56" s="138" t="s">
        <v>283</v>
      </c>
      <c r="D56" s="138" t="s">
        <v>284</v>
      </c>
      <c r="E56" s="415">
        <f>1</f>
        <v>1</v>
      </c>
      <c r="F56" s="415">
        <f>0</f>
        <v>0</v>
      </c>
      <c r="G56" s="415">
        <f>0</f>
        <v>0</v>
      </c>
      <c r="H56" s="415">
        <f>0</f>
        <v>0</v>
      </c>
      <c r="I56" s="415">
        <f>0</f>
        <v>0</v>
      </c>
      <c r="J56" s="415">
        <f>0</f>
        <v>0</v>
      </c>
      <c r="K56" s="415">
        <f>-1/Y_H_ANOX</f>
        <v>-1.5015015015015014</v>
      </c>
      <c r="L56" s="415">
        <f>0</f>
        <v>0</v>
      </c>
      <c r="M56" s="415">
        <f>0</f>
        <v>0</v>
      </c>
      <c r="N56" s="415">
        <f>0</f>
        <v>0</v>
      </c>
      <c r="O56" s="415">
        <f>0</f>
        <v>0</v>
      </c>
      <c r="P56" s="415">
        <f>0</f>
        <v>0</v>
      </c>
      <c r="Q56" s="415">
        <f t="shared" si="0"/>
        <v>-2.1000000000000001E-2</v>
      </c>
      <c r="R56" s="415">
        <f>0</f>
        <v>0</v>
      </c>
      <c r="S56" s="415">
        <f>0</f>
        <v>0</v>
      </c>
      <c r="T56" s="418">
        <f>-(1-Y_H_ANOX)/(i_NO3_N2*Y_H_ANOX)</f>
        <v>-0.1755255255255255</v>
      </c>
      <c r="U56" s="415">
        <f>-f_N_ZH</f>
        <v>-7.0000000000000007E-2</v>
      </c>
      <c r="V56" s="415">
        <f>0</f>
        <v>0</v>
      </c>
      <c r="W56" s="415">
        <f>0</f>
        <v>0</v>
      </c>
      <c r="X56" s="415">
        <f>(1-Y_H_ANOX)/(i_NO3_N2*Y_H_ANOX)</f>
        <v>0.1755255255255255</v>
      </c>
      <c r="Y56" s="415">
        <f>0</f>
        <v>0</v>
      </c>
      <c r="Z56" s="415">
        <f>0</f>
        <v>0</v>
      </c>
      <c r="AA56" s="422">
        <f>μ_H*η_gro*M_inhSO_KO_HET*M_satSBSA_KS_H_BSA*S_BSA/(S_BSA+S_BSC)*M_satNO3_KNO*M_satNH3_KNA*M_satPO4_KLP_GRO*Z_H</f>
        <v>1.6211013104760592E-2</v>
      </c>
      <c r="AC56" s="327">
        <f>E90*E56+F90*F56+G90*G56+H90*H56+I90*I56+J90*J56+K90*K56+L90*L56+M90*M56+N90*N56+O90*O56+P90*P56+Q90*Q56+R90*R56+S90*S56+T90*T56+U90*U56+V90*V56+W90*W56+X90*X56+Y90*Y56+Z90*Z56</f>
        <v>0</v>
      </c>
      <c r="AD56" s="327">
        <f>E91*E56+F91*F56+G91*G56+H91*H56+I91*I56+J91*J56+K91*K56+L91*L56+M91*M56+N91*N56+O91*O56+P91*P56+Q91*Q56+R91*R56+S91*S56+T91*T56+U91*U56+V91*V56+W91*W56+X91*X56+Y91*Y56+Z91*Z56</f>
        <v>0</v>
      </c>
      <c r="AE56" s="327">
        <f>E92*E56+F92*F56+G92*G56+H92*H56+I92*I56+J92*J56+K92*K56+L92*L56+M92*M56+N92*N56+O92*O56+P92*P56+Q92*Q56+R92*R56+S92*S56+T92*T56+U92*U56+V92*V56+W92*W56+X92*X56+Y92*Y56+Z92*Z56</f>
        <v>0</v>
      </c>
    </row>
    <row r="57" spans="2:31" x14ac:dyDescent="0.25">
      <c r="B57" s="137">
        <v>7</v>
      </c>
      <c r="C57" s="138" t="s">
        <v>285</v>
      </c>
      <c r="D57" s="138" t="s">
        <v>286</v>
      </c>
      <c r="E57" s="415">
        <f>1</f>
        <v>1</v>
      </c>
      <c r="F57" s="415">
        <f>0</f>
        <v>0</v>
      </c>
      <c r="G57" s="415">
        <f>0</f>
        <v>0</v>
      </c>
      <c r="H57" s="415">
        <f>0</f>
        <v>0</v>
      </c>
      <c r="I57" s="415">
        <f>0</f>
        <v>0</v>
      </c>
      <c r="J57" s="415">
        <f>0</f>
        <v>0</v>
      </c>
      <c r="K57" s="415">
        <f>-1/Y_H_AER</f>
        <v>-1.5015015015015014</v>
      </c>
      <c r="L57" s="415">
        <f>0</f>
        <v>0</v>
      </c>
      <c r="M57" s="415">
        <f>0</f>
        <v>0</v>
      </c>
      <c r="N57" s="415">
        <f>0</f>
        <v>0</v>
      </c>
      <c r="O57" s="415">
        <f>0</f>
        <v>0</v>
      </c>
      <c r="P57" s="415">
        <f>0</f>
        <v>0</v>
      </c>
      <c r="Q57" s="415">
        <f t="shared" si="0"/>
        <v>-2.1000000000000001E-2</v>
      </c>
      <c r="R57" s="415">
        <f>0</f>
        <v>0</v>
      </c>
      <c r="S57" s="415">
        <f>0</f>
        <v>0</v>
      </c>
      <c r="T57" s="415">
        <f>-f_N_ZH</f>
        <v>-7.0000000000000007E-2</v>
      </c>
      <c r="U57" s="415">
        <f>0</f>
        <v>0</v>
      </c>
      <c r="V57" s="415">
        <f>0</f>
        <v>0</v>
      </c>
      <c r="W57" s="418">
        <f>-(1-Y_H_AER)/Y_H_AER-i_COD_NO3*f_N_ZH</f>
        <v>-0.18150150150150141</v>
      </c>
      <c r="X57" s="415">
        <f>0</f>
        <v>0</v>
      </c>
      <c r="Y57" s="415">
        <f>0</f>
        <v>0</v>
      </c>
      <c r="Z57" s="415">
        <f>0</f>
        <v>0</v>
      </c>
      <c r="AA57" s="422">
        <f>μ_H*M_satSO_KO_HET*M_satSBSA_KS_H_BSA*S_BSA/(S_BSA+S_BSC)*M_satNO3_KNO*M_inhNH3_KNA*M_satPO4_KLP_GRO*Z_H</f>
        <v>7.3022581552975641E-2</v>
      </c>
      <c r="AC57" s="327">
        <f>E90*E57+F90*F57+G90*G57+H90*H57+I90*I57+J90*J57+K90*K57+L90*L57+M90*M57+N90*N57+O90*O57+P90*P57+Q90*Q57+R90*R57+S90*S57+T90*T57+U90*U57+V90*V57+W90*W57+X90*X57+Y90*Y57+Z90*Z57</f>
        <v>0</v>
      </c>
      <c r="AD57" s="327">
        <f>E91*E57+F91*F57+G91*G57+H91*H57+I91*I57+J91*J57+K91*K57+L91*L57+M91*M57+N91*N57+O91*O57+P91*P57+Q91*Q57+R91*R57+S91*S57+T91*T57+U91*U57+V91*V57+W91*W57+X91*X57+Y91*Y57+Z91*Z57</f>
        <v>0</v>
      </c>
      <c r="AE57" s="327">
        <f>E92*E57+F92*F57+G92*G57+H92*H57+I92*I57+J92*J57+K92*K57+L92*L57+M92*M57+N92*N57+O92*O57+P92*P57+Q92*Q57+R92*R57+S92*S57+T92*T57+U92*U57+V92*V57+W92*W57+X92*X57+Y92*Y57+Z92*Z57</f>
        <v>0</v>
      </c>
    </row>
    <row r="58" spans="2:31" x14ac:dyDescent="0.25">
      <c r="B58" s="137">
        <v>8</v>
      </c>
      <c r="C58" s="138" t="s">
        <v>287</v>
      </c>
      <c r="D58" s="138" t="s">
        <v>288</v>
      </c>
      <c r="E58" s="415">
        <f>1</f>
        <v>1</v>
      </c>
      <c r="F58" s="415">
        <f>0</f>
        <v>0</v>
      </c>
      <c r="G58" s="415">
        <f>0</f>
        <v>0</v>
      </c>
      <c r="H58" s="415">
        <f>0</f>
        <v>0</v>
      </c>
      <c r="I58" s="415">
        <f>0</f>
        <v>0</v>
      </c>
      <c r="J58" s="415">
        <f>0</f>
        <v>0</v>
      </c>
      <c r="K58" s="418">
        <f>-1/Y_H_ANOX+i_COD_NO3*f_N_ZH</f>
        <v>-1.8215015015015015</v>
      </c>
      <c r="L58" s="415">
        <f>0</f>
        <v>0</v>
      </c>
      <c r="M58" s="415">
        <f>0</f>
        <v>0</v>
      </c>
      <c r="N58" s="415">
        <f>0</f>
        <v>0</v>
      </c>
      <c r="O58" s="415">
        <f>0</f>
        <v>0</v>
      </c>
      <c r="P58" s="415">
        <f>0</f>
        <v>0</v>
      </c>
      <c r="Q58" s="415">
        <f t="shared" si="0"/>
        <v>-2.1000000000000001E-2</v>
      </c>
      <c r="R58" s="415">
        <f>0</f>
        <v>0</v>
      </c>
      <c r="S58" s="415">
        <f>0</f>
        <v>0</v>
      </c>
      <c r="T58" s="418">
        <f>-f_N_ZH-(1-Y_H_ANOX)/(i_NO3_N2*Y_H_ANOX)</f>
        <v>-0.24552552552552551</v>
      </c>
      <c r="U58" s="415">
        <f>0</f>
        <v>0</v>
      </c>
      <c r="V58" s="415">
        <f>0</f>
        <v>0</v>
      </c>
      <c r="W58" s="415">
        <f>0</f>
        <v>0</v>
      </c>
      <c r="X58" s="415">
        <f>(1-Y_H_ANOX)/(i_NO3_N2*Y_H_ANOX)</f>
        <v>0.1755255255255255</v>
      </c>
      <c r="Y58" s="415">
        <f>0</f>
        <v>0</v>
      </c>
      <c r="Z58" s="415">
        <f>0</f>
        <v>0</v>
      </c>
      <c r="AA58" s="422">
        <f>μ_H*η_gro*M_inhSO_KO_HET*M_satSBSA_KS_H_BSA*S_BSA/(S_BSA+S_BSC)*M_satNO3_KNO*M_inhNH3_KNA*M_satPO4_KLP_GRO*Z_H</f>
        <v>2.7018355174600984E-5</v>
      </c>
      <c r="AC58" s="327">
        <f>E90*E58+F90*F58+G90*G58+H90*H58+I90*I58+J90*J58+K90*K58+L90*L58+M90*M58+N90*N58+O90*O58+P90*P58+Q90*Q58+R90*R58+S90*S58+T90*T58+U90*U58+V90*V58+W90*W58+X90*X58+Y90*Y58+Z90*Z58</f>
        <v>-1.1102230246251565E-16</v>
      </c>
      <c r="AD58" s="327">
        <f>E91*E58+F91*F58+G91*G58+H91*H58+I91*I58+J91*J58+K91*K58+L91*L58+M91*M58+N91*N58+O91*O58+P91*P58+Q91*Q58+R91*R58+S91*S58+T91*T58+U91*U58+V91*V58+W91*W58+X91*X58+Y91*Y58+Z91*Z58</f>
        <v>0</v>
      </c>
      <c r="AE58" s="327">
        <f>E92*E58+F92*F58+G92*G58+H92*H58+I92*I58+J92*J58+K92*K58+L92*L58+M92*M58+N92*N58+O92*O58+P92*P58+Q92*Q58+R92*R58+S92*S58+T92*T58+U92*U58+V92*V58+W92*W58+X92*X58+Y92*Y58+Z92*Z58</f>
        <v>0</v>
      </c>
    </row>
    <row r="59" spans="2:31" x14ac:dyDescent="0.25">
      <c r="B59" s="137">
        <v>9</v>
      </c>
      <c r="C59" s="138" t="s">
        <v>289</v>
      </c>
      <c r="D59" s="138" t="s">
        <v>290</v>
      </c>
      <c r="E59" s="415">
        <f>-1</f>
        <v>-1</v>
      </c>
      <c r="F59" s="415">
        <f>0</f>
        <v>0</v>
      </c>
      <c r="G59" s="415">
        <f>0</f>
        <v>0</v>
      </c>
      <c r="H59" s="416">
        <f>f_EP_H</f>
        <v>0.08</v>
      </c>
      <c r="I59" s="415">
        <f>1-f_EP_H</f>
        <v>0.92</v>
      </c>
      <c r="J59" s="415">
        <f>0</f>
        <v>0</v>
      </c>
      <c r="K59" s="415">
        <f>0</f>
        <v>0</v>
      </c>
      <c r="L59" s="415">
        <f>0</f>
        <v>0</v>
      </c>
      <c r="M59" s="415">
        <f>0</f>
        <v>0</v>
      </c>
      <c r="N59" s="415">
        <f>0</f>
        <v>0</v>
      </c>
      <c r="O59" s="415">
        <f>0</f>
        <v>0</v>
      </c>
      <c r="P59" s="415">
        <f>0</f>
        <v>0</v>
      </c>
      <c r="Q59" s="416">
        <f>f_P_ZH-f_EP_H*f_P_ZEH</f>
        <v>1.932E-2</v>
      </c>
      <c r="R59" s="416">
        <f>f_N_ZH-f_EP_H*f_N_ZEH</f>
        <v>6.4400000000000013E-2</v>
      </c>
      <c r="S59" s="415">
        <f>0</f>
        <v>0</v>
      </c>
      <c r="T59" s="415">
        <f>0</f>
        <v>0</v>
      </c>
      <c r="U59" s="415">
        <f>0</f>
        <v>0</v>
      </c>
      <c r="V59" s="415">
        <f>0</f>
        <v>0</v>
      </c>
      <c r="W59" s="415">
        <f>0</f>
        <v>0</v>
      </c>
      <c r="X59" s="415">
        <f>0</f>
        <v>0</v>
      </c>
      <c r="Y59" s="415">
        <f>0</f>
        <v>0</v>
      </c>
      <c r="Z59" s="415">
        <f>0</f>
        <v>0</v>
      </c>
      <c r="AA59" s="422">
        <f>b_H*Z_H</f>
        <v>310</v>
      </c>
      <c r="AC59" s="327">
        <f>E90*E59+F90*F59+G90*G59+H90*H59+I90*I59+J90*J59+K90*K59+L90*L59+M90*M59+N90*N59+O90*O59+P90*P59+Q90*Q59+R90*R59+S90*S59+T90*T59+U90*U59+V90*V59+W90*W59+X90*X59+Y90*Y59+Z90*Z59</f>
        <v>0</v>
      </c>
      <c r="AD59" s="327">
        <f>E91*E59+F91*F59+G91*G59+H91*H59+I91*I59+J91*J59+K91*K59+L91*L59+M91*M59+N91*N59+O91*O59+P91*P59+Q91*Q59+R91*R59+S91*S59+T91*T59+U91*U59+V91*V59+W91*W59+X91*X59+Y91*Y59+Z91*Z59</f>
        <v>0</v>
      </c>
      <c r="AE59" s="327">
        <f>E92*E59+F92*F59+G92*G59+H92*H59+I92*I59+J92*J59+K92*K59+L92*L59+M92*M59+N92*N59+O92*O59+P92*P59+Q92*Q59+R92*R59+S92*S59+T92*T59+U92*U59+V92*V59+W92*W59+X92*X59+Y92*Y59+Z92*Z59</f>
        <v>0</v>
      </c>
    </row>
    <row r="60" spans="2:31" x14ac:dyDescent="0.25">
      <c r="B60" s="137">
        <v>10</v>
      </c>
      <c r="C60" s="138" t="s">
        <v>296</v>
      </c>
      <c r="D60" s="138" t="s">
        <v>297</v>
      </c>
      <c r="E60" s="415">
        <f>0</f>
        <v>0</v>
      </c>
      <c r="F60" s="415">
        <f>0</f>
        <v>0</v>
      </c>
      <c r="G60" s="415">
        <f>0</f>
        <v>0</v>
      </c>
      <c r="H60" s="415">
        <f>0</f>
        <v>0</v>
      </c>
      <c r="I60" s="415">
        <f>-1</f>
        <v>-1</v>
      </c>
      <c r="J60" s="415">
        <f>1</f>
        <v>1</v>
      </c>
      <c r="K60" s="415">
        <f>0</f>
        <v>0</v>
      </c>
      <c r="L60" s="415">
        <f>0</f>
        <v>0</v>
      </c>
      <c r="M60" s="415">
        <f>0</f>
        <v>0</v>
      </c>
      <c r="N60" s="415">
        <f>0</f>
        <v>0</v>
      </c>
      <c r="O60" s="415">
        <f>0</f>
        <v>0</v>
      </c>
      <c r="P60" s="415">
        <f>0</f>
        <v>0</v>
      </c>
      <c r="Q60" s="415">
        <f>0</f>
        <v>0</v>
      </c>
      <c r="R60" s="415">
        <f>0</f>
        <v>0</v>
      </c>
      <c r="S60" s="415">
        <f>0</f>
        <v>0</v>
      </c>
      <c r="T60" s="415">
        <f>0</f>
        <v>0</v>
      </c>
      <c r="U60" s="415">
        <f>0</f>
        <v>0</v>
      </c>
      <c r="V60" s="415">
        <f>0</f>
        <v>0</v>
      </c>
      <c r="W60" s="415">
        <f>0</f>
        <v>0</v>
      </c>
      <c r="X60" s="415">
        <f>0</f>
        <v>0</v>
      </c>
      <c r="Y60" s="415">
        <f>0</f>
        <v>0</v>
      </c>
      <c r="Z60" s="415">
        <f>0</f>
        <v>0</v>
      </c>
      <c r="AA60" s="422">
        <f>K_H*M_satSO_KO_HET*M_RsatSENM_ZH_KX*Z_H</f>
        <v>561.43856143856158</v>
      </c>
      <c r="AC60" s="327">
        <f>E90*E60+F90*F60+G90*G60+H90*H60+I90*I60+J90*J60+K90*K60+L90*L60+M90*M60+N90*N60+O90*O60+P90*P60+Q90*Q60+R90*R60+S90*S60+T90*T60+U90*U60+V90*V60+W90*W60+X90*X60+Y90*Y60+Z90*Z60</f>
        <v>0</v>
      </c>
      <c r="AD60" s="327">
        <f>E91*E60+F91*F60+G91*G60+H91*H60+I91*I60+J91*J60+K91*K60+L91*L60+M91*M60+N91*N60+O91*O60+P91*P60+Q91*Q60+R91*R60+S91*S60+T91*T60+U91*U60+V91*V60+W91*W60+X91*X60+Y91*Y60+Z91*Z60</f>
        <v>0</v>
      </c>
      <c r="AE60" s="327">
        <f>E92*E60+F92*F60+G92*G60+H92*H60+I92*I60+J92*J60+K92*K60+L92*L60+M92*M60+N92*N60+O92*O60+P92*P60+Q92*Q60+R92*R60+S92*S60+T92*T60+U92*U60+V92*V60+W92*W60+X92*X60+Y92*Y60+Z92*Z60</f>
        <v>0</v>
      </c>
    </row>
    <row r="61" spans="2:31" x14ac:dyDescent="0.25">
      <c r="B61" s="137">
        <v>11</v>
      </c>
      <c r="C61" s="138" t="s">
        <v>298</v>
      </c>
      <c r="D61" s="138" t="s">
        <v>299</v>
      </c>
      <c r="E61" s="415">
        <f>0</f>
        <v>0</v>
      </c>
      <c r="F61" s="415">
        <f>0</f>
        <v>0</v>
      </c>
      <c r="G61" s="415">
        <f>0</f>
        <v>0</v>
      </c>
      <c r="H61" s="415">
        <f>0</f>
        <v>0</v>
      </c>
      <c r="I61" s="415">
        <f>-1</f>
        <v>-1</v>
      </c>
      <c r="J61" s="416">
        <f>E_ANOX</f>
        <v>0.9</v>
      </c>
      <c r="K61" s="415">
        <f>0</f>
        <v>0</v>
      </c>
      <c r="L61" s="415">
        <f>0</f>
        <v>0</v>
      </c>
      <c r="M61" s="415">
        <f>0</f>
        <v>0</v>
      </c>
      <c r="N61" s="415">
        <f>0</f>
        <v>0</v>
      </c>
      <c r="O61" s="415">
        <f>0</f>
        <v>0</v>
      </c>
      <c r="P61" s="415">
        <f>0</f>
        <v>0</v>
      </c>
      <c r="Q61" s="415">
        <f>0</f>
        <v>0</v>
      </c>
      <c r="R61" s="415">
        <f>0</f>
        <v>0</v>
      </c>
      <c r="S61" s="415">
        <f>0</f>
        <v>0</v>
      </c>
      <c r="T61" s="415">
        <f>0</f>
        <v>0</v>
      </c>
      <c r="U61" s="415">
        <f>0</f>
        <v>0</v>
      </c>
      <c r="V61" s="415">
        <f>0</f>
        <v>0</v>
      </c>
      <c r="W61" s="415">
        <f>0</f>
        <v>0</v>
      </c>
      <c r="X61" s="415">
        <f>0</f>
        <v>0</v>
      </c>
      <c r="Y61" s="415">
        <f>(1-E_ANOX)/i_COD_H2</f>
        <v>1.2499999999999997E-2</v>
      </c>
      <c r="Z61" s="415">
        <f>0</f>
        <v>0</v>
      </c>
      <c r="AA61" s="422">
        <f>K_H*η_S_ANOX*M_inhSO_KO_HET*M_satNO3_KNO*M_RsatSENM_ZH_KX*Z_H</f>
        <v>0.55772042527009436</v>
      </c>
      <c r="AC61" s="327">
        <f>E90*E61+F90*F61+G90*G61+H90*H61+I90*I61+J90*J61+K90*K61+L90*L61+M90*M61+N90*N61+O90*O61+P90*P61+Q90*Q61+R90*R61+S90*S61+T90*T61+U90*U61+V90*V61+W90*W61+X90*X61+Y90*Y61+Z90*Z61</f>
        <v>0</v>
      </c>
      <c r="AD61" s="327">
        <f>E91*E61+F91*F61+G91*G61+H91*H61+I91*I61+J91*J61+K91*K61+L91*L61+M91*M61+N91*N61+O91*O61+P91*P61+Q91*Q61+R91*R61+S91*S61+T91*T61+U91*U61+V91*V61+W91*W61+X91*X61+Y91*Y61+Z91*Z61</f>
        <v>0</v>
      </c>
      <c r="AE61" s="327">
        <f>E92*E61+F92*F61+G92*G61+H92*H61+I92*I61+J92*J61+K92*K61+L92*L61+M92*M61+N92*N61+O92*O61+P92*P61+Q92*Q61+R92*R61+S92*S61+T92*T61+U92*U61+V92*V61+W92*W61+X92*X61+Y92*Y61+Z92*Z61</f>
        <v>0</v>
      </c>
    </row>
    <row r="62" spans="2:31" x14ac:dyDescent="0.25">
      <c r="B62" s="137">
        <v>12</v>
      </c>
      <c r="C62" s="138" t="s">
        <v>301</v>
      </c>
      <c r="D62" s="138" t="s">
        <v>302</v>
      </c>
      <c r="E62" s="415">
        <f>0</f>
        <v>0</v>
      </c>
      <c r="F62" s="415">
        <f>0</f>
        <v>0</v>
      </c>
      <c r="G62" s="415">
        <f>0</f>
        <v>0</v>
      </c>
      <c r="H62" s="415">
        <f>0</f>
        <v>0</v>
      </c>
      <c r="I62" s="415">
        <f>-1</f>
        <v>-1</v>
      </c>
      <c r="J62" s="416">
        <f>E_ANA</f>
        <v>0.6</v>
      </c>
      <c r="K62" s="415">
        <f>0</f>
        <v>0</v>
      </c>
      <c r="L62" s="415">
        <f>0</f>
        <v>0</v>
      </c>
      <c r="M62" s="415">
        <f>0</f>
        <v>0</v>
      </c>
      <c r="N62" s="415">
        <f>0</f>
        <v>0</v>
      </c>
      <c r="O62" s="415">
        <f>0</f>
        <v>0</v>
      </c>
      <c r="P62" s="415">
        <f>0</f>
        <v>0</v>
      </c>
      <c r="Q62" s="415">
        <f>0</f>
        <v>0</v>
      </c>
      <c r="R62" s="415">
        <f>0</f>
        <v>0</v>
      </c>
      <c r="S62" s="415">
        <f>0</f>
        <v>0</v>
      </c>
      <c r="T62" s="415">
        <f>0</f>
        <v>0</v>
      </c>
      <c r="U62" s="415">
        <f>0</f>
        <v>0</v>
      </c>
      <c r="V62" s="415">
        <f>0</f>
        <v>0</v>
      </c>
      <c r="W62" s="415">
        <f>0</f>
        <v>0</v>
      </c>
      <c r="X62" s="415">
        <f>0</f>
        <v>0</v>
      </c>
      <c r="Y62" s="415">
        <f>(1-E_ANA)/i_COD_H2</f>
        <v>0.05</v>
      </c>
      <c r="Z62" s="415">
        <f>0</f>
        <v>0</v>
      </c>
      <c r="AA62" s="422">
        <f>K_H*η_S_ANA*M_inhSO_KO_HET*M_inhNO3_KNO*M_RsatSENM_ZH_KX*Z_H</f>
        <v>1.8590680842336478E-3</v>
      </c>
      <c r="AC62" s="327">
        <f>E90*E62+F90*F62+G90*G62+H90*H62+I90*I62+J90*J62+K90*K62+L90*L62+M90*M62+N90*N62+O90*O62+P90*P62+Q90*Q62+R90*R62+S90*S62+T90*T62+U90*U62+V90*V62+W90*W62+X90*X62+Y90*Y62+Z90*Z62</f>
        <v>0</v>
      </c>
      <c r="AD62" s="327">
        <f>E91*E62+F91*F62+G91*G62+H91*H62+I91*I62+J91*J62+K91*K62+L91*L62+M91*M62+N91*N62+O91*O62+P91*P62+Q91*Q62+R91*R62+S91*S62+T91*T62+U91*U62+V91*V62+W91*W62+X91*X62+Y91*Y62+Z91*Z62</f>
        <v>0</v>
      </c>
      <c r="AE62" s="327">
        <f>E92*E62+F92*F62+G92*G62+H92*H62+I92*I62+J92*J62+K92*K62+L92*L62+M92*M62+N92*N62+O92*O62+P92*P62+Q92*Q62+R92*R62+S92*S62+T92*T62+U92*U62+V92*V62+W92*W62+X92*X62+Y92*Y62+Z92*Z62</f>
        <v>0</v>
      </c>
    </row>
    <row r="63" spans="2:31" x14ac:dyDescent="0.25">
      <c r="B63" s="137">
        <v>13</v>
      </c>
      <c r="C63" s="138" t="s">
        <v>304</v>
      </c>
      <c r="D63" s="138" t="s">
        <v>305</v>
      </c>
      <c r="E63" s="415">
        <f>0</f>
        <v>0</v>
      </c>
      <c r="F63" s="415">
        <f>0</f>
        <v>0</v>
      </c>
      <c r="G63" s="415">
        <f>0</f>
        <v>0</v>
      </c>
      <c r="H63" s="415">
        <f>0</f>
        <v>0</v>
      </c>
      <c r="I63" s="415">
        <f>0</f>
        <v>0</v>
      </c>
      <c r="J63" s="415">
        <f>0</f>
        <v>0</v>
      </c>
      <c r="K63" s="415">
        <f>0</f>
        <v>0</v>
      </c>
      <c r="L63" s="415">
        <f>0</f>
        <v>0</v>
      </c>
      <c r="M63" s="415">
        <f>0</f>
        <v>0</v>
      </c>
      <c r="N63" s="415">
        <f>0</f>
        <v>0</v>
      </c>
      <c r="O63" s="415">
        <f>0</f>
        <v>0</v>
      </c>
      <c r="P63" s="415">
        <f>0</f>
        <v>0</v>
      </c>
      <c r="Q63" s="415">
        <f>0</f>
        <v>0</v>
      </c>
      <c r="R63" s="415">
        <f>-1</f>
        <v>-1</v>
      </c>
      <c r="S63" s="415">
        <f>1</f>
        <v>1</v>
      </c>
      <c r="T63" s="415">
        <f>0</f>
        <v>0</v>
      </c>
      <c r="U63" s="415">
        <f>0</f>
        <v>0</v>
      </c>
      <c r="V63" s="415">
        <f>0</f>
        <v>0</v>
      </c>
      <c r="W63" s="415">
        <f>0</f>
        <v>0</v>
      </c>
      <c r="X63" s="415">
        <f>0</f>
        <v>0</v>
      </c>
      <c r="Y63" s="415">
        <f>0</f>
        <v>0</v>
      </c>
      <c r="Z63" s="415">
        <f>0</f>
        <v>0</v>
      </c>
      <c r="AA63" s="423">
        <f>N_BP/S_ENM</f>
        <v>0.08</v>
      </c>
      <c r="AC63" s="327">
        <f>E90*E63+F90*F63+G90*G63+H90*H63+I90*I63+J90*J63+K90*K63+L90*L63+M90*M63+N90*N63+O90*O63+P90*P63+Q90*Q63+R90*R63+S90*S63+T90*T63+U90*U63+V90*V63+W90*W63+X90*X63+Y90*Y63+Z90*Z63</f>
        <v>0</v>
      </c>
      <c r="AD63" s="327">
        <f>E91*E63+F91*F63+G91*G63+H91*H63+I91*I63+J91*J63+K91*K63+L91*L63+M91*M63+N91*N63+O91*O63+P91*P63+Q91*Q63+R91*R63+S91*S63+T91*T63+U91*U63+V91*V63+W91*W63+X91*X63+Y91*Y63+Z91*Z63</f>
        <v>0</v>
      </c>
      <c r="AE63" s="327">
        <f>E92*E63+F92*F63+G92*G63+H92*H63+I92*I63+J92*J63+K92*K63+L92*L63+M92*M63+N92*N63+O92*O63+P92*P63+Q92*Q63+R92*R63+S92*S63+T92*T63+U92*U63+V92*V63+W92*W63+X92*X63+Y92*Y63+Z92*Z63</f>
        <v>0</v>
      </c>
    </row>
    <row r="64" spans="2:31" x14ac:dyDescent="0.25">
      <c r="B64" s="137">
        <v>14</v>
      </c>
      <c r="C64" s="138" t="s">
        <v>307</v>
      </c>
      <c r="D64" s="138" t="s">
        <v>308</v>
      </c>
      <c r="E64" s="415">
        <f>0</f>
        <v>0</v>
      </c>
      <c r="F64" s="415">
        <f>0</f>
        <v>0</v>
      </c>
      <c r="G64" s="415">
        <f>0</f>
        <v>0</v>
      </c>
      <c r="H64" s="415">
        <f>0</f>
        <v>0</v>
      </c>
      <c r="I64" s="415">
        <f>0</f>
        <v>0</v>
      </c>
      <c r="J64" s="415">
        <f>0</f>
        <v>0</v>
      </c>
      <c r="K64" s="415">
        <f>0</f>
        <v>0</v>
      </c>
      <c r="L64" s="415">
        <f>0</f>
        <v>0</v>
      </c>
      <c r="M64" s="415">
        <f>0</f>
        <v>0</v>
      </c>
      <c r="N64" s="415">
        <f>0</f>
        <v>0</v>
      </c>
      <c r="O64" s="415">
        <f>0</f>
        <v>0</v>
      </c>
      <c r="P64" s="415">
        <f>0</f>
        <v>0</v>
      </c>
      <c r="Q64" s="415">
        <f>0</f>
        <v>0</v>
      </c>
      <c r="R64" s="415">
        <f>0</f>
        <v>0</v>
      </c>
      <c r="S64" s="415">
        <f>-1</f>
        <v>-1</v>
      </c>
      <c r="T64" s="415">
        <f>0</f>
        <v>0</v>
      </c>
      <c r="U64" s="415">
        <f>1</f>
        <v>1</v>
      </c>
      <c r="V64" s="415">
        <f>0</f>
        <v>0</v>
      </c>
      <c r="W64" s="415">
        <f>0</f>
        <v>0</v>
      </c>
      <c r="X64" s="415">
        <f>0</f>
        <v>0</v>
      </c>
      <c r="Y64" s="415">
        <f>0</f>
        <v>0</v>
      </c>
      <c r="Z64" s="415">
        <f>0</f>
        <v>0</v>
      </c>
      <c r="AA64" s="422">
        <f>K_R*N_BS*(Z_H+Z_P)</f>
        <v>32</v>
      </c>
      <c r="AC64" s="327">
        <f>E90*E64+F90*F64+G90*G64+H90*H64+I90*I64+J90*J64+K90*K64+L90*L64+M90*M64+N90*N64+O90*O64+P90*P64+Q90*Q64+R90*R64+S90*S64+T90*T64+U90*U64+V90*V64+W90*W64+X90*X64+Y90*Y64+Z90*Z64</f>
        <v>0</v>
      </c>
      <c r="AD64" s="327">
        <f>E91*E64+F91*F64+G91*G64+H91*H64+I91*I64+J91*J64+K91*K64+L91*L64+M91*M64+N91*N64+O91*O64+P91*P64+Q91*Q64+R91*R64+S91*S64+T91*T64+U91*U64+V91*V64+W91*W64+X91*X64+Y91*Y64+Z91*Z64</f>
        <v>0</v>
      </c>
      <c r="AE64" s="327">
        <f>E92*E64+F92*F64+G92*G64+H92*H64+I92*I64+J92*J64+K92*K64+L92*L64+M92*M64+N92*N64+O92*O64+P92*P64+Q92*Q64+R92*R64+S92*S64+T92*T64+U92*U64+V92*V64+W92*W64+X92*X64+Y92*Y64+Z92*Z64</f>
        <v>0</v>
      </c>
    </row>
    <row r="65" spans="2:31" x14ac:dyDescent="0.25">
      <c r="B65" s="137">
        <v>15</v>
      </c>
      <c r="C65" s="138" t="s">
        <v>310</v>
      </c>
      <c r="D65" s="138" t="s">
        <v>311</v>
      </c>
      <c r="E65" s="416">
        <f>Y_H_ANA</f>
        <v>0.1</v>
      </c>
      <c r="F65" s="415">
        <f>0</f>
        <v>0</v>
      </c>
      <c r="G65" s="415">
        <f>0</f>
        <v>0</v>
      </c>
      <c r="H65" s="415">
        <f>0</f>
        <v>0</v>
      </c>
      <c r="I65" s="415">
        <f>0</f>
        <v>0</v>
      </c>
      <c r="J65" s="415">
        <f>-1</f>
        <v>-1</v>
      </c>
      <c r="K65" s="415">
        <f>(1-Y_H_ANA)*Y_AC</f>
        <v>0.45</v>
      </c>
      <c r="L65" s="415">
        <f>0</f>
        <v>0</v>
      </c>
      <c r="M65" s="415">
        <f>0</f>
        <v>0</v>
      </c>
      <c r="N65" s="415">
        <f>0</f>
        <v>0</v>
      </c>
      <c r="O65" s="415">
        <f>0</f>
        <v>0</v>
      </c>
      <c r="P65" s="415">
        <f>0</f>
        <v>0</v>
      </c>
      <c r="Q65" s="415">
        <f>-f_P_ZH*Y_H_ANA</f>
        <v>-2.1000000000000003E-3</v>
      </c>
      <c r="R65" s="415">
        <f>0</f>
        <v>0</v>
      </c>
      <c r="S65" s="415">
        <f>0</f>
        <v>0</v>
      </c>
      <c r="T65" s="415">
        <f>0</f>
        <v>0</v>
      </c>
      <c r="U65" s="415">
        <f>-f_N_ZH*Y_H_ANA</f>
        <v>-7.000000000000001E-3</v>
      </c>
      <c r="V65" s="415">
        <f>0</f>
        <v>0</v>
      </c>
      <c r="W65" s="415">
        <f>0</f>
        <v>0</v>
      </c>
      <c r="X65" s="415">
        <f>0</f>
        <v>0</v>
      </c>
      <c r="Y65" s="415">
        <f>(1-(1-Y_H_ANA)*Y_AC-Y_H_ANA)/i_COD_H2</f>
        <v>5.6250000000000008E-2</v>
      </c>
      <c r="Z65" s="415">
        <f>0</f>
        <v>0</v>
      </c>
      <c r="AA65" s="422">
        <f>K_C*M_satSBSC_KS_ANA*M_satNH3_KNA*M_satPO4_KLP_GRO*M_inhSO_KO_HET*M_inhNO3_KNO*Z_H</f>
        <v>9.388617628239726E-3</v>
      </c>
      <c r="AC65" s="327">
        <f>E90*E65+F90*F65+G90*G65+H90*H65+I90*I65+J90*J65+K90*K65+L90*L65+M90*M65+N90*N65+O90*O65+P90*P65+Q90*Q65+R90*R65+S90*S65+T90*T65+U90*U65+V90*V65+W90*W65+X90*X65+Y90*Y65+Z90*Z65</f>
        <v>5.5511151231257827E-17</v>
      </c>
      <c r="AD65" s="327">
        <f>E91*E65+F91*F65+G91*G65+H91*H65+I91*I65+J91*J65+K91*K65+L91*L65+M91*M65+N91*N65+O91*O65+P91*P65+Q91*Q65+R91*R65+S91*S65+T91*T65+U91*U65+V91*V65+W91*W65+X91*X65+Y91*Y65+Z91*Z65</f>
        <v>0</v>
      </c>
      <c r="AE65" s="327">
        <f>E92*E65+F92*F65+G92*G65+H92*H65+I92*I65+J92*J65+K92*K65+L92*L65+M92*M65+N92*N65+O92*O65+P92*P65+Q92*Q65+R92*R65+S92*S65+T92*T65+U92*U65+V92*V65+W92*W65+X92*X65+Y92*Y65+Z92*Z65</f>
        <v>0</v>
      </c>
    </row>
    <row r="66" spans="2:31" x14ac:dyDescent="0.25">
      <c r="B66" s="137">
        <v>16</v>
      </c>
      <c r="C66" s="138" t="s">
        <v>316</v>
      </c>
      <c r="D66" s="138" t="s">
        <v>317</v>
      </c>
      <c r="E66" s="415">
        <f>0</f>
        <v>0</v>
      </c>
      <c r="F66" s="415">
        <f>1</f>
        <v>1</v>
      </c>
      <c r="G66" s="415">
        <f>0</f>
        <v>0</v>
      </c>
      <c r="H66" s="415">
        <f>0</f>
        <v>0</v>
      </c>
      <c r="I66" s="415">
        <f>0</f>
        <v>0</v>
      </c>
      <c r="J66" s="415">
        <f>0</f>
        <v>0</v>
      </c>
      <c r="K66" s="415">
        <f>0</f>
        <v>0</v>
      </c>
      <c r="L66" s="415">
        <f>0</f>
        <v>0</v>
      </c>
      <c r="M66" s="415">
        <f>0</f>
        <v>0</v>
      </c>
      <c r="N66" s="415">
        <f>0</f>
        <v>0</v>
      </c>
      <c r="O66" s="415">
        <f>0</f>
        <v>0</v>
      </c>
      <c r="P66" s="415">
        <f>0</f>
        <v>0</v>
      </c>
      <c r="Q66" s="415">
        <f>-f_P_ZA</f>
        <v>-2.1000000000000001E-2</v>
      </c>
      <c r="R66" s="415">
        <f>0</f>
        <v>0</v>
      </c>
      <c r="S66" s="415">
        <f>0</f>
        <v>0</v>
      </c>
      <c r="T66" s="415">
        <f>1/Y_A</f>
        <v>6.666666666666667</v>
      </c>
      <c r="U66" s="415">
        <f>-f_N_ZA-1/Y_A</f>
        <v>-6.7366666666666672</v>
      </c>
      <c r="V66" s="415">
        <f>0</f>
        <v>0</v>
      </c>
      <c r="W66" s="418">
        <f>-(-i_COD_NO3-Y_A)/Y_A</f>
        <v>-29.476190476190474</v>
      </c>
      <c r="X66" s="415">
        <f>0</f>
        <v>0</v>
      </c>
      <c r="Y66" s="415">
        <f>0</f>
        <v>0</v>
      </c>
      <c r="Z66" s="415">
        <f>0</f>
        <v>0</v>
      </c>
      <c r="AA66" s="422">
        <f>μ_A*M_satSO_KO_AUT*M_satNH3_KNH*M_satPO4_KLP_GRO*Z_A</f>
        <v>5.9701492537313454</v>
      </c>
      <c r="AC66" s="327">
        <f>E90*E66+F90*F66+G90*G66+H90*H66+I90*I66+J90*J66+K90*K66+L90*L66+M90*M66+N90*N66+O90*O66+P90*P66+Q90*Q66+R90*R66+S90*S66+T90*T66+U90*U66+V90*V66+W90*W66+X90*X66+Y90*Y66+Z90*Z66</f>
        <v>0</v>
      </c>
      <c r="AD66" s="327">
        <f>E91*E66+F91*F66+G91*G66+H91*H66+I91*I66+J91*J66+K91*K66+L91*L66+M91*M66+N91*N66+O91*O66+P91*P66+Q91*Q66+R91*R66+S91*S66+T91*T66+U91*U66+V91*V66+W91*W66+X91*X66+Y91*Y66+Z91*Z66</f>
        <v>0</v>
      </c>
      <c r="AE66" s="327">
        <f>E92*E66+F92*F66+G92*G66+H92*H66+I92*I66+J92*J66+K92*K66+L92*L66+M92*M66+N92*N66+O92*O66+P92*P66+Q92*Q66+R92*R66+S92*S66+T92*T66+U92*U66+V92*V66+W92*W66+X92*X66+Y92*Y66+Z92*Z66</f>
        <v>0</v>
      </c>
    </row>
    <row r="67" spans="2:31" x14ac:dyDescent="0.25">
      <c r="B67" s="137">
        <v>17</v>
      </c>
      <c r="C67" s="138" t="s">
        <v>322</v>
      </c>
      <c r="D67" s="138" t="s">
        <v>323</v>
      </c>
      <c r="E67" s="415">
        <f>0</f>
        <v>0</v>
      </c>
      <c r="F67" s="415">
        <f>-1</f>
        <v>-1</v>
      </c>
      <c r="G67" s="415">
        <f>0</f>
        <v>0</v>
      </c>
      <c r="H67" s="416">
        <f>f_EP_A</f>
        <v>0.08</v>
      </c>
      <c r="I67" s="415">
        <f>1-f_EP_A</f>
        <v>0.92</v>
      </c>
      <c r="J67" s="415">
        <f>0</f>
        <v>0</v>
      </c>
      <c r="K67" s="415">
        <f>0</f>
        <v>0</v>
      </c>
      <c r="L67" s="415">
        <f>0</f>
        <v>0</v>
      </c>
      <c r="M67" s="415">
        <f>0</f>
        <v>0</v>
      </c>
      <c r="N67" s="415">
        <f>0</f>
        <v>0</v>
      </c>
      <c r="O67" s="415">
        <f>0</f>
        <v>0</v>
      </c>
      <c r="P67" s="415">
        <f>0</f>
        <v>0</v>
      </c>
      <c r="Q67" s="416">
        <f>f_P_ZA-f_EP_A*f_P_ZEA</f>
        <v>1.932E-2</v>
      </c>
      <c r="R67" s="416">
        <f>f_N_ZA-f_EP_A*f_N_ZEA</f>
        <v>6.4400000000000013E-2</v>
      </c>
      <c r="S67" s="415">
        <f>0</f>
        <v>0</v>
      </c>
      <c r="T67" s="415">
        <f>0</f>
        <v>0</v>
      </c>
      <c r="U67" s="415">
        <f>0</f>
        <v>0</v>
      </c>
      <c r="V67" s="415">
        <f>0</f>
        <v>0</v>
      </c>
      <c r="W67" s="415">
        <f>0</f>
        <v>0</v>
      </c>
      <c r="X67" s="415">
        <f>0</f>
        <v>0</v>
      </c>
      <c r="Y67" s="415">
        <f>0</f>
        <v>0</v>
      </c>
      <c r="Z67" s="415">
        <f>0</f>
        <v>0</v>
      </c>
      <c r="AA67" s="422">
        <f>b_A*Z_A</f>
        <v>2</v>
      </c>
      <c r="AC67" s="327">
        <f>E90*E67+F90*F67+G90*G67+H90*H67+I90*I67+J90*J67+K90*K67+L90*L67+M90*M67+N90*N67+O90*O67+P90*P67+Q90*Q67+R90*R67+S90*S67+T90*T67+U90*U67+V90*V67+W90*W67+X90*X67+Y90*Y67+Z90*Z67</f>
        <v>0</v>
      </c>
      <c r="AD67" s="327">
        <f>E91*E67+F91*F67+G91*G67+H91*H67+I91*I67+J91*J67+K91*K67+L91*L67+M91*M67+N91*N67+O91*O67+P91*P67+Q91*Q67+R91*R67+S91*S67+T91*T67+U91*U67+V91*V67+W91*W67+X91*X67+Y91*Y67+Z91*Z67</f>
        <v>0</v>
      </c>
      <c r="AE67" s="327">
        <f>E92*E67+F92*F67+G92*G67+H92*H67+I92*I67+J92*J67+K92*K67+L92*L67+M92*M67+N92*N67+O92*O67+P92*P67+Q92*Q67+R92*R67+S92*S67+T92*T67+U92*U67+V92*V67+W92*W67+X92*X67+Y92*Y67+Z92*Z67</f>
        <v>0</v>
      </c>
    </row>
    <row r="68" spans="2:31" x14ac:dyDescent="0.25">
      <c r="B68" s="137">
        <v>18</v>
      </c>
      <c r="C68" s="138" t="s">
        <v>328</v>
      </c>
      <c r="D68" s="138" t="s">
        <v>329</v>
      </c>
      <c r="E68" s="415">
        <f>0</f>
        <v>0</v>
      </c>
      <c r="F68" s="415">
        <f>0</f>
        <v>0</v>
      </c>
      <c r="G68" s="415">
        <f>1</f>
        <v>1</v>
      </c>
      <c r="H68" s="415">
        <f>0</f>
        <v>0</v>
      </c>
      <c r="I68" s="415">
        <f>0</f>
        <v>0</v>
      </c>
      <c r="J68" s="415">
        <f>0</f>
        <v>0</v>
      </c>
      <c r="K68" s="415">
        <f>0</f>
        <v>0</v>
      </c>
      <c r="L68" s="415">
        <f>-1/Y_P</f>
        <v>-1.5649452269170578</v>
      </c>
      <c r="M68" s="415">
        <f>0</f>
        <v>0</v>
      </c>
      <c r="N68" s="415">
        <f>0</f>
        <v>0</v>
      </c>
      <c r="O68" s="416">
        <f>f_PP*f_P_UPT1/Y_P</f>
        <v>1.3974960876369324</v>
      </c>
      <c r="P68" s="415">
        <f>(1-f_PP)*f_P_UPT1/Y_P</f>
        <v>8.9201877934272381E-2</v>
      </c>
      <c r="Q68" s="415">
        <f>-f_P_UPT1/Y_P-f_P_ZP</f>
        <v>-1.5076979655712048</v>
      </c>
      <c r="R68" s="415">
        <f>0</f>
        <v>0</v>
      </c>
      <c r="S68" s="415">
        <f>0</f>
        <v>0</v>
      </c>
      <c r="T68" s="415">
        <f>0</f>
        <v>0</v>
      </c>
      <c r="U68" s="415">
        <f>-f_N_ZP</f>
        <v>-7.0000000000000007E-2</v>
      </c>
      <c r="V68" s="415">
        <f>0</f>
        <v>0</v>
      </c>
      <c r="W68" s="415">
        <f>-(1-Y_P)/Y_P</f>
        <v>-0.56494522691705784</v>
      </c>
      <c r="X68" s="415">
        <f>0</f>
        <v>0</v>
      </c>
      <c r="Y68" s="415">
        <f>0</f>
        <v>0</v>
      </c>
      <c r="Z68" s="415">
        <f>0</f>
        <v>0</v>
      </c>
      <c r="AA68" s="422">
        <f>µ_P1*M_RsatSPHB_ZP_KSP1*M_satSO_KO_HET*M_satNH3_KNA*M_satPO4_KLP_UPT*Z_P</f>
        <v>197.7332513395597</v>
      </c>
      <c r="AC68" s="327">
        <f>E90*E68+F90*F68+G90*G68+H90*H68+I90*I68+J90*J68+K90*K68+L90*L68+M90*M68+N90*N68+O90*O68+P90*P68+Q90*Q68+R90*R68+S90*S68+T90*T68+U90*U68+V90*V68+W90*W68+X90*X68+Y90*Y68+Z90*Z68</f>
        <v>0</v>
      </c>
      <c r="AD68" s="327">
        <f>E91*E68+F91*F68+G91*G68+H91*H68+I91*I68+J91*J68+K91*K68+L91*L68+M91*M68+N91*N68+O91*O68+P91*P68+Q91*Q68+R91*R68+S91*S68+T91*T68+U91*U68+V91*V68+W91*W68+X91*X68+Y91*Y68+Z91*Z68</f>
        <v>0</v>
      </c>
      <c r="AE68" s="327">
        <f>E92*E68+F92*F68+G92*G68+H92*H68+I92*I68+J92*J68+K92*K68+L92*L68+M92*M68+N92*N68+O92*O68+P92*P68+Q92*Q68+R92*R68+S92*S68+T92*T68+U92*U68+V92*V68+W92*W68+X92*X68+Y92*Y68+Z92*Z68</f>
        <v>0</v>
      </c>
    </row>
    <row r="69" spans="2:31" x14ac:dyDescent="0.25">
      <c r="B69" s="137">
        <v>19</v>
      </c>
      <c r="C69" s="138" t="s">
        <v>336</v>
      </c>
      <c r="D69" s="138" t="s">
        <v>337</v>
      </c>
      <c r="E69" s="415">
        <f>0</f>
        <v>0</v>
      </c>
      <c r="F69" s="415">
        <f>0</f>
        <v>0</v>
      </c>
      <c r="G69" s="415">
        <f>1</f>
        <v>1</v>
      </c>
      <c r="H69" s="415">
        <f>0</f>
        <v>0</v>
      </c>
      <c r="I69" s="415">
        <f>0</f>
        <v>0</v>
      </c>
      <c r="J69" s="415">
        <f>0</f>
        <v>0</v>
      </c>
      <c r="K69" s="415">
        <f>0</f>
        <v>0</v>
      </c>
      <c r="L69" s="415">
        <f>-1/Y_P</f>
        <v>-1.5649452269170578</v>
      </c>
      <c r="M69" s="415">
        <f>0</f>
        <v>0</v>
      </c>
      <c r="N69" s="415">
        <f>0</f>
        <v>0</v>
      </c>
      <c r="O69" s="416">
        <f>f_PP*f_P_UPT1/Y_P</f>
        <v>1.3974960876369324</v>
      </c>
      <c r="P69" s="415">
        <f>(1-f_PP)*f_P_UPT1/Y_P</f>
        <v>8.9201877934272381E-2</v>
      </c>
      <c r="Q69" s="415">
        <f>-f_P_UPT1/Y_P-f_P_ZP</f>
        <v>-1.5076979655712048</v>
      </c>
      <c r="R69" s="415">
        <f>0</f>
        <v>0</v>
      </c>
      <c r="S69" s="415">
        <f>0</f>
        <v>0</v>
      </c>
      <c r="T69" s="415">
        <f>-f_N_ZP</f>
        <v>-7.0000000000000007E-2</v>
      </c>
      <c r="U69" s="415">
        <f>0</f>
        <v>0</v>
      </c>
      <c r="V69" s="415">
        <f>0</f>
        <v>0</v>
      </c>
      <c r="W69" s="418">
        <f>-(1-Y_P)/Y_P-i_COD_NO3*f_N_ZP</f>
        <v>-0.24494522691705783</v>
      </c>
      <c r="X69" s="415">
        <f>0</f>
        <v>0</v>
      </c>
      <c r="Y69" s="415">
        <f>0</f>
        <v>0</v>
      </c>
      <c r="Z69" s="415">
        <f>0</f>
        <v>0</v>
      </c>
      <c r="AA69" s="422">
        <f>µ_P1*M_RsatSPHB_ZP_KSP1*M_satSO_KO_HET*M_satNO3_KNO*M_inhNH3_KNA*M_satPO4_KLP_UPT*Z_P</f>
        <v>0.32737293268139023</v>
      </c>
      <c r="AC69" s="327">
        <f>E90*E69+F90*F69+G90*G69+H90*H69+I90*I69+J90*J69+K90*K69+L90*L69+M90*M69+N90*N69+O90*O69+P90*P69+Q90*Q69+R90*R69+S90*S69+T90*T69+U90*U69+V90*V69+W90*W69+X90*X69+Y90*Y69+Z90*Z69</f>
        <v>0</v>
      </c>
      <c r="AD69" s="327">
        <f>E91*E69+F91*F69+G91*G69+H91*H69+I91*I69+J91*J69+K91*K69+L91*L69+M91*M69+N91*N69+O91*O69+P91*P69+Q91*Q69+R91*R69+S91*S69+T91*T69+U91*U69+V91*V69+W91*W69+X91*X69+Y91*Y69+Z91*Z69</f>
        <v>0</v>
      </c>
      <c r="AE69" s="327">
        <f>E92*E69+F92*F69+G92*G69+H92*H69+I92*I69+J92*J69+K92*K69+L92*L69+M92*M69+N92*N69+O92*O69+P92*P69+Q92*Q69+R92*R69+S92*S69+T92*T69+U92*U69+V92*V69+W92*W69+X92*X69+Y92*Y69+Z92*Z69</f>
        <v>0</v>
      </c>
    </row>
    <row r="70" spans="2:31" x14ac:dyDescent="0.25">
      <c r="B70" s="137">
        <v>20</v>
      </c>
      <c r="C70" s="138" t="s">
        <v>339</v>
      </c>
      <c r="D70" s="138" t="s">
        <v>340</v>
      </c>
      <c r="E70" s="415">
        <f>0</f>
        <v>0</v>
      </c>
      <c r="F70" s="415">
        <f>0</f>
        <v>0</v>
      </c>
      <c r="G70" s="415">
        <f>1</f>
        <v>1</v>
      </c>
      <c r="H70" s="415">
        <f>0</f>
        <v>0</v>
      </c>
      <c r="I70" s="415">
        <f>0</f>
        <v>0</v>
      </c>
      <c r="J70" s="415">
        <f>0</f>
        <v>0</v>
      </c>
      <c r="K70" s="415">
        <f>0</f>
        <v>0</v>
      </c>
      <c r="L70" s="415">
        <f>-1/Y_P</f>
        <v>-1.5649452269170578</v>
      </c>
      <c r="M70" s="415">
        <f>0</f>
        <v>0</v>
      </c>
      <c r="N70" s="415">
        <f>0</f>
        <v>0</v>
      </c>
      <c r="O70" s="420">
        <f>-f_P_ZP</f>
        <v>-2.1000000000000001E-2</v>
      </c>
      <c r="P70" s="415">
        <f>0</f>
        <v>0</v>
      </c>
      <c r="Q70" s="415">
        <f>0</f>
        <v>0</v>
      </c>
      <c r="R70" s="415">
        <f>0</f>
        <v>0</v>
      </c>
      <c r="S70" s="415">
        <f>0</f>
        <v>0</v>
      </c>
      <c r="T70" s="415">
        <f>0</f>
        <v>0</v>
      </c>
      <c r="U70" s="415">
        <f>-f_N_ZP</f>
        <v>-7.0000000000000007E-2</v>
      </c>
      <c r="V70" s="415">
        <f>0</f>
        <v>0</v>
      </c>
      <c r="W70" s="415">
        <f>-(1-Y_P)/Y_P</f>
        <v>-0.56494522691705784</v>
      </c>
      <c r="X70" s="415">
        <f>0</f>
        <v>0</v>
      </c>
      <c r="Y70" s="415">
        <f>0</f>
        <v>0</v>
      </c>
      <c r="Z70" s="415">
        <f>0</f>
        <v>0</v>
      </c>
      <c r="AA70" s="422">
        <f>µ_P2*M_RsatSPHB_ZP_KSP2*M_satSO_KO_HET*M_satNH3_KNA*M_inhPO4_KLP_UPT*Z_P</f>
        <v>23.379476229377563</v>
      </c>
      <c r="AC70" s="327">
        <f>E90*E70+F90*F70+G90*G70+H90*H70+I90*I70+J90*J70+K90*K70+L90*L70+M90*M70+N90*N70+O90*O70+P90*P70+Q90*Q70+R90*R70+S90*S70+T90*T70+U90*U70+V90*V70+W90*W70+X90*X70+Y90*Y70+Z90*Z70</f>
        <v>0</v>
      </c>
      <c r="AD70" s="327">
        <f>E91*E70+F91*F70+G91*G70+H91*H70+I91*I70+J91*J70+K91*K70+L91*L70+M91*M70+N91*N70+O91*O70+P91*P70+Q91*Q70+R91*R70+S91*S70+T91*T70+U91*U70+V91*V70+W91*W70+X91*X70+Y91*Y70+Z91*Z70</f>
        <v>0</v>
      </c>
      <c r="AE70" s="327">
        <f>E92*E70+F92*F70+G92*G70+H92*H70+I92*I70+J92*J70+K92*K70+L92*L70+M92*M70+N92*N70+O92*O70+P92*P70+Q92*Q70+R92*R70+S92*S70+T92*T70+U92*U70+V92*V70+W92*W70+X92*X70+Y92*Y70+Z92*Z70</f>
        <v>0</v>
      </c>
    </row>
    <row r="71" spans="2:31" x14ac:dyDescent="0.25">
      <c r="B71" s="137">
        <v>21</v>
      </c>
      <c r="C71" s="138" t="s">
        <v>342</v>
      </c>
      <c r="D71" s="138" t="s">
        <v>343</v>
      </c>
      <c r="E71" s="415">
        <f>0</f>
        <v>0</v>
      </c>
      <c r="F71" s="415">
        <f>0</f>
        <v>0</v>
      </c>
      <c r="G71" s="415">
        <f>1</f>
        <v>1</v>
      </c>
      <c r="H71" s="415">
        <f>0</f>
        <v>0</v>
      </c>
      <c r="I71" s="415">
        <f>0</f>
        <v>0</v>
      </c>
      <c r="J71" s="415">
        <f>0</f>
        <v>0</v>
      </c>
      <c r="K71" s="415">
        <f>0</f>
        <v>0</v>
      </c>
      <c r="L71" s="415">
        <f>-1/Y_P</f>
        <v>-1.5649452269170578</v>
      </c>
      <c r="M71" s="415">
        <f>0</f>
        <v>0</v>
      </c>
      <c r="N71" s="415">
        <f>0</f>
        <v>0</v>
      </c>
      <c r="O71" s="420">
        <f>-f_P_ZP</f>
        <v>-2.1000000000000001E-2</v>
      </c>
      <c r="P71" s="415">
        <f>0</f>
        <v>0</v>
      </c>
      <c r="Q71" s="415">
        <f>0</f>
        <v>0</v>
      </c>
      <c r="R71" s="415">
        <f>0</f>
        <v>0</v>
      </c>
      <c r="S71" s="415">
        <f>0</f>
        <v>0</v>
      </c>
      <c r="T71" s="415">
        <f>-f_N_ZP</f>
        <v>-7.0000000000000007E-2</v>
      </c>
      <c r="U71" s="415">
        <f>0</f>
        <v>0</v>
      </c>
      <c r="V71" s="415">
        <f>0</f>
        <v>0</v>
      </c>
      <c r="W71" s="418">
        <f>-(1-Y_P)/Y_P-i_COD_NO3*f_N_ZP</f>
        <v>-0.24494522691705783</v>
      </c>
      <c r="X71" s="415">
        <f>0</f>
        <v>0</v>
      </c>
      <c r="Y71" s="415">
        <f>0</f>
        <v>0</v>
      </c>
      <c r="Z71" s="415">
        <f>0</f>
        <v>0</v>
      </c>
      <c r="AA71" s="422">
        <f>µ_P2*M_RsatSPHB_ZP_KSP2*M_satSO_KO_HET*M_satNO3_KNO*M_inhNH3_KNA*M_inhPO4_KLP_UPT*Z_P</f>
        <v>3.8707742101618481E-2</v>
      </c>
      <c r="AC71" s="327">
        <f>E90*E71+F90*F71+G90*G71+H90*H71+I90*I71+J90*J71+K90*K71+L90*L71+M90*M71+N90*N71+O90*O71+P90*P71+Q90*Q71+R90*R71+S90*S71+T90*T71+U90*U71+V90*V71+W90*W71+X90*X71+Y90*Y71+Z90*Z71</f>
        <v>0</v>
      </c>
      <c r="AD71" s="327">
        <f>E91*E71+F91*F71+G91*G71+H91*H71+I91*I71+J91*J71+K91*K71+L91*L71+M91*M71+N91*N71+O91*O71+P91*P71+Q91*Q71+R91*R71+S91*S71+T91*T71+U91*U71+V91*V71+W91*W71+X91*X71+Y91*Y71+Z91*Z71</f>
        <v>0</v>
      </c>
      <c r="AE71" s="327">
        <f>E92*E71+F92*F71+G92*G71+H92*H71+I92*I71+J92*J71+K92*K71+L92*L71+M92*M71+N92*N71+O92*O71+P92*P71+Q92*Q71+R92*R71+S92*S71+T92*T71+U92*U71+V92*V71+W92*W71+X92*X71+Y92*Y71+Z92*Z71</f>
        <v>0</v>
      </c>
    </row>
    <row r="72" spans="2:31" x14ac:dyDescent="0.25">
      <c r="B72" s="137">
        <v>22</v>
      </c>
      <c r="C72" s="138" t="s">
        <v>344</v>
      </c>
      <c r="D72" s="138" t="s">
        <v>345</v>
      </c>
      <c r="E72" s="415">
        <f>0</f>
        <v>0</v>
      </c>
      <c r="F72" s="415">
        <f>0</f>
        <v>0</v>
      </c>
      <c r="G72" s="415">
        <f>1</f>
        <v>1</v>
      </c>
      <c r="H72" s="415">
        <f>0</f>
        <v>0</v>
      </c>
      <c r="I72" s="415">
        <f>0</f>
        <v>0</v>
      </c>
      <c r="J72" s="415">
        <f>0</f>
        <v>0</v>
      </c>
      <c r="K72" s="415">
        <f>0</f>
        <v>0</v>
      </c>
      <c r="L72" s="415">
        <f>-1/Y_P</f>
        <v>-1.5649452269170578</v>
      </c>
      <c r="M72" s="415">
        <f>0</f>
        <v>0</v>
      </c>
      <c r="N72" s="415">
        <f>0</f>
        <v>0</v>
      </c>
      <c r="O72" s="416">
        <f>f_PP*f_P_UPT2/Y_P</f>
        <v>0.80907668231611896</v>
      </c>
      <c r="P72" s="415">
        <f>(1-f_PP)*f_P_UPT2/Y_P</f>
        <v>5.1643192488262955E-2</v>
      </c>
      <c r="Q72" s="415">
        <f>-f_P_UPT2/Y_P-f_P_ZP</f>
        <v>-0.88171987480438196</v>
      </c>
      <c r="R72" s="415">
        <f>0</f>
        <v>0</v>
      </c>
      <c r="S72" s="415">
        <f>0</f>
        <v>0</v>
      </c>
      <c r="T72" s="418">
        <f>-(1-Y_P)/(i_NO3_N2*Y_P)</f>
        <v>-0.19773082942097026</v>
      </c>
      <c r="U72" s="415">
        <f>-f_N_ZP</f>
        <v>-7.0000000000000007E-2</v>
      </c>
      <c r="V72" s="415">
        <f>0</f>
        <v>0</v>
      </c>
      <c r="W72" s="415">
        <f>0</f>
        <v>0</v>
      </c>
      <c r="X72" s="415">
        <f>(1-Y_P)/(i_NO3_N2*Y_P)</f>
        <v>0.19773082942097026</v>
      </c>
      <c r="Y72" s="415">
        <f>0</f>
        <v>0</v>
      </c>
      <c r="Z72" s="415">
        <f>0</f>
        <v>0</v>
      </c>
      <c r="AA72" s="422">
        <f>η_p*µ_P1*M_RsatSPHB_ZP_KSP1*M_inhSO_KO_HET*M_satNO3_KNO*M_satNH3_KNA*M_satPO4_KLP_UPT*Z_P</f>
        <v>7.8569503843533658E-2</v>
      </c>
      <c r="AC72" s="327">
        <f>E90*E72+F90*F72+G90*G72+H90*H72+I90*I72+J90*J72+K90*K72+L90*L72+M90*M72+N90*N72+O90*O72+P90*P72+Q90*Q72+R90*R72+S90*S72+T90*T72+U90*U72+V90*V72+W90*W72+X90*X72+Y90*Y72+Z90*Z72</f>
        <v>-5.5511151231257827E-17</v>
      </c>
      <c r="AD72" s="327">
        <f>E91*E72+F91*F72+G91*G72+H91*H72+I91*I72+J91*J72+K91*K72+L91*L72+M91*M72+N91*N72+O91*O72+P91*P72+Q91*Q72+R91*R72+S91*S72+T91*T72+U91*U72+V91*V72+W91*W72+X91*X72+Y91*Y72+Z91*Z72</f>
        <v>0</v>
      </c>
      <c r="AE72" s="327">
        <f>E92*E72+F92*F72+G92*G72+H92*H72+I92*I72+J92*J72+K92*K72+L92*L72+M92*M72+N92*N72+O92*O72+P92*P72+Q92*Q72+R92*R72+S92*S72+T92*T72+U92*U72+V92*V72+W92*W72+X92*X72+Y92*Y72+Z92*Z72</f>
        <v>0</v>
      </c>
    </row>
    <row r="73" spans="2:31" x14ac:dyDescent="0.25">
      <c r="B73" s="137">
        <v>23</v>
      </c>
      <c r="C73" s="138" t="s">
        <v>351</v>
      </c>
      <c r="D73" s="138" t="s">
        <v>352</v>
      </c>
      <c r="E73" s="415">
        <f>0</f>
        <v>0</v>
      </c>
      <c r="F73" s="415">
        <f>0</f>
        <v>0</v>
      </c>
      <c r="G73" s="415">
        <f>-1</f>
        <v>-1</v>
      </c>
      <c r="H73" s="416">
        <f>f_EP_P</f>
        <v>0.25</v>
      </c>
      <c r="I73" s="415">
        <f>0</f>
        <v>0</v>
      </c>
      <c r="J73" s="415">
        <f>0</f>
        <v>0</v>
      </c>
      <c r="K73" s="415">
        <f>0</f>
        <v>0</v>
      </c>
      <c r="L73" s="415">
        <f>0</f>
        <v>0</v>
      </c>
      <c r="M73" s="415">
        <f>0</f>
        <v>0</v>
      </c>
      <c r="N73" s="416">
        <f>f_ES_P</f>
        <v>0.2</v>
      </c>
      <c r="O73" s="415">
        <f>0</f>
        <v>0</v>
      </c>
      <c r="P73" s="415">
        <f>0</f>
        <v>0</v>
      </c>
      <c r="Q73" s="416">
        <f>f_P_ZP-f_EP_P*f_P_ZEP</f>
        <v>1.575E-2</v>
      </c>
      <c r="R73" s="415">
        <f>0</f>
        <v>0</v>
      </c>
      <c r="S73" s="416">
        <f>f_ES_P*f_N_SEP</f>
        <v>1.4000000000000002E-2</v>
      </c>
      <c r="T73" s="415">
        <f>0</f>
        <v>0</v>
      </c>
      <c r="U73" s="416">
        <f>f_N_ZP-f_EP_P*f_N_ZEP-f_ES_P*f_N_SEP</f>
        <v>3.8500000000000006E-2</v>
      </c>
      <c r="V73" s="415">
        <f>0</f>
        <v>0</v>
      </c>
      <c r="W73" s="415">
        <f>-(1-f_EP_P-f_ES_P)</f>
        <v>-0.55000000000000004</v>
      </c>
      <c r="X73" s="415">
        <f>0</f>
        <v>0</v>
      </c>
      <c r="Y73" s="415">
        <f>0</f>
        <v>0</v>
      </c>
      <c r="Z73" s="415">
        <f>0</f>
        <v>0</v>
      </c>
      <c r="AA73" s="422">
        <f>b_P*M_satSO_KO_HET*Z_P</f>
        <v>11.988011988011991</v>
      </c>
      <c r="AC73" s="327">
        <f>E90*E73+F90*F73+G90*G73+H90*H73+I90*I73+J90*J73+K90*K73+L90*L73+M90*M73+N90*N73+O90*O73+P90*P73+Q90*Q73+R90*R73+S90*S73+T90*T73+U90*U73+V90*V73+W90*W73+X90*X73+Y90*Y73+Z90*Z73</f>
        <v>0</v>
      </c>
      <c r="AD73" s="327">
        <f>E91*E73+F91*F73+G91*G73+H91*H73+I91*I73+J91*J73+K91*K73+L91*L73+M91*M73+N91*N73+O91*O73+P91*P73+Q91*Q73+R91*R73+S91*S73+T91*T73+U91*U73+V91*V73+W91*W73+X91*X73+Y91*Y73+Z91*Z73</f>
        <v>0</v>
      </c>
      <c r="AE73" s="327">
        <f>E92*E73+F92*F73+G92*G73+H92*H73+I92*I73+J92*J73+K92*K73+L92*L73+M92*M73+N92*N73+O92*O73+P92*P73+Q92*Q73+R92*R73+S92*S73+T92*T73+U92*U73+V92*V73+W92*W73+X92*X73+Y92*Y73+Z92*Z73</f>
        <v>0</v>
      </c>
    </row>
    <row r="74" spans="2:31" x14ac:dyDescent="0.25">
      <c r="B74" s="137">
        <v>24</v>
      </c>
      <c r="C74" s="138" t="s">
        <v>357</v>
      </c>
      <c r="D74" s="138" t="s">
        <v>358</v>
      </c>
      <c r="E74" s="415">
        <f>0</f>
        <v>0</v>
      </c>
      <c r="F74" s="415">
        <f>0</f>
        <v>0</v>
      </c>
      <c r="G74" s="415">
        <f>0</f>
        <v>0</v>
      </c>
      <c r="H74" s="415">
        <f>0</f>
        <v>0</v>
      </c>
      <c r="I74" s="415">
        <f>0</f>
        <v>0</v>
      </c>
      <c r="J74" s="415">
        <f>0</f>
        <v>0</v>
      </c>
      <c r="K74" s="415">
        <f>0</f>
        <v>0</v>
      </c>
      <c r="L74" s="415">
        <f>0</f>
        <v>0</v>
      </c>
      <c r="M74" s="415">
        <f>0</f>
        <v>0</v>
      </c>
      <c r="N74" s="415">
        <f>0</f>
        <v>0</v>
      </c>
      <c r="O74" s="415">
        <f>-1</f>
        <v>-1</v>
      </c>
      <c r="P74" s="415">
        <f>0</f>
        <v>0</v>
      </c>
      <c r="Q74" s="415">
        <f>1</f>
        <v>1</v>
      </c>
      <c r="R74" s="415">
        <f>0</f>
        <v>0</v>
      </c>
      <c r="S74" s="415">
        <f>0</f>
        <v>0</v>
      </c>
      <c r="T74" s="415">
        <f>0</f>
        <v>0</v>
      </c>
      <c r="U74" s="415">
        <f>0</f>
        <v>0</v>
      </c>
      <c r="V74" s="415">
        <f>0</f>
        <v>0</v>
      </c>
      <c r="W74" s="415">
        <f>0</f>
        <v>0</v>
      </c>
      <c r="X74" s="415">
        <f>0</f>
        <v>0</v>
      </c>
      <c r="Y74" s="415">
        <f>0</f>
        <v>0</v>
      </c>
      <c r="Z74" s="415">
        <f>0</f>
        <v>0</v>
      </c>
      <c r="AA74" s="422">
        <f>b_P*M_satSO_KO_HET*(P_PP_LO/Z_P)*Z_P</f>
        <v>7.9920079920079932</v>
      </c>
      <c r="AC74" s="327">
        <f>E90*E74+F90*F74+G90*G74+H90*H74+I90*I74+J90*J74+K90*K74+L90*L74+M90*M74+N90*N74+O90*O74+P90*P74+Q90*Q74+R90*R74+S90*S74+T90*T74+U90*U74+V90*V74+W90*W74+X90*X74+Y90*Y74+Z90*Z74</f>
        <v>0</v>
      </c>
      <c r="AD74" s="327">
        <f>E91*E74+F91*F74+G91*G74+H91*H74+I91*I74+J91*J74+K91*K74+L91*L74+M91*M74+N91*N74+O91*O74+P91*P74+Q91*Q74+R91*R74+S91*S74+T91*T74+U91*U74+V91*V74+W91*W74+X91*X74+Y91*Y74+Z91*Z74</f>
        <v>0</v>
      </c>
      <c r="AE74" s="327">
        <f>E92*E74+F92*F74+G92*G74+H92*H74+I92*I74+J92*J74+K92*K74+L92*L74+M92*M74+N92*N74+O92*O74+P92*P74+Q92*Q74+R92*R74+S92*S74+T92*T74+U92*U74+V92*V74+W92*W74+X92*X74+Y92*Y74+Z92*Z74</f>
        <v>0</v>
      </c>
    </row>
    <row r="75" spans="2:31" x14ac:dyDescent="0.25">
      <c r="B75" s="137">
        <v>25</v>
      </c>
      <c r="C75" s="138" t="s">
        <v>359</v>
      </c>
      <c r="D75" s="138" t="s">
        <v>360</v>
      </c>
      <c r="E75" s="415">
        <f>0</f>
        <v>0</v>
      </c>
      <c r="F75" s="415">
        <f>0</f>
        <v>0</v>
      </c>
      <c r="G75" s="415">
        <f>0</f>
        <v>0</v>
      </c>
      <c r="H75" s="415">
        <f>0</f>
        <v>0</v>
      </c>
      <c r="I75" s="415">
        <f>0</f>
        <v>0</v>
      </c>
      <c r="J75" s="415">
        <f>0</f>
        <v>0</v>
      </c>
      <c r="K75" s="415">
        <f>0</f>
        <v>0</v>
      </c>
      <c r="L75" s="415">
        <f>0</f>
        <v>0</v>
      </c>
      <c r="M75" s="415">
        <f>0</f>
        <v>0</v>
      </c>
      <c r="N75" s="415">
        <f>0</f>
        <v>0</v>
      </c>
      <c r="O75" s="415">
        <f>0</f>
        <v>0</v>
      </c>
      <c r="P75" s="415">
        <f>-1</f>
        <v>-1</v>
      </c>
      <c r="Q75" s="415">
        <f>1</f>
        <v>1</v>
      </c>
      <c r="R75" s="415">
        <f>0</f>
        <v>0</v>
      </c>
      <c r="S75" s="415">
        <f>0</f>
        <v>0</v>
      </c>
      <c r="T75" s="415">
        <f>0</f>
        <v>0</v>
      </c>
      <c r="U75" s="415">
        <f>0</f>
        <v>0</v>
      </c>
      <c r="V75" s="415">
        <f>0</f>
        <v>0</v>
      </c>
      <c r="W75" s="415">
        <f>0</f>
        <v>0</v>
      </c>
      <c r="X75" s="415">
        <f>0</f>
        <v>0</v>
      </c>
      <c r="Y75" s="415">
        <f>0</f>
        <v>0</v>
      </c>
      <c r="Z75" s="415">
        <f>0</f>
        <v>0</v>
      </c>
      <c r="AA75" s="422">
        <f>b_P*M_satSO_KO_HET*(P_PP_HI/Z_P)*Z_P</f>
        <v>1.9980019980019983</v>
      </c>
      <c r="AC75" s="327">
        <f>E90*E75+F90*F75+G90*G75+H90*H75+I90*I75+J90*J75+K90*K75+L90*L75+M90*M75+N90*N75+O90*O75+P90*P75+Q90*Q75+R90*R75+S90*S75+T90*T75+U90*U75+V90*V75+W90*W75+X90*X75+Y90*Y75+Z90*Z75</f>
        <v>0</v>
      </c>
      <c r="AD75" s="327">
        <f>E91*E75+F91*F75+G91*G75+H91*H75+I91*I75+J91*J75+K91*K75+L91*L75+M91*M75+N91*N75+O91*O75+P91*P75+Q91*Q75+R91*R75+S91*S75+T91*T75+U91*U75+V91*V75+W91*W75+X91*X75+Y91*Y75+Z91*Z75</f>
        <v>0</v>
      </c>
      <c r="AE75" s="327">
        <f>E92*E75+F92*F75+G92*G75+H92*H75+I92*I75+J92*J75+K92*K75+L92*L75+M92*M75+N92*N75+O92*O75+P92*P75+Q92*Q75+R92*R75+S92*S75+T92*T75+U92*U75+V92*V75+W92*W75+X92*X75+Y92*Y75+Z92*Z75</f>
        <v>0</v>
      </c>
    </row>
    <row r="76" spans="2:31" x14ac:dyDescent="0.25">
      <c r="B76" s="137">
        <v>26</v>
      </c>
      <c r="C76" s="138" t="s">
        <v>361</v>
      </c>
      <c r="D76" s="138" t="s">
        <v>362</v>
      </c>
      <c r="E76" s="415">
        <f>0</f>
        <v>0</v>
      </c>
      <c r="F76" s="415">
        <f>0</f>
        <v>0</v>
      </c>
      <c r="G76" s="415">
        <f>0</f>
        <v>0</v>
      </c>
      <c r="H76" s="415">
        <f>0</f>
        <v>0</v>
      </c>
      <c r="I76" s="415">
        <f>0</f>
        <v>0</v>
      </c>
      <c r="J76" s="415">
        <f>0</f>
        <v>0</v>
      </c>
      <c r="K76" s="415">
        <f>1</f>
        <v>1</v>
      </c>
      <c r="L76" s="415">
        <f>-1</f>
        <v>-1</v>
      </c>
      <c r="M76" s="415">
        <f>0</f>
        <v>0</v>
      </c>
      <c r="N76" s="415">
        <f>0</f>
        <v>0</v>
      </c>
      <c r="O76" s="415">
        <f>0</f>
        <v>0</v>
      </c>
      <c r="P76" s="415">
        <f>0</f>
        <v>0</v>
      </c>
      <c r="Q76" s="415">
        <f>0</f>
        <v>0</v>
      </c>
      <c r="R76" s="415">
        <f>0</f>
        <v>0</v>
      </c>
      <c r="S76" s="415">
        <f>0</f>
        <v>0</v>
      </c>
      <c r="T76" s="415">
        <f>0</f>
        <v>0</v>
      </c>
      <c r="U76" s="415">
        <f>0</f>
        <v>0</v>
      </c>
      <c r="V76" s="415">
        <f>0</f>
        <v>0</v>
      </c>
      <c r="W76" s="415">
        <f>0</f>
        <v>0</v>
      </c>
      <c r="X76" s="415">
        <f>0</f>
        <v>0</v>
      </c>
      <c r="Y76" s="415">
        <f>0</f>
        <v>0</v>
      </c>
      <c r="Z76" s="415">
        <f>0</f>
        <v>0</v>
      </c>
      <c r="AA76" s="422">
        <f>b_P*M_satSO_KO_HET*(S_PHB/Z_P)*Z_P</f>
        <v>7.9920079920079932</v>
      </c>
      <c r="AC76" s="327">
        <f>E90*E76+F90*F76+G90*G76+H90*H76+I90*I76+J90*J76+K90*K76+L90*L76+M90*M76+N90*N76+O90*O76+P90*P76+Q90*Q76+R90*R76+S90*S76+T90*T76+U90*U76+V90*V76+W90*W76+X90*X76+Y90*Y76+Z90*Z76</f>
        <v>0</v>
      </c>
      <c r="AD76" s="327">
        <f>E91*E76+F91*F76+G91*G76+H91*H76+I91*I76+J91*J76+K91*K76+L91*L76+M91*M76+N91*N76+O91*O76+P91*P76+Q91*Q76+R91*R76+S91*S76+T91*T76+U91*U76+V91*V76+W91*W76+X91*X76+Y91*Y76+Z91*Z76</f>
        <v>0</v>
      </c>
      <c r="AE76" s="327">
        <f>E92*E76+F92*F76+G92*G76+H92*H76+I92*I76+J92*J76+K92*K76+L92*L76+M92*M76+N92*N76+O92*O76+P92*P76+Q92*Q76+R92*R76+S92*S76+T92*T76+U92*U76+V92*V76+W92*W76+X92*X76+Y92*Y76+Z92*Z76</f>
        <v>0</v>
      </c>
    </row>
    <row r="77" spans="2:31" x14ac:dyDescent="0.25">
      <c r="B77" s="137">
        <v>27</v>
      </c>
      <c r="C77" s="138" t="s">
        <v>363</v>
      </c>
      <c r="D77" s="138" t="s">
        <v>364</v>
      </c>
      <c r="E77" s="415">
        <f>0</f>
        <v>0</v>
      </c>
      <c r="F77" s="415">
        <f>0</f>
        <v>0</v>
      </c>
      <c r="G77" s="415">
        <f>-1</f>
        <v>-1</v>
      </c>
      <c r="H77" s="416">
        <f>f_EP_P</f>
        <v>0.25</v>
      </c>
      <c r="I77" s="415">
        <f>0</f>
        <v>0</v>
      </c>
      <c r="J77" s="415">
        <f>0</f>
        <v>0</v>
      </c>
      <c r="K77" s="415">
        <f>0</f>
        <v>0</v>
      </c>
      <c r="L77" s="415">
        <f>0</f>
        <v>0</v>
      </c>
      <c r="M77" s="415">
        <f>0</f>
        <v>0</v>
      </c>
      <c r="N77" s="416">
        <f>f_ES_P</f>
        <v>0.2</v>
      </c>
      <c r="O77" s="415">
        <f>0</f>
        <v>0</v>
      </c>
      <c r="P77" s="415">
        <f>0</f>
        <v>0</v>
      </c>
      <c r="Q77" s="416">
        <f>f_P_ZP-f_EP_P*f_P_ZEP</f>
        <v>1.575E-2</v>
      </c>
      <c r="R77" s="415">
        <f>0</f>
        <v>0</v>
      </c>
      <c r="S77" s="416">
        <f>f_ES_P*f_N_SEP</f>
        <v>1.4000000000000002E-2</v>
      </c>
      <c r="T77" s="418">
        <f>-(1-f_EP_P-f_ES_P)/i_NO3_N2</f>
        <v>-0.1925</v>
      </c>
      <c r="U77" s="416">
        <f>f_N_ZP-f_EP_P*f_N_ZEP-f_ES_P*f_N_SEP</f>
        <v>3.8500000000000006E-2</v>
      </c>
      <c r="V77" s="415">
        <f>0</f>
        <v>0</v>
      </c>
      <c r="W77" s="415">
        <f>0</f>
        <v>0</v>
      </c>
      <c r="X77" s="415">
        <f>(1-f_EP_P-f_ES_P)/i_NO3_N2</f>
        <v>0.1925</v>
      </c>
      <c r="Y77" s="415">
        <f>0</f>
        <v>0</v>
      </c>
      <c r="Z77" s="415">
        <f>0</f>
        <v>0</v>
      </c>
      <c r="AA77" s="422">
        <f>b_P*M_inhSO_KO_HET*M_satNO3_KNO*Z_P</f>
        <v>1.1908621180144361E-2</v>
      </c>
      <c r="AC77" s="327">
        <f>E90*E77+F90*F77+G90*G77+H90*H77+I90*I77+J90*J77+K90*K77+L90*L77+M90*M77+N90*N77+O90*O77+P90*P77+Q90*Q77+R90*R77+S90*S77+T90*T77+U90*U77+V90*V77+W90*W77+X90*X77+Y90*Y77+Z90*Z77</f>
        <v>-5.5511151231257827E-17</v>
      </c>
      <c r="AD77" s="327">
        <f>E91*E77+F91*F77+G91*G77+H91*H77+I91*I77+J91*J77+K91*K77+L91*L77+M91*M77+N91*N77+O91*O77+P91*P77+Q91*Q77+R91*R77+S91*S77+T91*T77+U91*U77+V91*V77+W91*W77+X91*X77+Y91*Y77+Z91*Z77</f>
        <v>0</v>
      </c>
      <c r="AE77" s="327">
        <f>E92*E77+F92*F77+G92*G77+H92*H77+I92*I77+J92*J77+K92*K77+L92*L77+M92*M77+N92*N77+O92*O77+P92*P77+Q92*Q77+R92*R77+S92*S77+T92*T77+U92*U77+V92*V77+W92*W77+X92*X77+Y92*Y77+Z92*Z77</f>
        <v>0</v>
      </c>
    </row>
    <row r="78" spans="2:31" x14ac:dyDescent="0.25">
      <c r="B78" s="137">
        <v>28</v>
      </c>
      <c r="C78" s="138" t="s">
        <v>367</v>
      </c>
      <c r="D78" s="138" t="s">
        <v>368</v>
      </c>
      <c r="E78" s="415">
        <f>0</f>
        <v>0</v>
      </c>
      <c r="F78" s="415">
        <f>0</f>
        <v>0</v>
      </c>
      <c r="G78" s="415">
        <f>0</f>
        <v>0</v>
      </c>
      <c r="H78" s="415">
        <f>0</f>
        <v>0</v>
      </c>
      <c r="I78" s="415">
        <f>0</f>
        <v>0</v>
      </c>
      <c r="J78" s="415">
        <f>0</f>
        <v>0</v>
      </c>
      <c r="K78" s="415">
        <f>0</f>
        <v>0</v>
      </c>
      <c r="L78" s="415">
        <f>0</f>
        <v>0</v>
      </c>
      <c r="M78" s="415">
        <f>0</f>
        <v>0</v>
      </c>
      <c r="N78" s="415">
        <f>0</f>
        <v>0</v>
      </c>
      <c r="O78" s="415">
        <f>-1</f>
        <v>-1</v>
      </c>
      <c r="P78" s="415">
        <f>0</f>
        <v>0</v>
      </c>
      <c r="Q78" s="415">
        <f>1</f>
        <v>1</v>
      </c>
      <c r="R78" s="415">
        <f>0</f>
        <v>0</v>
      </c>
      <c r="S78" s="415">
        <f>0</f>
        <v>0</v>
      </c>
      <c r="T78" s="415">
        <f>0</f>
        <v>0</v>
      </c>
      <c r="U78" s="415">
        <f>0</f>
        <v>0</v>
      </c>
      <c r="V78" s="415">
        <f>0</f>
        <v>0</v>
      </c>
      <c r="W78" s="415">
        <f>0</f>
        <v>0</v>
      </c>
      <c r="X78" s="415">
        <f>0</f>
        <v>0</v>
      </c>
      <c r="Y78" s="415">
        <f>0</f>
        <v>0</v>
      </c>
      <c r="Z78" s="415">
        <f>0</f>
        <v>0</v>
      </c>
      <c r="AA78" s="422">
        <f>b_P*M_inhSO_KO_HET*M_satNO3_KNO*(P_PP_LO/Z_P)*Z_P</f>
        <v>7.9390807867629077E-3</v>
      </c>
      <c r="AC78" s="327">
        <f>E90*E78+F90*F78+G90*G78+H90*H78+I90*I78+J90*J78+K90*K78+L90*L78+M90*M78+N90*N78+O90*O78+P90*P78+Q90*Q78+R90*R78+S90*S78+T90*T78+U90*U78+V90*V78+W90*W78+X90*X78+Y90*Y78+Z90*Z78</f>
        <v>0</v>
      </c>
      <c r="AD78" s="327">
        <f>E91*E78+F91*F78+G91*G78+H91*H78+I91*I78+J91*J78+K91*K78+L91*L78+M91*M78+N91*N78+O91*O78+P91*P78+Q91*Q78+R91*R78+S91*S78+T91*T78+U91*U78+V91*V78+W91*W78+X91*X78+Y91*Y78+Z91*Z78</f>
        <v>0</v>
      </c>
      <c r="AE78" s="327">
        <f>E92*E78+F92*F78+G92*G78+H92*H78+I92*I78+J92*J78+K92*K78+L92*L78+M92*M78+N92*N78+O92*O78+P92*P78+Q92*Q78+R92*R78+S92*S78+T92*T78+U92*U78+V92*V78+W92*W78+X92*X78+Y92*Y78+Z92*Z78</f>
        <v>0</v>
      </c>
    </row>
    <row r="79" spans="2:31" x14ac:dyDescent="0.25">
      <c r="B79" s="137">
        <v>29</v>
      </c>
      <c r="C79" s="138" t="s">
        <v>369</v>
      </c>
      <c r="D79" s="138" t="s">
        <v>370</v>
      </c>
      <c r="E79" s="415">
        <f>0</f>
        <v>0</v>
      </c>
      <c r="F79" s="415">
        <f>0</f>
        <v>0</v>
      </c>
      <c r="G79" s="415">
        <f>0</f>
        <v>0</v>
      </c>
      <c r="H79" s="415">
        <f>0</f>
        <v>0</v>
      </c>
      <c r="I79" s="415">
        <f>0</f>
        <v>0</v>
      </c>
      <c r="J79" s="415">
        <f>0</f>
        <v>0</v>
      </c>
      <c r="K79" s="415">
        <f>0</f>
        <v>0</v>
      </c>
      <c r="L79" s="415">
        <f>0</f>
        <v>0</v>
      </c>
      <c r="M79" s="415">
        <f>0</f>
        <v>0</v>
      </c>
      <c r="N79" s="415">
        <f>0</f>
        <v>0</v>
      </c>
      <c r="O79" s="415">
        <f>0</f>
        <v>0</v>
      </c>
      <c r="P79" s="415">
        <f>-1</f>
        <v>-1</v>
      </c>
      <c r="Q79" s="415">
        <f>1</f>
        <v>1</v>
      </c>
      <c r="R79" s="415">
        <f>0</f>
        <v>0</v>
      </c>
      <c r="S79" s="415">
        <f>0</f>
        <v>0</v>
      </c>
      <c r="T79" s="415">
        <f>0</f>
        <v>0</v>
      </c>
      <c r="U79" s="415">
        <f>0</f>
        <v>0</v>
      </c>
      <c r="V79" s="415">
        <f>0</f>
        <v>0</v>
      </c>
      <c r="W79" s="415">
        <f>0</f>
        <v>0</v>
      </c>
      <c r="X79" s="415">
        <f>0</f>
        <v>0</v>
      </c>
      <c r="Y79" s="415">
        <f>0</f>
        <v>0</v>
      </c>
      <c r="Z79" s="415">
        <f>0</f>
        <v>0</v>
      </c>
      <c r="AA79" s="422">
        <f>b_P*M_inhSO_KO_HET*M_satNO3_KNO*(P_PP_HI/Z_P)*Z_P</f>
        <v>1.9847701966907269E-3</v>
      </c>
      <c r="AC79" s="327">
        <f>E90*E79+F90*F79+G90*G79+H90*H79+I90*I79+J90*J79+K90*K79+L90*L79+M90*M79+N90*N79+O90*O79+P90*P79+Q90*Q79+R90*R79+S90*S79+T90*T79+U90*U79+V90*V79+W90*W79+X90*X79+Y90*Y79+Z90*Z79</f>
        <v>0</v>
      </c>
      <c r="AD79" s="327">
        <f>E91*E79+F91*F79+G91*G79+H91*H79+I91*I79+J91*J79+K91*K79+L91*L79+M91*M79+N91*N79+O91*O79+P91*P79+Q91*Q79+R91*R79+S91*S79+T91*T79+U91*U79+V91*V79+W91*W79+X91*X79+Y91*Y79+Z91*Z79</f>
        <v>0</v>
      </c>
      <c r="AE79" s="327">
        <f>E92*E79+F92*F79+G92*G79+H92*H79+I92*I79+J92*J79+K92*K79+L92*L79+M92*M79+N92*N79+O92*O79+P92*P79+Q92*Q79+R92*R79+S92*S79+T92*T79+U92*U79+V92*V79+W92*W79+X92*X79+Y92*Y79+Z92*Z79</f>
        <v>0</v>
      </c>
    </row>
    <row r="80" spans="2:31" x14ac:dyDescent="0.25">
      <c r="B80" s="137">
        <v>30</v>
      </c>
      <c r="C80" s="138" t="s">
        <v>371</v>
      </c>
      <c r="D80" s="138" t="s">
        <v>372</v>
      </c>
      <c r="E80" s="415">
        <f>0</f>
        <v>0</v>
      </c>
      <c r="F80" s="415">
        <f>0</f>
        <v>0</v>
      </c>
      <c r="G80" s="415">
        <f>0</f>
        <v>0</v>
      </c>
      <c r="H80" s="415">
        <f>0</f>
        <v>0</v>
      </c>
      <c r="I80" s="415">
        <f>0</f>
        <v>0</v>
      </c>
      <c r="J80" s="415">
        <f>0</f>
        <v>0</v>
      </c>
      <c r="K80" s="415">
        <f>1</f>
        <v>1</v>
      </c>
      <c r="L80" s="415">
        <f>-1</f>
        <v>-1</v>
      </c>
      <c r="M80" s="415">
        <f>0</f>
        <v>0</v>
      </c>
      <c r="N80" s="415">
        <f>0</f>
        <v>0</v>
      </c>
      <c r="O80" s="415">
        <f>0</f>
        <v>0</v>
      </c>
      <c r="P80" s="415">
        <f>0</f>
        <v>0</v>
      </c>
      <c r="Q80" s="415">
        <f>0</f>
        <v>0</v>
      </c>
      <c r="R80" s="415">
        <f>0</f>
        <v>0</v>
      </c>
      <c r="S80" s="415">
        <f>0</f>
        <v>0</v>
      </c>
      <c r="T80" s="415">
        <f>0</f>
        <v>0</v>
      </c>
      <c r="U80" s="415">
        <f>0</f>
        <v>0</v>
      </c>
      <c r="V80" s="415">
        <f>0</f>
        <v>0</v>
      </c>
      <c r="W80" s="415">
        <f>0</f>
        <v>0</v>
      </c>
      <c r="X80" s="415">
        <f>0</f>
        <v>0</v>
      </c>
      <c r="Y80" s="415">
        <f>0</f>
        <v>0</v>
      </c>
      <c r="Z80" s="415">
        <f>0</f>
        <v>0</v>
      </c>
      <c r="AA80" s="422">
        <f>b_P*M_inhSO_KO_HET*M_satNO3_KNO*(S_PHB/Z_P)*Z_P</f>
        <v>7.9390807867629077E-3</v>
      </c>
      <c r="AC80" s="327">
        <f>E90*E80+F90*F80+G90*G80+H90*H80+I90*I80+J90*J80+K90*K80+L90*L80+M90*M80+N90*N80+O90*O80+P90*P80+Q90*Q80+R90*R80+S90*S80+T90*T80+U90*U80+V90*V80+W90*W80+X90*X80+Y90*Y80+Z90*Z80</f>
        <v>0</v>
      </c>
      <c r="AD80" s="327">
        <f>E91*E80+F91*F80+G91*G80+H91*H80+I91*I80+J91*J80+K91*K80+L91*L80+M91*M80+N91*N80+O91*O80+P91*P80+Q91*Q80+R91*R80+S91*S80+T91*T80+U91*U80+V91*V80+W91*W80+X91*X80+Y91*Y80+Z91*Z80</f>
        <v>0</v>
      </c>
      <c r="AE80" s="327">
        <f>E92*E80+F92*F80+G92*G80+H92*H80+I92*I80+J92*J80+K92*K80+L92*L80+M92*M80+N92*N80+O92*O80+P92*P80+Q92*Q80+R92*R80+S92*S80+T92*T80+U92*U80+V92*V80+W92*W80+X92*X80+Y92*Y80+Z92*Z80</f>
        <v>0</v>
      </c>
    </row>
    <row r="81" spans="2:31" x14ac:dyDescent="0.25">
      <c r="B81" s="137">
        <v>31</v>
      </c>
      <c r="C81" s="138" t="s">
        <v>373</v>
      </c>
      <c r="D81" s="138" t="s">
        <v>374</v>
      </c>
      <c r="E81" s="415">
        <f>0</f>
        <v>0</v>
      </c>
      <c r="F81" s="415">
        <f>0</f>
        <v>0</v>
      </c>
      <c r="G81" s="415">
        <f>-1</f>
        <v>-1</v>
      </c>
      <c r="H81" s="416">
        <f>f_EP_P</f>
        <v>0.25</v>
      </c>
      <c r="I81" s="415">
        <f>0</f>
        <v>0</v>
      </c>
      <c r="J81" s="415">
        <f>0</f>
        <v>0</v>
      </c>
      <c r="K81" s="415">
        <f>0</f>
        <v>0</v>
      </c>
      <c r="L81" s="415">
        <f>0</f>
        <v>0</v>
      </c>
      <c r="M81" s="415">
        <f>0</f>
        <v>0</v>
      </c>
      <c r="N81" s="415">
        <f>1-f_EP_P</f>
        <v>0.75</v>
      </c>
      <c r="O81" s="415">
        <f>0</f>
        <v>0</v>
      </c>
      <c r="P81" s="415">
        <f>0</f>
        <v>0</v>
      </c>
      <c r="Q81" s="416">
        <f>f_P_ZP-f_EP_P*f_P_ZEP</f>
        <v>1.575E-2</v>
      </c>
      <c r="R81" s="415">
        <f>0</f>
        <v>0</v>
      </c>
      <c r="S81" s="416">
        <f>f_ES_P*f_N_SEP</f>
        <v>1.4000000000000002E-2</v>
      </c>
      <c r="T81" s="415">
        <f>0</f>
        <v>0</v>
      </c>
      <c r="U81" s="416">
        <f>f_N_ZP-f_EP_P*f_N_ZEP-f_ES_P*f_N_SEP</f>
        <v>3.8500000000000006E-2</v>
      </c>
      <c r="V81" s="415">
        <f>0</f>
        <v>0</v>
      </c>
      <c r="W81" s="415">
        <f>0</f>
        <v>0</v>
      </c>
      <c r="X81" s="415">
        <f>0</f>
        <v>0</v>
      </c>
      <c r="Y81" s="415">
        <f>0</f>
        <v>0</v>
      </c>
      <c r="Z81" s="415">
        <f>0</f>
        <v>0</v>
      </c>
      <c r="AA81" s="422">
        <f>b_P*M_inhSO_KO_HET*M_inhNO3_KNO*Z_P</f>
        <v>7.9390807867629073E-5</v>
      </c>
      <c r="AC81" s="327">
        <f>E90*E81+F90*F81+G90*G81+H90*H81+I90*I81+J90*J81+K90*K81+L90*L81+M90*M81+N90*N81+O90*O81+P90*P81+Q90*Q81+R90*R81+S90*S81+T90*T81+U90*U81+V90*V81+W90*W81+X90*X81+Y90*Y81+Z90*Z81</f>
        <v>0</v>
      </c>
      <c r="AD81" s="327">
        <f>E91*E81+F91*F81+G91*G81+H91*H81+I91*I81+J91*J81+K91*K81+L91*L81+M91*M81+N91*N81+O91*O81+P91*P81+Q91*Q81+R91*R81+S91*S81+T91*T81+U91*U81+V91*V81+W91*W81+X91*X81+Y91*Y81+Z91*Z81</f>
        <v>0</v>
      </c>
      <c r="AE81" s="327">
        <f>E92*E81+F92*F81+G92*G81+H92*H81+I92*I81+J92*J81+K92*K81+L92*L81+M92*M81+N92*N81+O92*O81+P92*P81+Q92*Q81+R92*R81+S92*S81+T92*T81+U92*U81+V92*V81+W92*W81+X92*X81+Y92*Y81+Z92*Z81</f>
        <v>0</v>
      </c>
    </row>
    <row r="82" spans="2:31" x14ac:dyDescent="0.25">
      <c r="B82" s="137">
        <v>32</v>
      </c>
      <c r="C82" s="138" t="s">
        <v>376</v>
      </c>
      <c r="D82" s="138" t="s">
        <v>377</v>
      </c>
      <c r="E82" s="415">
        <f>0</f>
        <v>0</v>
      </c>
      <c r="F82" s="415">
        <f>0</f>
        <v>0</v>
      </c>
      <c r="G82" s="415">
        <f>0</f>
        <v>0</v>
      </c>
      <c r="H82" s="415">
        <f>0</f>
        <v>0</v>
      </c>
      <c r="I82" s="415">
        <f>0</f>
        <v>0</v>
      </c>
      <c r="J82" s="415">
        <f>0</f>
        <v>0</v>
      </c>
      <c r="K82" s="415">
        <f>0</f>
        <v>0</v>
      </c>
      <c r="L82" s="415">
        <f>0</f>
        <v>0</v>
      </c>
      <c r="M82" s="415">
        <f>0</f>
        <v>0</v>
      </c>
      <c r="N82" s="415">
        <f>0</f>
        <v>0</v>
      </c>
      <c r="O82" s="415">
        <f>-1</f>
        <v>-1</v>
      </c>
      <c r="P82" s="415">
        <f>0</f>
        <v>0</v>
      </c>
      <c r="Q82" s="415">
        <f>1</f>
        <v>1</v>
      </c>
      <c r="R82" s="415">
        <f>0</f>
        <v>0</v>
      </c>
      <c r="S82" s="415">
        <f>0</f>
        <v>0</v>
      </c>
      <c r="T82" s="415">
        <f>0</f>
        <v>0</v>
      </c>
      <c r="U82" s="415">
        <f>0</f>
        <v>0</v>
      </c>
      <c r="V82" s="415">
        <f>0</f>
        <v>0</v>
      </c>
      <c r="W82" s="415">
        <f>0</f>
        <v>0</v>
      </c>
      <c r="X82" s="415">
        <f>0</f>
        <v>0</v>
      </c>
      <c r="Y82" s="415">
        <f>0</f>
        <v>0</v>
      </c>
      <c r="Z82" s="415">
        <f>0</f>
        <v>0</v>
      </c>
      <c r="AA82" s="422">
        <f>b_P*M_inhSO_KO_HET*M_inhNO3_KNO*(P_PP_LO/Z_P)*Z_P</f>
        <v>5.2927205245086047E-5</v>
      </c>
      <c r="AC82" s="327">
        <f>E90*E82+F90*F82+G90*G82+H90*H82+I90*I82+J90*J82+K90*K82+L90*L82+M90*M82+N90*N82+O90*O82+P90*P82+Q90*Q82+R90*R82+S90*S82+T90*T82+U90*U82+V90*V82+W90*W82+X90*X82+Y90*Y82+Z90*Z82</f>
        <v>0</v>
      </c>
      <c r="AD82" s="327">
        <f>E91*E82+F91*F82+G91*G82+H91*H82+I91*I82+J91*J82+K91*K82+L91*L82+M91*M82+N91*N82+O91*O82+P91*P82+Q91*Q82+R91*R82+S91*S82+T91*T82+U91*U82+V91*V82+W91*W82+X91*X82+Y91*Y82+Z91*Z82</f>
        <v>0</v>
      </c>
      <c r="AE82" s="327">
        <f>E92*E82+F92*F82+G92*G82+H92*H82+I92*I82+J92*J82+K92*K82+L92*L82+M92*M82+N92*N82+O92*O82+P92*P82+Q92*Q82+R92*R82+S92*S82+T92*T82+U92*U82+V92*V82+W92*W82+X92*X82+Y92*Y82+Z92*Z82</f>
        <v>0</v>
      </c>
    </row>
    <row r="83" spans="2:31" x14ac:dyDescent="0.25">
      <c r="B83" s="137">
        <v>33</v>
      </c>
      <c r="C83" s="138" t="s">
        <v>378</v>
      </c>
      <c r="D83" s="138" t="s">
        <v>379</v>
      </c>
      <c r="E83" s="415">
        <f>0</f>
        <v>0</v>
      </c>
      <c r="F83" s="415">
        <f>0</f>
        <v>0</v>
      </c>
      <c r="G83" s="415">
        <f>0</f>
        <v>0</v>
      </c>
      <c r="H83" s="415">
        <f>0</f>
        <v>0</v>
      </c>
      <c r="I83" s="415">
        <f>0</f>
        <v>0</v>
      </c>
      <c r="J83" s="415">
        <f>0</f>
        <v>0</v>
      </c>
      <c r="K83" s="415">
        <f>0</f>
        <v>0</v>
      </c>
      <c r="L83" s="415">
        <f>0</f>
        <v>0</v>
      </c>
      <c r="M83" s="415">
        <f>0</f>
        <v>0</v>
      </c>
      <c r="N83" s="415">
        <f>0</f>
        <v>0</v>
      </c>
      <c r="O83" s="415">
        <f>0</f>
        <v>0</v>
      </c>
      <c r="P83" s="415">
        <f>-1</f>
        <v>-1</v>
      </c>
      <c r="Q83" s="415">
        <f>1</f>
        <v>1</v>
      </c>
      <c r="R83" s="415">
        <f>0</f>
        <v>0</v>
      </c>
      <c r="S83" s="415">
        <f>0</f>
        <v>0</v>
      </c>
      <c r="T83" s="415">
        <f>0</f>
        <v>0</v>
      </c>
      <c r="U83" s="415">
        <f>0</f>
        <v>0</v>
      </c>
      <c r="V83" s="415">
        <f>0</f>
        <v>0</v>
      </c>
      <c r="W83" s="415">
        <f>0</f>
        <v>0</v>
      </c>
      <c r="X83" s="415">
        <f>0</f>
        <v>0</v>
      </c>
      <c r="Y83" s="415">
        <f>0</f>
        <v>0</v>
      </c>
      <c r="Z83" s="415">
        <f>0</f>
        <v>0</v>
      </c>
      <c r="AA83" s="422">
        <f>b_P*M_inhSO_KO_HET*M_inhNO3_KNO*(P_PP_HI/Z_P)*Z_P</f>
        <v>1.3231801311271512E-5</v>
      </c>
      <c r="AC83" s="327">
        <f>E90*E83+F90*F83+G90*G83+H90*H83+I90*I83+J90*J83+K90*K83+L90*L83+M90*M83+N90*N83+O90*O83+P90*P83+Q90*Q83+R90*R83+S90*S83+T90*T83+U90*U83+V90*V83+W90*W83+X90*X83+Y90*Y83+Z90*Z83</f>
        <v>0</v>
      </c>
      <c r="AD83" s="327">
        <f>E91*E83+F91*F83+G91*G83+H91*H83+I91*I83+J91*J83+K91*K83+L91*L83+M91*M83+N91*N83+O91*O83+P91*P83+Q91*Q83+R91*R83+S91*S83+T91*T83+U91*U83+V91*V83+W91*W83+X91*X83+Y91*Y83+Z91*Z83</f>
        <v>0</v>
      </c>
      <c r="AE83" s="327">
        <f>E92*E83+F92*F83+G92*G83+H92*H83+I92*I83+J92*J83+K92*K83+L92*L83+M92*M83+N92*N83+O92*O83+P92*P83+Q92*Q83+R92*R83+S92*S83+T92*T83+U92*U83+V92*V83+W92*W83+X92*X83+Y92*Y83+Z92*Z83</f>
        <v>0</v>
      </c>
    </row>
    <row r="84" spans="2:31" x14ac:dyDescent="0.25">
      <c r="B84" s="137">
        <v>34</v>
      </c>
      <c r="C84" s="138" t="s">
        <v>380</v>
      </c>
      <c r="D84" s="138" t="s">
        <v>381</v>
      </c>
      <c r="E84" s="415">
        <f>0</f>
        <v>0</v>
      </c>
      <c r="F84" s="415">
        <f>0</f>
        <v>0</v>
      </c>
      <c r="G84" s="415">
        <f>0</f>
        <v>0</v>
      </c>
      <c r="H84" s="415">
        <f>0</f>
        <v>0</v>
      </c>
      <c r="I84" s="415">
        <f>0</f>
        <v>0</v>
      </c>
      <c r="J84" s="415">
        <f>0</f>
        <v>0</v>
      </c>
      <c r="K84" s="415">
        <f>1</f>
        <v>1</v>
      </c>
      <c r="L84" s="415">
        <f>-1</f>
        <v>-1</v>
      </c>
      <c r="M84" s="415">
        <f>0</f>
        <v>0</v>
      </c>
      <c r="N84" s="415">
        <f>0</f>
        <v>0</v>
      </c>
      <c r="O84" s="415">
        <f>0</f>
        <v>0</v>
      </c>
      <c r="P84" s="415">
        <f>0</f>
        <v>0</v>
      </c>
      <c r="Q84" s="415">
        <f>0</f>
        <v>0</v>
      </c>
      <c r="R84" s="415">
        <f>0</f>
        <v>0</v>
      </c>
      <c r="S84" s="415">
        <f>0</f>
        <v>0</v>
      </c>
      <c r="T84" s="415">
        <f>0</f>
        <v>0</v>
      </c>
      <c r="U84" s="415">
        <f>0</f>
        <v>0</v>
      </c>
      <c r="V84" s="415">
        <f>0</f>
        <v>0</v>
      </c>
      <c r="W84" s="415">
        <f>0</f>
        <v>0</v>
      </c>
      <c r="X84" s="415">
        <f>0</f>
        <v>0</v>
      </c>
      <c r="Y84" s="415">
        <f>0</f>
        <v>0</v>
      </c>
      <c r="Z84" s="415">
        <f>0</f>
        <v>0</v>
      </c>
      <c r="AA84" s="422">
        <f>b_P*M_inhSO_KO_HET*M_inhNO3_KNO*(S_PHB/Z_P)*Z_P</f>
        <v>5.2927205245086047E-5</v>
      </c>
      <c r="AC84" s="327">
        <f>E90*E84+F90*F84+G90*G84+H90*H84+I90*I84+J90*J84+K90*K84+L90*L84+M90*M84+N90*N84+O90*O84+P90*P84+Q90*Q84+R90*R84+S90*S84+T90*T84+U90*U84+V90*V84+W90*W84+X90*X84+Y90*Y84+Z90*Z84</f>
        <v>0</v>
      </c>
      <c r="AD84" s="327">
        <f>E91*E84+F91*F84+G91*G84+H91*H84+I91*I84+J91*J84+K91*K84+L91*L84+M91*M84+N91*N84+O91*O84+P91*P84+Q91*Q84+R91*R84+S91*S84+T91*T84+U91*U84+V91*V84+W91*W84+X91*X84+Y91*Y84+Z91*Z84</f>
        <v>0</v>
      </c>
      <c r="AE84" s="327">
        <f>E92*E84+F92*F84+G92*G84+H92*H84+I92*I84+J92*J84+K92*K84+L92*L84+M92*M84+N92*N84+O92*O84+P92*P84+Q92*Q84+R92*R84+S92*S84+T92*T84+U92*U84+V92*V84+W92*W84+X92*X84+Y92*Y84+Z92*Z84</f>
        <v>0</v>
      </c>
    </row>
    <row r="85" spans="2:31" ht="25.5" x14ac:dyDescent="0.25">
      <c r="B85" s="137">
        <v>35</v>
      </c>
      <c r="C85" s="138" t="s">
        <v>382</v>
      </c>
      <c r="D85" s="138" t="s">
        <v>383</v>
      </c>
      <c r="E85" s="415">
        <f>0</f>
        <v>0</v>
      </c>
      <c r="F85" s="415">
        <f>0</f>
        <v>0</v>
      </c>
      <c r="G85" s="415">
        <f>0</f>
        <v>0</v>
      </c>
      <c r="H85" s="415">
        <f>0</f>
        <v>0</v>
      </c>
      <c r="I85" s="415">
        <f>0</f>
        <v>0</v>
      </c>
      <c r="J85" s="415">
        <f>0</f>
        <v>0</v>
      </c>
      <c r="K85" s="415">
        <f>0</f>
        <v>0</v>
      </c>
      <c r="L85" s="415">
        <f>0</f>
        <v>0</v>
      </c>
      <c r="M85" s="415">
        <f>0</f>
        <v>0</v>
      </c>
      <c r="N85" s="415">
        <f>0</f>
        <v>0</v>
      </c>
      <c r="O85" s="415">
        <f>-1</f>
        <v>-1</v>
      </c>
      <c r="P85" s="415">
        <f>0</f>
        <v>0</v>
      </c>
      <c r="Q85" s="415">
        <f>1</f>
        <v>1</v>
      </c>
      <c r="R85" s="415">
        <f>0</f>
        <v>0</v>
      </c>
      <c r="S85" s="415">
        <f>0</f>
        <v>0</v>
      </c>
      <c r="T85" s="415">
        <f>0</f>
        <v>0</v>
      </c>
      <c r="U85" s="415">
        <f>0</f>
        <v>0</v>
      </c>
      <c r="V85" s="415">
        <f>0</f>
        <v>0</v>
      </c>
      <c r="W85" s="415">
        <f>0</f>
        <v>0</v>
      </c>
      <c r="X85" s="415">
        <f>0</f>
        <v>0</v>
      </c>
      <c r="Y85" s="415">
        <f>0</f>
        <v>0</v>
      </c>
      <c r="Z85" s="415">
        <f>0</f>
        <v>0</v>
      </c>
      <c r="AA85" s="422">
        <f>b_PP*M_inhSO_KO_HET*M_satPPP_LO_KXP*Z_P</f>
        <v>8.990559463035841E-3</v>
      </c>
      <c r="AC85" s="327">
        <f>E90*E85+F90*F85+G90*G85+H90*H85+I90*I85+J90*J85+K90*K85+L90*L85+M90*M85+N90*N85+O90*O85+P90*P85+Q90*Q85+R90*R85+S90*S85+T90*T85+U90*U85+V90*V85+W90*W85+X90*X85+Y90*Y85+Z90*Z85</f>
        <v>0</v>
      </c>
      <c r="AD85" s="327">
        <f>E91*E85+F91*F85+G91*G85+H91*H85+I91*I85+J91*J85+K91*K85+L91*L85+M91*M85+N91*N85+O91*O85+P91*P85+Q91*Q85+R91*R85+S91*S85+T91*T85+U91*U85+V91*V85+W91*W85+X91*X85+Y91*Y85+Z91*Z85</f>
        <v>0</v>
      </c>
      <c r="AE85" s="327">
        <f>E92*E85+F92*F85+G92*G85+H92*H85+I92*I85+J92*J85+K92*K85+L92*L85+M92*M85+N92*N85+O92*O85+P92*P85+Q92*Q85+R92*R85+S92*S85+T92*T85+U92*U85+V92*V85+W92*W85+X92*X85+Y92*Y85+Z92*Z85</f>
        <v>0</v>
      </c>
    </row>
    <row r="86" spans="2:31" ht="15.75" thickBot="1" x14ac:dyDescent="0.3">
      <c r="B86" s="147">
        <v>36</v>
      </c>
      <c r="C86" s="144" t="s">
        <v>384</v>
      </c>
      <c r="D86" s="144" t="s">
        <v>385</v>
      </c>
      <c r="E86" s="417">
        <f>0</f>
        <v>0</v>
      </c>
      <c r="F86" s="417">
        <f>0</f>
        <v>0</v>
      </c>
      <c r="G86" s="417">
        <f>0</f>
        <v>0</v>
      </c>
      <c r="H86" s="417">
        <f>0</f>
        <v>0</v>
      </c>
      <c r="I86" s="417">
        <f>0</f>
        <v>0</v>
      </c>
      <c r="J86" s="417">
        <f>0</f>
        <v>0</v>
      </c>
      <c r="K86" s="417">
        <f>-1</f>
        <v>-1</v>
      </c>
      <c r="L86" s="419">
        <f>Y_PHB</f>
        <v>0.88900000000000001</v>
      </c>
      <c r="M86" s="417">
        <f>0</f>
        <v>0</v>
      </c>
      <c r="N86" s="417">
        <f>0</f>
        <v>0</v>
      </c>
      <c r="O86" s="417">
        <f>-f_P_REL</f>
        <v>-0.52</v>
      </c>
      <c r="P86" s="417">
        <f>0</f>
        <v>0</v>
      </c>
      <c r="Q86" s="419">
        <f>f_P_REL</f>
        <v>0.52</v>
      </c>
      <c r="R86" s="417">
        <f>0</f>
        <v>0</v>
      </c>
      <c r="S86" s="417">
        <f>0</f>
        <v>0</v>
      </c>
      <c r="T86" s="417">
        <f>0</f>
        <v>0</v>
      </c>
      <c r="U86" s="417">
        <f>0</f>
        <v>0</v>
      </c>
      <c r="V86" s="417">
        <f>0</f>
        <v>0</v>
      </c>
      <c r="W86" s="417">
        <f>0</f>
        <v>0</v>
      </c>
      <c r="X86" s="417">
        <f>0</f>
        <v>0</v>
      </c>
      <c r="Y86" s="417">
        <f>(1-Y_PHB)/i_COD_H2</f>
        <v>1.3874999999999998E-2</v>
      </c>
      <c r="Z86" s="417">
        <f>0</f>
        <v>0</v>
      </c>
      <c r="AA86" s="424">
        <f>K_P*M_satSBSA_KSSEQ*M_satPPP_LO_KXP*Z_P</f>
        <v>171.42000042855</v>
      </c>
      <c r="AC86" s="327">
        <f>E90*E86+F90*F86+G90*G86+H90*H86+I90*I86+J90*J86+K90*K86+L90*L86+M90*M86+N90*N86+O90*O86+P90*P86+Q90*Q86+R90*R86+S90*S86+T90*T86+U90*U86+V90*V86+W90*W86+X90*X86+Y90*Y86+Z90*Z86</f>
        <v>0</v>
      </c>
      <c r="AD86" s="327">
        <f>E91*E86+F91*F86+G91*G86+H91*H86+I91*I86+J91*J86+K91*K86+L91*L86+M91*M86+N91*N86+O91*O86+P91*P86+Q91*Q86+R91*R86+S91*S86+T91*T86+U91*U86+V91*V86+W91*W86+X91*X86+Y91*Y86+Z91*Z86</f>
        <v>0</v>
      </c>
      <c r="AE86" s="327">
        <f>E92*E86+F92*F86+G92*G86+H92*H86+I92*I86+J92*J86+K92*K86+L92*L86+M92*M86+N92*N86+O92*O86+P92*P86+Q92*Q86+R92*R86+S92*S86+T92*T86+U92*U86+V92*V86+W92*W86+X92*X86+Y92*Y86+Z92*Z86</f>
        <v>0</v>
      </c>
    </row>
    <row r="88" spans="2:31" ht="15.75" thickBot="1" x14ac:dyDescent="0.3"/>
    <row r="89" spans="2:31" ht="15.75" thickBot="1" x14ac:dyDescent="0.3">
      <c r="D89" s="53" t="s">
        <v>5</v>
      </c>
      <c r="E89" s="13"/>
    </row>
    <row r="90" spans="2:31" x14ac:dyDescent="0.25">
      <c r="D90" s="245" t="s">
        <v>146</v>
      </c>
      <c r="E90" s="247">
        <v>1</v>
      </c>
      <c r="F90" s="247">
        <v>1</v>
      </c>
      <c r="G90" s="247">
        <v>1</v>
      </c>
      <c r="H90" s="247">
        <v>1</v>
      </c>
      <c r="I90" s="247">
        <v>1</v>
      </c>
      <c r="J90" s="247">
        <v>1</v>
      </c>
      <c r="K90" s="247">
        <v>1</v>
      </c>
      <c r="L90" s="247">
        <v>1</v>
      </c>
      <c r="M90" s="247">
        <v>1</v>
      </c>
      <c r="N90" s="247">
        <v>1</v>
      </c>
      <c r="O90" s="247"/>
      <c r="P90" s="247"/>
      <c r="Q90" s="247"/>
      <c r="R90" s="247"/>
      <c r="S90" s="247"/>
      <c r="T90" s="257">
        <f>i_COD_NO3</f>
        <v>-4.5714285714285712</v>
      </c>
      <c r="U90" s="247"/>
      <c r="V90" s="247"/>
      <c r="W90" s="247">
        <v>-1</v>
      </c>
      <c r="X90" s="257">
        <f>i_COD_N2</f>
        <v>-1.7142857142857142</v>
      </c>
      <c r="Y90" s="257">
        <f>i_COD_H2</f>
        <v>8</v>
      </c>
      <c r="Z90" s="257"/>
    </row>
    <row r="91" spans="2:31" x14ac:dyDescent="0.25">
      <c r="D91" s="137" t="s">
        <v>388</v>
      </c>
      <c r="E91" s="140">
        <f>f_N_ZH</f>
        <v>7.0000000000000007E-2</v>
      </c>
      <c r="F91" s="140">
        <f>f_N_ZA</f>
        <v>7.0000000000000007E-2</v>
      </c>
      <c r="G91" s="140">
        <f>f_N_ZP</f>
        <v>7.0000000000000007E-2</v>
      </c>
      <c r="H91" s="140">
        <f>f_N_ZEH</f>
        <v>7.0000000000000007E-2</v>
      </c>
      <c r="I91" s="134"/>
      <c r="J91" s="134"/>
      <c r="K91" s="134"/>
      <c r="L91" s="134"/>
      <c r="M91" s="134"/>
      <c r="N91" s="134"/>
      <c r="O91" s="134"/>
      <c r="P91" s="134"/>
      <c r="Q91" s="134"/>
      <c r="R91" s="134">
        <v>1</v>
      </c>
      <c r="S91" s="134">
        <v>1</v>
      </c>
      <c r="T91" s="134">
        <v>1</v>
      </c>
      <c r="U91" s="134">
        <v>1</v>
      </c>
      <c r="V91" s="134">
        <v>1</v>
      </c>
      <c r="W91" s="134"/>
      <c r="X91" s="134">
        <v>1</v>
      </c>
      <c r="Y91" s="134"/>
      <c r="Z91" s="134"/>
    </row>
    <row r="92" spans="2:31" ht="15.75" thickBot="1" x14ac:dyDescent="0.3">
      <c r="D92" s="147" t="s">
        <v>389</v>
      </c>
      <c r="E92" s="145">
        <f>f_P_ZH</f>
        <v>2.1000000000000001E-2</v>
      </c>
      <c r="F92" s="145">
        <f>f_P_ZA</f>
        <v>2.1000000000000001E-2</v>
      </c>
      <c r="G92" s="145">
        <f>f_P_ZP</f>
        <v>2.1000000000000001E-2</v>
      </c>
      <c r="H92" s="145">
        <f>f_P_ZEH</f>
        <v>2.1000000000000001E-2</v>
      </c>
      <c r="I92" s="136"/>
      <c r="J92" s="136"/>
      <c r="K92" s="136"/>
      <c r="L92" s="136"/>
      <c r="M92" s="136"/>
      <c r="N92" s="136"/>
      <c r="O92" s="136">
        <v>1</v>
      </c>
      <c r="P92" s="136">
        <v>1</v>
      </c>
      <c r="Q92" s="136">
        <v>1</v>
      </c>
      <c r="R92" s="136"/>
      <c r="S92" s="136"/>
      <c r="T92" s="136"/>
      <c r="U92" s="136"/>
      <c r="V92" s="136"/>
      <c r="W92" s="136"/>
      <c r="X92" s="136"/>
      <c r="Y92" s="136"/>
      <c r="Z92" s="136"/>
    </row>
  </sheetData>
  <phoneticPr fontId="12" type="noConversion"/>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
  <sheetViews>
    <sheetView showGridLines="0" zoomScale="80" zoomScaleNormal="80" workbookViewId="0">
      <selection activeCell="A2" sqref="A2"/>
    </sheetView>
  </sheetViews>
  <sheetFormatPr defaultColWidth="9.140625" defaultRowHeight="15" x14ac:dyDescent="0.25"/>
  <cols>
    <col min="1" max="1" width="17.7109375" customWidth="1"/>
    <col min="2" max="2" width="3" customWidth="1"/>
    <col min="3" max="3" width="8" bestFit="1" customWidth="1"/>
    <col min="4" max="4" width="31.7109375" bestFit="1" customWidth="1"/>
    <col min="5" max="5" width="14.7109375" customWidth="1"/>
    <col min="6" max="6" width="10.85546875" bestFit="1" customWidth="1"/>
    <col min="7" max="7" width="29.140625" bestFit="1" customWidth="1"/>
  </cols>
  <sheetData>
    <row r="1" spans="1:1" s="47" customFormat="1" ht="48" customHeight="1" x14ac:dyDescent="0.25">
      <c r="A1" s="49"/>
    </row>
  </sheetData>
  <phoneticPr fontId="12"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21" customWidth="1"/>
    <col min="2" max="2" width="22" style="20" customWidth="1"/>
    <col min="3" max="3" width="9.7109375" style="21" customWidth="1"/>
    <col min="4" max="16384" width="9.140625" style="21"/>
  </cols>
  <sheetData>
    <row r="1" spans="2:9" ht="56.25" customHeight="1" thickBot="1" x14ac:dyDescent="0.3"/>
    <row r="2" spans="2:9" s="20" customFormat="1" ht="15.75" thickBot="1" x14ac:dyDescent="0.3">
      <c r="B2" s="22" t="s">
        <v>132</v>
      </c>
      <c r="C2" s="23" t="s">
        <v>133</v>
      </c>
      <c r="D2" s="23" t="s">
        <v>134</v>
      </c>
      <c r="E2" s="23" t="s">
        <v>135</v>
      </c>
      <c r="F2" s="23" t="s">
        <v>136</v>
      </c>
      <c r="G2" s="23" t="s">
        <v>137</v>
      </c>
      <c r="H2" s="23" t="s">
        <v>138</v>
      </c>
      <c r="I2" s="24" t="s">
        <v>139</v>
      </c>
    </row>
    <row r="3" spans="2:9" ht="15.75" thickBot="1" x14ac:dyDescent="0.3">
      <c r="B3" s="25" t="s">
        <v>8</v>
      </c>
      <c r="C3" s="26">
        <v>1</v>
      </c>
      <c r="D3" s="26">
        <v>0</v>
      </c>
      <c r="E3" s="26">
        <v>-1</v>
      </c>
      <c r="F3" s="26">
        <v>-1</v>
      </c>
      <c r="G3" s="26">
        <v>1</v>
      </c>
      <c r="H3" s="27">
        <v>-1</v>
      </c>
      <c r="I3" s="28"/>
    </row>
    <row r="4" spans="2:9" x14ac:dyDescent="0.25">
      <c r="B4" s="29" t="s">
        <v>133</v>
      </c>
      <c r="C4" s="30">
        <v>1</v>
      </c>
      <c r="D4" s="30"/>
      <c r="E4" s="30"/>
      <c r="F4" s="30"/>
      <c r="G4" s="30"/>
      <c r="H4" s="31"/>
      <c r="I4" s="28"/>
    </row>
    <row r="5" spans="2:9" x14ac:dyDescent="0.25">
      <c r="B5" s="29" t="s">
        <v>134</v>
      </c>
      <c r="C5" s="30"/>
      <c r="D5" s="30">
        <v>1</v>
      </c>
      <c r="E5" s="30"/>
      <c r="F5" s="30"/>
      <c r="G5" s="30"/>
      <c r="H5" s="31"/>
      <c r="I5" s="28"/>
    </row>
    <row r="6" spans="2:9" x14ac:dyDescent="0.25">
      <c r="B6" s="29" t="s">
        <v>140</v>
      </c>
      <c r="C6" s="30"/>
      <c r="D6" s="30"/>
      <c r="E6" s="30">
        <v>1</v>
      </c>
      <c r="F6" s="30"/>
      <c r="G6" s="30"/>
      <c r="H6" s="31"/>
      <c r="I6" s="28"/>
    </row>
    <row r="7" spans="2:9" x14ac:dyDescent="0.25">
      <c r="B7" s="29" t="s">
        <v>141</v>
      </c>
      <c r="C7" s="30"/>
      <c r="D7" s="30"/>
      <c r="E7" s="30"/>
      <c r="F7" s="30">
        <v>1</v>
      </c>
      <c r="G7" s="30"/>
      <c r="H7" s="31"/>
      <c r="I7" s="28"/>
    </row>
    <row r="8" spans="2:9" x14ac:dyDescent="0.25">
      <c r="B8" s="29" t="s">
        <v>137</v>
      </c>
      <c r="C8" s="30"/>
      <c r="D8" s="30"/>
      <c r="E8" s="30"/>
      <c r="F8" s="30"/>
      <c r="G8" s="30">
        <v>1</v>
      </c>
      <c r="H8" s="31"/>
      <c r="I8" s="28"/>
    </row>
    <row r="9" spans="2:9" ht="15.75" thickBot="1" x14ac:dyDescent="0.3">
      <c r="B9" s="32" t="s">
        <v>138</v>
      </c>
      <c r="C9" s="33"/>
      <c r="D9" s="33"/>
      <c r="E9" s="33"/>
      <c r="F9" s="33"/>
      <c r="G9" s="33"/>
      <c r="H9" s="34">
        <v>1</v>
      </c>
    </row>
    <row r="10" spans="2:9" x14ac:dyDescent="0.25">
      <c r="B10" s="29" t="s">
        <v>142</v>
      </c>
      <c r="C10" s="30">
        <v>-1</v>
      </c>
      <c r="D10" s="30">
        <v>0</v>
      </c>
      <c r="E10" s="30">
        <v>0</v>
      </c>
      <c r="F10" s="30">
        <v>0</v>
      </c>
      <c r="G10" s="30">
        <v>0</v>
      </c>
      <c r="H10" s="30">
        <v>0</v>
      </c>
      <c r="I10" s="35">
        <v>-14.163232949999999</v>
      </c>
    </row>
    <row r="11" spans="2:9" ht="15.75" thickBot="1" x14ac:dyDescent="0.3">
      <c r="B11" s="29" t="s">
        <v>143</v>
      </c>
      <c r="C11" s="30">
        <v>1</v>
      </c>
      <c r="D11" s="30">
        <v>1</v>
      </c>
      <c r="E11" s="30">
        <v>0</v>
      </c>
      <c r="F11" s="30">
        <v>0</v>
      </c>
      <c r="G11" s="30">
        <v>0</v>
      </c>
      <c r="H11" s="30">
        <v>0</v>
      </c>
      <c r="I11" s="36">
        <v>9.4016472899999997</v>
      </c>
    </row>
    <row r="12" spans="2:9" x14ac:dyDescent="0.25">
      <c r="B12" s="37" t="s">
        <v>144</v>
      </c>
      <c r="C12" s="40"/>
      <c r="D12" s="40">
        <v>1E-3</v>
      </c>
      <c r="E12" s="40">
        <v>1E-3</v>
      </c>
      <c r="F12" s="40">
        <v>1E-3</v>
      </c>
      <c r="G12" s="40">
        <v>1E-3</v>
      </c>
      <c r="H12" s="38">
        <v>1E-3</v>
      </c>
      <c r="I12" s="28"/>
    </row>
    <row r="13" spans="2:9" ht="15.75" thickBot="1" x14ac:dyDescent="0.3">
      <c r="B13" s="32" t="s">
        <v>145</v>
      </c>
      <c r="C13" s="39">
        <v>9.9999999999999995E-8</v>
      </c>
      <c r="D13" s="39">
        <v>1E-4</v>
      </c>
      <c r="E13" s="33">
        <v>1E-3</v>
      </c>
      <c r="F13" s="33">
        <v>1E-3</v>
      </c>
      <c r="G13" s="33">
        <v>1E-3</v>
      </c>
      <c r="H13" s="34">
        <v>1E-3</v>
      </c>
      <c r="I13" s="28"/>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S25"/>
  <sheetViews>
    <sheetView showGridLines="0" zoomScaleNormal="100" workbookViewId="0">
      <selection activeCell="B25" sqref="B25:E25"/>
    </sheetView>
  </sheetViews>
  <sheetFormatPr defaultColWidth="9.140625" defaultRowHeight="15" x14ac:dyDescent="0.25"/>
  <cols>
    <col min="1" max="1" width="14.28515625" style="4" customWidth="1"/>
    <col min="2" max="2" width="12" style="4" customWidth="1"/>
    <col min="3" max="3" width="64.7109375" style="4" bestFit="1" customWidth="1"/>
    <col min="4" max="4" width="13" style="4" customWidth="1"/>
    <col min="5" max="6" width="18.42578125" style="4" customWidth="1"/>
    <col min="7" max="9" width="20" style="4" bestFit="1" customWidth="1"/>
    <col min="10" max="11" width="12.28515625" style="4" customWidth="1"/>
    <col min="12" max="12" width="11" style="4" bestFit="1" customWidth="1"/>
    <col min="13" max="13" width="10.85546875" style="4" customWidth="1"/>
    <col min="14" max="14" width="12" style="4" customWidth="1"/>
    <col min="15" max="15" width="12" style="4" bestFit="1" customWidth="1"/>
    <col min="16" max="16" width="10.140625" style="4" bestFit="1" customWidth="1"/>
    <col min="17" max="17" width="10.140625" style="4" customWidth="1"/>
    <col min="18" max="18" width="23" style="4" customWidth="1"/>
    <col min="19" max="19" width="20.140625" style="4" customWidth="1"/>
    <col min="20" max="16384" width="9.140625" style="4"/>
  </cols>
  <sheetData>
    <row r="1" spans="1:19" s="281" customFormat="1" ht="48" customHeight="1" thickBot="1" x14ac:dyDescent="0.3">
      <c r="A1" s="261"/>
      <c r="B1" s="262"/>
    </row>
    <row r="2" spans="1:19" ht="19.5" customHeight="1" thickBot="1" x14ac:dyDescent="0.3">
      <c r="C2" s="263" t="s">
        <v>1013</v>
      </c>
    </row>
    <row r="3" spans="1:19" ht="15.75" thickBot="1" x14ac:dyDescent="0.3">
      <c r="A3" s="264"/>
      <c r="B3" s="265" t="s">
        <v>0</v>
      </c>
      <c r="C3" s="266" t="s">
        <v>1</v>
      </c>
      <c r="D3" s="266" t="s">
        <v>11</v>
      </c>
      <c r="E3" s="267" t="s">
        <v>1330</v>
      </c>
      <c r="F3" s="267" t="s">
        <v>12</v>
      </c>
      <c r="G3" s="267" t="s">
        <v>1300</v>
      </c>
      <c r="H3" s="267" t="s">
        <v>1323</v>
      </c>
      <c r="I3" s="267" t="s">
        <v>1359</v>
      </c>
      <c r="J3" s="259" t="s">
        <v>561</v>
      </c>
      <c r="K3" s="259" t="s">
        <v>562</v>
      </c>
      <c r="L3" s="266" t="s">
        <v>2</v>
      </c>
      <c r="M3" s="266" t="s">
        <v>431</v>
      </c>
      <c r="N3" s="266" t="s">
        <v>13</v>
      </c>
      <c r="O3" s="266" t="s">
        <v>985</v>
      </c>
      <c r="P3" s="266" t="s">
        <v>3</v>
      </c>
      <c r="Q3" s="268" t="s">
        <v>1842</v>
      </c>
      <c r="R3" s="268" t="s">
        <v>114</v>
      </c>
      <c r="S3" s="269" t="s">
        <v>6</v>
      </c>
    </row>
    <row r="4" spans="1:19" ht="30" x14ac:dyDescent="0.25">
      <c r="B4" s="270" t="s">
        <v>986</v>
      </c>
      <c r="C4" s="115" t="s">
        <v>390</v>
      </c>
      <c r="D4" s="271">
        <v>21</v>
      </c>
      <c r="E4" s="271">
        <v>500</v>
      </c>
      <c r="F4" s="271">
        <v>500</v>
      </c>
      <c r="G4" s="271">
        <v>500</v>
      </c>
      <c r="H4" s="271">
        <v>500</v>
      </c>
      <c r="I4" s="271" t="s">
        <v>1319</v>
      </c>
      <c r="J4" s="260" t="s">
        <v>1357</v>
      </c>
      <c r="K4" s="260" t="s">
        <v>1358</v>
      </c>
      <c r="L4" s="115" t="s">
        <v>987</v>
      </c>
      <c r="M4" s="115"/>
      <c r="N4" s="115" t="s">
        <v>391</v>
      </c>
      <c r="O4" s="115" t="s">
        <v>392</v>
      </c>
      <c r="P4" s="272" t="s">
        <v>393</v>
      </c>
      <c r="Q4" s="273" t="s">
        <v>1845</v>
      </c>
      <c r="R4" s="273"/>
      <c r="S4" s="119"/>
    </row>
    <row r="5" spans="1:19" ht="30" x14ac:dyDescent="0.25">
      <c r="B5" s="274" t="s">
        <v>988</v>
      </c>
      <c r="C5" s="78" t="s">
        <v>394</v>
      </c>
      <c r="D5" s="275">
        <v>0.1</v>
      </c>
      <c r="E5" s="275">
        <v>50</v>
      </c>
      <c r="F5" s="275">
        <v>50</v>
      </c>
      <c r="G5" s="275">
        <v>50</v>
      </c>
      <c r="H5" s="275">
        <v>50</v>
      </c>
      <c r="I5" s="271" t="s">
        <v>1319</v>
      </c>
      <c r="J5" s="75" t="s">
        <v>1357</v>
      </c>
      <c r="K5" s="75" t="s">
        <v>1358</v>
      </c>
      <c r="L5" s="78" t="s">
        <v>987</v>
      </c>
      <c r="M5" s="78"/>
      <c r="N5" s="78" t="s">
        <v>391</v>
      </c>
      <c r="O5" s="78" t="s">
        <v>392</v>
      </c>
      <c r="P5" s="236" t="s">
        <v>393</v>
      </c>
      <c r="Q5" s="363" t="s">
        <v>1845</v>
      </c>
      <c r="R5" s="276"/>
      <c r="S5" s="277"/>
    </row>
    <row r="6" spans="1:19" ht="30" x14ac:dyDescent="0.25">
      <c r="B6" s="274" t="s">
        <v>989</v>
      </c>
      <c r="C6" s="78" t="s">
        <v>395</v>
      </c>
      <c r="D6" s="275">
        <v>0.1</v>
      </c>
      <c r="E6" s="275">
        <v>300</v>
      </c>
      <c r="F6" s="275">
        <v>300</v>
      </c>
      <c r="G6" s="275">
        <v>300</v>
      </c>
      <c r="H6" s="275">
        <v>300</v>
      </c>
      <c r="I6" s="271" t="s">
        <v>1319</v>
      </c>
      <c r="J6" s="75" t="s">
        <v>1357</v>
      </c>
      <c r="K6" s="75" t="s">
        <v>1358</v>
      </c>
      <c r="L6" s="78" t="s">
        <v>987</v>
      </c>
      <c r="M6" s="78"/>
      <c r="N6" s="78" t="s">
        <v>391</v>
      </c>
      <c r="O6" s="78" t="s">
        <v>392</v>
      </c>
      <c r="P6" s="236" t="s">
        <v>393</v>
      </c>
      <c r="Q6" s="363" t="s">
        <v>1845</v>
      </c>
      <c r="R6" s="276"/>
      <c r="S6" s="277"/>
    </row>
    <row r="7" spans="1:19" ht="30" x14ac:dyDescent="0.25">
      <c r="B7" s="274" t="s">
        <v>990</v>
      </c>
      <c r="C7" s="78" t="s">
        <v>396</v>
      </c>
      <c r="D7" s="275">
        <v>0.1</v>
      </c>
      <c r="E7" s="275">
        <v>500</v>
      </c>
      <c r="F7" s="275">
        <v>500</v>
      </c>
      <c r="G7" s="275">
        <v>500</v>
      </c>
      <c r="H7" s="275">
        <v>500</v>
      </c>
      <c r="I7" s="271" t="s">
        <v>1319</v>
      </c>
      <c r="J7" s="75" t="s">
        <v>1357</v>
      </c>
      <c r="K7" s="75" t="s">
        <v>1358</v>
      </c>
      <c r="L7" s="78" t="s">
        <v>987</v>
      </c>
      <c r="M7" s="78"/>
      <c r="N7" s="78" t="s">
        <v>391</v>
      </c>
      <c r="O7" s="78" t="s">
        <v>392</v>
      </c>
      <c r="P7" s="236" t="s">
        <v>393</v>
      </c>
      <c r="Q7" s="363" t="s">
        <v>1845</v>
      </c>
      <c r="R7" s="276"/>
      <c r="S7" s="277"/>
    </row>
    <row r="8" spans="1:19" ht="30" x14ac:dyDescent="0.25">
      <c r="B8" s="274" t="s">
        <v>991</v>
      </c>
      <c r="C8" s="78" t="s">
        <v>397</v>
      </c>
      <c r="D8" s="275">
        <v>200</v>
      </c>
      <c r="E8" s="275">
        <v>50</v>
      </c>
      <c r="F8" s="275">
        <v>50</v>
      </c>
      <c r="G8" s="275">
        <v>50</v>
      </c>
      <c r="H8" s="275">
        <v>50</v>
      </c>
      <c r="I8" s="271" t="s">
        <v>1319</v>
      </c>
      <c r="J8" s="75" t="s">
        <v>1357</v>
      </c>
      <c r="K8" s="75" t="s">
        <v>1358</v>
      </c>
      <c r="L8" s="78" t="s">
        <v>987</v>
      </c>
      <c r="M8" s="78"/>
      <c r="N8" s="78" t="s">
        <v>391</v>
      </c>
      <c r="O8" s="78" t="s">
        <v>392</v>
      </c>
      <c r="P8" s="236" t="s">
        <v>393</v>
      </c>
      <c r="Q8" s="363" t="s">
        <v>146</v>
      </c>
      <c r="R8" s="276"/>
      <c r="S8" s="277"/>
    </row>
    <row r="9" spans="1:19" ht="30" x14ac:dyDescent="0.25">
      <c r="B9" s="274" t="s">
        <v>992</v>
      </c>
      <c r="C9" s="78" t="s">
        <v>398</v>
      </c>
      <c r="D9" s="275">
        <v>87</v>
      </c>
      <c r="E9" s="275">
        <v>5</v>
      </c>
      <c r="F9" s="275">
        <v>5</v>
      </c>
      <c r="G9" s="275">
        <v>5</v>
      </c>
      <c r="H9" s="275">
        <v>5</v>
      </c>
      <c r="I9" s="271" t="s">
        <v>1319</v>
      </c>
      <c r="J9" s="75" t="s">
        <v>1357</v>
      </c>
      <c r="K9" s="75" t="s">
        <v>1358</v>
      </c>
      <c r="L9" s="78" t="s">
        <v>987</v>
      </c>
      <c r="M9" s="78"/>
      <c r="N9" s="78" t="s">
        <v>391</v>
      </c>
      <c r="O9" s="78" t="s">
        <v>399</v>
      </c>
      <c r="P9" s="236" t="s">
        <v>393</v>
      </c>
      <c r="Q9" s="363" t="s">
        <v>146</v>
      </c>
      <c r="R9" s="276"/>
      <c r="S9" s="277"/>
    </row>
    <row r="10" spans="1:19" ht="30" x14ac:dyDescent="0.25">
      <c r="B10" s="274" t="s">
        <v>993</v>
      </c>
      <c r="C10" s="78" t="s">
        <v>400</v>
      </c>
      <c r="D10" s="275">
        <v>35</v>
      </c>
      <c r="E10" s="275">
        <v>1</v>
      </c>
      <c r="F10" s="275">
        <v>1</v>
      </c>
      <c r="G10" s="275">
        <v>1</v>
      </c>
      <c r="H10" s="275">
        <v>1</v>
      </c>
      <c r="I10" s="271" t="s">
        <v>1319</v>
      </c>
      <c r="J10" s="75" t="s">
        <v>1357</v>
      </c>
      <c r="K10" s="75" t="s">
        <v>1358</v>
      </c>
      <c r="L10" s="78" t="s">
        <v>987</v>
      </c>
      <c r="M10" s="78"/>
      <c r="N10" s="78" t="s">
        <v>391</v>
      </c>
      <c r="O10" s="78" t="s">
        <v>399</v>
      </c>
      <c r="P10" s="236" t="s">
        <v>393</v>
      </c>
      <c r="Q10" s="363" t="s">
        <v>146</v>
      </c>
      <c r="R10" s="276"/>
      <c r="S10" s="277"/>
    </row>
    <row r="11" spans="1:19" ht="30" x14ac:dyDescent="0.25">
      <c r="B11" s="274" t="s">
        <v>994</v>
      </c>
      <c r="C11" s="78" t="s">
        <v>401</v>
      </c>
      <c r="D11" s="275">
        <v>0.01</v>
      </c>
      <c r="E11" s="275">
        <v>200</v>
      </c>
      <c r="F11" s="275">
        <v>200</v>
      </c>
      <c r="G11" s="275">
        <v>200</v>
      </c>
      <c r="H11" s="275">
        <v>200</v>
      </c>
      <c r="I11" s="271" t="s">
        <v>1319</v>
      </c>
      <c r="J11" s="75" t="s">
        <v>1357</v>
      </c>
      <c r="K11" s="75" t="s">
        <v>1358</v>
      </c>
      <c r="L11" s="78" t="s">
        <v>987</v>
      </c>
      <c r="M11" s="78"/>
      <c r="N11" s="78" t="s">
        <v>391</v>
      </c>
      <c r="O11" s="78" t="s">
        <v>392</v>
      </c>
      <c r="P11" s="236" t="s">
        <v>393</v>
      </c>
      <c r="Q11" s="363" t="s">
        <v>146</v>
      </c>
      <c r="R11" s="276"/>
      <c r="S11" s="277"/>
    </row>
    <row r="12" spans="1:19" ht="30" x14ac:dyDescent="0.25">
      <c r="B12" s="274" t="s">
        <v>995</v>
      </c>
      <c r="C12" s="78" t="s">
        <v>402</v>
      </c>
      <c r="D12" s="275">
        <v>50</v>
      </c>
      <c r="E12" s="275">
        <v>700</v>
      </c>
      <c r="F12" s="275">
        <v>700</v>
      </c>
      <c r="G12" s="275">
        <v>700</v>
      </c>
      <c r="H12" s="275">
        <v>700</v>
      </c>
      <c r="I12" s="271" t="s">
        <v>1319</v>
      </c>
      <c r="J12" s="75" t="s">
        <v>1357</v>
      </c>
      <c r="K12" s="75" t="s">
        <v>1358</v>
      </c>
      <c r="L12" s="78" t="s">
        <v>987</v>
      </c>
      <c r="M12" s="78"/>
      <c r="N12" s="78" t="s">
        <v>391</v>
      </c>
      <c r="O12" s="78" t="s">
        <v>392</v>
      </c>
      <c r="P12" s="236" t="s">
        <v>393</v>
      </c>
      <c r="Q12" s="363" t="s">
        <v>146</v>
      </c>
      <c r="R12" s="276"/>
      <c r="S12" s="277"/>
    </row>
    <row r="13" spans="1:19" ht="30" x14ac:dyDescent="0.25">
      <c r="B13" s="274" t="s">
        <v>996</v>
      </c>
      <c r="C13" s="78" t="s">
        <v>403</v>
      </c>
      <c r="D13" s="275">
        <v>25</v>
      </c>
      <c r="E13" s="275">
        <v>25</v>
      </c>
      <c r="F13" s="275">
        <v>25</v>
      </c>
      <c r="G13" s="275">
        <v>25</v>
      </c>
      <c r="H13" s="275">
        <v>25</v>
      </c>
      <c r="I13" s="271" t="s">
        <v>1319</v>
      </c>
      <c r="J13" s="75" t="s">
        <v>1357</v>
      </c>
      <c r="K13" s="75" t="s">
        <v>1358</v>
      </c>
      <c r="L13" s="78" t="s">
        <v>987</v>
      </c>
      <c r="M13" s="78"/>
      <c r="N13" s="78" t="s">
        <v>391</v>
      </c>
      <c r="O13" s="78" t="s">
        <v>399</v>
      </c>
      <c r="P13" s="236" t="s">
        <v>393</v>
      </c>
      <c r="Q13" s="363" t="s">
        <v>146</v>
      </c>
      <c r="R13" s="276"/>
      <c r="S13" s="277"/>
    </row>
    <row r="14" spans="1:19" ht="30" x14ac:dyDescent="0.25">
      <c r="B14" s="274" t="s">
        <v>997</v>
      </c>
      <c r="C14" s="78" t="s">
        <v>404</v>
      </c>
      <c r="D14" s="275">
        <v>0.01</v>
      </c>
      <c r="E14" s="275">
        <v>200</v>
      </c>
      <c r="F14" s="275">
        <v>200</v>
      </c>
      <c r="G14" s="275">
        <v>200</v>
      </c>
      <c r="H14" s="275">
        <v>200</v>
      </c>
      <c r="I14" s="271" t="s">
        <v>1319</v>
      </c>
      <c r="J14" s="75" t="s">
        <v>1357</v>
      </c>
      <c r="K14" s="75" t="s">
        <v>1358</v>
      </c>
      <c r="L14" s="78" t="s">
        <v>998</v>
      </c>
      <c r="M14" s="78"/>
      <c r="N14" s="78" t="s">
        <v>391</v>
      </c>
      <c r="O14" s="78" t="s">
        <v>392</v>
      </c>
      <c r="P14" s="236" t="s">
        <v>393</v>
      </c>
      <c r="Q14" s="363" t="s">
        <v>389</v>
      </c>
      <c r="R14" s="276"/>
      <c r="S14" s="277"/>
    </row>
    <row r="15" spans="1:19" ht="30" x14ac:dyDescent="0.25">
      <c r="B15" s="274" t="s">
        <v>999</v>
      </c>
      <c r="C15" s="78" t="s">
        <v>405</v>
      </c>
      <c r="D15" s="275">
        <v>0.01</v>
      </c>
      <c r="E15" s="275">
        <v>50</v>
      </c>
      <c r="F15" s="275">
        <v>50</v>
      </c>
      <c r="G15" s="275">
        <v>50</v>
      </c>
      <c r="H15" s="275">
        <v>50</v>
      </c>
      <c r="I15" s="271" t="s">
        <v>1319</v>
      </c>
      <c r="J15" s="75" t="s">
        <v>1357</v>
      </c>
      <c r="K15" s="75" t="s">
        <v>1358</v>
      </c>
      <c r="L15" s="78" t="s">
        <v>998</v>
      </c>
      <c r="M15" s="78"/>
      <c r="N15" s="78" t="s">
        <v>391</v>
      </c>
      <c r="O15" s="78" t="s">
        <v>392</v>
      </c>
      <c r="P15" s="236" t="s">
        <v>393</v>
      </c>
      <c r="Q15" s="363" t="s">
        <v>389</v>
      </c>
      <c r="R15" s="276"/>
      <c r="S15" s="277"/>
    </row>
    <row r="16" spans="1:19" ht="30" x14ac:dyDescent="0.25">
      <c r="B16" s="274" t="s">
        <v>1000</v>
      </c>
      <c r="C16" s="78" t="s">
        <v>406</v>
      </c>
      <c r="D16" s="275">
        <v>2.2000000000000002</v>
      </c>
      <c r="E16" s="275">
        <v>1</v>
      </c>
      <c r="F16" s="275">
        <v>1</v>
      </c>
      <c r="G16" s="275">
        <v>1</v>
      </c>
      <c r="H16" s="275">
        <v>1</v>
      </c>
      <c r="I16" s="271" t="s">
        <v>1319</v>
      </c>
      <c r="J16" s="75" t="s">
        <v>1357</v>
      </c>
      <c r="K16" s="75" t="s">
        <v>1358</v>
      </c>
      <c r="L16" s="78" t="s">
        <v>998</v>
      </c>
      <c r="M16" s="78"/>
      <c r="N16" s="78" t="s">
        <v>391</v>
      </c>
      <c r="O16" s="78" t="s">
        <v>399</v>
      </c>
      <c r="P16" s="236" t="s">
        <v>393</v>
      </c>
      <c r="Q16" s="363" t="s">
        <v>389</v>
      </c>
      <c r="R16" s="276"/>
      <c r="S16" s="277"/>
    </row>
    <row r="17" spans="2:19" ht="30" x14ac:dyDescent="0.25">
      <c r="B17" s="274" t="s">
        <v>1001</v>
      </c>
      <c r="C17" s="78" t="s">
        <v>407</v>
      </c>
      <c r="D17" s="275">
        <v>3.5</v>
      </c>
      <c r="E17" s="275">
        <v>4</v>
      </c>
      <c r="F17" s="275">
        <v>4</v>
      </c>
      <c r="G17" s="275">
        <v>4</v>
      </c>
      <c r="H17" s="275">
        <v>4</v>
      </c>
      <c r="I17" s="271" t="s">
        <v>1319</v>
      </c>
      <c r="J17" s="75" t="s">
        <v>1357</v>
      </c>
      <c r="K17" s="75" t="s">
        <v>1358</v>
      </c>
      <c r="L17" s="78" t="s">
        <v>1002</v>
      </c>
      <c r="M17" s="78"/>
      <c r="N17" s="78" t="s">
        <v>391</v>
      </c>
      <c r="O17" s="78" t="s">
        <v>392</v>
      </c>
      <c r="P17" s="236" t="s">
        <v>393</v>
      </c>
      <c r="Q17" s="363" t="s">
        <v>388</v>
      </c>
      <c r="R17" s="276"/>
      <c r="S17" s="277"/>
    </row>
    <row r="18" spans="2:19" ht="30" x14ac:dyDescent="0.25">
      <c r="B18" s="274" t="s">
        <v>1003</v>
      </c>
      <c r="C18" s="78" t="s">
        <v>408</v>
      </c>
      <c r="D18" s="275">
        <v>1.5</v>
      </c>
      <c r="E18" s="275">
        <v>0.5</v>
      </c>
      <c r="F18" s="275">
        <v>0.5</v>
      </c>
      <c r="G18" s="275">
        <v>0.5</v>
      </c>
      <c r="H18" s="275">
        <v>0.5</v>
      </c>
      <c r="I18" s="271" t="s">
        <v>1319</v>
      </c>
      <c r="J18" s="75" t="s">
        <v>1357</v>
      </c>
      <c r="K18" s="75" t="s">
        <v>1358</v>
      </c>
      <c r="L18" s="78" t="s">
        <v>1002</v>
      </c>
      <c r="M18" s="78"/>
      <c r="N18" s="78" t="s">
        <v>391</v>
      </c>
      <c r="O18" s="78" t="s">
        <v>399</v>
      </c>
      <c r="P18" s="236" t="s">
        <v>393</v>
      </c>
      <c r="Q18" s="363" t="s">
        <v>388</v>
      </c>
      <c r="R18" s="276"/>
      <c r="S18" s="277"/>
    </row>
    <row r="19" spans="2:19" ht="30" x14ac:dyDescent="0.25">
      <c r="B19" s="274" t="s">
        <v>1004</v>
      </c>
      <c r="C19" s="78" t="s">
        <v>1005</v>
      </c>
      <c r="D19" s="275" t="s">
        <v>1319</v>
      </c>
      <c r="E19" s="275">
        <v>15</v>
      </c>
      <c r="F19" s="275">
        <v>15</v>
      </c>
      <c r="G19" s="275">
        <v>15</v>
      </c>
      <c r="H19" s="275">
        <v>15</v>
      </c>
      <c r="I19" s="271" t="s">
        <v>1319</v>
      </c>
      <c r="J19" s="75" t="s">
        <v>1357</v>
      </c>
      <c r="K19" s="75" t="s">
        <v>1358</v>
      </c>
      <c r="L19" s="78" t="s">
        <v>1002</v>
      </c>
      <c r="M19" s="78"/>
      <c r="N19" s="78" t="s">
        <v>391</v>
      </c>
      <c r="O19" s="78" t="s">
        <v>399</v>
      </c>
      <c r="P19" s="236" t="s">
        <v>393</v>
      </c>
      <c r="Q19" s="363" t="s">
        <v>388</v>
      </c>
      <c r="R19" s="276"/>
      <c r="S19" s="277"/>
    </row>
    <row r="20" spans="2:19" ht="30" x14ac:dyDescent="0.25">
      <c r="B20" s="274" t="s">
        <v>1006</v>
      </c>
      <c r="C20" s="78" t="s">
        <v>409</v>
      </c>
      <c r="D20" s="275">
        <v>23</v>
      </c>
      <c r="E20" s="275">
        <v>3</v>
      </c>
      <c r="F20" s="275">
        <v>3</v>
      </c>
      <c r="G20" s="275">
        <v>3</v>
      </c>
      <c r="H20" s="275">
        <v>3</v>
      </c>
      <c r="I20" s="271" t="s">
        <v>1319</v>
      </c>
      <c r="J20" s="75" t="s">
        <v>1357</v>
      </c>
      <c r="K20" s="75" t="s">
        <v>1358</v>
      </c>
      <c r="L20" s="78" t="s">
        <v>1002</v>
      </c>
      <c r="M20" s="78"/>
      <c r="N20" s="78" t="s">
        <v>391</v>
      </c>
      <c r="O20" s="78" t="s">
        <v>399</v>
      </c>
      <c r="P20" s="236" t="s">
        <v>393</v>
      </c>
      <c r="Q20" s="363" t="s">
        <v>388</v>
      </c>
      <c r="R20" s="276"/>
      <c r="S20" s="277"/>
    </row>
    <row r="21" spans="2:19" ht="30" x14ac:dyDescent="0.25">
      <c r="B21" s="274" t="s">
        <v>1007</v>
      </c>
      <c r="C21" s="78" t="s">
        <v>410</v>
      </c>
      <c r="D21" s="275">
        <v>2</v>
      </c>
      <c r="E21" s="275">
        <v>2</v>
      </c>
      <c r="F21" s="275">
        <v>2</v>
      </c>
      <c r="G21" s="275">
        <v>2</v>
      </c>
      <c r="H21" s="275">
        <v>2</v>
      </c>
      <c r="I21" s="271" t="s">
        <v>1319</v>
      </c>
      <c r="J21" s="75" t="s">
        <v>1357</v>
      </c>
      <c r="K21" s="75" t="s">
        <v>1358</v>
      </c>
      <c r="L21" s="78" t="s">
        <v>1002</v>
      </c>
      <c r="M21" s="78"/>
      <c r="N21" s="78" t="s">
        <v>391</v>
      </c>
      <c r="O21" s="78" t="s">
        <v>399</v>
      </c>
      <c r="P21" s="236" t="s">
        <v>393</v>
      </c>
      <c r="Q21" s="363" t="s">
        <v>388</v>
      </c>
      <c r="R21" s="276"/>
      <c r="S21" s="277"/>
    </row>
    <row r="22" spans="2:19" ht="30" x14ac:dyDescent="0.25">
      <c r="B22" s="274" t="s">
        <v>1361</v>
      </c>
      <c r="C22" s="78" t="s">
        <v>411</v>
      </c>
      <c r="D22" s="275" t="s">
        <v>1319</v>
      </c>
      <c r="E22" s="275">
        <v>2</v>
      </c>
      <c r="F22" s="275">
        <v>2</v>
      </c>
      <c r="G22" s="275">
        <v>2</v>
      </c>
      <c r="H22" s="275">
        <v>2</v>
      </c>
      <c r="I22" s="271" t="s">
        <v>1319</v>
      </c>
      <c r="J22" s="75" t="s">
        <v>1357</v>
      </c>
      <c r="K22" s="75" t="s">
        <v>1358</v>
      </c>
      <c r="L22" s="278" t="s">
        <v>412</v>
      </c>
      <c r="M22" s="278"/>
      <c r="N22" s="78" t="s">
        <v>391</v>
      </c>
      <c r="O22" s="78" t="s">
        <v>399</v>
      </c>
      <c r="P22" s="236" t="s">
        <v>393</v>
      </c>
      <c r="Q22" s="363" t="s">
        <v>1843</v>
      </c>
      <c r="R22" s="276"/>
      <c r="S22" s="277"/>
    </row>
    <row r="23" spans="2:19" ht="18" x14ac:dyDescent="0.25">
      <c r="B23" s="274" t="s">
        <v>1008</v>
      </c>
      <c r="C23" s="78" t="s">
        <v>413</v>
      </c>
      <c r="D23" s="275">
        <v>16</v>
      </c>
      <c r="E23" s="275">
        <v>16</v>
      </c>
      <c r="F23" s="275">
        <v>16</v>
      </c>
      <c r="G23" s="275">
        <v>16</v>
      </c>
      <c r="H23" s="275">
        <v>16</v>
      </c>
      <c r="I23" s="271" t="s">
        <v>1319</v>
      </c>
      <c r="J23" s="75" t="s">
        <v>1357</v>
      </c>
      <c r="K23" s="75" t="s">
        <v>1358</v>
      </c>
      <c r="L23" s="78" t="s">
        <v>1002</v>
      </c>
      <c r="M23" s="78"/>
      <c r="N23" s="78" t="s">
        <v>391</v>
      </c>
      <c r="O23" s="78" t="s">
        <v>399</v>
      </c>
      <c r="P23" s="236" t="s">
        <v>1367</v>
      </c>
      <c r="Q23" s="363" t="s">
        <v>388</v>
      </c>
      <c r="R23" s="276"/>
      <c r="S23" s="277"/>
    </row>
    <row r="24" spans="2:19" ht="18" x14ac:dyDescent="0.25">
      <c r="B24" s="274" t="s">
        <v>1009</v>
      </c>
      <c r="C24" s="78" t="s">
        <v>414</v>
      </c>
      <c r="D24" s="275" t="s">
        <v>1319</v>
      </c>
      <c r="E24" s="275">
        <v>1</v>
      </c>
      <c r="F24" s="275">
        <v>1</v>
      </c>
      <c r="G24" s="275">
        <v>1</v>
      </c>
      <c r="H24" s="275">
        <v>1</v>
      </c>
      <c r="I24" s="271" t="s">
        <v>1319</v>
      </c>
      <c r="J24" s="75" t="s">
        <v>1357</v>
      </c>
      <c r="K24" s="75" t="s">
        <v>1358</v>
      </c>
      <c r="L24" s="78" t="s">
        <v>987</v>
      </c>
      <c r="M24" s="78"/>
      <c r="N24" s="78" t="s">
        <v>391</v>
      </c>
      <c r="O24" s="78" t="s">
        <v>399</v>
      </c>
      <c r="P24" s="236" t="s">
        <v>1367</v>
      </c>
      <c r="Q24" s="363" t="s">
        <v>146</v>
      </c>
      <c r="R24" s="276"/>
      <c r="S24" s="277"/>
    </row>
    <row r="25" spans="2:19" ht="30.75" thickBot="1" x14ac:dyDescent="0.3">
      <c r="B25" s="282" t="s">
        <v>1012</v>
      </c>
      <c r="C25" s="148" t="s">
        <v>415</v>
      </c>
      <c r="D25" s="148">
        <v>35</v>
      </c>
      <c r="E25" s="148">
        <v>500</v>
      </c>
      <c r="F25" s="148">
        <v>500</v>
      </c>
      <c r="G25" s="148">
        <v>500</v>
      </c>
      <c r="H25" s="148">
        <v>500</v>
      </c>
      <c r="I25" s="283" t="s">
        <v>1319</v>
      </c>
      <c r="J25" s="127" t="s">
        <v>1357</v>
      </c>
      <c r="K25" s="127" t="s">
        <v>1358</v>
      </c>
      <c r="L25" s="148" t="s">
        <v>1010</v>
      </c>
      <c r="M25" s="148"/>
      <c r="N25" s="234" t="s">
        <v>391</v>
      </c>
      <c r="O25" s="234" t="s">
        <v>392</v>
      </c>
      <c r="P25" s="234" t="s">
        <v>393</v>
      </c>
      <c r="Q25" s="364" t="s">
        <v>1844</v>
      </c>
      <c r="R25" s="279"/>
      <c r="S25" s="280"/>
    </row>
  </sheetData>
  <phoneticPr fontId="12"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4"/>
  <sheetViews>
    <sheetView showGridLines="0" workbookViewId="0">
      <selection activeCell="D23" sqref="D23"/>
    </sheetView>
  </sheetViews>
  <sheetFormatPr defaultColWidth="9.14062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28515625" customWidth="1"/>
  </cols>
  <sheetData>
    <row r="1" spans="2:7" s="47" customFormat="1" ht="57.75" customHeight="1" thickBot="1" x14ac:dyDescent="0.3"/>
    <row r="2" spans="2:7" ht="15.75" thickBot="1" x14ac:dyDescent="0.3">
      <c r="B2" s="4"/>
      <c r="C2" s="59" t="s">
        <v>113</v>
      </c>
      <c r="D2" s="60" t="s">
        <v>116</v>
      </c>
      <c r="E2" s="4"/>
      <c r="F2" s="4"/>
      <c r="G2" s="4"/>
    </row>
    <row r="3" spans="2:7" x14ac:dyDescent="0.25">
      <c r="B3" s="54" t="s">
        <v>0</v>
      </c>
      <c r="C3" s="55" t="s">
        <v>1</v>
      </c>
      <c r="D3" s="55" t="s">
        <v>4</v>
      </c>
      <c r="E3" s="56" t="s">
        <v>2</v>
      </c>
      <c r="F3" s="57" t="s">
        <v>114</v>
      </c>
      <c r="G3" s="58" t="s">
        <v>115</v>
      </c>
    </row>
    <row r="4" spans="2:7" x14ac:dyDescent="0.25">
      <c r="B4" s="5"/>
      <c r="C4" s="5"/>
      <c r="D4" s="5"/>
      <c r="E4" s="5"/>
      <c r="F4" s="5"/>
      <c r="G4" s="5"/>
    </row>
  </sheetData>
  <phoneticPr fontId="12"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C2" sqref="C2"/>
    </sheetView>
  </sheetViews>
  <sheetFormatPr defaultColWidth="9.140625" defaultRowHeight="15" x14ac:dyDescent="0.25"/>
  <cols>
    <col min="2" max="2" width="15.140625" customWidth="1"/>
    <col min="3" max="3" width="24.85546875" customWidth="1"/>
    <col min="4" max="4" width="20.85546875" customWidth="1"/>
    <col min="7" max="7" width="23.42578125" customWidth="1"/>
  </cols>
  <sheetData>
    <row r="1" spans="2:7" s="47" customFormat="1" ht="43.5" customHeight="1" thickBot="1" x14ac:dyDescent="0.3"/>
    <row r="2" spans="2:7" ht="15.75" thickBot="1" x14ac:dyDescent="0.3">
      <c r="B2" s="4"/>
      <c r="C2" s="2" t="s">
        <v>113</v>
      </c>
      <c r="D2" s="12"/>
      <c r="E2" s="4"/>
      <c r="F2" s="4"/>
      <c r="G2" s="4"/>
    </row>
    <row r="3" spans="2:7" x14ac:dyDescent="0.25">
      <c r="B3" s="15" t="s">
        <v>0</v>
      </c>
      <c r="C3" s="16" t="s">
        <v>1</v>
      </c>
      <c r="D3" s="16" t="s">
        <v>4</v>
      </c>
      <c r="E3" s="17" t="s">
        <v>2</v>
      </c>
      <c r="F3" s="18" t="s">
        <v>114</v>
      </c>
      <c r="G3" s="19" t="s">
        <v>115</v>
      </c>
    </row>
    <row r="4" spans="2:7" x14ac:dyDescent="0.25">
      <c r="B4" s="5"/>
      <c r="C4" s="5"/>
      <c r="D4" s="5"/>
      <c r="E4" s="5"/>
      <c r="F4" s="5"/>
      <c r="G4" s="5"/>
    </row>
  </sheetData>
  <phoneticPr fontId="1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M13" sqref="M13"/>
    </sheetView>
  </sheetViews>
  <sheetFormatPr defaultColWidth="9.140625" defaultRowHeight="15" x14ac:dyDescent="0.25"/>
  <cols>
    <col min="2" max="2" width="24.28515625" customWidth="1"/>
    <col min="3" max="4" width="22.140625" customWidth="1"/>
  </cols>
  <sheetData>
    <row r="1" spans="2:6" s="47" customFormat="1" ht="58.5" customHeight="1" thickBot="1" x14ac:dyDescent="0.3"/>
    <row r="2" spans="2:6" ht="15.75" thickBot="1" x14ac:dyDescent="0.3">
      <c r="C2" s="61" t="s">
        <v>131</v>
      </c>
      <c r="D2" s="1"/>
    </row>
    <row r="3" spans="2:6" ht="20.25" customHeight="1" x14ac:dyDescent="0.25">
      <c r="B3" s="53" t="s">
        <v>0</v>
      </c>
      <c r="C3" s="53" t="s">
        <v>1</v>
      </c>
      <c r="D3" s="62" t="s">
        <v>4</v>
      </c>
      <c r="E3" s="62" t="s">
        <v>114</v>
      </c>
      <c r="F3" s="62" t="s">
        <v>2</v>
      </c>
    </row>
  </sheetData>
  <phoneticPr fontId="12"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I49"/>
  <sheetViews>
    <sheetView showGridLines="0" zoomScaleNormal="100" workbookViewId="0"/>
  </sheetViews>
  <sheetFormatPr defaultColWidth="9.140625" defaultRowHeight="15" x14ac:dyDescent="0.25"/>
  <cols>
    <col min="1" max="1" width="3.7109375" style="113" customWidth="1"/>
    <col min="2" max="2" width="15.5703125" style="4" bestFit="1" customWidth="1"/>
    <col min="3" max="3" width="76.140625" style="4" bestFit="1" customWidth="1"/>
    <col min="4" max="4" width="104.42578125" style="111" customWidth="1"/>
    <col min="5" max="5" width="9.140625" style="412" customWidth="1"/>
    <col min="6" max="6" width="13.85546875" style="3" bestFit="1" customWidth="1"/>
    <col min="7" max="7" width="12.28515625" style="3" customWidth="1"/>
    <col min="8" max="8" width="9.85546875" style="113" customWidth="1"/>
    <col min="9" max="9" width="20.85546875" style="113" customWidth="1"/>
    <col min="10" max="16384" width="9.140625" style="113"/>
  </cols>
  <sheetData>
    <row r="1" spans="2:9" s="396" customFormat="1" ht="62.25" customHeight="1" thickBot="1" x14ac:dyDescent="0.3">
      <c r="B1" s="281"/>
      <c r="C1" s="281"/>
      <c r="D1" s="393"/>
      <c r="E1" s="394"/>
      <c r="F1" s="395"/>
      <c r="G1" s="395"/>
    </row>
    <row r="2" spans="2:9" ht="19.5" customHeight="1" thickBot="1" x14ac:dyDescent="0.3">
      <c r="C2" s="294" t="s">
        <v>1369</v>
      </c>
      <c r="D2" s="166" t="s">
        <v>430</v>
      </c>
      <c r="E2" s="69"/>
      <c r="H2" s="3"/>
    </row>
    <row r="3" spans="2:9" ht="15.75" thickBot="1" x14ac:dyDescent="0.3">
      <c r="B3" s="239" t="s">
        <v>0</v>
      </c>
      <c r="C3" s="240" t="s">
        <v>1</v>
      </c>
      <c r="D3" s="384" t="s">
        <v>4</v>
      </c>
      <c r="E3" s="241" t="s">
        <v>150</v>
      </c>
      <c r="F3" s="242" t="s">
        <v>2</v>
      </c>
      <c r="G3" s="242" t="s">
        <v>431</v>
      </c>
      <c r="H3" s="242" t="s">
        <v>114</v>
      </c>
      <c r="I3" s="243" t="s">
        <v>115</v>
      </c>
    </row>
    <row r="4" spans="2:9" s="4" customFormat="1" ht="18" x14ac:dyDescent="0.25">
      <c r="B4" s="284" t="s">
        <v>1349</v>
      </c>
      <c r="C4" s="230" t="s">
        <v>432</v>
      </c>
      <c r="D4" s="385" t="s">
        <v>1218</v>
      </c>
      <c r="E4" s="301">
        <f>S_BSC+S_BSA</f>
        <v>6</v>
      </c>
      <c r="F4" s="397" t="s">
        <v>533</v>
      </c>
      <c r="G4" s="233">
        <v>1</v>
      </c>
      <c r="H4" s="230"/>
      <c r="I4" s="293"/>
    </row>
    <row r="5" spans="2:9" ht="18" x14ac:dyDescent="0.25">
      <c r="B5" s="302" t="s">
        <v>1350</v>
      </c>
      <c r="C5" s="295" t="s">
        <v>433</v>
      </c>
      <c r="D5" s="398" t="s">
        <v>1219</v>
      </c>
      <c r="E5" s="297">
        <f>Z_H+Z_A+Z_P+S_ENM+S_PHB</f>
        <v>1100</v>
      </c>
      <c r="F5" s="399" t="s">
        <v>533</v>
      </c>
      <c r="G5" s="413">
        <v>1</v>
      </c>
      <c r="H5" s="298"/>
      <c r="I5" s="303"/>
    </row>
    <row r="6" spans="2:9" ht="18" x14ac:dyDescent="0.25">
      <c r="B6" s="302" t="s">
        <v>1351</v>
      </c>
      <c r="C6" s="295" t="s">
        <v>1370</v>
      </c>
      <c r="D6" s="386" t="s">
        <v>1352</v>
      </c>
      <c r="E6" s="297">
        <f>S_BOD_ult+X_BOD_ult</f>
        <v>1106</v>
      </c>
      <c r="F6" s="399" t="s">
        <v>533</v>
      </c>
      <c r="G6" s="413">
        <v>1</v>
      </c>
      <c r="H6" s="298"/>
      <c r="I6" s="303"/>
    </row>
    <row r="7" spans="2:9" ht="18" x14ac:dyDescent="0.25">
      <c r="B7" s="302" t="s">
        <v>434</v>
      </c>
      <c r="C7" s="295" t="s">
        <v>1355</v>
      </c>
      <c r="D7" s="386" t="s">
        <v>1353</v>
      </c>
      <c r="E7" s="297">
        <f>S_BOD_ult*f_BOD5_BODult</f>
        <v>3.9000000000000004</v>
      </c>
      <c r="F7" s="399" t="s">
        <v>533</v>
      </c>
      <c r="G7" s="413">
        <v>1</v>
      </c>
      <c r="H7" s="298"/>
      <c r="I7" s="303"/>
    </row>
    <row r="8" spans="2:9" ht="18" x14ac:dyDescent="0.25">
      <c r="B8" s="302" t="s">
        <v>435</v>
      </c>
      <c r="C8" s="295" t="s">
        <v>1356</v>
      </c>
      <c r="D8" s="386" t="s">
        <v>1354</v>
      </c>
      <c r="E8" s="297">
        <f>X_BOD_ult*f_BOD5_BODult</f>
        <v>715</v>
      </c>
      <c r="F8" s="399" t="s">
        <v>533</v>
      </c>
      <c r="G8" s="413">
        <v>1</v>
      </c>
      <c r="H8" s="298"/>
      <c r="I8" s="303"/>
    </row>
    <row r="9" spans="2:9" ht="18" x14ac:dyDescent="0.25">
      <c r="B9" s="302" t="s">
        <v>436</v>
      </c>
      <c r="C9" s="295" t="s">
        <v>1371</v>
      </c>
      <c r="D9" s="386" t="s">
        <v>1220</v>
      </c>
      <c r="E9" s="297">
        <f>S_BOD_5+X_BOD_5</f>
        <v>718.9</v>
      </c>
      <c r="F9" s="399" t="s">
        <v>533</v>
      </c>
      <c r="G9" s="413">
        <v>1</v>
      </c>
      <c r="H9" s="298"/>
      <c r="I9" s="303"/>
    </row>
    <row r="10" spans="2:9" ht="18" x14ac:dyDescent="0.25">
      <c r="B10" s="302" t="s">
        <v>437</v>
      </c>
      <c r="C10" s="295" t="s">
        <v>438</v>
      </c>
      <c r="D10" s="386" t="s">
        <v>1221</v>
      </c>
      <c r="E10" s="297">
        <f>S_BSC+S_BSA+S_US</f>
        <v>31</v>
      </c>
      <c r="F10" s="399" t="s">
        <v>533</v>
      </c>
      <c r="G10" s="413">
        <v>1</v>
      </c>
      <c r="H10" s="298"/>
      <c r="I10" s="303"/>
    </row>
    <row r="11" spans="2:9" ht="18" x14ac:dyDescent="0.25">
      <c r="B11" s="304" t="s">
        <v>426</v>
      </c>
      <c r="C11" s="300" t="s">
        <v>420</v>
      </c>
      <c r="D11" s="398" t="s">
        <v>427</v>
      </c>
      <c r="E11" s="299">
        <f>Z_H+Z_A+Z_P+Z_E+S_ENM+S_PHB+S_UP</f>
        <v>2300</v>
      </c>
      <c r="F11" s="399" t="s">
        <v>533</v>
      </c>
      <c r="G11" s="399">
        <v>1</v>
      </c>
      <c r="H11" s="400"/>
      <c r="I11" s="401"/>
    </row>
    <row r="12" spans="2:9" ht="18" x14ac:dyDescent="0.25">
      <c r="B12" s="304" t="s">
        <v>439</v>
      </c>
      <c r="C12" s="300" t="s">
        <v>440</v>
      </c>
      <c r="D12" s="398" t="s">
        <v>1222</v>
      </c>
      <c r="E12" s="299">
        <f>S_COD+X_COD</f>
        <v>2331</v>
      </c>
      <c r="F12" s="399" t="s">
        <v>533</v>
      </c>
      <c r="G12" s="399">
        <v>1</v>
      </c>
      <c r="H12" s="400"/>
      <c r="I12" s="401"/>
    </row>
    <row r="13" spans="2:9" ht="18" x14ac:dyDescent="0.25">
      <c r="B13" s="304" t="s">
        <v>441</v>
      </c>
      <c r="C13" s="300" t="s">
        <v>442</v>
      </c>
      <c r="D13" s="386" t="s">
        <v>534</v>
      </c>
      <c r="E13" s="399">
        <f>N_H3+N_BP+N_BS+N_US*f_N_SEP*S_UP+f_N_ZH*Z_H+f_N_ZEH*Z_E+f_N_ZA*Z_A+f_N_ZP*Z_P</f>
        <v>200</v>
      </c>
      <c r="F13" s="399" t="s">
        <v>443</v>
      </c>
      <c r="G13" s="399">
        <v>1</v>
      </c>
      <c r="H13" s="400"/>
      <c r="I13" s="401"/>
    </row>
    <row r="14" spans="2:9" ht="18" x14ac:dyDescent="0.25">
      <c r="B14" s="304" t="s">
        <v>444</v>
      </c>
      <c r="C14" s="300" t="s">
        <v>445</v>
      </c>
      <c r="D14" s="398" t="s">
        <v>1223</v>
      </c>
      <c r="E14" s="399">
        <f>T_KN+N_O3</f>
        <v>215</v>
      </c>
      <c r="F14" s="399" t="s">
        <v>443</v>
      </c>
      <c r="G14" s="399">
        <v>1</v>
      </c>
      <c r="H14" s="400"/>
      <c r="I14" s="401"/>
    </row>
    <row r="15" spans="2:9" ht="18" x14ac:dyDescent="0.25">
      <c r="B15" s="304" t="s">
        <v>428</v>
      </c>
      <c r="C15" s="300" t="s">
        <v>421</v>
      </c>
      <c r="D15" s="398" t="s">
        <v>530</v>
      </c>
      <c r="E15" s="299">
        <f>Z_H/f_CV_H+Z_A/f_CV_A+Z_P/f_CV_P+(Z_E+S_ENM+S_PHB+S_UP)/f_CV_O</f>
        <v>1564.0464408070043</v>
      </c>
      <c r="F15" s="399" t="s">
        <v>535</v>
      </c>
      <c r="G15" s="399">
        <v>1</v>
      </c>
      <c r="H15" s="400"/>
      <c r="I15" s="401"/>
    </row>
    <row r="16" spans="2:9" ht="18" x14ac:dyDescent="0.25">
      <c r="B16" s="302" t="s">
        <v>1333</v>
      </c>
      <c r="C16" s="295" t="s">
        <v>415</v>
      </c>
      <c r="D16" s="398" t="s">
        <v>1336</v>
      </c>
      <c r="E16" s="299">
        <f>X_INORG</f>
        <v>500</v>
      </c>
      <c r="F16" s="399" t="s">
        <v>535</v>
      </c>
      <c r="G16" s="399">
        <v>1</v>
      </c>
      <c r="H16" s="400"/>
      <c r="I16" s="401"/>
    </row>
    <row r="17" spans="2:9" ht="18" x14ac:dyDescent="0.25">
      <c r="B17" s="304" t="s">
        <v>429</v>
      </c>
      <c r="C17" s="300" t="s">
        <v>422</v>
      </c>
      <c r="D17" s="398" t="s">
        <v>1337</v>
      </c>
      <c r="E17" s="299">
        <f>X_VSS+X_ISS</f>
        <v>2064.0464408070043</v>
      </c>
      <c r="F17" s="399" t="s">
        <v>535</v>
      </c>
      <c r="G17" s="399">
        <v>1</v>
      </c>
      <c r="H17" s="400"/>
      <c r="I17" s="401"/>
    </row>
    <row r="18" spans="2:9" s="86" customFormat="1" ht="18.75" thickBot="1" x14ac:dyDescent="0.3">
      <c r="B18" s="305" t="s">
        <v>1334</v>
      </c>
      <c r="C18" s="306" t="s">
        <v>1335</v>
      </c>
      <c r="D18" s="307" t="s">
        <v>1345</v>
      </c>
      <c r="E18" s="308">
        <f>X_TSS+S_US/f_CV_SUS+S_BSC/f_CV_SBSC+S_BSA/f_CV_SBSA+N_H3*M_MNH4/A_MN+N_O3*M_MNO3/A_MN+P_O4*M_MPO4/A_MP</f>
        <v>2170.0045649101571</v>
      </c>
      <c r="F18" s="309" t="s">
        <v>1010</v>
      </c>
      <c r="G18" s="309">
        <v>1</v>
      </c>
      <c r="H18" s="309"/>
      <c r="I18" s="310"/>
    </row>
    <row r="19" spans="2:9" s="86" customFormat="1" ht="15.75" thickBot="1" x14ac:dyDescent="0.3">
      <c r="B19" s="110"/>
      <c r="C19" s="110"/>
      <c r="D19" s="222"/>
      <c r="E19" s="296"/>
      <c r="F19" s="108"/>
      <c r="G19" s="108"/>
      <c r="H19" s="108"/>
      <c r="I19" s="108"/>
    </row>
    <row r="20" spans="2:9" ht="20.25" customHeight="1" thickBot="1" x14ac:dyDescent="0.3">
      <c r="C20" s="212" t="s">
        <v>536</v>
      </c>
      <c r="D20" s="387" t="s">
        <v>520</v>
      </c>
      <c r="E20" s="213"/>
      <c r="H20" s="4"/>
      <c r="I20" s="4"/>
    </row>
    <row r="21" spans="2:9" ht="15.75" thickBot="1" x14ac:dyDescent="0.3">
      <c r="B21" s="214" t="s">
        <v>0</v>
      </c>
      <c r="C21" s="215" t="s">
        <v>1</v>
      </c>
      <c r="D21" s="388" t="s">
        <v>4</v>
      </c>
      <c r="E21" s="72" t="s">
        <v>150</v>
      </c>
      <c r="F21" s="71" t="s">
        <v>2</v>
      </c>
      <c r="G21" s="71" t="s">
        <v>431</v>
      </c>
      <c r="H21" s="71" t="s">
        <v>114</v>
      </c>
      <c r="I21" s="73" t="s">
        <v>115</v>
      </c>
    </row>
    <row r="22" spans="2:9" ht="33" x14ac:dyDescent="0.25">
      <c r="B22" s="402" t="s">
        <v>417</v>
      </c>
      <c r="C22" s="260" t="s">
        <v>418</v>
      </c>
      <c r="D22" s="403" t="s">
        <v>1363</v>
      </c>
      <c r="E22" s="74">
        <f>-(v_1_SO*r_1+v_3_SO*r_3+v_5_SO*r_5+v_7_SO*r_7+v_16_SO*r_16+v_18_SO*r_18+v_19_SO*r_19+v_20_SO*r_20+v_21_SO*r_21+v_23_SO*r_23)</f>
        <v>661.69368126454913</v>
      </c>
      <c r="F22" s="194" t="s">
        <v>1366</v>
      </c>
      <c r="G22" s="194">
        <v>1</v>
      </c>
      <c r="H22" s="404" t="s">
        <v>419</v>
      </c>
      <c r="I22" s="405"/>
    </row>
    <row r="23" spans="2:9" ht="51" x14ac:dyDescent="0.25">
      <c r="B23" s="124" t="s">
        <v>423</v>
      </c>
      <c r="C23" s="75" t="s">
        <v>1368</v>
      </c>
      <c r="D23" s="406" t="s">
        <v>1298</v>
      </c>
      <c r="E23" s="70">
        <f>-(v_2_NO3*r_2+v_3_NO3*r_3+v_4_NO3*r_4+v_6_NO3*r_6+v_7_NO3*r_7+v_8_NO3*r_8+v_16_NO3*r_16+v_19_NO3*r_19+v_21_NO3*r_21+v_22_NO3*r_22+v_27_NO3*r_27)</f>
        <v>-39.63012277891626</v>
      </c>
      <c r="F23" s="76" t="s">
        <v>1297</v>
      </c>
      <c r="G23" s="76">
        <v>1</v>
      </c>
      <c r="H23" s="76" t="s">
        <v>419</v>
      </c>
      <c r="I23" s="407"/>
    </row>
    <row r="24" spans="2:9" ht="51.75" thickBot="1" x14ac:dyDescent="0.3">
      <c r="B24" s="126" t="s">
        <v>424</v>
      </c>
      <c r="C24" s="127" t="s">
        <v>425</v>
      </c>
      <c r="D24" s="408" t="s">
        <v>1299</v>
      </c>
      <c r="E24" s="128">
        <f>-(v_1_NH3*r_1+v_2_NH3*r_2+v_5_NH3*r_5+v_6_NH3*r_6+v_14_NH3*r_14+v_15_NH3*r_15+v_16_NH3*r_16+v_18_NH3*r_18+v_20_NH3*r_20+v_22_NH3*r_22+v_23_NH3*r_23+v_27_NH3*r_27+v_31_NH3*r_31)</f>
        <v>72.656834291689165</v>
      </c>
      <c r="F24" s="129" t="s">
        <v>1297</v>
      </c>
      <c r="G24" s="129">
        <v>1</v>
      </c>
      <c r="H24" s="129" t="s">
        <v>419</v>
      </c>
      <c r="I24" s="409"/>
    </row>
    <row r="25" spans="2:9" ht="15.75" thickBot="1" x14ac:dyDescent="0.3">
      <c r="B25" s="79"/>
      <c r="C25" s="79"/>
      <c r="D25" s="410"/>
      <c r="E25" s="68"/>
      <c r="F25" s="158"/>
      <c r="G25" s="158"/>
      <c r="H25" s="158"/>
      <c r="I25" s="411"/>
    </row>
    <row r="26" spans="2:9" ht="20.25" customHeight="1" thickBot="1" x14ac:dyDescent="0.3">
      <c r="C26" s="212" t="s">
        <v>1014</v>
      </c>
      <c r="D26" s="387" t="s">
        <v>520</v>
      </c>
      <c r="E26" s="156"/>
      <c r="H26" s="3"/>
      <c r="I26" s="3"/>
    </row>
    <row r="27" spans="2:9" ht="15.75" thickBot="1" x14ac:dyDescent="0.3">
      <c r="B27" s="214" t="s">
        <v>0</v>
      </c>
      <c r="C27" s="215" t="s">
        <v>1</v>
      </c>
      <c r="D27" s="388" t="s">
        <v>4</v>
      </c>
      <c r="E27" s="71" t="s">
        <v>150</v>
      </c>
      <c r="F27" s="71" t="s">
        <v>2</v>
      </c>
      <c r="G27" s="71" t="s">
        <v>431</v>
      </c>
      <c r="H27" s="71" t="s">
        <v>114</v>
      </c>
      <c r="I27" s="157" t="s">
        <v>115</v>
      </c>
    </row>
    <row r="28" spans="2:9" ht="18" x14ac:dyDescent="0.25">
      <c r="B28" s="284" t="s">
        <v>1015</v>
      </c>
      <c r="C28" s="230" t="s">
        <v>1050</v>
      </c>
      <c r="D28" s="389" t="s">
        <v>1364</v>
      </c>
      <c r="E28" s="397">
        <f>S_O/(K_O_HET+S_O)</f>
        <v>0.99900099900099915</v>
      </c>
      <c r="F28" s="285" t="s">
        <v>214</v>
      </c>
      <c r="G28" s="233">
        <v>2</v>
      </c>
      <c r="H28" s="290"/>
      <c r="I28" s="293"/>
    </row>
    <row r="29" spans="2:9" ht="18" x14ac:dyDescent="0.25">
      <c r="B29" s="286" t="s">
        <v>1017</v>
      </c>
      <c r="C29" s="78" t="s">
        <v>1051</v>
      </c>
      <c r="D29" s="390" t="s">
        <v>1016</v>
      </c>
      <c r="E29" s="76">
        <f>S_BSC/(K_S_H+S_BSC)</f>
        <v>0.5</v>
      </c>
      <c r="F29" s="77" t="s">
        <v>214</v>
      </c>
      <c r="G29" s="100">
        <v>2</v>
      </c>
      <c r="H29" s="291"/>
      <c r="I29" s="277"/>
    </row>
    <row r="30" spans="2:9" ht="18" x14ac:dyDescent="0.25">
      <c r="B30" s="286" t="s">
        <v>1018</v>
      </c>
      <c r="C30" s="78" t="s">
        <v>1052</v>
      </c>
      <c r="D30" s="390" t="s">
        <v>1019</v>
      </c>
      <c r="E30" s="76">
        <f>N_H3/(K_NA+N_H3)</f>
        <v>0.99833610648918469</v>
      </c>
      <c r="F30" s="77" t="s">
        <v>214</v>
      </c>
      <c r="G30" s="100">
        <v>2</v>
      </c>
      <c r="H30" s="291"/>
      <c r="I30" s="277"/>
    </row>
    <row r="31" spans="2:9" ht="18" x14ac:dyDescent="0.25">
      <c r="B31" s="286" t="s">
        <v>1020</v>
      </c>
      <c r="C31" s="78" t="s">
        <v>1053</v>
      </c>
      <c r="D31" s="390" t="s">
        <v>1021</v>
      </c>
      <c r="E31" s="76">
        <f>N_O3/(K_NO+N_O3)</f>
        <v>0.99337748344370869</v>
      </c>
      <c r="F31" s="77" t="s">
        <v>214</v>
      </c>
      <c r="G31" s="100">
        <v>2</v>
      </c>
      <c r="H31" s="291"/>
      <c r="I31" s="277"/>
    </row>
    <row r="32" spans="2:9" ht="18" x14ac:dyDescent="0.25">
      <c r="B32" s="286" t="s">
        <v>1022</v>
      </c>
      <c r="C32" s="78" t="s">
        <v>1054</v>
      </c>
      <c r="D32" s="390" t="s">
        <v>1023</v>
      </c>
      <c r="E32" s="76">
        <f>P_O4/(K_LP_GRO+P_O4)</f>
        <v>0.99502487562189068</v>
      </c>
      <c r="F32" s="77" t="s">
        <v>214</v>
      </c>
      <c r="G32" s="100">
        <v>2</v>
      </c>
      <c r="H32" s="291"/>
      <c r="I32" s="277"/>
    </row>
    <row r="33" spans="2:9" ht="18" x14ac:dyDescent="0.25">
      <c r="B33" s="286" t="s">
        <v>1024</v>
      </c>
      <c r="C33" s="78" t="s">
        <v>1066</v>
      </c>
      <c r="D33" s="390" t="s">
        <v>1025</v>
      </c>
      <c r="E33" s="76">
        <f>S_BSA/(K_S_H_BSA+S_BSA)</f>
        <v>0.16666666666666666</v>
      </c>
      <c r="F33" s="77" t="s">
        <v>214</v>
      </c>
      <c r="G33" s="100">
        <v>2</v>
      </c>
      <c r="H33" s="291"/>
      <c r="I33" s="277"/>
    </row>
    <row r="34" spans="2:9" ht="18" x14ac:dyDescent="0.25">
      <c r="B34" s="286" t="s">
        <v>1026</v>
      </c>
      <c r="C34" s="78" t="s">
        <v>1056</v>
      </c>
      <c r="D34" s="390" t="s">
        <v>1027</v>
      </c>
      <c r="E34" s="76">
        <f>P_O4/(K_LP_UPT+P_O4)</f>
        <v>0.8</v>
      </c>
      <c r="F34" s="77" t="s">
        <v>214</v>
      </c>
      <c r="G34" s="100">
        <v>2</v>
      </c>
      <c r="H34" s="291"/>
      <c r="I34" s="277"/>
    </row>
    <row r="35" spans="2:9" ht="18" x14ac:dyDescent="0.25">
      <c r="B35" s="286" t="s">
        <v>1035</v>
      </c>
      <c r="C35" s="78" t="s">
        <v>1057</v>
      </c>
      <c r="D35" s="390" t="s">
        <v>1036</v>
      </c>
      <c r="E35" s="76">
        <f>P_PP_LO/(K_XP+P_PP_LO)</f>
        <v>0.99995000249987509</v>
      </c>
      <c r="F35" s="77" t="s">
        <v>214</v>
      </c>
      <c r="G35" s="100">
        <v>2</v>
      </c>
      <c r="H35" s="291"/>
      <c r="I35" s="277"/>
    </row>
    <row r="36" spans="2:9" ht="18" x14ac:dyDescent="0.25">
      <c r="B36" s="286" t="s">
        <v>1062</v>
      </c>
      <c r="C36" s="78" t="s">
        <v>1063</v>
      </c>
      <c r="D36" s="390" t="s">
        <v>1064</v>
      </c>
      <c r="E36" s="76">
        <f>S_BSC/(S_BSA+S_BSC)</f>
        <v>0.83333333333333337</v>
      </c>
      <c r="F36" s="77" t="s">
        <v>214</v>
      </c>
      <c r="G36" s="100">
        <v>2</v>
      </c>
      <c r="H36" s="291"/>
      <c r="I36" s="277"/>
    </row>
    <row r="37" spans="2:9" ht="18" x14ac:dyDescent="0.25">
      <c r="B37" s="286" t="s">
        <v>1065</v>
      </c>
      <c r="C37" s="78" t="s">
        <v>1055</v>
      </c>
      <c r="D37" s="390" t="s">
        <v>1067</v>
      </c>
      <c r="E37" s="76">
        <f>S_BSA/(S_BSC+S_BSA)</f>
        <v>0.16666666666666666</v>
      </c>
      <c r="F37" s="77" t="s">
        <v>214</v>
      </c>
      <c r="G37" s="100">
        <v>2</v>
      </c>
      <c r="H37" s="291"/>
      <c r="I37" s="277"/>
    </row>
    <row r="38" spans="2:9" ht="18" x14ac:dyDescent="0.25">
      <c r="B38" s="286" t="s">
        <v>1084</v>
      </c>
      <c r="C38" s="78" t="s">
        <v>1085</v>
      </c>
      <c r="D38" s="390" t="s">
        <v>1086</v>
      </c>
      <c r="E38" s="76">
        <f>S_BSC/(K_S_ANA+S_BSC)</f>
        <v>0.7142857142857143</v>
      </c>
      <c r="F38" s="77" t="s">
        <v>214</v>
      </c>
      <c r="G38" s="100">
        <v>2</v>
      </c>
      <c r="H38" s="291"/>
      <c r="I38" s="277"/>
    </row>
    <row r="39" spans="2:9" ht="18" x14ac:dyDescent="0.25">
      <c r="B39" s="286" t="s">
        <v>1087</v>
      </c>
      <c r="C39" s="78" t="s">
        <v>1088</v>
      </c>
      <c r="D39" s="390" t="s">
        <v>1365</v>
      </c>
      <c r="E39" s="76">
        <f>S_O/(K_O_AUT+S_O)</f>
        <v>0.8</v>
      </c>
      <c r="F39" s="77" t="s">
        <v>214</v>
      </c>
      <c r="G39" s="100">
        <v>2</v>
      </c>
      <c r="H39" s="291"/>
      <c r="I39" s="277"/>
    </row>
    <row r="40" spans="2:9" ht="18" x14ac:dyDescent="0.25">
      <c r="B40" s="286" t="s">
        <v>1090</v>
      </c>
      <c r="C40" s="78" t="s">
        <v>1092</v>
      </c>
      <c r="D40" s="390" t="s">
        <v>1091</v>
      </c>
      <c r="E40" s="76">
        <f>N_H3/(K_NH+N_H3)</f>
        <v>0.75</v>
      </c>
      <c r="F40" s="77" t="s">
        <v>214</v>
      </c>
      <c r="G40" s="100">
        <v>2</v>
      </c>
      <c r="H40" s="291"/>
      <c r="I40" s="277"/>
    </row>
    <row r="41" spans="2:9" ht="18" x14ac:dyDescent="0.25">
      <c r="B41" s="286" t="s">
        <v>1075</v>
      </c>
      <c r="C41" s="78" t="s">
        <v>1846</v>
      </c>
      <c r="D41" s="390" t="s">
        <v>1077</v>
      </c>
      <c r="E41" s="76">
        <f>(S_PHB/Z_P)/(K_SP1+(S_PHB/Z_P))</f>
        <v>0.86956521739130432</v>
      </c>
      <c r="F41" s="77" t="s">
        <v>214</v>
      </c>
      <c r="G41" s="100">
        <v>2</v>
      </c>
      <c r="H41" s="291"/>
      <c r="I41" s="277"/>
    </row>
    <row r="42" spans="2:9" ht="18" x14ac:dyDescent="0.25">
      <c r="B42" s="286" t="s">
        <v>1094</v>
      </c>
      <c r="C42" s="78" t="s">
        <v>1095</v>
      </c>
      <c r="D42" s="390" t="s">
        <v>1096</v>
      </c>
      <c r="E42" s="76">
        <f>S_BSA/(K_SSEQ+S_BSA)</f>
        <v>0.2857142857142857</v>
      </c>
      <c r="F42" s="77" t="s">
        <v>214</v>
      </c>
      <c r="G42" s="100">
        <v>2</v>
      </c>
      <c r="H42" s="291"/>
      <c r="I42" s="277"/>
    </row>
    <row r="43" spans="2:9" ht="18" x14ac:dyDescent="0.25">
      <c r="B43" s="286" t="s">
        <v>1076</v>
      </c>
      <c r="C43" s="78" t="s">
        <v>1074</v>
      </c>
      <c r="D43" s="390" t="s">
        <v>1078</v>
      </c>
      <c r="E43" s="76">
        <f>(S_PHB/Z_P)/(K_SP2+(S_PHB/Z_P))</f>
        <v>0.93023255813953487</v>
      </c>
      <c r="F43" s="77" t="s">
        <v>214</v>
      </c>
      <c r="G43" s="100">
        <v>2</v>
      </c>
      <c r="H43" s="291"/>
      <c r="I43" s="277"/>
    </row>
    <row r="44" spans="2:9" ht="18" x14ac:dyDescent="0.25">
      <c r="B44" s="286" t="s">
        <v>1069</v>
      </c>
      <c r="C44" s="78" t="s">
        <v>1070</v>
      </c>
      <c r="D44" s="390" t="s">
        <v>1068</v>
      </c>
      <c r="E44" s="76">
        <f>(S_ENM/Z_H)/(K_X+(S_ENM/Z_H))</f>
        <v>0.4</v>
      </c>
      <c r="F44" s="77" t="s">
        <v>214</v>
      </c>
      <c r="G44" s="100">
        <v>2</v>
      </c>
      <c r="H44" s="291"/>
      <c r="I44" s="277"/>
    </row>
    <row r="45" spans="2:9" ht="18" x14ac:dyDescent="0.25">
      <c r="B45" s="286" t="s">
        <v>1028</v>
      </c>
      <c r="C45" s="78" t="s">
        <v>1058</v>
      </c>
      <c r="D45" s="390" t="s">
        <v>1362</v>
      </c>
      <c r="E45" s="76">
        <f>K_O_HET/(K_O_HET+S_O)</f>
        <v>9.9900099900099922E-4</v>
      </c>
      <c r="F45" s="77" t="s">
        <v>214</v>
      </c>
      <c r="G45" s="100">
        <v>2</v>
      </c>
      <c r="H45" s="291"/>
      <c r="I45" s="277"/>
    </row>
    <row r="46" spans="2:9" ht="18" x14ac:dyDescent="0.25">
      <c r="B46" s="286" t="s">
        <v>1029</v>
      </c>
      <c r="C46" s="78" t="s">
        <v>1059</v>
      </c>
      <c r="D46" s="390" t="s">
        <v>1030</v>
      </c>
      <c r="E46" s="76">
        <f>K_NA/(K_NA+N_H3)</f>
        <v>1.6638935108153079E-3</v>
      </c>
      <c r="F46" s="77" t="s">
        <v>214</v>
      </c>
      <c r="G46" s="100">
        <v>2</v>
      </c>
      <c r="H46" s="291"/>
      <c r="I46" s="277"/>
    </row>
    <row r="47" spans="2:9" ht="18" x14ac:dyDescent="0.25">
      <c r="B47" s="286" t="s">
        <v>1031</v>
      </c>
      <c r="C47" s="78" t="s">
        <v>1060</v>
      </c>
      <c r="D47" s="390" t="s">
        <v>1032</v>
      </c>
      <c r="E47" s="76">
        <f>K_NO/(K_NO+N_O3)</f>
        <v>6.6225165562913916E-3</v>
      </c>
      <c r="F47" s="77" t="s">
        <v>214</v>
      </c>
      <c r="G47" s="100">
        <v>2</v>
      </c>
      <c r="H47" s="291"/>
      <c r="I47" s="277"/>
    </row>
    <row r="48" spans="2:9" ht="18.75" thickBot="1" x14ac:dyDescent="0.3">
      <c r="B48" s="287" t="s">
        <v>1033</v>
      </c>
      <c r="C48" s="148" t="s">
        <v>1061</v>
      </c>
      <c r="D48" s="391" t="s">
        <v>1034</v>
      </c>
      <c r="E48" s="129">
        <f>K_LP_UPT/(K_LP_UPT+P_O4)</f>
        <v>0.2</v>
      </c>
      <c r="F48" s="288" t="s">
        <v>214</v>
      </c>
      <c r="G48" s="149">
        <v>2</v>
      </c>
      <c r="H48" s="292"/>
      <c r="I48" s="289"/>
    </row>
    <row r="49" spans="4:8" x14ac:dyDescent="0.25">
      <c r="D49" s="392"/>
      <c r="E49" s="68"/>
      <c r="H49" s="3"/>
    </row>
  </sheetData>
  <phoneticPr fontId="12"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485"/>
  <sheetViews>
    <sheetView showGridLines="0" zoomScaleNormal="100" zoomScalePageLayoutView="85" workbookViewId="0">
      <selection activeCell="B3" sqref="B3:D485"/>
    </sheetView>
  </sheetViews>
  <sheetFormatPr defaultColWidth="9.140625" defaultRowHeight="15" x14ac:dyDescent="0.25"/>
  <cols>
    <col min="1" max="1" width="9.140625" style="311"/>
    <col min="2" max="2" width="13.140625" style="311" customWidth="1"/>
    <col min="3" max="3" width="58.140625" style="311" bestFit="1" customWidth="1"/>
    <col min="4" max="4" width="29.42578125" style="311" bestFit="1" customWidth="1"/>
    <col min="5" max="6" width="21" style="311" customWidth="1"/>
    <col min="7" max="7" width="18" style="311" bestFit="1" customWidth="1"/>
    <col min="8" max="8" width="18" style="311" customWidth="1"/>
    <col min="9" max="9" width="9.140625" style="311"/>
    <col min="10" max="10" width="76.85546875" style="311" customWidth="1"/>
    <col min="11" max="11" width="9.140625" style="311"/>
    <col min="12" max="12" width="29.42578125" style="311" bestFit="1" customWidth="1"/>
    <col min="13" max="16384" width="9.140625" style="311"/>
  </cols>
  <sheetData>
    <row r="2" spans="2:10" ht="15.75" thickBot="1" x14ac:dyDescent="0.3">
      <c r="C2" s="312" t="s">
        <v>1380</v>
      </c>
    </row>
    <row r="3" spans="2:10" ht="15.75" thickBot="1" x14ac:dyDescent="0.3">
      <c r="B3" s="313" t="s">
        <v>0</v>
      </c>
      <c r="C3" s="314" t="s">
        <v>1</v>
      </c>
      <c r="D3" s="315" t="s">
        <v>150</v>
      </c>
      <c r="E3" s="315" t="s">
        <v>561</v>
      </c>
      <c r="F3" s="315" t="s">
        <v>562</v>
      </c>
      <c r="G3" s="315" t="s">
        <v>2</v>
      </c>
      <c r="H3" s="315" t="s">
        <v>431</v>
      </c>
      <c r="I3" s="315" t="s">
        <v>114</v>
      </c>
      <c r="J3" s="316" t="s">
        <v>115</v>
      </c>
    </row>
    <row r="4" spans="2:10" ht="18" x14ac:dyDescent="0.25">
      <c r="B4" s="317" t="s">
        <v>1133</v>
      </c>
      <c r="C4" s="318" t="s">
        <v>1134</v>
      </c>
      <c r="D4" s="318">
        <v>273.14999999999998</v>
      </c>
      <c r="E4" s="319"/>
      <c r="F4" s="319"/>
      <c r="G4" s="318" t="s">
        <v>566</v>
      </c>
      <c r="H4" s="320"/>
      <c r="I4" s="320"/>
      <c r="J4" s="318" t="s">
        <v>1381</v>
      </c>
    </row>
    <row r="5" spans="2:10" ht="18" x14ac:dyDescent="0.25">
      <c r="B5" s="317" t="s">
        <v>605</v>
      </c>
      <c r="C5" s="318" t="s">
        <v>606</v>
      </c>
      <c r="D5" s="318">
        <v>101325</v>
      </c>
      <c r="E5" s="319"/>
      <c r="F5" s="319"/>
      <c r="G5" s="318" t="s">
        <v>607</v>
      </c>
      <c r="H5" s="320"/>
      <c r="I5" s="320"/>
      <c r="J5" s="318" t="s">
        <v>1381</v>
      </c>
    </row>
    <row r="6" spans="2:10" ht="18" x14ac:dyDescent="0.25">
      <c r="B6" s="317" t="s">
        <v>1310</v>
      </c>
      <c r="C6" s="318" t="s">
        <v>1311</v>
      </c>
      <c r="D6" s="318">
        <v>0</v>
      </c>
      <c r="E6" s="319"/>
      <c r="F6" s="319"/>
      <c r="G6" s="318" t="s">
        <v>1382</v>
      </c>
      <c r="H6" s="320"/>
      <c r="I6" s="320"/>
      <c r="J6" s="318" t="s">
        <v>1381</v>
      </c>
    </row>
    <row r="8" spans="2:10" ht="15.75" thickBot="1" x14ac:dyDescent="0.3">
      <c r="C8" s="321" t="s">
        <v>560</v>
      </c>
    </row>
    <row r="9" spans="2:10" ht="15.75" thickBot="1" x14ac:dyDescent="0.3">
      <c r="B9" s="322" t="s">
        <v>0</v>
      </c>
      <c r="C9" s="323" t="s">
        <v>1</v>
      </c>
      <c r="D9" s="324" t="s">
        <v>150</v>
      </c>
      <c r="E9" s="324" t="s">
        <v>561</v>
      </c>
      <c r="F9" s="324" t="s">
        <v>562</v>
      </c>
      <c r="G9" s="324" t="s">
        <v>2</v>
      </c>
      <c r="H9" s="324" t="s">
        <v>431</v>
      </c>
      <c r="I9" s="324" t="s">
        <v>114</v>
      </c>
      <c r="J9" s="325" t="s">
        <v>115</v>
      </c>
    </row>
    <row r="10" spans="2:10" ht="18" x14ac:dyDescent="0.25">
      <c r="B10" s="317" t="s">
        <v>1112</v>
      </c>
      <c r="C10" s="318" t="s">
        <v>563</v>
      </c>
      <c r="D10" s="318">
        <v>1.2999999999999999E-3</v>
      </c>
      <c r="E10" s="319"/>
      <c r="F10" s="319"/>
      <c r="G10" s="318" t="s">
        <v>564</v>
      </c>
      <c r="H10" s="320"/>
      <c r="I10" s="320"/>
      <c r="J10" s="318" t="s">
        <v>1113</v>
      </c>
    </row>
    <row r="11" spans="2:10" ht="18" x14ac:dyDescent="0.25">
      <c r="B11" s="317" t="s">
        <v>1114</v>
      </c>
      <c r="C11" s="318" t="s">
        <v>565</v>
      </c>
      <c r="D11" s="318">
        <v>1500</v>
      </c>
      <c r="E11" s="319"/>
      <c r="F11" s="319"/>
      <c r="G11" s="318" t="s">
        <v>566</v>
      </c>
      <c r="H11" s="320"/>
      <c r="I11" s="320"/>
      <c r="J11" s="318" t="s">
        <v>1113</v>
      </c>
    </row>
    <row r="12" spans="2:10" ht="18" x14ac:dyDescent="0.25">
      <c r="B12" s="317" t="s">
        <v>1115</v>
      </c>
      <c r="C12" s="318" t="s">
        <v>567</v>
      </c>
      <c r="D12" s="318">
        <v>3.5000000000000003E-2</v>
      </c>
      <c r="E12" s="319"/>
      <c r="F12" s="319"/>
      <c r="G12" s="318" t="s">
        <v>564</v>
      </c>
      <c r="H12" s="320"/>
      <c r="I12" s="320"/>
      <c r="J12" s="318" t="s">
        <v>1116</v>
      </c>
    </row>
    <row r="13" spans="2:10" ht="18" x14ac:dyDescent="0.25">
      <c r="B13" s="317" t="s">
        <v>1117</v>
      </c>
      <c r="C13" s="318" t="s">
        <v>568</v>
      </c>
      <c r="D13" s="318">
        <v>2400</v>
      </c>
      <c r="E13" s="319"/>
      <c r="F13" s="319"/>
      <c r="G13" s="318" t="s">
        <v>566</v>
      </c>
      <c r="H13" s="320"/>
      <c r="I13" s="320"/>
      <c r="J13" s="318" t="s">
        <v>1116</v>
      </c>
    </row>
    <row r="14" spans="2:10" ht="18" x14ac:dyDescent="0.25">
      <c r="B14" s="317" t="s">
        <v>1118</v>
      </c>
      <c r="C14" s="318" t="s">
        <v>569</v>
      </c>
      <c r="D14" s="318">
        <v>1.9E-3</v>
      </c>
      <c r="E14" s="319"/>
      <c r="F14" s="319"/>
      <c r="G14" s="318" t="s">
        <v>564</v>
      </c>
      <c r="H14" s="320"/>
      <c r="I14" s="320"/>
      <c r="J14" s="318" t="s">
        <v>1119</v>
      </c>
    </row>
    <row r="15" spans="2:10" ht="18" x14ac:dyDescent="0.25">
      <c r="B15" s="317" t="s">
        <v>1120</v>
      </c>
      <c r="C15" s="318" t="s">
        <v>570</v>
      </c>
      <c r="D15" s="318">
        <v>1400</v>
      </c>
      <c r="E15" s="319"/>
      <c r="F15" s="319"/>
      <c r="G15" s="318" t="s">
        <v>566</v>
      </c>
      <c r="H15" s="320"/>
      <c r="I15" s="320"/>
      <c r="J15" s="318" t="s">
        <v>1119</v>
      </c>
    </row>
    <row r="16" spans="2:10" ht="18" x14ac:dyDescent="0.25">
      <c r="B16" s="317" t="s">
        <v>1121</v>
      </c>
      <c r="C16" s="318" t="s">
        <v>571</v>
      </c>
      <c r="D16" s="318">
        <v>2.5000000000000001E-2</v>
      </c>
      <c r="E16" s="319"/>
      <c r="F16" s="319"/>
      <c r="G16" s="318" t="s">
        <v>564</v>
      </c>
      <c r="H16" s="320"/>
      <c r="I16" s="320"/>
      <c r="J16" s="318" t="s">
        <v>1122</v>
      </c>
    </row>
    <row r="17" spans="2:10" ht="18" x14ac:dyDescent="0.25">
      <c r="B17" s="317" t="s">
        <v>1123</v>
      </c>
      <c r="C17" s="318" t="s">
        <v>568</v>
      </c>
      <c r="D17" s="318">
        <v>2600</v>
      </c>
      <c r="E17" s="319"/>
      <c r="F17" s="319"/>
      <c r="G17" s="318" t="s">
        <v>566</v>
      </c>
      <c r="H17" s="320"/>
      <c r="I17" s="320"/>
      <c r="J17" s="318" t="s">
        <v>1122</v>
      </c>
    </row>
    <row r="18" spans="2:10" ht="18" x14ac:dyDescent="0.25">
      <c r="B18" s="317" t="s">
        <v>1124</v>
      </c>
      <c r="C18" s="318" t="s">
        <v>572</v>
      </c>
      <c r="D18" s="318">
        <v>6.4999999999999997E-4</v>
      </c>
      <c r="E18" s="319"/>
      <c r="F18" s="319"/>
      <c r="G18" s="318" t="s">
        <v>564</v>
      </c>
      <c r="H18" s="320"/>
      <c r="I18" s="320"/>
      <c r="J18" s="318" t="s">
        <v>1125</v>
      </c>
    </row>
    <row r="19" spans="2:10" ht="18" x14ac:dyDescent="0.25">
      <c r="B19" s="317" t="s">
        <v>1126</v>
      </c>
      <c r="C19" s="318" t="s">
        <v>573</v>
      </c>
      <c r="D19" s="318">
        <v>1300</v>
      </c>
      <c r="E19" s="319"/>
      <c r="F19" s="319"/>
      <c r="G19" s="318" t="s">
        <v>566</v>
      </c>
      <c r="H19" s="320"/>
      <c r="I19" s="320"/>
      <c r="J19" s="318" t="s">
        <v>1125</v>
      </c>
    </row>
    <row r="20" spans="2:10" ht="18" x14ac:dyDescent="0.25">
      <c r="B20" s="317" t="s">
        <v>1127</v>
      </c>
      <c r="C20" s="318" t="s">
        <v>574</v>
      </c>
      <c r="D20" s="318">
        <v>7.7999999999999999E-4</v>
      </c>
      <c r="E20" s="319"/>
      <c r="F20" s="319"/>
      <c r="G20" s="318" t="s">
        <v>564</v>
      </c>
      <c r="H20" s="320"/>
      <c r="I20" s="320"/>
      <c r="J20" s="318" t="s">
        <v>1383</v>
      </c>
    </row>
    <row r="21" spans="2:10" ht="18" x14ac:dyDescent="0.25">
      <c r="B21" s="317" t="s">
        <v>1128</v>
      </c>
      <c r="C21" s="318" t="s">
        <v>575</v>
      </c>
      <c r="D21" s="318">
        <v>500</v>
      </c>
      <c r="E21" s="319"/>
      <c r="F21" s="319"/>
      <c r="G21" s="318" t="s">
        <v>566</v>
      </c>
      <c r="H21" s="320"/>
      <c r="I21" s="320"/>
      <c r="J21" s="318" t="s">
        <v>1383</v>
      </c>
    </row>
    <row r="22" spans="2:10" ht="18" x14ac:dyDescent="0.25">
      <c r="B22" s="317" t="s">
        <v>1129</v>
      </c>
      <c r="C22" s="318" t="s">
        <v>576</v>
      </c>
      <c r="D22" s="318">
        <v>1.4E-3</v>
      </c>
      <c r="E22" s="319"/>
      <c r="F22" s="319"/>
      <c r="G22" s="318" t="s">
        <v>564</v>
      </c>
      <c r="H22" s="320"/>
      <c r="I22" s="320"/>
      <c r="J22" s="318" t="s">
        <v>1384</v>
      </c>
    </row>
    <row r="23" spans="2:10" ht="18" x14ac:dyDescent="0.25">
      <c r="B23" s="317" t="s">
        <v>1130</v>
      </c>
      <c r="C23" s="318" t="s">
        <v>577</v>
      </c>
      <c r="D23" s="318">
        <v>1600</v>
      </c>
      <c r="E23" s="319"/>
      <c r="F23" s="319"/>
      <c r="G23" s="318" t="s">
        <v>566</v>
      </c>
      <c r="H23" s="320"/>
      <c r="I23" s="320"/>
      <c r="J23" s="318" t="s">
        <v>1384</v>
      </c>
    </row>
    <row r="24" spans="2:10" ht="18" x14ac:dyDescent="0.25">
      <c r="B24" s="317" t="s">
        <v>1385</v>
      </c>
      <c r="C24" s="318" t="s">
        <v>1386</v>
      </c>
      <c r="D24" s="318">
        <v>61</v>
      </c>
      <c r="E24" s="319"/>
      <c r="F24" s="319"/>
      <c r="G24" s="318" t="s">
        <v>564</v>
      </c>
      <c r="H24" s="320"/>
      <c r="I24" s="320"/>
      <c r="J24" s="318" t="s">
        <v>1387</v>
      </c>
    </row>
    <row r="25" spans="2:10" ht="18" x14ac:dyDescent="0.25">
      <c r="B25" s="317" t="s">
        <v>1388</v>
      </c>
      <c r="C25" s="318" t="s">
        <v>1389</v>
      </c>
      <c r="D25" s="318">
        <v>4100</v>
      </c>
      <c r="E25" s="319"/>
      <c r="F25" s="319"/>
      <c r="G25" s="318" t="s">
        <v>566</v>
      </c>
      <c r="H25" s="320"/>
      <c r="I25" s="320"/>
      <c r="J25" s="318" t="s">
        <v>1387</v>
      </c>
    </row>
    <row r="26" spans="2:10" ht="18" x14ac:dyDescent="0.25">
      <c r="B26" s="317" t="s">
        <v>1390</v>
      </c>
      <c r="C26" s="318" t="s">
        <v>1391</v>
      </c>
      <c r="D26" s="318">
        <v>0.1</v>
      </c>
      <c r="E26" s="319"/>
      <c r="F26" s="319"/>
      <c r="G26" s="318" t="s">
        <v>564</v>
      </c>
      <c r="H26" s="320"/>
      <c r="I26" s="320"/>
      <c r="J26" s="318" t="s">
        <v>1392</v>
      </c>
    </row>
    <row r="27" spans="2:10" ht="18" x14ac:dyDescent="0.25">
      <c r="B27" s="317" t="s">
        <v>1393</v>
      </c>
      <c r="C27" s="318" t="s">
        <v>1394</v>
      </c>
      <c r="D27" s="318">
        <v>2200</v>
      </c>
      <c r="E27" s="319"/>
      <c r="F27" s="319"/>
      <c r="G27" s="318" t="s">
        <v>566</v>
      </c>
      <c r="H27" s="320"/>
      <c r="I27" s="320"/>
      <c r="J27" s="318" t="s">
        <v>1392</v>
      </c>
    </row>
    <row r="29" spans="2:10" ht="15.75" thickBot="1" x14ac:dyDescent="0.3">
      <c r="C29" s="321" t="s">
        <v>1395</v>
      </c>
    </row>
    <row r="30" spans="2:10" ht="15.75" thickBot="1" x14ac:dyDescent="0.3">
      <c r="B30" s="322" t="s">
        <v>0</v>
      </c>
      <c r="C30" s="323" t="s">
        <v>1</v>
      </c>
      <c r="D30" s="324" t="s">
        <v>150</v>
      </c>
      <c r="E30" s="324" t="s">
        <v>561</v>
      </c>
      <c r="F30" s="324" t="s">
        <v>562</v>
      </c>
      <c r="G30" s="324" t="s">
        <v>2</v>
      </c>
      <c r="H30" s="324" t="s">
        <v>431</v>
      </c>
      <c r="I30" s="324" t="s">
        <v>114</v>
      </c>
      <c r="J30" s="325" t="s">
        <v>115</v>
      </c>
    </row>
    <row r="31" spans="2:10" ht="18" x14ac:dyDescent="0.25">
      <c r="B31" s="317" t="s">
        <v>1396</v>
      </c>
      <c r="C31" s="318" t="s">
        <v>578</v>
      </c>
      <c r="D31" s="318">
        <v>2.0900000000000001E-4</v>
      </c>
      <c r="E31" s="319"/>
      <c r="F31" s="319"/>
      <c r="G31" s="318" t="s">
        <v>579</v>
      </c>
      <c r="H31" s="320">
        <v>2</v>
      </c>
      <c r="I31" s="320"/>
      <c r="J31" s="318"/>
    </row>
    <row r="32" spans="2:10" ht="18" x14ac:dyDescent="0.25">
      <c r="B32" s="317" t="s">
        <v>1397</v>
      </c>
      <c r="C32" s="318" t="s">
        <v>580</v>
      </c>
      <c r="D32" s="318">
        <v>1.73E-4</v>
      </c>
      <c r="E32" s="319"/>
      <c r="F32" s="319"/>
      <c r="G32" s="318" t="s">
        <v>579</v>
      </c>
      <c r="H32" s="320">
        <v>2</v>
      </c>
      <c r="I32" s="320"/>
      <c r="J32" s="318"/>
    </row>
    <row r="33" spans="2:10" ht="18" x14ac:dyDescent="0.25">
      <c r="B33" s="317" t="s">
        <v>1398</v>
      </c>
      <c r="C33" s="318" t="s">
        <v>1244</v>
      </c>
      <c r="D33" s="318">
        <f>0.0000693*216/25</f>
        <v>5.9875200000000003E-4</v>
      </c>
      <c r="E33" s="319"/>
      <c r="F33" s="319"/>
      <c r="G33" s="318" t="s">
        <v>579</v>
      </c>
      <c r="H33" s="320">
        <v>2</v>
      </c>
      <c r="I33" s="320"/>
      <c r="J33" s="318"/>
    </row>
    <row r="34" spans="2:10" ht="18" x14ac:dyDescent="0.25">
      <c r="B34" s="317" t="s">
        <v>1399</v>
      </c>
      <c r="C34" s="318" t="s">
        <v>581</v>
      </c>
      <c r="D34" s="318">
        <v>1.65E-4</v>
      </c>
      <c r="E34" s="319"/>
      <c r="F34" s="319"/>
      <c r="G34" s="318" t="s">
        <v>579</v>
      </c>
      <c r="H34" s="320">
        <v>2</v>
      </c>
      <c r="I34" s="320"/>
      <c r="J34" s="318"/>
    </row>
    <row r="35" spans="2:10" ht="18" x14ac:dyDescent="0.25">
      <c r="B35" s="317" t="s">
        <v>1400</v>
      </c>
      <c r="C35" s="318" t="s">
        <v>582</v>
      </c>
      <c r="D35" s="318">
        <v>4.4999999999999999E-4</v>
      </c>
      <c r="E35" s="319"/>
      <c r="F35" s="319"/>
      <c r="G35" s="318" t="s">
        <v>583</v>
      </c>
      <c r="H35" s="320">
        <v>2</v>
      </c>
      <c r="I35" s="320"/>
      <c r="J35" s="318"/>
    </row>
    <row r="36" spans="2:10" ht="18" x14ac:dyDescent="0.25">
      <c r="B36" s="317" t="s">
        <v>1401</v>
      </c>
      <c r="C36" s="318" t="s">
        <v>584</v>
      </c>
      <c r="D36" s="318">
        <v>1.4899999999999999E-4</v>
      </c>
      <c r="E36" s="319"/>
      <c r="F36" s="319"/>
      <c r="G36" s="318" t="s">
        <v>583</v>
      </c>
      <c r="H36" s="320">
        <v>2</v>
      </c>
      <c r="I36" s="320"/>
      <c r="J36" s="318"/>
    </row>
    <row r="37" spans="2:10" ht="18" x14ac:dyDescent="0.25">
      <c r="B37" s="317" t="s">
        <v>1402</v>
      </c>
      <c r="C37" s="318" t="s">
        <v>585</v>
      </c>
      <c r="D37" s="318">
        <v>2.9499999999999999E-5</v>
      </c>
      <c r="E37" s="319"/>
      <c r="F37" s="319"/>
      <c r="G37" s="318" t="s">
        <v>583</v>
      </c>
      <c r="H37" s="320">
        <v>2</v>
      </c>
      <c r="I37" s="320"/>
      <c r="J37" s="318"/>
    </row>
    <row r="38" spans="2:10" ht="18" x14ac:dyDescent="0.25">
      <c r="B38" s="317" t="s">
        <v>1403</v>
      </c>
      <c r="C38" s="318" t="s">
        <v>1404</v>
      </c>
      <c r="D38" s="318">
        <v>1.8E-5</v>
      </c>
      <c r="E38" s="319"/>
      <c r="F38" s="319"/>
      <c r="G38" s="318" t="s">
        <v>583</v>
      </c>
      <c r="H38" s="320">
        <v>2</v>
      </c>
      <c r="I38" s="320"/>
      <c r="J38" s="318"/>
    </row>
    <row r="39" spans="2:10" ht="18" x14ac:dyDescent="0.25">
      <c r="B39" s="317" t="s">
        <v>1405</v>
      </c>
      <c r="C39" s="318" t="s">
        <v>1406</v>
      </c>
      <c r="D39" s="318">
        <v>1.22E-4</v>
      </c>
      <c r="E39" s="319"/>
      <c r="F39" s="319"/>
      <c r="G39" s="318" t="s">
        <v>579</v>
      </c>
      <c r="H39" s="320">
        <v>2</v>
      </c>
      <c r="I39" s="320"/>
      <c r="J39" s="318"/>
    </row>
    <row r="41" spans="2:10" ht="15.75" thickBot="1" x14ac:dyDescent="0.3">
      <c r="C41" s="321" t="s">
        <v>586</v>
      </c>
    </row>
    <row r="42" spans="2:10" ht="15.75" thickBot="1" x14ac:dyDescent="0.3">
      <c r="B42" s="322" t="s">
        <v>0</v>
      </c>
      <c r="C42" s="323" t="s">
        <v>1</v>
      </c>
      <c r="D42" s="324" t="s">
        <v>150</v>
      </c>
      <c r="E42" s="324" t="s">
        <v>561</v>
      </c>
      <c r="F42" s="324" t="s">
        <v>562</v>
      </c>
      <c r="G42" s="324" t="s">
        <v>2</v>
      </c>
      <c r="H42" s="324" t="s">
        <v>431</v>
      </c>
      <c r="I42" s="324" t="s">
        <v>114</v>
      </c>
      <c r="J42" s="325" t="s">
        <v>115</v>
      </c>
    </row>
    <row r="43" spans="2:10" ht="18" x14ac:dyDescent="0.25">
      <c r="B43" s="317" t="s">
        <v>587</v>
      </c>
      <c r="C43" s="318" t="s">
        <v>588</v>
      </c>
      <c r="D43" s="318">
        <v>8.0713100000000004</v>
      </c>
      <c r="E43" s="319"/>
      <c r="F43" s="319"/>
      <c r="G43" s="318" t="s">
        <v>214</v>
      </c>
      <c r="H43" s="320"/>
      <c r="I43" s="320"/>
      <c r="J43" s="318"/>
    </row>
    <row r="44" spans="2:10" ht="18" x14ac:dyDescent="0.25">
      <c r="B44" s="317" t="s">
        <v>589</v>
      </c>
      <c r="C44" s="318" t="s">
        <v>590</v>
      </c>
      <c r="D44" s="318">
        <v>1730.63</v>
      </c>
      <c r="E44" s="319"/>
      <c r="F44" s="319"/>
      <c r="G44" s="318" t="s">
        <v>214</v>
      </c>
      <c r="H44" s="320"/>
      <c r="I44" s="320"/>
      <c r="J44" s="318"/>
    </row>
    <row r="45" spans="2:10" ht="18" x14ac:dyDescent="0.25">
      <c r="B45" s="317" t="s">
        <v>591</v>
      </c>
      <c r="C45" s="318" t="s">
        <v>592</v>
      </c>
      <c r="D45" s="318">
        <v>233.42599999999999</v>
      </c>
      <c r="E45" s="319"/>
      <c r="F45" s="319"/>
      <c r="G45" s="318" t="s">
        <v>214</v>
      </c>
      <c r="H45" s="320"/>
      <c r="I45" s="320"/>
      <c r="J45" s="318"/>
    </row>
    <row r="46" spans="2:10" ht="18" x14ac:dyDescent="0.25">
      <c r="B46" s="317" t="s">
        <v>1407</v>
      </c>
      <c r="C46" s="318" t="s">
        <v>1408</v>
      </c>
      <c r="D46" s="318">
        <v>7.2800000000000004E-2</v>
      </c>
      <c r="E46" s="319"/>
      <c r="F46" s="319"/>
      <c r="G46" s="318" t="s">
        <v>1409</v>
      </c>
      <c r="H46" s="320"/>
      <c r="I46" s="320"/>
      <c r="J46" s="318"/>
    </row>
    <row r="47" spans="2:10" ht="18" x14ac:dyDescent="0.25">
      <c r="B47" s="317" t="s">
        <v>593</v>
      </c>
      <c r="C47" s="318" t="s">
        <v>1410</v>
      </c>
      <c r="D47" s="318">
        <v>1000000</v>
      </c>
      <c r="E47" s="319"/>
      <c r="F47" s="319"/>
      <c r="G47" s="318" t="s">
        <v>594</v>
      </c>
      <c r="H47" s="320"/>
      <c r="I47" s="320"/>
      <c r="J47" s="318"/>
    </row>
    <row r="48" spans="2:10" ht="18" x14ac:dyDescent="0.25">
      <c r="B48" s="317" t="s">
        <v>1411</v>
      </c>
      <c r="C48" s="318" t="s">
        <v>1412</v>
      </c>
      <c r="D48" s="318">
        <f>10^-3</f>
        <v>1E-3</v>
      </c>
      <c r="E48" s="319"/>
      <c r="F48" s="319"/>
      <c r="G48" s="318" t="s">
        <v>1413</v>
      </c>
      <c r="H48" s="320"/>
      <c r="I48" s="320"/>
      <c r="J48" s="318"/>
    </row>
    <row r="50" spans="2:10" ht="15.75" thickBot="1" x14ac:dyDescent="0.3">
      <c r="C50" s="321" t="s">
        <v>595</v>
      </c>
    </row>
    <row r="51" spans="2:10" ht="15.75" thickBot="1" x14ac:dyDescent="0.3">
      <c r="B51" s="322" t="s">
        <v>0</v>
      </c>
      <c r="C51" s="323" t="s">
        <v>1</v>
      </c>
      <c r="D51" s="324" t="s">
        <v>150</v>
      </c>
      <c r="E51" s="324" t="s">
        <v>561</v>
      </c>
      <c r="F51" s="324" t="s">
        <v>562</v>
      </c>
      <c r="G51" s="324" t="s">
        <v>2</v>
      </c>
      <c r="H51" s="324" t="s">
        <v>431</v>
      </c>
      <c r="I51" s="324" t="s">
        <v>114</v>
      </c>
      <c r="J51" s="325" t="s">
        <v>115</v>
      </c>
    </row>
    <row r="52" spans="2:10" ht="18" x14ac:dyDescent="0.25">
      <c r="B52" s="317" t="s">
        <v>596</v>
      </c>
      <c r="C52" s="318" t="s">
        <v>597</v>
      </c>
      <c r="D52" s="318">
        <v>0.20949999999999999</v>
      </c>
      <c r="E52" s="319">
        <v>0</v>
      </c>
      <c r="F52" s="319">
        <v>1</v>
      </c>
      <c r="G52" s="318" t="s">
        <v>598</v>
      </c>
      <c r="H52" s="320"/>
      <c r="I52" s="320"/>
      <c r="J52" s="318"/>
    </row>
    <row r="53" spans="2:10" ht="18" x14ac:dyDescent="0.25">
      <c r="B53" s="317" t="s">
        <v>599</v>
      </c>
      <c r="C53" s="318" t="s">
        <v>600</v>
      </c>
      <c r="D53" s="318">
        <v>0.78080000000000005</v>
      </c>
      <c r="E53" s="319">
        <v>0</v>
      </c>
      <c r="F53" s="319">
        <v>1</v>
      </c>
      <c r="G53" s="318" t="s">
        <v>598</v>
      </c>
      <c r="H53" s="320"/>
      <c r="I53" s="320"/>
      <c r="J53" s="318"/>
    </row>
    <row r="54" spans="2:10" ht="18" x14ac:dyDescent="0.25">
      <c r="B54" s="317" t="s">
        <v>601</v>
      </c>
      <c r="C54" s="318" t="s">
        <v>602</v>
      </c>
      <c r="D54" s="318">
        <v>9.2999999999999992E-3</v>
      </c>
      <c r="E54" s="319">
        <v>0</v>
      </c>
      <c r="F54" s="319">
        <v>1</v>
      </c>
      <c r="G54" s="318" t="s">
        <v>598</v>
      </c>
      <c r="H54" s="320"/>
      <c r="I54" s="320"/>
      <c r="J54" s="318"/>
    </row>
    <row r="55" spans="2:10" ht="18" x14ac:dyDescent="0.25">
      <c r="B55" s="317" t="s">
        <v>603</v>
      </c>
      <c r="C55" s="318" t="s">
        <v>604</v>
      </c>
      <c r="D55" s="318">
        <v>4.0000000000000002E-4</v>
      </c>
      <c r="E55" s="319">
        <v>0</v>
      </c>
      <c r="F55" s="319">
        <v>1</v>
      </c>
      <c r="G55" s="318" t="s">
        <v>598</v>
      </c>
      <c r="H55" s="320"/>
      <c r="I55" s="320"/>
      <c r="J55" s="318"/>
    </row>
    <row r="56" spans="2:10" ht="18" x14ac:dyDescent="0.25">
      <c r="B56" s="317" t="s">
        <v>1414</v>
      </c>
      <c r="C56" s="318" t="s">
        <v>1415</v>
      </c>
      <c r="D56" s="318">
        <v>1200</v>
      </c>
      <c r="E56" s="319"/>
      <c r="F56" s="319"/>
      <c r="G56" s="318" t="s">
        <v>594</v>
      </c>
      <c r="H56" s="320"/>
      <c r="I56" s="320"/>
      <c r="J56" s="318"/>
    </row>
    <row r="57" spans="2:10" ht="18" x14ac:dyDescent="0.25">
      <c r="B57" s="317" t="s">
        <v>1416</v>
      </c>
      <c r="C57" s="318" t="s">
        <v>606</v>
      </c>
      <c r="D57" s="318">
        <v>101325</v>
      </c>
      <c r="E57" s="319">
        <v>0</v>
      </c>
      <c r="F57" s="319"/>
      <c r="G57" s="318" t="s">
        <v>607</v>
      </c>
      <c r="H57" s="320"/>
      <c r="I57" s="320"/>
      <c r="J57" s="318"/>
    </row>
    <row r="58" spans="2:10" ht="18" x14ac:dyDescent="0.25">
      <c r="B58" s="317" t="s">
        <v>1417</v>
      </c>
      <c r="C58" s="318" t="s">
        <v>1418</v>
      </c>
      <c r="D58" s="318">
        <v>101325</v>
      </c>
      <c r="E58" s="319">
        <v>0</v>
      </c>
      <c r="F58" s="319"/>
      <c r="G58" s="318" t="s">
        <v>607</v>
      </c>
      <c r="H58" s="320"/>
      <c r="I58" s="320"/>
      <c r="J58" s="318"/>
    </row>
    <row r="60" spans="2:10" ht="15.75" thickBot="1" x14ac:dyDescent="0.3">
      <c r="C60" s="321" t="s">
        <v>1419</v>
      </c>
    </row>
    <row r="61" spans="2:10" ht="15.75" thickBot="1" x14ac:dyDescent="0.3">
      <c r="B61" s="322" t="s">
        <v>0</v>
      </c>
      <c r="C61" s="323" t="s">
        <v>1</v>
      </c>
      <c r="D61" s="324" t="s">
        <v>150</v>
      </c>
      <c r="E61" s="324" t="s">
        <v>561</v>
      </c>
      <c r="F61" s="324" t="s">
        <v>562</v>
      </c>
      <c r="G61" s="324" t="s">
        <v>2</v>
      </c>
      <c r="H61" s="324" t="s">
        <v>431</v>
      </c>
      <c r="I61" s="324" t="s">
        <v>114</v>
      </c>
      <c r="J61" s="325" t="s">
        <v>115</v>
      </c>
    </row>
    <row r="62" spans="2:10" ht="18" x14ac:dyDescent="0.25">
      <c r="B62" s="317" t="s">
        <v>1420</v>
      </c>
      <c r="C62" s="318" t="s">
        <v>1421</v>
      </c>
      <c r="D62" s="318">
        <v>0.04</v>
      </c>
      <c r="E62" s="319">
        <v>0</v>
      </c>
      <c r="F62" s="319">
        <v>100</v>
      </c>
      <c r="G62" s="318" t="s">
        <v>1422</v>
      </c>
      <c r="H62" s="320"/>
      <c r="I62" s="320"/>
      <c r="J62" s="318"/>
    </row>
    <row r="63" spans="2:10" ht="18" x14ac:dyDescent="0.25">
      <c r="B63" s="317" t="s">
        <v>1423</v>
      </c>
      <c r="C63" s="318" t="s">
        <v>1424</v>
      </c>
      <c r="D63" s="318" t="s">
        <v>1319</v>
      </c>
      <c r="E63" s="319">
        <v>0</v>
      </c>
      <c r="F63" s="319">
        <v>100</v>
      </c>
      <c r="G63" s="318" t="s">
        <v>1422</v>
      </c>
      <c r="H63" s="320"/>
      <c r="I63" s="320"/>
      <c r="J63" s="318"/>
    </row>
    <row r="64" spans="2:10" ht="18" x14ac:dyDescent="0.25">
      <c r="B64" s="317" t="s">
        <v>1425</v>
      </c>
      <c r="C64" s="318" t="s">
        <v>1426</v>
      </c>
      <c r="D64" s="318" t="s">
        <v>1319</v>
      </c>
      <c r="E64" s="319">
        <v>0</v>
      </c>
      <c r="F64" s="319">
        <v>100</v>
      </c>
      <c r="G64" s="318" t="s">
        <v>1422</v>
      </c>
      <c r="H64" s="320"/>
      <c r="I64" s="320"/>
      <c r="J64" s="318"/>
    </row>
    <row r="65" spans="2:12" ht="18" x14ac:dyDescent="0.25">
      <c r="B65" s="317" t="s">
        <v>1427</v>
      </c>
      <c r="C65" s="318" t="s">
        <v>1428</v>
      </c>
      <c r="D65" s="318">
        <v>20.95</v>
      </c>
      <c r="E65" s="319">
        <v>0</v>
      </c>
      <c r="F65" s="319">
        <v>100</v>
      </c>
      <c r="G65" s="318" t="s">
        <v>1422</v>
      </c>
      <c r="H65" s="320"/>
      <c r="I65" s="320"/>
      <c r="J65" s="318"/>
    </row>
    <row r="66" spans="2:12" ht="18" x14ac:dyDescent="0.25">
      <c r="B66" s="317" t="s">
        <v>1429</v>
      </c>
      <c r="C66" s="318" t="s">
        <v>1430</v>
      </c>
      <c r="D66" s="318" t="s">
        <v>1319</v>
      </c>
      <c r="E66" s="319">
        <v>0</v>
      </c>
      <c r="F66" s="319">
        <v>100</v>
      </c>
      <c r="G66" s="318" t="s">
        <v>1422</v>
      </c>
      <c r="H66" s="320"/>
      <c r="I66" s="320"/>
      <c r="J66" s="318"/>
    </row>
    <row r="67" spans="2:12" ht="18" x14ac:dyDescent="0.25">
      <c r="B67" s="317" t="s">
        <v>1431</v>
      </c>
      <c r="C67" s="318" t="s">
        <v>1432</v>
      </c>
      <c r="D67" s="318">
        <v>79.010000000000005</v>
      </c>
      <c r="E67" s="319">
        <v>0</v>
      </c>
      <c r="F67" s="319">
        <v>100</v>
      </c>
      <c r="G67" s="318" t="s">
        <v>1422</v>
      </c>
      <c r="H67" s="320"/>
      <c r="I67" s="320"/>
      <c r="J67" s="318"/>
    </row>
    <row r="68" spans="2:12" ht="18" x14ac:dyDescent="0.25">
      <c r="B68" s="317" t="s">
        <v>1433</v>
      </c>
      <c r="C68" s="318" t="s">
        <v>1434</v>
      </c>
      <c r="D68" s="318" t="s">
        <v>1319</v>
      </c>
      <c r="E68" s="319">
        <v>0</v>
      </c>
      <c r="F68" s="319">
        <v>100</v>
      </c>
      <c r="G68" s="318" t="s">
        <v>1422</v>
      </c>
      <c r="H68" s="320"/>
      <c r="I68" s="320"/>
      <c r="J68" s="318"/>
    </row>
    <row r="69" spans="2:12" ht="18" x14ac:dyDescent="0.25">
      <c r="B69" s="317" t="s">
        <v>1435</v>
      </c>
      <c r="C69" s="318" t="s">
        <v>1436</v>
      </c>
      <c r="D69" s="318">
        <v>1</v>
      </c>
      <c r="E69" s="319">
        <v>0</v>
      </c>
      <c r="F69" s="319">
        <v>1</v>
      </c>
      <c r="G69" s="318" t="s">
        <v>1437</v>
      </c>
      <c r="H69" s="320"/>
      <c r="I69" s="320"/>
      <c r="J69" s="318" t="s">
        <v>1438</v>
      </c>
    </row>
    <row r="71" spans="2:12" ht="15.75" thickBot="1" x14ac:dyDescent="0.3">
      <c r="C71" s="321" t="s">
        <v>608</v>
      </c>
    </row>
    <row r="72" spans="2:12" ht="15.75" thickBot="1" x14ac:dyDescent="0.3">
      <c r="B72" s="322" t="s">
        <v>0</v>
      </c>
      <c r="C72" s="323" t="s">
        <v>1</v>
      </c>
      <c r="D72" s="324" t="s">
        <v>150</v>
      </c>
      <c r="E72" s="324" t="s">
        <v>561</v>
      </c>
      <c r="F72" s="324" t="s">
        <v>562</v>
      </c>
      <c r="G72" s="324" t="s">
        <v>2</v>
      </c>
      <c r="H72" s="324" t="s">
        <v>431</v>
      </c>
      <c r="I72" s="324" t="s">
        <v>114</v>
      </c>
      <c r="J72" s="325" t="s">
        <v>115</v>
      </c>
    </row>
    <row r="73" spans="2:12" ht="17.25" x14ac:dyDescent="0.25">
      <c r="B73" s="317" t="s">
        <v>609</v>
      </c>
      <c r="C73" s="318" t="s">
        <v>610</v>
      </c>
      <c r="D73" s="318">
        <v>8.3144721500000003</v>
      </c>
      <c r="E73" s="319"/>
      <c r="F73" s="319"/>
      <c r="G73" s="318" t="s">
        <v>611</v>
      </c>
      <c r="H73" s="320"/>
      <c r="I73" s="320"/>
      <c r="J73" s="318"/>
    </row>
    <row r="74" spans="2:12" ht="18" x14ac:dyDescent="0.25">
      <c r="B74" s="317" t="s">
        <v>1439</v>
      </c>
      <c r="C74" s="318" t="s">
        <v>1440</v>
      </c>
      <c r="D74" s="318">
        <v>287.10199999999998</v>
      </c>
      <c r="E74" s="319"/>
      <c r="F74" s="319"/>
      <c r="G74" s="318" t="s">
        <v>1441</v>
      </c>
      <c r="H74" s="320"/>
      <c r="I74" s="320"/>
      <c r="J74" s="318"/>
    </row>
    <row r="75" spans="2:12" ht="18" x14ac:dyDescent="0.25">
      <c r="B75" s="317" t="s">
        <v>1442</v>
      </c>
      <c r="C75" s="318" t="s">
        <v>1443</v>
      </c>
      <c r="D75" s="318">
        <f>(T_STP_K*R__)/p_N</f>
        <v>2.24139952407846E-2</v>
      </c>
      <c r="E75" s="319"/>
      <c r="F75" s="319"/>
      <c r="G75" s="318" t="s">
        <v>1444</v>
      </c>
      <c r="H75" s="320"/>
      <c r="I75" s="320"/>
      <c r="J75" s="318"/>
    </row>
    <row r="76" spans="2:12" x14ac:dyDescent="0.25">
      <c r="B76" s="317" t="s">
        <v>1445</v>
      </c>
      <c r="C76" s="318" t="s">
        <v>1446</v>
      </c>
      <c r="D76" s="318">
        <v>1.4</v>
      </c>
      <c r="E76" s="319"/>
      <c r="F76" s="319"/>
      <c r="G76" s="318" t="s">
        <v>214</v>
      </c>
      <c r="H76" s="320"/>
      <c r="I76" s="320"/>
      <c r="J76" s="318"/>
      <c r="L76" s="311">
        <v>2.24139952407846E-2</v>
      </c>
    </row>
    <row r="77" spans="2:12" ht="17.25" x14ac:dyDescent="0.25">
      <c r="B77" s="317" t="s">
        <v>612</v>
      </c>
      <c r="C77" s="318" t="s">
        <v>613</v>
      </c>
      <c r="D77" s="318">
        <v>96485.339924</v>
      </c>
      <c r="E77" s="319"/>
      <c r="F77" s="319"/>
      <c r="G77" s="318" t="s">
        <v>614</v>
      </c>
      <c r="H77" s="320"/>
      <c r="I77" s="320"/>
      <c r="J77" s="318"/>
    </row>
    <row r="78" spans="2:12" ht="18" x14ac:dyDescent="0.25">
      <c r="B78" s="317" t="s">
        <v>615</v>
      </c>
      <c r="C78" s="318" t="s">
        <v>616</v>
      </c>
      <c r="D78" s="318">
        <v>9.8066499999999994</v>
      </c>
      <c r="E78" s="319"/>
      <c r="F78" s="319"/>
      <c r="G78" s="318" t="s">
        <v>617</v>
      </c>
      <c r="H78" s="320"/>
      <c r="I78" s="320"/>
      <c r="J78" s="318"/>
    </row>
    <row r="79" spans="2:12" ht="18" x14ac:dyDescent="0.25">
      <c r="B79" s="317" t="s">
        <v>1131</v>
      </c>
      <c r="C79" s="318" t="s">
        <v>1132</v>
      </c>
      <c r="D79" s="318">
        <v>4.1813000000000002</v>
      </c>
      <c r="E79" s="319"/>
      <c r="F79" s="319"/>
      <c r="G79" s="318" t="s">
        <v>1447</v>
      </c>
      <c r="H79" s="320"/>
      <c r="I79" s="320"/>
      <c r="J79" s="318"/>
    </row>
    <row r="80" spans="2:12" ht="18" x14ac:dyDescent="0.25">
      <c r="B80" s="317" t="s">
        <v>1448</v>
      </c>
      <c r="C80" s="318" t="s">
        <v>1449</v>
      </c>
      <c r="D80" s="318">
        <v>298.14999999999998</v>
      </c>
      <c r="E80" s="319"/>
      <c r="F80" s="319"/>
      <c r="G80" s="318" t="s">
        <v>566</v>
      </c>
      <c r="H80" s="320"/>
      <c r="I80" s="320"/>
      <c r="J80" s="318" t="s">
        <v>1450</v>
      </c>
    </row>
    <row r="81" spans="2:10" ht="18" x14ac:dyDescent="0.25">
      <c r="B81" s="317" t="s">
        <v>1451</v>
      </c>
      <c r="C81" s="318" t="s">
        <v>1452</v>
      </c>
      <c r="D81" s="318">
        <v>293.14999999999998</v>
      </c>
      <c r="E81" s="319"/>
      <c r="F81" s="319"/>
      <c r="G81" s="318" t="s">
        <v>566</v>
      </c>
      <c r="H81" s="320"/>
      <c r="I81" s="320"/>
      <c r="J81" s="318" t="s">
        <v>1453</v>
      </c>
    </row>
    <row r="82" spans="2:10" ht="18" x14ac:dyDescent="0.25">
      <c r="B82" s="317" t="s">
        <v>1454</v>
      </c>
      <c r="C82" s="318" t="s">
        <v>1455</v>
      </c>
      <c r="D82" s="318">
        <v>273.14999999999998</v>
      </c>
      <c r="E82" s="319"/>
      <c r="F82" s="319"/>
      <c r="G82" s="318" t="s">
        <v>566</v>
      </c>
      <c r="H82" s="320"/>
      <c r="I82" s="320"/>
      <c r="J82" s="318" t="s">
        <v>1456</v>
      </c>
    </row>
    <row r="83" spans="2:10" ht="18" x14ac:dyDescent="0.25">
      <c r="B83" s="317" t="s">
        <v>1457</v>
      </c>
      <c r="C83" s="318" t="s">
        <v>1311</v>
      </c>
      <c r="D83" s="318">
        <v>0</v>
      </c>
      <c r="E83" s="319"/>
      <c r="F83" s="319"/>
      <c r="G83" s="318" t="s">
        <v>1382</v>
      </c>
      <c r="H83" s="320"/>
      <c r="I83" s="320"/>
      <c r="J83" s="318" t="s">
        <v>1458</v>
      </c>
    </row>
    <row r="85" spans="2:10" ht="15.75" thickBot="1" x14ac:dyDescent="0.3">
      <c r="C85" s="321" t="s">
        <v>618</v>
      </c>
    </row>
    <row r="86" spans="2:10" ht="15.75" thickBot="1" x14ac:dyDescent="0.3">
      <c r="B86" s="322" t="s">
        <v>0</v>
      </c>
      <c r="C86" s="323" t="s">
        <v>1</v>
      </c>
      <c r="D86" s="324" t="s">
        <v>150</v>
      </c>
      <c r="E86" s="324" t="s">
        <v>561</v>
      </c>
      <c r="F86" s="324" t="s">
        <v>562</v>
      </c>
      <c r="G86" s="324" t="s">
        <v>2</v>
      </c>
      <c r="H86" s="324" t="s">
        <v>431</v>
      </c>
      <c r="I86" s="324" t="s">
        <v>114</v>
      </c>
      <c r="J86" s="325" t="s">
        <v>115</v>
      </c>
    </row>
    <row r="87" spans="2:10" x14ac:dyDescent="0.25">
      <c r="B87" s="317" t="s">
        <v>619</v>
      </c>
      <c r="C87" s="318" t="s">
        <v>620</v>
      </c>
      <c r="D87" s="318">
        <v>3.1415926500000002</v>
      </c>
      <c r="E87" s="319"/>
      <c r="F87" s="319"/>
      <c r="G87" s="318" t="s">
        <v>214</v>
      </c>
      <c r="H87" s="320"/>
      <c r="I87" s="320"/>
      <c r="J87" s="318"/>
    </row>
    <row r="89" spans="2:10" ht="15.75" thickBot="1" x14ac:dyDescent="0.3">
      <c r="C89" s="321" t="s">
        <v>621</v>
      </c>
    </row>
    <row r="90" spans="2:10" ht="15.75" thickBot="1" x14ac:dyDescent="0.3">
      <c r="B90" s="322" t="s">
        <v>0</v>
      </c>
      <c r="C90" s="323" t="s">
        <v>1</v>
      </c>
      <c r="D90" s="324" t="s">
        <v>150</v>
      </c>
      <c r="E90" s="324" t="s">
        <v>561</v>
      </c>
      <c r="F90" s="324" t="s">
        <v>562</v>
      </c>
      <c r="G90" s="324" t="s">
        <v>2</v>
      </c>
      <c r="H90" s="324" t="s">
        <v>431</v>
      </c>
      <c r="I90" s="324" t="s">
        <v>114</v>
      </c>
      <c r="J90" s="325" t="s">
        <v>115</v>
      </c>
    </row>
    <row r="91" spans="2:10" ht="18" x14ac:dyDescent="0.25">
      <c r="B91" s="317" t="s">
        <v>622</v>
      </c>
      <c r="C91" s="318" t="s">
        <v>623</v>
      </c>
      <c r="D91" s="318">
        <v>1.0079400000000001</v>
      </c>
      <c r="E91" s="319"/>
      <c r="F91" s="319"/>
      <c r="G91" s="318" t="s">
        <v>624</v>
      </c>
      <c r="H91" s="320"/>
      <c r="I91" s="320"/>
      <c r="J91" s="318"/>
    </row>
    <row r="92" spans="2:10" ht="18" x14ac:dyDescent="0.25">
      <c r="B92" s="317" t="s">
        <v>625</v>
      </c>
      <c r="C92" s="318" t="s">
        <v>626</v>
      </c>
      <c r="D92" s="318">
        <v>4.0026020000000004</v>
      </c>
      <c r="E92" s="319"/>
      <c r="F92" s="319"/>
      <c r="G92" s="318" t="s">
        <v>624</v>
      </c>
      <c r="H92" s="320"/>
      <c r="I92" s="320"/>
      <c r="J92" s="318"/>
    </row>
    <row r="93" spans="2:10" ht="18" x14ac:dyDescent="0.25">
      <c r="B93" s="317" t="s">
        <v>627</v>
      </c>
      <c r="C93" s="318" t="s">
        <v>628</v>
      </c>
      <c r="D93" s="318">
        <v>6.9409999999999998</v>
      </c>
      <c r="E93" s="319"/>
      <c r="F93" s="319"/>
      <c r="G93" s="318" t="s">
        <v>624</v>
      </c>
      <c r="H93" s="320"/>
      <c r="I93" s="320"/>
      <c r="J93" s="318"/>
    </row>
    <row r="94" spans="2:10" ht="18" x14ac:dyDescent="0.25">
      <c r="B94" s="317" t="s">
        <v>629</v>
      </c>
      <c r="C94" s="318" t="s">
        <v>630</v>
      </c>
      <c r="D94" s="318">
        <v>9.0121819999999992</v>
      </c>
      <c r="E94" s="319"/>
      <c r="F94" s="319"/>
      <c r="G94" s="318" t="s">
        <v>624</v>
      </c>
      <c r="H94" s="320"/>
      <c r="I94" s="320"/>
      <c r="J94" s="318"/>
    </row>
    <row r="95" spans="2:10" ht="18" x14ac:dyDescent="0.25">
      <c r="B95" s="317" t="s">
        <v>631</v>
      </c>
      <c r="C95" s="318" t="s">
        <v>632</v>
      </c>
      <c r="D95" s="318">
        <v>10.811</v>
      </c>
      <c r="E95" s="319"/>
      <c r="F95" s="319"/>
      <c r="G95" s="318" t="s">
        <v>624</v>
      </c>
      <c r="H95" s="320"/>
      <c r="I95" s="320"/>
      <c r="J95" s="318"/>
    </row>
    <row r="96" spans="2:10" ht="18" x14ac:dyDescent="0.25">
      <c r="B96" s="317" t="s">
        <v>633</v>
      </c>
      <c r="C96" s="318" t="s">
        <v>634</v>
      </c>
      <c r="D96" s="318">
        <v>12.0107</v>
      </c>
      <c r="E96" s="319"/>
      <c r="F96" s="319"/>
      <c r="G96" s="318" t="s">
        <v>624</v>
      </c>
      <c r="H96" s="320"/>
      <c r="I96" s="320"/>
      <c r="J96" s="318"/>
    </row>
    <row r="97" spans="2:10" ht="18" x14ac:dyDescent="0.25">
      <c r="B97" s="317" t="s">
        <v>635</v>
      </c>
      <c r="C97" s="318" t="s">
        <v>636</v>
      </c>
      <c r="D97" s="318">
        <v>14.0067</v>
      </c>
      <c r="E97" s="319"/>
      <c r="F97" s="319"/>
      <c r="G97" s="318" t="s">
        <v>624</v>
      </c>
      <c r="H97" s="320"/>
      <c r="I97" s="320"/>
      <c r="J97" s="318"/>
    </row>
    <row r="98" spans="2:10" ht="18" x14ac:dyDescent="0.25">
      <c r="B98" s="317" t="s">
        <v>637</v>
      </c>
      <c r="C98" s="318" t="s">
        <v>638</v>
      </c>
      <c r="D98" s="318">
        <v>15.9994</v>
      </c>
      <c r="E98" s="319"/>
      <c r="F98" s="319"/>
      <c r="G98" s="318" t="s">
        <v>624</v>
      </c>
      <c r="H98" s="320"/>
      <c r="I98" s="320"/>
      <c r="J98" s="318"/>
    </row>
    <row r="99" spans="2:10" ht="18" x14ac:dyDescent="0.25">
      <c r="B99" s="317" t="s">
        <v>639</v>
      </c>
      <c r="C99" s="318" t="s">
        <v>640</v>
      </c>
      <c r="D99" s="318">
        <v>18.998403</v>
      </c>
      <c r="E99" s="319"/>
      <c r="F99" s="319"/>
      <c r="G99" s="318" t="s">
        <v>624</v>
      </c>
      <c r="H99" s="320"/>
      <c r="I99" s="320"/>
      <c r="J99" s="318"/>
    </row>
    <row r="100" spans="2:10" ht="18" x14ac:dyDescent="0.25">
      <c r="B100" s="317" t="s">
        <v>641</v>
      </c>
      <c r="C100" s="318" t="s">
        <v>642</v>
      </c>
      <c r="D100" s="318">
        <v>20.1797</v>
      </c>
      <c r="E100" s="319"/>
      <c r="F100" s="319"/>
      <c r="G100" s="318" t="s">
        <v>624</v>
      </c>
      <c r="H100" s="320"/>
      <c r="I100" s="320"/>
      <c r="J100" s="318"/>
    </row>
    <row r="101" spans="2:10" ht="18" x14ac:dyDescent="0.25">
      <c r="B101" s="317" t="s">
        <v>643</v>
      </c>
      <c r="C101" s="318" t="s">
        <v>644</v>
      </c>
      <c r="D101" s="318">
        <v>22.989768999999999</v>
      </c>
      <c r="E101" s="319"/>
      <c r="F101" s="319"/>
      <c r="G101" s="318" t="s">
        <v>624</v>
      </c>
      <c r="H101" s="320"/>
      <c r="I101" s="320"/>
      <c r="J101" s="318"/>
    </row>
    <row r="102" spans="2:10" ht="18" x14ac:dyDescent="0.25">
      <c r="B102" s="317" t="s">
        <v>645</v>
      </c>
      <c r="C102" s="318" t="s">
        <v>646</v>
      </c>
      <c r="D102" s="318">
        <v>24.305</v>
      </c>
      <c r="E102" s="319"/>
      <c r="F102" s="319"/>
      <c r="G102" s="318" t="s">
        <v>624</v>
      </c>
      <c r="H102" s="320"/>
      <c r="I102" s="320"/>
      <c r="J102" s="318"/>
    </row>
    <row r="103" spans="2:10" ht="18" x14ac:dyDescent="0.25">
      <c r="B103" s="317" t="s">
        <v>647</v>
      </c>
      <c r="C103" s="318" t="s">
        <v>648</v>
      </c>
      <c r="D103" s="318">
        <v>26.9815</v>
      </c>
      <c r="E103" s="319"/>
      <c r="F103" s="319"/>
      <c r="G103" s="318" t="s">
        <v>624</v>
      </c>
      <c r="H103" s="320"/>
      <c r="I103" s="320"/>
      <c r="J103" s="318"/>
    </row>
    <row r="104" spans="2:10" ht="18" x14ac:dyDescent="0.25">
      <c r="B104" s="317" t="s">
        <v>649</v>
      </c>
      <c r="C104" s="318" t="s">
        <v>650</v>
      </c>
      <c r="D104" s="318">
        <v>28.0855</v>
      </c>
      <c r="E104" s="319"/>
      <c r="F104" s="319"/>
      <c r="G104" s="318" t="s">
        <v>624</v>
      </c>
      <c r="H104" s="320"/>
      <c r="I104" s="320"/>
      <c r="J104" s="318"/>
    </row>
    <row r="105" spans="2:10" ht="18" x14ac:dyDescent="0.25">
      <c r="B105" s="317" t="s">
        <v>651</v>
      </c>
      <c r="C105" s="318" t="s">
        <v>652</v>
      </c>
      <c r="D105" s="318">
        <v>30.973762199999999</v>
      </c>
      <c r="E105" s="319"/>
      <c r="F105" s="319"/>
      <c r="G105" s="318" t="s">
        <v>624</v>
      </c>
      <c r="H105" s="320"/>
      <c r="I105" s="320"/>
      <c r="J105" s="318"/>
    </row>
    <row r="106" spans="2:10" ht="18" x14ac:dyDescent="0.25">
      <c r="B106" s="317" t="s">
        <v>653</v>
      </c>
      <c r="C106" s="318" t="s">
        <v>654</v>
      </c>
      <c r="D106" s="318">
        <v>32.064999999999998</v>
      </c>
      <c r="E106" s="319"/>
      <c r="F106" s="319"/>
      <c r="G106" s="318" t="s">
        <v>624</v>
      </c>
      <c r="H106" s="320"/>
      <c r="I106" s="320"/>
      <c r="J106" s="318"/>
    </row>
    <row r="107" spans="2:10" ht="18" x14ac:dyDescent="0.25">
      <c r="B107" s="317" t="s">
        <v>655</v>
      </c>
      <c r="C107" s="318" t="s">
        <v>656</v>
      </c>
      <c r="D107" s="318">
        <v>35.453000000000003</v>
      </c>
      <c r="E107" s="319"/>
      <c r="F107" s="319"/>
      <c r="G107" s="318" t="s">
        <v>624</v>
      </c>
      <c r="H107" s="320"/>
      <c r="I107" s="320"/>
      <c r="J107" s="318"/>
    </row>
    <row r="108" spans="2:10" ht="18" x14ac:dyDescent="0.25">
      <c r="B108" s="317" t="s">
        <v>657</v>
      </c>
      <c r="C108" s="318" t="s">
        <v>658</v>
      </c>
      <c r="D108" s="318">
        <v>39.948</v>
      </c>
      <c r="E108" s="319"/>
      <c r="F108" s="319"/>
      <c r="G108" s="318" t="s">
        <v>624</v>
      </c>
      <c r="H108" s="320"/>
      <c r="I108" s="320"/>
      <c r="J108" s="318"/>
    </row>
    <row r="109" spans="2:10" ht="18" x14ac:dyDescent="0.25">
      <c r="B109" s="317" t="s">
        <v>659</v>
      </c>
      <c r="C109" s="318" t="s">
        <v>660</v>
      </c>
      <c r="D109" s="318">
        <v>39.098300000000002</v>
      </c>
      <c r="E109" s="319"/>
      <c r="F109" s="319"/>
      <c r="G109" s="318" t="s">
        <v>624</v>
      </c>
      <c r="H109" s="320"/>
      <c r="I109" s="320"/>
      <c r="J109" s="318"/>
    </row>
    <row r="110" spans="2:10" ht="18" x14ac:dyDescent="0.25">
      <c r="B110" s="317" t="s">
        <v>661</v>
      </c>
      <c r="C110" s="318" t="s">
        <v>662</v>
      </c>
      <c r="D110" s="318">
        <v>40.078000000000003</v>
      </c>
      <c r="E110" s="319"/>
      <c r="F110" s="319"/>
      <c r="G110" s="318" t="s">
        <v>624</v>
      </c>
      <c r="H110" s="320"/>
      <c r="I110" s="320"/>
      <c r="J110" s="318"/>
    </row>
    <row r="111" spans="2:10" ht="18" x14ac:dyDescent="0.25">
      <c r="B111" s="317" t="s">
        <v>663</v>
      </c>
      <c r="C111" s="318" t="s">
        <v>664</v>
      </c>
      <c r="D111" s="318">
        <v>44.955911999999998</v>
      </c>
      <c r="E111" s="319"/>
      <c r="F111" s="319"/>
      <c r="G111" s="318" t="s">
        <v>624</v>
      </c>
      <c r="H111" s="320"/>
      <c r="I111" s="320"/>
      <c r="J111" s="318"/>
    </row>
    <row r="112" spans="2:10" ht="18" x14ac:dyDescent="0.25">
      <c r="B112" s="317" t="s">
        <v>665</v>
      </c>
      <c r="C112" s="318" t="s">
        <v>666</v>
      </c>
      <c r="D112" s="318">
        <v>47.866999999999997</v>
      </c>
      <c r="E112" s="319"/>
      <c r="F112" s="319"/>
      <c r="G112" s="318" t="s">
        <v>624</v>
      </c>
      <c r="H112" s="320"/>
      <c r="I112" s="320"/>
      <c r="J112" s="318"/>
    </row>
    <row r="113" spans="2:10" ht="18" x14ac:dyDescent="0.25">
      <c r="B113" s="317" t="s">
        <v>667</v>
      </c>
      <c r="C113" s="318" t="s">
        <v>668</v>
      </c>
      <c r="D113" s="318">
        <v>50.941499999999998</v>
      </c>
      <c r="E113" s="319"/>
      <c r="F113" s="319"/>
      <c r="G113" s="318" t="s">
        <v>624</v>
      </c>
      <c r="H113" s="320"/>
      <c r="I113" s="320"/>
      <c r="J113" s="318"/>
    </row>
    <row r="114" spans="2:10" ht="18" x14ac:dyDescent="0.25">
      <c r="B114" s="317" t="s">
        <v>669</v>
      </c>
      <c r="C114" s="318" t="s">
        <v>670</v>
      </c>
      <c r="D114" s="318">
        <v>51.996099999999998</v>
      </c>
      <c r="E114" s="319"/>
      <c r="F114" s="319"/>
      <c r="G114" s="318" t="s">
        <v>624</v>
      </c>
      <c r="H114" s="320"/>
      <c r="I114" s="320"/>
      <c r="J114" s="318"/>
    </row>
    <row r="115" spans="2:10" ht="18" x14ac:dyDescent="0.25">
      <c r="B115" s="317" t="s">
        <v>671</v>
      </c>
      <c r="C115" s="318" t="s">
        <v>672</v>
      </c>
      <c r="D115" s="318">
        <v>54.938045000000002</v>
      </c>
      <c r="E115" s="319"/>
      <c r="F115" s="319"/>
      <c r="G115" s="318" t="s">
        <v>624</v>
      </c>
      <c r="H115" s="320"/>
      <c r="I115" s="320"/>
      <c r="J115" s="318"/>
    </row>
    <row r="116" spans="2:10" ht="18" x14ac:dyDescent="0.25">
      <c r="B116" s="317" t="s">
        <v>673</v>
      </c>
      <c r="C116" s="318" t="s">
        <v>674</v>
      </c>
      <c r="D116" s="318">
        <v>55.844999999999999</v>
      </c>
      <c r="E116" s="319"/>
      <c r="F116" s="319"/>
      <c r="G116" s="318" t="s">
        <v>624</v>
      </c>
      <c r="H116" s="320"/>
      <c r="I116" s="320"/>
      <c r="J116" s="318"/>
    </row>
    <row r="117" spans="2:10" ht="18" x14ac:dyDescent="0.25">
      <c r="B117" s="317" t="s">
        <v>675</v>
      </c>
      <c r="C117" s="318" t="s">
        <v>676</v>
      </c>
      <c r="D117" s="318">
        <v>58.933194999999998</v>
      </c>
      <c r="E117" s="319"/>
      <c r="F117" s="319"/>
      <c r="G117" s="318" t="s">
        <v>624</v>
      </c>
      <c r="H117" s="320"/>
      <c r="I117" s="320"/>
      <c r="J117" s="318"/>
    </row>
    <row r="118" spans="2:10" ht="18" x14ac:dyDescent="0.25">
      <c r="B118" s="317" t="s">
        <v>677</v>
      </c>
      <c r="C118" s="318" t="s">
        <v>678</v>
      </c>
      <c r="D118" s="318">
        <v>58.693399999999997</v>
      </c>
      <c r="E118" s="319"/>
      <c r="F118" s="319"/>
      <c r="G118" s="318" t="s">
        <v>624</v>
      </c>
      <c r="H118" s="320"/>
      <c r="I118" s="320"/>
      <c r="J118" s="318"/>
    </row>
    <row r="119" spans="2:10" ht="18" x14ac:dyDescent="0.25">
      <c r="B119" s="317" t="s">
        <v>679</v>
      </c>
      <c r="C119" s="318" t="s">
        <v>680</v>
      </c>
      <c r="D119" s="318">
        <v>63.545999999999999</v>
      </c>
      <c r="E119" s="319"/>
      <c r="F119" s="319"/>
      <c r="G119" s="318" t="s">
        <v>624</v>
      </c>
      <c r="H119" s="320"/>
      <c r="I119" s="320"/>
      <c r="J119" s="318"/>
    </row>
    <row r="120" spans="2:10" ht="18" x14ac:dyDescent="0.25">
      <c r="B120" s="317" t="s">
        <v>681</v>
      </c>
      <c r="C120" s="318" t="s">
        <v>682</v>
      </c>
      <c r="D120" s="318">
        <v>65.38</v>
      </c>
      <c r="E120" s="319"/>
      <c r="F120" s="319"/>
      <c r="G120" s="318" t="s">
        <v>624</v>
      </c>
      <c r="H120" s="320"/>
      <c r="I120" s="320"/>
      <c r="J120" s="318"/>
    </row>
    <row r="121" spans="2:10" ht="18" x14ac:dyDescent="0.25">
      <c r="B121" s="317" t="s">
        <v>683</v>
      </c>
      <c r="C121" s="318" t="s">
        <v>684</v>
      </c>
      <c r="D121" s="318">
        <v>69.722999999999999</v>
      </c>
      <c r="E121" s="319"/>
      <c r="F121" s="319"/>
      <c r="G121" s="318" t="s">
        <v>624</v>
      </c>
      <c r="H121" s="320"/>
      <c r="I121" s="320"/>
      <c r="J121" s="318"/>
    </row>
    <row r="122" spans="2:10" ht="18" x14ac:dyDescent="0.25">
      <c r="B122" s="317" t="s">
        <v>685</v>
      </c>
      <c r="C122" s="318" t="s">
        <v>686</v>
      </c>
      <c r="D122" s="318">
        <v>72.64</v>
      </c>
      <c r="E122" s="319"/>
      <c r="F122" s="319"/>
      <c r="G122" s="318" t="s">
        <v>624</v>
      </c>
      <c r="H122" s="320"/>
      <c r="I122" s="320"/>
      <c r="J122" s="318"/>
    </row>
    <row r="123" spans="2:10" ht="18" x14ac:dyDescent="0.25">
      <c r="B123" s="317" t="s">
        <v>687</v>
      </c>
      <c r="C123" s="318" t="s">
        <v>688</v>
      </c>
      <c r="D123" s="318">
        <v>74.921599999999998</v>
      </c>
      <c r="E123" s="319"/>
      <c r="F123" s="319"/>
      <c r="G123" s="318" t="s">
        <v>624</v>
      </c>
      <c r="H123" s="320"/>
      <c r="I123" s="320"/>
      <c r="J123" s="318"/>
    </row>
    <row r="124" spans="2:10" ht="18" x14ac:dyDescent="0.25">
      <c r="B124" s="317" t="s">
        <v>689</v>
      </c>
      <c r="C124" s="318" t="s">
        <v>690</v>
      </c>
      <c r="D124" s="318">
        <v>78.959999999999994</v>
      </c>
      <c r="E124" s="319"/>
      <c r="F124" s="319"/>
      <c r="G124" s="318" t="s">
        <v>624</v>
      </c>
      <c r="H124" s="320"/>
      <c r="I124" s="320"/>
      <c r="J124" s="318"/>
    </row>
    <row r="125" spans="2:10" ht="18" x14ac:dyDescent="0.25">
      <c r="B125" s="317" t="s">
        <v>691</v>
      </c>
      <c r="C125" s="318" t="s">
        <v>692</v>
      </c>
      <c r="D125" s="318">
        <v>79.903999999999996</v>
      </c>
      <c r="E125" s="319"/>
      <c r="F125" s="319"/>
      <c r="G125" s="318" t="s">
        <v>624</v>
      </c>
      <c r="H125" s="320"/>
      <c r="I125" s="320"/>
      <c r="J125" s="318"/>
    </row>
    <row r="126" spans="2:10" ht="18" x14ac:dyDescent="0.25">
      <c r="B126" s="317" t="s">
        <v>693</v>
      </c>
      <c r="C126" s="318" t="s">
        <v>694</v>
      </c>
      <c r="D126" s="318">
        <v>83.798000000000002</v>
      </c>
      <c r="E126" s="319"/>
      <c r="F126" s="319"/>
      <c r="G126" s="318" t="s">
        <v>624</v>
      </c>
      <c r="H126" s="320"/>
      <c r="I126" s="320"/>
      <c r="J126" s="318"/>
    </row>
    <row r="127" spans="2:10" ht="18" x14ac:dyDescent="0.25">
      <c r="B127" s="317" t="s">
        <v>695</v>
      </c>
      <c r="C127" s="318" t="s">
        <v>696</v>
      </c>
      <c r="D127" s="318">
        <v>85.467799999999997</v>
      </c>
      <c r="E127" s="319"/>
      <c r="F127" s="319"/>
      <c r="G127" s="318" t="s">
        <v>624</v>
      </c>
      <c r="H127" s="320"/>
      <c r="I127" s="320"/>
      <c r="J127" s="318"/>
    </row>
    <row r="128" spans="2:10" ht="18" x14ac:dyDescent="0.25">
      <c r="B128" s="317" t="s">
        <v>697</v>
      </c>
      <c r="C128" s="318" t="s">
        <v>698</v>
      </c>
      <c r="D128" s="318">
        <v>87.62</v>
      </c>
      <c r="E128" s="319"/>
      <c r="F128" s="319"/>
      <c r="G128" s="318" t="s">
        <v>624</v>
      </c>
      <c r="H128" s="320"/>
      <c r="I128" s="320"/>
      <c r="J128" s="318"/>
    </row>
    <row r="129" spans="2:10" ht="18" x14ac:dyDescent="0.25">
      <c r="B129" s="317" t="s">
        <v>699</v>
      </c>
      <c r="C129" s="318" t="s">
        <v>700</v>
      </c>
      <c r="D129" s="318">
        <v>88.905850000000001</v>
      </c>
      <c r="E129" s="319"/>
      <c r="F129" s="319"/>
      <c r="G129" s="318" t="s">
        <v>624</v>
      </c>
      <c r="H129" s="320"/>
      <c r="I129" s="320"/>
      <c r="J129" s="318"/>
    </row>
    <row r="130" spans="2:10" ht="18" x14ac:dyDescent="0.25">
      <c r="B130" s="317" t="s">
        <v>701</v>
      </c>
      <c r="C130" s="318" t="s">
        <v>702</v>
      </c>
      <c r="D130" s="318">
        <v>91.224000000000004</v>
      </c>
      <c r="E130" s="319"/>
      <c r="F130" s="319"/>
      <c r="G130" s="318" t="s">
        <v>624</v>
      </c>
      <c r="H130" s="320"/>
      <c r="I130" s="320"/>
      <c r="J130" s="318"/>
    </row>
    <row r="131" spans="2:10" ht="18" x14ac:dyDescent="0.25">
      <c r="B131" s="317" t="s">
        <v>703</v>
      </c>
      <c r="C131" s="318" t="s">
        <v>704</v>
      </c>
      <c r="D131" s="318">
        <v>92.906379999999999</v>
      </c>
      <c r="E131" s="319"/>
      <c r="F131" s="319"/>
      <c r="G131" s="318" t="s">
        <v>624</v>
      </c>
      <c r="H131" s="320"/>
      <c r="I131" s="320"/>
      <c r="J131" s="318"/>
    </row>
    <row r="132" spans="2:10" ht="18" x14ac:dyDescent="0.25">
      <c r="B132" s="317" t="s">
        <v>705</v>
      </c>
      <c r="C132" s="318" t="s">
        <v>706</v>
      </c>
      <c r="D132" s="318">
        <v>95.94</v>
      </c>
      <c r="E132" s="319"/>
      <c r="F132" s="319"/>
      <c r="G132" s="318" t="s">
        <v>624</v>
      </c>
      <c r="H132" s="320"/>
      <c r="I132" s="320"/>
      <c r="J132" s="318"/>
    </row>
    <row r="133" spans="2:10" ht="18" x14ac:dyDescent="0.25">
      <c r="B133" s="317" t="s">
        <v>707</v>
      </c>
      <c r="C133" s="318" t="s">
        <v>708</v>
      </c>
      <c r="D133" s="318">
        <v>98</v>
      </c>
      <c r="E133" s="319"/>
      <c r="F133" s="319"/>
      <c r="G133" s="318" t="s">
        <v>624</v>
      </c>
      <c r="H133" s="320"/>
      <c r="I133" s="320"/>
      <c r="J133" s="318"/>
    </row>
    <row r="134" spans="2:10" ht="18" x14ac:dyDescent="0.25">
      <c r="B134" s="317" t="s">
        <v>709</v>
      </c>
      <c r="C134" s="318" t="s">
        <v>710</v>
      </c>
      <c r="D134" s="318">
        <v>101.07</v>
      </c>
      <c r="E134" s="319"/>
      <c r="F134" s="319"/>
      <c r="G134" s="318" t="s">
        <v>624</v>
      </c>
      <c r="H134" s="320"/>
      <c r="I134" s="320"/>
      <c r="J134" s="318"/>
    </row>
    <row r="135" spans="2:10" ht="18" x14ac:dyDescent="0.25">
      <c r="B135" s="317" t="s">
        <v>711</v>
      </c>
      <c r="C135" s="318" t="s">
        <v>712</v>
      </c>
      <c r="D135" s="318">
        <v>102.9055</v>
      </c>
      <c r="E135" s="319"/>
      <c r="F135" s="319"/>
      <c r="G135" s="318" t="s">
        <v>624</v>
      </c>
      <c r="H135" s="320"/>
      <c r="I135" s="320"/>
      <c r="J135" s="318"/>
    </row>
    <row r="136" spans="2:10" ht="18" x14ac:dyDescent="0.25">
      <c r="B136" s="317" t="s">
        <v>713</v>
      </c>
      <c r="C136" s="318" t="s">
        <v>714</v>
      </c>
      <c r="D136" s="318">
        <v>106.42</v>
      </c>
      <c r="E136" s="319"/>
      <c r="F136" s="319"/>
      <c r="G136" s="318" t="s">
        <v>624</v>
      </c>
      <c r="H136" s="320"/>
      <c r="I136" s="320"/>
      <c r="J136" s="318"/>
    </row>
    <row r="137" spans="2:10" ht="18" x14ac:dyDescent="0.25">
      <c r="B137" s="317" t="s">
        <v>715</v>
      </c>
      <c r="C137" s="318" t="s">
        <v>716</v>
      </c>
      <c r="D137" s="318">
        <v>107.8682</v>
      </c>
      <c r="E137" s="319"/>
      <c r="F137" s="319"/>
      <c r="G137" s="318" t="s">
        <v>624</v>
      </c>
      <c r="H137" s="320"/>
      <c r="I137" s="320"/>
      <c r="J137" s="318"/>
    </row>
    <row r="138" spans="2:10" ht="18" x14ac:dyDescent="0.25">
      <c r="B138" s="317" t="s">
        <v>717</v>
      </c>
      <c r="C138" s="318" t="s">
        <v>718</v>
      </c>
      <c r="D138" s="318">
        <v>112.411</v>
      </c>
      <c r="E138" s="319"/>
      <c r="F138" s="319"/>
      <c r="G138" s="318" t="s">
        <v>624</v>
      </c>
      <c r="H138" s="320"/>
      <c r="I138" s="320"/>
      <c r="J138" s="318"/>
    </row>
    <row r="139" spans="2:10" ht="18" x14ac:dyDescent="0.25">
      <c r="B139" s="317" t="s">
        <v>719</v>
      </c>
      <c r="C139" s="318" t="s">
        <v>720</v>
      </c>
      <c r="D139" s="318">
        <v>114.818</v>
      </c>
      <c r="E139" s="319"/>
      <c r="F139" s="319"/>
      <c r="G139" s="318" t="s">
        <v>624</v>
      </c>
      <c r="H139" s="320"/>
      <c r="I139" s="320"/>
      <c r="J139" s="318"/>
    </row>
    <row r="140" spans="2:10" ht="18" x14ac:dyDescent="0.25">
      <c r="B140" s="317" t="s">
        <v>721</v>
      </c>
      <c r="C140" s="318" t="s">
        <v>722</v>
      </c>
      <c r="D140" s="318">
        <v>118.71</v>
      </c>
      <c r="E140" s="319"/>
      <c r="F140" s="319"/>
      <c r="G140" s="318" t="s">
        <v>624</v>
      </c>
      <c r="H140" s="320"/>
      <c r="I140" s="320"/>
      <c r="J140" s="318"/>
    </row>
    <row r="141" spans="2:10" ht="18" x14ac:dyDescent="0.25">
      <c r="B141" s="317" t="s">
        <v>723</v>
      </c>
      <c r="C141" s="318" t="s">
        <v>724</v>
      </c>
      <c r="D141" s="318">
        <v>121.76</v>
      </c>
      <c r="E141" s="319"/>
      <c r="F141" s="319"/>
      <c r="G141" s="318" t="s">
        <v>624</v>
      </c>
      <c r="H141" s="320"/>
      <c r="I141" s="320"/>
      <c r="J141" s="318"/>
    </row>
    <row r="142" spans="2:10" ht="18" x14ac:dyDescent="0.25">
      <c r="B142" s="317" t="s">
        <v>725</v>
      </c>
      <c r="C142" s="318" t="s">
        <v>726</v>
      </c>
      <c r="D142" s="318">
        <v>127.6</v>
      </c>
      <c r="E142" s="319"/>
      <c r="F142" s="319"/>
      <c r="G142" s="318" t="s">
        <v>624</v>
      </c>
      <c r="H142" s="320"/>
      <c r="I142" s="320"/>
      <c r="J142" s="318"/>
    </row>
    <row r="143" spans="2:10" ht="18" x14ac:dyDescent="0.25">
      <c r="B143" s="317" t="s">
        <v>727</v>
      </c>
      <c r="C143" s="318" t="s">
        <v>728</v>
      </c>
      <c r="D143" s="318">
        <v>126.90447</v>
      </c>
      <c r="E143" s="319"/>
      <c r="F143" s="319"/>
      <c r="G143" s="318" t="s">
        <v>624</v>
      </c>
      <c r="H143" s="320"/>
      <c r="I143" s="320"/>
      <c r="J143" s="318"/>
    </row>
    <row r="144" spans="2:10" ht="18" x14ac:dyDescent="0.25">
      <c r="B144" s="317" t="s">
        <v>729</v>
      </c>
      <c r="C144" s="318" t="s">
        <v>730</v>
      </c>
      <c r="D144" s="318">
        <v>131.29300000000001</v>
      </c>
      <c r="E144" s="319"/>
      <c r="F144" s="319"/>
      <c r="G144" s="318" t="s">
        <v>624</v>
      </c>
      <c r="H144" s="320"/>
      <c r="I144" s="320"/>
      <c r="J144" s="318"/>
    </row>
    <row r="145" spans="2:10" ht="18" x14ac:dyDescent="0.25">
      <c r="B145" s="317" t="s">
        <v>731</v>
      </c>
      <c r="C145" s="318" t="s">
        <v>732</v>
      </c>
      <c r="D145" s="318">
        <v>132.90545</v>
      </c>
      <c r="E145" s="319"/>
      <c r="F145" s="319"/>
      <c r="G145" s="318" t="s">
        <v>624</v>
      </c>
      <c r="H145" s="320"/>
      <c r="I145" s="320"/>
      <c r="J145" s="318"/>
    </row>
    <row r="146" spans="2:10" ht="18" x14ac:dyDescent="0.25">
      <c r="B146" s="317" t="s">
        <v>733</v>
      </c>
      <c r="C146" s="318" t="s">
        <v>734</v>
      </c>
      <c r="D146" s="318">
        <v>137.327</v>
      </c>
      <c r="E146" s="319"/>
      <c r="F146" s="319"/>
      <c r="G146" s="318" t="s">
        <v>624</v>
      </c>
      <c r="H146" s="320"/>
      <c r="I146" s="320"/>
      <c r="J146" s="318"/>
    </row>
    <row r="147" spans="2:10" ht="18" x14ac:dyDescent="0.25">
      <c r="B147" s="317" t="s">
        <v>735</v>
      </c>
      <c r="C147" s="318" t="s">
        <v>736</v>
      </c>
      <c r="D147" s="318">
        <v>138.90547000000001</v>
      </c>
      <c r="E147" s="319"/>
      <c r="F147" s="319"/>
      <c r="G147" s="318" t="s">
        <v>624</v>
      </c>
      <c r="H147" s="320"/>
      <c r="I147" s="320"/>
      <c r="J147" s="318"/>
    </row>
    <row r="148" spans="2:10" ht="18" x14ac:dyDescent="0.25">
      <c r="B148" s="317" t="s">
        <v>737</v>
      </c>
      <c r="C148" s="318" t="s">
        <v>738</v>
      </c>
      <c r="D148" s="318">
        <v>140.11600000000001</v>
      </c>
      <c r="E148" s="319"/>
      <c r="F148" s="319"/>
      <c r="G148" s="318" t="s">
        <v>624</v>
      </c>
      <c r="H148" s="320"/>
      <c r="I148" s="320"/>
      <c r="J148" s="318"/>
    </row>
    <row r="149" spans="2:10" ht="18" x14ac:dyDescent="0.25">
      <c r="B149" s="317" t="s">
        <v>739</v>
      </c>
      <c r="C149" s="318" t="s">
        <v>740</v>
      </c>
      <c r="D149" s="318">
        <v>140.90764999999999</v>
      </c>
      <c r="E149" s="319"/>
      <c r="F149" s="319"/>
      <c r="G149" s="318" t="s">
        <v>624</v>
      </c>
      <c r="H149" s="320"/>
      <c r="I149" s="320"/>
      <c r="J149" s="318"/>
    </row>
    <row r="150" spans="2:10" ht="18" x14ac:dyDescent="0.25">
      <c r="B150" s="317" t="s">
        <v>741</v>
      </c>
      <c r="C150" s="318" t="s">
        <v>742</v>
      </c>
      <c r="D150" s="318">
        <v>144.24199999999999</v>
      </c>
      <c r="E150" s="319"/>
      <c r="F150" s="319"/>
      <c r="G150" s="318" t="s">
        <v>624</v>
      </c>
      <c r="H150" s="320"/>
      <c r="I150" s="320"/>
      <c r="J150" s="318"/>
    </row>
    <row r="151" spans="2:10" ht="18" x14ac:dyDescent="0.25">
      <c r="B151" s="317" t="s">
        <v>743</v>
      </c>
      <c r="C151" s="318" t="s">
        <v>744</v>
      </c>
      <c r="D151" s="318">
        <v>145</v>
      </c>
      <c r="E151" s="319"/>
      <c r="F151" s="319"/>
      <c r="G151" s="318" t="s">
        <v>624</v>
      </c>
      <c r="H151" s="320"/>
      <c r="I151" s="320"/>
      <c r="J151" s="318"/>
    </row>
    <row r="152" spans="2:10" ht="18" x14ac:dyDescent="0.25">
      <c r="B152" s="317" t="s">
        <v>745</v>
      </c>
      <c r="C152" s="318" t="s">
        <v>746</v>
      </c>
      <c r="D152" s="318">
        <v>150.36000000000001</v>
      </c>
      <c r="E152" s="319"/>
      <c r="F152" s="319"/>
      <c r="G152" s="318" t="s">
        <v>624</v>
      </c>
      <c r="H152" s="320"/>
      <c r="I152" s="320"/>
      <c r="J152" s="318"/>
    </row>
    <row r="153" spans="2:10" ht="18" x14ac:dyDescent="0.25">
      <c r="B153" s="317" t="s">
        <v>747</v>
      </c>
      <c r="C153" s="318" t="s">
        <v>748</v>
      </c>
      <c r="D153" s="318">
        <v>151.964</v>
      </c>
      <c r="E153" s="319"/>
      <c r="F153" s="319"/>
      <c r="G153" s="318" t="s">
        <v>624</v>
      </c>
      <c r="H153" s="320"/>
      <c r="I153" s="320"/>
      <c r="J153" s="318"/>
    </row>
    <row r="154" spans="2:10" ht="18" x14ac:dyDescent="0.25">
      <c r="B154" s="317" t="s">
        <v>749</v>
      </c>
      <c r="C154" s="318" t="s">
        <v>750</v>
      </c>
      <c r="D154" s="318">
        <v>157.25</v>
      </c>
      <c r="E154" s="319"/>
      <c r="F154" s="319"/>
      <c r="G154" s="318" t="s">
        <v>624</v>
      </c>
      <c r="H154" s="320"/>
      <c r="I154" s="320"/>
      <c r="J154" s="318"/>
    </row>
    <row r="155" spans="2:10" ht="18" x14ac:dyDescent="0.25">
      <c r="B155" s="317" t="s">
        <v>751</v>
      </c>
      <c r="C155" s="318" t="s">
        <v>752</v>
      </c>
      <c r="D155" s="318">
        <v>158.92535000000001</v>
      </c>
      <c r="E155" s="319"/>
      <c r="F155" s="319"/>
      <c r="G155" s="318" t="s">
        <v>624</v>
      </c>
      <c r="H155" s="320"/>
      <c r="I155" s="320"/>
      <c r="J155" s="318"/>
    </row>
    <row r="156" spans="2:10" ht="18" x14ac:dyDescent="0.25">
      <c r="B156" s="317" t="s">
        <v>753</v>
      </c>
      <c r="C156" s="318" t="s">
        <v>754</v>
      </c>
      <c r="D156" s="318">
        <v>162.5</v>
      </c>
      <c r="E156" s="319"/>
      <c r="F156" s="319"/>
      <c r="G156" s="318" t="s">
        <v>624</v>
      </c>
      <c r="H156" s="320"/>
      <c r="I156" s="320"/>
      <c r="J156" s="318"/>
    </row>
    <row r="157" spans="2:10" ht="18" x14ac:dyDescent="0.25">
      <c r="B157" s="317" t="s">
        <v>755</v>
      </c>
      <c r="C157" s="318" t="s">
        <v>756</v>
      </c>
      <c r="D157" s="318">
        <v>164.93031999999999</v>
      </c>
      <c r="E157" s="319"/>
      <c r="F157" s="319"/>
      <c r="G157" s="318" t="s">
        <v>624</v>
      </c>
      <c r="H157" s="320"/>
      <c r="I157" s="320"/>
      <c r="J157" s="318"/>
    </row>
    <row r="158" spans="2:10" ht="18" x14ac:dyDescent="0.25">
      <c r="B158" s="317" t="s">
        <v>757</v>
      </c>
      <c r="C158" s="318" t="s">
        <v>758</v>
      </c>
      <c r="D158" s="318">
        <v>167.25899999999999</v>
      </c>
      <c r="E158" s="319"/>
      <c r="F158" s="319"/>
      <c r="G158" s="318" t="s">
        <v>624</v>
      </c>
      <c r="H158" s="320"/>
      <c r="I158" s="320"/>
      <c r="J158" s="318"/>
    </row>
    <row r="159" spans="2:10" ht="18" x14ac:dyDescent="0.25">
      <c r="B159" s="317" t="s">
        <v>759</v>
      </c>
      <c r="C159" s="318" t="s">
        <v>760</v>
      </c>
      <c r="D159" s="318">
        <v>168.93421000000001</v>
      </c>
      <c r="E159" s="319"/>
      <c r="F159" s="319"/>
      <c r="G159" s="318" t="s">
        <v>624</v>
      </c>
      <c r="H159" s="320"/>
      <c r="I159" s="320"/>
      <c r="J159" s="318"/>
    </row>
    <row r="160" spans="2:10" ht="18" x14ac:dyDescent="0.25">
      <c r="B160" s="317" t="s">
        <v>761</v>
      </c>
      <c r="C160" s="318" t="s">
        <v>762</v>
      </c>
      <c r="D160" s="318">
        <v>173.04</v>
      </c>
      <c r="E160" s="319"/>
      <c r="F160" s="319"/>
      <c r="G160" s="318" t="s">
        <v>624</v>
      </c>
      <c r="H160" s="320"/>
      <c r="I160" s="320"/>
      <c r="J160" s="318"/>
    </row>
    <row r="161" spans="2:10" ht="18" x14ac:dyDescent="0.25">
      <c r="B161" s="317" t="s">
        <v>763</v>
      </c>
      <c r="C161" s="318" t="s">
        <v>764</v>
      </c>
      <c r="D161" s="318">
        <v>174.96700000000001</v>
      </c>
      <c r="E161" s="319"/>
      <c r="F161" s="319"/>
      <c r="G161" s="318" t="s">
        <v>624</v>
      </c>
      <c r="H161" s="320"/>
      <c r="I161" s="320"/>
      <c r="J161" s="318"/>
    </row>
    <row r="162" spans="2:10" ht="18" x14ac:dyDescent="0.25">
      <c r="B162" s="317" t="s">
        <v>765</v>
      </c>
      <c r="C162" s="318" t="s">
        <v>766</v>
      </c>
      <c r="D162" s="318">
        <v>178.49</v>
      </c>
      <c r="E162" s="319"/>
      <c r="F162" s="319"/>
      <c r="G162" s="318" t="s">
        <v>624</v>
      </c>
      <c r="H162" s="320"/>
      <c r="I162" s="320"/>
      <c r="J162" s="318"/>
    </row>
    <row r="163" spans="2:10" ht="18" x14ac:dyDescent="0.25">
      <c r="B163" s="317" t="s">
        <v>767</v>
      </c>
      <c r="C163" s="318" t="s">
        <v>768</v>
      </c>
      <c r="D163" s="318">
        <v>180.94788</v>
      </c>
      <c r="E163" s="319"/>
      <c r="F163" s="319"/>
      <c r="G163" s="318" t="s">
        <v>624</v>
      </c>
      <c r="H163" s="320"/>
      <c r="I163" s="320"/>
      <c r="J163" s="318"/>
    </row>
    <row r="164" spans="2:10" ht="18" x14ac:dyDescent="0.25">
      <c r="B164" s="317" t="s">
        <v>769</v>
      </c>
      <c r="C164" s="318" t="s">
        <v>770</v>
      </c>
      <c r="D164" s="318">
        <v>183.84</v>
      </c>
      <c r="E164" s="319"/>
      <c r="F164" s="319"/>
      <c r="G164" s="318" t="s">
        <v>624</v>
      </c>
      <c r="H164" s="320"/>
      <c r="I164" s="320"/>
      <c r="J164" s="318"/>
    </row>
    <row r="165" spans="2:10" ht="18" x14ac:dyDescent="0.25">
      <c r="B165" s="317" t="s">
        <v>771</v>
      </c>
      <c r="C165" s="318" t="s">
        <v>772</v>
      </c>
      <c r="D165" s="318">
        <v>186.20699999999999</v>
      </c>
      <c r="E165" s="319"/>
      <c r="F165" s="319"/>
      <c r="G165" s="318" t="s">
        <v>624</v>
      </c>
      <c r="H165" s="320"/>
      <c r="I165" s="320"/>
      <c r="J165" s="318"/>
    </row>
    <row r="166" spans="2:10" ht="18" x14ac:dyDescent="0.25">
      <c r="B166" s="317" t="s">
        <v>773</v>
      </c>
      <c r="C166" s="318" t="s">
        <v>774</v>
      </c>
      <c r="D166" s="318">
        <v>190.23</v>
      </c>
      <c r="E166" s="319"/>
      <c r="F166" s="319"/>
      <c r="G166" s="318" t="s">
        <v>624</v>
      </c>
      <c r="H166" s="320"/>
      <c r="I166" s="320"/>
      <c r="J166" s="318"/>
    </row>
    <row r="167" spans="2:10" ht="18" x14ac:dyDescent="0.25">
      <c r="B167" s="317" t="s">
        <v>775</v>
      </c>
      <c r="C167" s="318" t="s">
        <v>776</v>
      </c>
      <c r="D167" s="318">
        <v>192.21700000000001</v>
      </c>
      <c r="E167" s="319"/>
      <c r="F167" s="319"/>
      <c r="G167" s="318" t="s">
        <v>624</v>
      </c>
      <c r="H167" s="320"/>
      <c r="I167" s="320"/>
      <c r="J167" s="318"/>
    </row>
    <row r="168" spans="2:10" ht="18" x14ac:dyDescent="0.25">
      <c r="B168" s="317" t="s">
        <v>777</v>
      </c>
      <c r="C168" s="318" t="s">
        <v>778</v>
      </c>
      <c r="D168" s="318">
        <v>195.084</v>
      </c>
      <c r="E168" s="319"/>
      <c r="F168" s="319"/>
      <c r="G168" s="318" t="s">
        <v>624</v>
      </c>
      <c r="H168" s="320"/>
      <c r="I168" s="320"/>
      <c r="J168" s="318"/>
    </row>
    <row r="169" spans="2:10" ht="18" x14ac:dyDescent="0.25">
      <c r="B169" s="317" t="s">
        <v>779</v>
      </c>
      <c r="C169" s="318" t="s">
        <v>780</v>
      </c>
      <c r="D169" s="318">
        <v>196.96656999999999</v>
      </c>
      <c r="E169" s="319"/>
      <c r="F169" s="319"/>
      <c r="G169" s="318" t="s">
        <v>624</v>
      </c>
      <c r="H169" s="320"/>
      <c r="I169" s="320"/>
      <c r="J169" s="318"/>
    </row>
    <row r="170" spans="2:10" ht="18" x14ac:dyDescent="0.25">
      <c r="B170" s="317" t="s">
        <v>781</v>
      </c>
      <c r="C170" s="318" t="s">
        <v>782</v>
      </c>
      <c r="D170" s="318">
        <v>200.59</v>
      </c>
      <c r="E170" s="319"/>
      <c r="F170" s="319"/>
      <c r="G170" s="318" t="s">
        <v>624</v>
      </c>
      <c r="H170" s="320"/>
      <c r="I170" s="320"/>
      <c r="J170" s="318"/>
    </row>
    <row r="171" spans="2:10" ht="18" x14ac:dyDescent="0.25">
      <c r="B171" s="317" t="s">
        <v>783</v>
      </c>
      <c r="C171" s="318" t="s">
        <v>784</v>
      </c>
      <c r="D171" s="318">
        <v>204.38329999999999</v>
      </c>
      <c r="E171" s="319"/>
      <c r="F171" s="319"/>
      <c r="G171" s="318" t="s">
        <v>624</v>
      </c>
      <c r="H171" s="320"/>
      <c r="I171" s="320"/>
      <c r="J171" s="318"/>
    </row>
    <row r="172" spans="2:10" ht="18" x14ac:dyDescent="0.25">
      <c r="B172" s="317" t="s">
        <v>785</v>
      </c>
      <c r="C172" s="318" t="s">
        <v>786</v>
      </c>
      <c r="D172" s="318">
        <v>207.2</v>
      </c>
      <c r="E172" s="319"/>
      <c r="F172" s="319"/>
      <c r="G172" s="318" t="s">
        <v>624</v>
      </c>
      <c r="H172" s="320"/>
      <c r="I172" s="320"/>
      <c r="J172" s="318"/>
    </row>
    <row r="173" spans="2:10" ht="18" x14ac:dyDescent="0.25">
      <c r="B173" s="317" t="s">
        <v>787</v>
      </c>
      <c r="C173" s="318" t="s">
        <v>788</v>
      </c>
      <c r="D173" s="318">
        <v>208.9804</v>
      </c>
      <c r="E173" s="319"/>
      <c r="F173" s="319"/>
      <c r="G173" s="318" t="s">
        <v>624</v>
      </c>
      <c r="H173" s="320"/>
      <c r="I173" s="320"/>
      <c r="J173" s="318"/>
    </row>
    <row r="174" spans="2:10" ht="18" x14ac:dyDescent="0.25">
      <c r="B174" s="317" t="s">
        <v>789</v>
      </c>
      <c r="C174" s="318" t="s">
        <v>790</v>
      </c>
      <c r="D174" s="318">
        <v>209</v>
      </c>
      <c r="E174" s="319"/>
      <c r="F174" s="319"/>
      <c r="G174" s="318" t="s">
        <v>624</v>
      </c>
      <c r="H174" s="320"/>
      <c r="I174" s="320"/>
      <c r="J174" s="318"/>
    </row>
    <row r="175" spans="2:10" ht="18" x14ac:dyDescent="0.25">
      <c r="B175" s="317" t="s">
        <v>791</v>
      </c>
      <c r="C175" s="318" t="s">
        <v>792</v>
      </c>
      <c r="D175" s="318">
        <v>210</v>
      </c>
      <c r="E175" s="319"/>
      <c r="F175" s="319"/>
      <c r="G175" s="318" t="s">
        <v>624</v>
      </c>
      <c r="H175" s="320"/>
      <c r="I175" s="320"/>
      <c r="J175" s="318"/>
    </row>
    <row r="176" spans="2:10" ht="18" x14ac:dyDescent="0.25">
      <c r="B176" s="317" t="s">
        <v>793</v>
      </c>
      <c r="C176" s="318" t="s">
        <v>794</v>
      </c>
      <c r="D176" s="318">
        <v>222</v>
      </c>
      <c r="E176" s="319"/>
      <c r="F176" s="319"/>
      <c r="G176" s="318" t="s">
        <v>624</v>
      </c>
      <c r="H176" s="320"/>
      <c r="I176" s="320"/>
      <c r="J176" s="318"/>
    </row>
    <row r="177" spans="2:10" ht="18" x14ac:dyDescent="0.25">
      <c r="B177" s="317" t="s">
        <v>795</v>
      </c>
      <c r="C177" s="318" t="s">
        <v>796</v>
      </c>
      <c r="D177" s="318">
        <v>223</v>
      </c>
      <c r="E177" s="319"/>
      <c r="F177" s="319"/>
      <c r="G177" s="318" t="s">
        <v>624</v>
      </c>
      <c r="H177" s="320"/>
      <c r="I177" s="320"/>
      <c r="J177" s="318"/>
    </row>
    <row r="178" spans="2:10" ht="18" x14ac:dyDescent="0.25">
      <c r="B178" s="317" t="s">
        <v>797</v>
      </c>
      <c r="C178" s="318" t="s">
        <v>798</v>
      </c>
      <c r="D178" s="318">
        <v>226</v>
      </c>
      <c r="E178" s="319"/>
      <c r="F178" s="319"/>
      <c r="G178" s="318" t="s">
        <v>624</v>
      </c>
      <c r="H178" s="320"/>
      <c r="I178" s="320"/>
      <c r="J178" s="318"/>
    </row>
    <row r="179" spans="2:10" ht="18" x14ac:dyDescent="0.25">
      <c r="B179" s="317" t="s">
        <v>799</v>
      </c>
      <c r="C179" s="318" t="s">
        <v>800</v>
      </c>
      <c r="D179" s="318">
        <v>227</v>
      </c>
      <c r="E179" s="319"/>
      <c r="F179" s="319"/>
      <c r="G179" s="318" t="s">
        <v>624</v>
      </c>
      <c r="H179" s="320"/>
      <c r="I179" s="320"/>
      <c r="J179" s="318"/>
    </row>
    <row r="180" spans="2:10" ht="18" x14ac:dyDescent="0.25">
      <c r="B180" s="317" t="s">
        <v>801</v>
      </c>
      <c r="C180" s="318" t="s">
        <v>802</v>
      </c>
      <c r="D180" s="318">
        <v>232.03806</v>
      </c>
      <c r="E180" s="319"/>
      <c r="F180" s="319"/>
      <c r="G180" s="318" t="s">
        <v>624</v>
      </c>
      <c r="H180" s="320"/>
      <c r="I180" s="320"/>
      <c r="J180" s="318"/>
    </row>
    <row r="181" spans="2:10" ht="18" x14ac:dyDescent="0.25">
      <c r="B181" s="317" t="s">
        <v>803</v>
      </c>
      <c r="C181" s="318" t="s">
        <v>804</v>
      </c>
      <c r="D181" s="318">
        <v>231.03587999999999</v>
      </c>
      <c r="E181" s="319"/>
      <c r="F181" s="319"/>
      <c r="G181" s="318" t="s">
        <v>624</v>
      </c>
      <c r="H181" s="320"/>
      <c r="I181" s="320"/>
      <c r="J181" s="318"/>
    </row>
    <row r="182" spans="2:10" ht="18" x14ac:dyDescent="0.25">
      <c r="B182" s="317" t="s">
        <v>805</v>
      </c>
      <c r="C182" s="318" t="s">
        <v>806</v>
      </c>
      <c r="D182" s="318">
        <v>238.02891</v>
      </c>
      <c r="E182" s="319"/>
      <c r="F182" s="319"/>
      <c r="G182" s="318" t="s">
        <v>624</v>
      </c>
      <c r="H182" s="320"/>
      <c r="I182" s="320"/>
      <c r="J182" s="318"/>
    </row>
    <row r="183" spans="2:10" ht="18" x14ac:dyDescent="0.25">
      <c r="B183" s="317" t="s">
        <v>807</v>
      </c>
      <c r="C183" s="318" t="s">
        <v>808</v>
      </c>
      <c r="D183" s="318">
        <v>237</v>
      </c>
      <c r="E183" s="319"/>
      <c r="F183" s="319"/>
      <c r="G183" s="318" t="s">
        <v>624</v>
      </c>
      <c r="H183" s="320"/>
      <c r="I183" s="320"/>
      <c r="J183" s="318"/>
    </row>
    <row r="184" spans="2:10" ht="18" x14ac:dyDescent="0.25">
      <c r="B184" s="317" t="s">
        <v>809</v>
      </c>
      <c r="C184" s="318" t="s">
        <v>810</v>
      </c>
      <c r="D184" s="318">
        <v>244</v>
      </c>
      <c r="E184" s="319"/>
      <c r="F184" s="319"/>
      <c r="G184" s="318" t="s">
        <v>624</v>
      </c>
      <c r="H184" s="320"/>
      <c r="I184" s="320"/>
      <c r="J184" s="318"/>
    </row>
    <row r="185" spans="2:10" ht="18" x14ac:dyDescent="0.25">
      <c r="B185" s="317" t="s">
        <v>811</v>
      </c>
      <c r="C185" s="318" t="s">
        <v>812</v>
      </c>
      <c r="D185" s="318">
        <v>243</v>
      </c>
      <c r="E185" s="319"/>
      <c r="F185" s="319"/>
      <c r="G185" s="318" t="s">
        <v>624</v>
      </c>
      <c r="H185" s="320"/>
      <c r="I185" s="320"/>
      <c r="J185" s="318"/>
    </row>
    <row r="186" spans="2:10" ht="18" x14ac:dyDescent="0.25">
      <c r="B186" s="317" t="s">
        <v>813</v>
      </c>
      <c r="C186" s="318" t="s">
        <v>814</v>
      </c>
      <c r="D186" s="318">
        <v>247</v>
      </c>
      <c r="E186" s="319"/>
      <c r="F186" s="319"/>
      <c r="G186" s="318" t="s">
        <v>624</v>
      </c>
      <c r="H186" s="320"/>
      <c r="I186" s="320"/>
      <c r="J186" s="318"/>
    </row>
    <row r="187" spans="2:10" ht="18" x14ac:dyDescent="0.25">
      <c r="B187" s="317" t="s">
        <v>815</v>
      </c>
      <c r="C187" s="318" t="s">
        <v>816</v>
      </c>
      <c r="D187" s="318">
        <v>247</v>
      </c>
      <c r="E187" s="319"/>
      <c r="F187" s="319"/>
      <c r="G187" s="318" t="s">
        <v>624</v>
      </c>
      <c r="H187" s="320"/>
      <c r="I187" s="320"/>
      <c r="J187" s="318"/>
    </row>
    <row r="188" spans="2:10" ht="18" x14ac:dyDescent="0.25">
      <c r="B188" s="317" t="s">
        <v>817</v>
      </c>
      <c r="C188" s="318" t="s">
        <v>818</v>
      </c>
      <c r="D188" s="318">
        <v>251</v>
      </c>
      <c r="E188" s="319"/>
      <c r="F188" s="319"/>
      <c r="G188" s="318" t="s">
        <v>624</v>
      </c>
      <c r="H188" s="320"/>
      <c r="I188" s="320"/>
      <c r="J188" s="318"/>
    </row>
    <row r="189" spans="2:10" ht="18" x14ac:dyDescent="0.25">
      <c r="B189" s="317" t="s">
        <v>819</v>
      </c>
      <c r="C189" s="318" t="s">
        <v>820</v>
      </c>
      <c r="D189" s="318">
        <v>252</v>
      </c>
      <c r="E189" s="319"/>
      <c r="F189" s="319"/>
      <c r="G189" s="318" t="s">
        <v>624</v>
      </c>
      <c r="H189" s="320"/>
      <c r="I189" s="320"/>
      <c r="J189" s="318"/>
    </row>
    <row r="190" spans="2:10" ht="18" x14ac:dyDescent="0.25">
      <c r="B190" s="317" t="s">
        <v>821</v>
      </c>
      <c r="C190" s="318" t="s">
        <v>822</v>
      </c>
      <c r="D190" s="318">
        <v>257</v>
      </c>
      <c r="E190" s="319"/>
      <c r="F190" s="319"/>
      <c r="G190" s="318" t="s">
        <v>624</v>
      </c>
      <c r="H190" s="320"/>
      <c r="I190" s="320"/>
      <c r="J190" s="318"/>
    </row>
    <row r="191" spans="2:10" ht="18" x14ac:dyDescent="0.25">
      <c r="B191" s="317" t="s">
        <v>823</v>
      </c>
      <c r="C191" s="318" t="s">
        <v>824</v>
      </c>
      <c r="D191" s="318">
        <v>258</v>
      </c>
      <c r="E191" s="319"/>
      <c r="F191" s="319"/>
      <c r="G191" s="318" t="s">
        <v>624</v>
      </c>
      <c r="H191" s="320"/>
      <c r="I191" s="320"/>
      <c r="J191" s="318"/>
    </row>
    <row r="192" spans="2:10" ht="18" x14ac:dyDescent="0.25">
      <c r="B192" s="317" t="s">
        <v>825</v>
      </c>
      <c r="C192" s="318" t="s">
        <v>826</v>
      </c>
      <c r="D192" s="318">
        <v>259</v>
      </c>
      <c r="E192" s="319"/>
      <c r="F192" s="319"/>
      <c r="G192" s="318" t="s">
        <v>624</v>
      </c>
      <c r="H192" s="320"/>
      <c r="I192" s="320"/>
      <c r="J192" s="318"/>
    </row>
    <row r="193" spans="2:10" ht="18" x14ac:dyDescent="0.25">
      <c r="B193" s="317" t="s">
        <v>827</v>
      </c>
      <c r="C193" s="318" t="s">
        <v>828</v>
      </c>
      <c r="D193" s="318">
        <v>262</v>
      </c>
      <c r="E193" s="319"/>
      <c r="F193" s="319"/>
      <c r="G193" s="318" t="s">
        <v>624</v>
      </c>
      <c r="H193" s="320"/>
      <c r="I193" s="320"/>
      <c r="J193" s="318"/>
    </row>
    <row r="194" spans="2:10" ht="18" x14ac:dyDescent="0.25">
      <c r="B194" s="317" t="s">
        <v>829</v>
      </c>
      <c r="C194" s="318" t="s">
        <v>830</v>
      </c>
      <c r="D194" s="318">
        <v>261</v>
      </c>
      <c r="E194" s="319"/>
      <c r="F194" s="319"/>
      <c r="G194" s="318" t="s">
        <v>624</v>
      </c>
      <c r="H194" s="320"/>
      <c r="I194" s="320"/>
      <c r="J194" s="318"/>
    </row>
    <row r="195" spans="2:10" ht="18" x14ac:dyDescent="0.25">
      <c r="B195" s="317" t="s">
        <v>831</v>
      </c>
      <c r="C195" s="318" t="s">
        <v>832</v>
      </c>
      <c r="D195" s="318">
        <v>262</v>
      </c>
      <c r="E195" s="319"/>
      <c r="F195" s="319"/>
      <c r="G195" s="318" t="s">
        <v>624</v>
      </c>
      <c r="H195" s="320"/>
      <c r="I195" s="320"/>
      <c r="J195" s="318"/>
    </row>
    <row r="196" spans="2:10" ht="18" x14ac:dyDescent="0.25">
      <c r="B196" s="317" t="s">
        <v>833</v>
      </c>
      <c r="C196" s="318" t="s">
        <v>834</v>
      </c>
      <c r="D196" s="318">
        <v>266</v>
      </c>
      <c r="E196" s="319"/>
      <c r="F196" s="319"/>
      <c r="G196" s="318" t="s">
        <v>624</v>
      </c>
      <c r="H196" s="320"/>
      <c r="I196" s="320"/>
      <c r="J196" s="318"/>
    </row>
    <row r="197" spans="2:10" ht="18" x14ac:dyDescent="0.25">
      <c r="B197" s="317" t="s">
        <v>835</v>
      </c>
      <c r="C197" s="318" t="s">
        <v>836</v>
      </c>
      <c r="D197" s="318">
        <v>264</v>
      </c>
      <c r="E197" s="319"/>
      <c r="F197" s="319"/>
      <c r="G197" s="318" t="s">
        <v>624</v>
      </c>
      <c r="H197" s="320"/>
      <c r="I197" s="320"/>
      <c r="J197" s="318"/>
    </row>
    <row r="198" spans="2:10" ht="18" x14ac:dyDescent="0.25">
      <c r="B198" s="317" t="s">
        <v>837</v>
      </c>
      <c r="C198" s="318" t="s">
        <v>838</v>
      </c>
      <c r="D198" s="318">
        <v>277</v>
      </c>
      <c r="E198" s="319"/>
      <c r="F198" s="319"/>
      <c r="G198" s="318" t="s">
        <v>624</v>
      </c>
      <c r="H198" s="320"/>
      <c r="I198" s="320"/>
      <c r="J198" s="318"/>
    </row>
    <row r="199" spans="2:10" ht="18" x14ac:dyDescent="0.25">
      <c r="B199" s="317" t="s">
        <v>839</v>
      </c>
      <c r="C199" s="318" t="s">
        <v>840</v>
      </c>
      <c r="D199" s="318">
        <v>268</v>
      </c>
      <c r="E199" s="319"/>
      <c r="F199" s="319"/>
      <c r="G199" s="318" t="s">
        <v>624</v>
      </c>
      <c r="H199" s="320"/>
      <c r="I199" s="320"/>
      <c r="J199" s="318"/>
    </row>
    <row r="200" spans="2:10" ht="18" x14ac:dyDescent="0.25">
      <c r="B200" s="317" t="s">
        <v>841</v>
      </c>
      <c r="C200" s="318" t="s">
        <v>842</v>
      </c>
      <c r="D200" s="318">
        <v>281</v>
      </c>
      <c r="E200" s="319"/>
      <c r="F200" s="319"/>
      <c r="G200" s="318" t="s">
        <v>624</v>
      </c>
      <c r="H200" s="320"/>
      <c r="I200" s="320"/>
      <c r="J200" s="318"/>
    </row>
    <row r="201" spans="2:10" ht="18" x14ac:dyDescent="0.25">
      <c r="B201" s="317" t="s">
        <v>843</v>
      </c>
      <c r="C201" s="318" t="s">
        <v>844</v>
      </c>
      <c r="D201" s="318">
        <v>272</v>
      </c>
      <c r="E201" s="319"/>
      <c r="F201" s="319"/>
      <c r="G201" s="318" t="s">
        <v>624</v>
      </c>
      <c r="H201" s="320"/>
      <c r="I201" s="320"/>
      <c r="J201" s="318"/>
    </row>
    <row r="202" spans="2:10" ht="18" x14ac:dyDescent="0.25">
      <c r="B202" s="317" t="s">
        <v>845</v>
      </c>
      <c r="C202" s="318" t="s">
        <v>846</v>
      </c>
      <c r="D202" s="318">
        <v>285</v>
      </c>
      <c r="E202" s="319"/>
      <c r="F202" s="319"/>
      <c r="G202" s="318" t="s">
        <v>624</v>
      </c>
      <c r="H202" s="320"/>
      <c r="I202" s="320"/>
      <c r="J202" s="318"/>
    </row>
    <row r="203" spans="2:10" ht="18" x14ac:dyDescent="0.25">
      <c r="B203" s="317" t="s">
        <v>847</v>
      </c>
      <c r="C203" s="318" t="s">
        <v>848</v>
      </c>
      <c r="D203" s="318">
        <v>284</v>
      </c>
      <c r="E203" s="319"/>
      <c r="F203" s="319"/>
      <c r="G203" s="318" t="s">
        <v>624</v>
      </c>
      <c r="H203" s="320"/>
      <c r="I203" s="320"/>
      <c r="J203" s="318"/>
    </row>
    <row r="204" spans="2:10" ht="18" x14ac:dyDescent="0.25">
      <c r="B204" s="317" t="s">
        <v>849</v>
      </c>
      <c r="C204" s="318" t="s">
        <v>850</v>
      </c>
      <c r="D204" s="318">
        <v>289</v>
      </c>
      <c r="E204" s="319"/>
      <c r="F204" s="319"/>
      <c r="G204" s="318" t="s">
        <v>624</v>
      </c>
      <c r="H204" s="320"/>
      <c r="I204" s="320"/>
      <c r="J204" s="318"/>
    </row>
    <row r="205" spans="2:10" ht="18" x14ac:dyDescent="0.25">
      <c r="B205" s="317" t="s">
        <v>851</v>
      </c>
      <c r="C205" s="318" t="s">
        <v>852</v>
      </c>
      <c r="D205" s="318">
        <v>288</v>
      </c>
      <c r="E205" s="319"/>
      <c r="F205" s="319"/>
      <c r="G205" s="318" t="s">
        <v>624</v>
      </c>
      <c r="H205" s="320"/>
      <c r="I205" s="320"/>
      <c r="J205" s="318"/>
    </row>
    <row r="206" spans="2:10" ht="18" x14ac:dyDescent="0.25">
      <c r="B206" s="317" t="s">
        <v>853</v>
      </c>
      <c r="C206" s="318" t="s">
        <v>854</v>
      </c>
      <c r="D206" s="318">
        <v>292</v>
      </c>
      <c r="E206" s="319"/>
      <c r="F206" s="319"/>
      <c r="G206" s="318" t="s">
        <v>624</v>
      </c>
      <c r="H206" s="320"/>
      <c r="I206" s="320"/>
      <c r="J206" s="318"/>
    </row>
    <row r="207" spans="2:10" ht="18" x14ac:dyDescent="0.25">
      <c r="B207" s="317" t="s">
        <v>855</v>
      </c>
      <c r="C207" s="318" t="s">
        <v>856</v>
      </c>
      <c r="D207" s="318">
        <v>292</v>
      </c>
      <c r="E207" s="319"/>
      <c r="F207" s="319"/>
      <c r="G207" s="318" t="s">
        <v>624</v>
      </c>
      <c r="H207" s="320"/>
      <c r="I207" s="320"/>
      <c r="J207" s="318"/>
    </row>
    <row r="208" spans="2:10" ht="18" x14ac:dyDescent="0.25">
      <c r="B208" s="317" t="s">
        <v>857</v>
      </c>
      <c r="C208" s="318" t="s">
        <v>858</v>
      </c>
      <c r="D208" s="318">
        <v>294</v>
      </c>
      <c r="E208" s="319"/>
      <c r="F208" s="319"/>
      <c r="G208" s="318" t="s">
        <v>624</v>
      </c>
      <c r="H208" s="320"/>
      <c r="I208" s="320"/>
      <c r="J208" s="318"/>
    </row>
    <row r="210" spans="2:10" ht="15.75" thickBot="1" x14ac:dyDescent="0.3">
      <c r="C210" s="321" t="s">
        <v>859</v>
      </c>
    </row>
    <row r="211" spans="2:10" ht="15.75" thickBot="1" x14ac:dyDescent="0.3">
      <c r="B211" s="322" t="s">
        <v>0</v>
      </c>
      <c r="C211" s="323" t="s">
        <v>1</v>
      </c>
      <c r="D211" s="324" t="s">
        <v>150</v>
      </c>
      <c r="E211" s="324" t="s">
        <v>561</v>
      </c>
      <c r="F211" s="324" t="s">
        <v>562</v>
      </c>
      <c r="G211" s="324" t="s">
        <v>2</v>
      </c>
      <c r="H211" s="324" t="s">
        <v>431</v>
      </c>
      <c r="I211" s="324" t="s">
        <v>114</v>
      </c>
      <c r="J211" s="325" t="s">
        <v>115</v>
      </c>
    </row>
    <row r="212" spans="2:10" ht="18" x14ac:dyDescent="0.25">
      <c r="B212" s="317" t="s">
        <v>1459</v>
      </c>
      <c r="C212" s="318" t="s">
        <v>1460</v>
      </c>
      <c r="D212" s="318">
        <v>28.97</v>
      </c>
      <c r="E212" s="319"/>
      <c r="F212" s="319"/>
      <c r="G212" s="318" t="s">
        <v>624</v>
      </c>
      <c r="H212" s="320"/>
      <c r="I212" s="320"/>
      <c r="J212" s="318"/>
    </row>
    <row r="213" spans="2:10" ht="18" x14ac:dyDescent="0.25">
      <c r="B213" s="317" t="s">
        <v>860</v>
      </c>
      <c r="C213" s="318" t="s">
        <v>861</v>
      </c>
      <c r="D213" s="318">
        <f>2*A_MH</f>
        <v>2.0158800000000001</v>
      </c>
      <c r="E213" s="319"/>
      <c r="F213" s="319"/>
      <c r="G213" s="318" t="s">
        <v>624</v>
      </c>
      <c r="H213" s="320"/>
      <c r="I213" s="320"/>
      <c r="J213" s="318"/>
    </row>
    <row r="214" spans="2:10" ht="18" x14ac:dyDescent="0.25">
      <c r="B214" s="317" t="s">
        <v>862</v>
      </c>
      <c r="C214" s="318" t="s">
        <v>863</v>
      </c>
      <c r="D214" s="318">
        <f>A_MC+4*A_MH</f>
        <v>16.042459999999998</v>
      </c>
      <c r="E214" s="319"/>
      <c r="F214" s="319"/>
      <c r="G214" s="318" t="s">
        <v>624</v>
      </c>
      <c r="H214" s="320"/>
      <c r="I214" s="320"/>
      <c r="J214" s="318"/>
    </row>
    <row r="215" spans="2:10" ht="18" x14ac:dyDescent="0.25">
      <c r="B215" s="317" t="s">
        <v>864</v>
      </c>
      <c r="C215" s="318" t="s">
        <v>865</v>
      </c>
      <c r="D215" s="318">
        <f>A_MC+2*A_MO</f>
        <v>44.009500000000003</v>
      </c>
      <c r="E215" s="319"/>
      <c r="F215" s="319"/>
      <c r="G215" s="318" t="s">
        <v>624</v>
      </c>
      <c r="H215" s="320"/>
      <c r="I215" s="320"/>
      <c r="J215" s="318"/>
    </row>
    <row r="216" spans="2:10" ht="18" x14ac:dyDescent="0.25">
      <c r="B216" s="317" t="s">
        <v>1245</v>
      </c>
      <c r="C216" s="318" t="s">
        <v>881</v>
      </c>
      <c r="D216" s="318">
        <f>A_MN+3*A_MH</f>
        <v>17.030519999999999</v>
      </c>
      <c r="E216" s="319"/>
      <c r="F216" s="319"/>
      <c r="G216" s="318" t="s">
        <v>624</v>
      </c>
      <c r="H216" s="320"/>
      <c r="I216" s="320"/>
      <c r="J216" s="318"/>
    </row>
    <row r="217" spans="2:10" ht="18" x14ac:dyDescent="0.25">
      <c r="B217" s="317" t="s">
        <v>866</v>
      </c>
      <c r="C217" s="318" t="s">
        <v>867</v>
      </c>
      <c r="D217" s="318">
        <f>2*A_MN</f>
        <v>28.013400000000001</v>
      </c>
      <c r="E217" s="319"/>
      <c r="F217" s="319"/>
      <c r="G217" s="318" t="s">
        <v>624</v>
      </c>
      <c r="H217" s="320"/>
      <c r="I217" s="320"/>
      <c r="J217" s="318"/>
    </row>
    <row r="218" spans="2:10" ht="18" x14ac:dyDescent="0.25">
      <c r="B218" s="317" t="s">
        <v>868</v>
      </c>
      <c r="C218" s="318" t="s">
        <v>869</v>
      </c>
      <c r="D218" s="318">
        <f>2*A_MO</f>
        <v>31.998799999999999</v>
      </c>
      <c r="E218" s="319"/>
      <c r="F218" s="319"/>
      <c r="G218" s="318" t="s">
        <v>624</v>
      </c>
      <c r="H218" s="320"/>
      <c r="I218" s="320"/>
      <c r="J218" s="318" t="s">
        <v>870</v>
      </c>
    </row>
    <row r="219" spans="2:10" ht="18" x14ac:dyDescent="0.25">
      <c r="B219" s="317" t="s">
        <v>871</v>
      </c>
      <c r="C219" s="318" t="s">
        <v>872</v>
      </c>
      <c r="D219" s="318">
        <f>A_MN+A_MO</f>
        <v>30.0061</v>
      </c>
      <c r="E219" s="319"/>
      <c r="F219" s="319"/>
      <c r="G219" s="318" t="s">
        <v>624</v>
      </c>
      <c r="H219" s="320"/>
      <c r="I219" s="320"/>
      <c r="J219" s="318" t="s">
        <v>873</v>
      </c>
    </row>
    <row r="220" spans="2:10" ht="18" x14ac:dyDescent="0.25">
      <c r="B220" s="317" t="s">
        <v>874</v>
      </c>
      <c r="C220" s="318" t="s">
        <v>875</v>
      </c>
      <c r="D220" s="318">
        <f>2*A_MN+A_MO</f>
        <v>44.012799999999999</v>
      </c>
      <c r="E220" s="319"/>
      <c r="F220" s="319"/>
      <c r="G220" s="318" t="s">
        <v>624</v>
      </c>
      <c r="H220" s="320"/>
      <c r="I220" s="320"/>
      <c r="J220" s="318" t="s">
        <v>876</v>
      </c>
    </row>
    <row r="221" spans="2:10" ht="18" x14ac:dyDescent="0.25">
      <c r="B221" s="317" t="s">
        <v>1461</v>
      </c>
      <c r="C221" s="318" t="s">
        <v>1462</v>
      </c>
      <c r="D221" s="318">
        <f>M_MH2S</f>
        <v>34.080880000000001</v>
      </c>
      <c r="E221" s="319"/>
      <c r="F221" s="319"/>
      <c r="G221" s="318" t="s">
        <v>624</v>
      </c>
      <c r="H221" s="320"/>
      <c r="I221" s="320"/>
      <c r="J221" s="318"/>
    </row>
    <row r="223" spans="2:10" ht="15.75" thickBot="1" x14ac:dyDescent="0.3">
      <c r="C223" s="321" t="s">
        <v>877</v>
      </c>
    </row>
    <row r="224" spans="2:10" ht="15.75" thickBot="1" x14ac:dyDescent="0.3">
      <c r="B224" s="322" t="s">
        <v>0</v>
      </c>
      <c r="C224" s="323" t="s">
        <v>1</v>
      </c>
      <c r="D224" s="324" t="s">
        <v>150</v>
      </c>
      <c r="E224" s="324" t="s">
        <v>561</v>
      </c>
      <c r="F224" s="324" t="s">
        <v>562</v>
      </c>
      <c r="G224" s="324" t="s">
        <v>2</v>
      </c>
      <c r="H224" s="324" t="s">
        <v>431</v>
      </c>
      <c r="I224" s="324" t="s">
        <v>114</v>
      </c>
      <c r="J224" s="325" t="s">
        <v>115</v>
      </c>
    </row>
    <row r="225" spans="2:10" ht="18" x14ac:dyDescent="0.25">
      <c r="B225" s="317" t="s">
        <v>1246</v>
      </c>
      <c r="C225" s="318" t="s">
        <v>1247</v>
      </c>
      <c r="D225" s="318">
        <f>2*A_MH+A_MO</f>
        <v>18.015280000000001</v>
      </c>
      <c r="E225" s="319"/>
      <c r="F225" s="319"/>
      <c r="G225" s="318" t="s">
        <v>624</v>
      </c>
      <c r="H225" s="320"/>
      <c r="I225" s="320"/>
      <c r="J225" s="318"/>
    </row>
    <row r="226" spans="2:10" ht="18" x14ac:dyDescent="0.25">
      <c r="B226" s="317" t="s">
        <v>878</v>
      </c>
      <c r="C226" s="318" t="s">
        <v>869</v>
      </c>
      <c r="D226" s="318">
        <f>2*A_MO</f>
        <v>31.998799999999999</v>
      </c>
      <c r="E226" s="319"/>
      <c r="F226" s="319"/>
      <c r="G226" s="318" t="s">
        <v>624</v>
      </c>
      <c r="H226" s="320"/>
      <c r="I226" s="320"/>
      <c r="J226" s="318"/>
    </row>
    <row r="227" spans="2:10" ht="18" x14ac:dyDescent="0.25">
      <c r="B227" s="317" t="s">
        <v>879</v>
      </c>
      <c r="C227" s="318" t="s">
        <v>867</v>
      </c>
      <c r="D227" s="318">
        <f>2*A_MN</f>
        <v>28.013400000000001</v>
      </c>
      <c r="E227" s="319"/>
      <c r="F227" s="319"/>
      <c r="G227" s="318" t="s">
        <v>624</v>
      </c>
      <c r="H227" s="320"/>
      <c r="I227" s="320"/>
      <c r="J227" s="318"/>
    </row>
    <row r="228" spans="2:10" ht="18" x14ac:dyDescent="0.25">
      <c r="B228" s="317" t="s">
        <v>880</v>
      </c>
      <c r="C228" s="318" t="s">
        <v>881</v>
      </c>
      <c r="D228" s="318">
        <f>A_MN+3*A_MH</f>
        <v>17.030519999999999</v>
      </c>
      <c r="E228" s="319"/>
      <c r="F228" s="319"/>
      <c r="G228" s="318" t="s">
        <v>624</v>
      </c>
      <c r="H228" s="320"/>
      <c r="I228" s="320"/>
      <c r="J228" s="318"/>
    </row>
    <row r="229" spans="2:10" ht="18" x14ac:dyDescent="0.25">
      <c r="B229" s="317" t="s">
        <v>1135</v>
      </c>
      <c r="C229" s="318" t="s">
        <v>1463</v>
      </c>
      <c r="D229" s="318">
        <f>A_MN+4*A_MH</f>
        <v>18.038460000000001</v>
      </c>
      <c r="E229" s="319"/>
      <c r="F229" s="319"/>
      <c r="G229" s="318" t="s">
        <v>624</v>
      </c>
      <c r="H229" s="320"/>
      <c r="I229" s="320"/>
      <c r="J229" s="318"/>
    </row>
    <row r="230" spans="2:10" ht="18" x14ac:dyDescent="0.25">
      <c r="B230" s="317" t="s">
        <v>1136</v>
      </c>
      <c r="C230" s="318" t="s">
        <v>1464</v>
      </c>
      <c r="D230" s="318">
        <f>A_MN + 2*A_MO</f>
        <v>46.005499999999998</v>
      </c>
      <c r="E230" s="319"/>
      <c r="F230" s="319"/>
      <c r="G230" s="318" t="s">
        <v>624</v>
      </c>
      <c r="H230" s="320"/>
      <c r="I230" s="320"/>
      <c r="J230" s="318"/>
    </row>
    <row r="231" spans="2:10" ht="18" x14ac:dyDescent="0.25">
      <c r="B231" s="317" t="s">
        <v>1137</v>
      </c>
      <c r="C231" s="318" t="s">
        <v>1465</v>
      </c>
      <c r="D231" s="318">
        <f>A_MN + 3*A_MO</f>
        <v>62.004899999999999</v>
      </c>
      <c r="E231" s="319"/>
      <c r="F231" s="319"/>
      <c r="G231" s="318" t="s">
        <v>624</v>
      </c>
      <c r="H231" s="320"/>
      <c r="I231" s="320"/>
      <c r="J231" s="318"/>
    </row>
    <row r="232" spans="2:10" ht="18" x14ac:dyDescent="0.25">
      <c r="B232" s="317" t="s">
        <v>1466</v>
      </c>
      <c r="C232" s="318" t="s">
        <v>1467</v>
      </c>
      <c r="D232" s="318">
        <f>2*A_MFe+3*A_MO</f>
        <v>159.68819999999999</v>
      </c>
      <c r="E232" s="319"/>
      <c r="F232" s="319"/>
      <c r="G232" s="318" t="s">
        <v>624</v>
      </c>
      <c r="H232" s="320"/>
      <c r="I232" s="320"/>
      <c r="J232" s="318"/>
    </row>
    <row r="233" spans="2:10" ht="18" x14ac:dyDescent="0.25">
      <c r="B233" s="317" t="s">
        <v>1468</v>
      </c>
      <c r="C233" s="318" t="s">
        <v>1469</v>
      </c>
      <c r="D233" s="318">
        <f>A_MFe+3*(A_MO+A_MH)</f>
        <v>106.86702</v>
      </c>
      <c r="E233" s="319"/>
      <c r="F233" s="319"/>
      <c r="G233" s="318" t="s">
        <v>624</v>
      </c>
      <c r="H233" s="320"/>
      <c r="I233" s="320"/>
      <c r="J233" s="318"/>
    </row>
    <row r="234" spans="2:10" ht="18" x14ac:dyDescent="0.25">
      <c r="B234" s="317" t="s">
        <v>1470</v>
      </c>
      <c r="C234" s="318" t="s">
        <v>1471</v>
      </c>
      <c r="D234" s="318">
        <f>A_MAl+3*(A_MO+A_MH)</f>
        <v>78.003519999999995</v>
      </c>
      <c r="E234" s="319"/>
      <c r="F234" s="319"/>
      <c r="G234" s="318" t="s">
        <v>624</v>
      </c>
      <c r="H234" s="320"/>
      <c r="I234" s="320"/>
      <c r="J234" s="318"/>
    </row>
    <row r="235" spans="2:10" ht="18" x14ac:dyDescent="0.25">
      <c r="B235" s="317" t="s">
        <v>1472</v>
      </c>
      <c r="C235" s="318" t="s">
        <v>1473</v>
      </c>
      <c r="D235" s="318">
        <f>A_MAl+A_MP+4*A_MO</f>
        <v>121.9528622</v>
      </c>
      <c r="E235" s="319"/>
      <c r="F235" s="319"/>
      <c r="G235" s="318" t="s">
        <v>624</v>
      </c>
      <c r="H235" s="320"/>
      <c r="I235" s="320"/>
      <c r="J235" s="318"/>
    </row>
    <row r="236" spans="2:10" ht="18" x14ac:dyDescent="0.25">
      <c r="B236" s="317" t="s">
        <v>1474</v>
      </c>
      <c r="C236" s="318" t="s">
        <v>882</v>
      </c>
      <c r="D236" s="318">
        <f>A_MP+4*A_MO</f>
        <v>94.971362200000002</v>
      </c>
      <c r="E236" s="319"/>
      <c r="F236" s="319"/>
      <c r="G236" s="318" t="s">
        <v>624</v>
      </c>
      <c r="H236" s="320"/>
      <c r="I236" s="320"/>
      <c r="J236" s="318"/>
    </row>
    <row r="237" spans="2:10" ht="18" x14ac:dyDescent="0.25">
      <c r="B237" s="317" t="s">
        <v>1475</v>
      </c>
      <c r="C237" s="318" t="s">
        <v>865</v>
      </c>
      <c r="D237" s="318">
        <f>A_MC+2*A_MO</f>
        <v>44.009500000000003</v>
      </c>
      <c r="E237" s="319"/>
      <c r="F237" s="319"/>
      <c r="G237" s="318" t="s">
        <v>624</v>
      </c>
      <c r="H237" s="320"/>
      <c r="I237" s="320"/>
      <c r="J237" s="318"/>
    </row>
    <row r="238" spans="2:10" ht="18" x14ac:dyDescent="0.25">
      <c r="B238" s="317" t="s">
        <v>1138</v>
      </c>
      <c r="C238" s="318" t="s">
        <v>1139</v>
      </c>
      <c r="D238" s="318">
        <f>A_MC + 3*A_MO</f>
        <v>60.008899999999997</v>
      </c>
      <c r="E238" s="319"/>
      <c r="F238" s="319"/>
      <c r="G238" s="318" t="s">
        <v>624</v>
      </c>
      <c r="H238" s="320"/>
      <c r="I238" s="320"/>
      <c r="J238" s="318"/>
    </row>
    <row r="239" spans="2:10" ht="18" x14ac:dyDescent="0.25">
      <c r="B239" s="317" t="s">
        <v>1140</v>
      </c>
      <c r="C239" s="318" t="s">
        <v>1141</v>
      </c>
      <c r="D239" s="318">
        <f>A_MH + A_MC + 3*A_MO</f>
        <v>61.016839999999995</v>
      </c>
      <c r="E239" s="319"/>
      <c r="F239" s="319"/>
      <c r="G239" s="318" t="s">
        <v>624</v>
      </c>
      <c r="H239" s="320"/>
      <c r="I239" s="320"/>
      <c r="J239" s="318"/>
    </row>
    <row r="240" spans="2:10" ht="18" x14ac:dyDescent="0.25">
      <c r="B240" s="317" t="s">
        <v>1142</v>
      </c>
      <c r="C240" s="318" t="s">
        <v>1143</v>
      </c>
      <c r="D240" s="318">
        <f>2*A_MH+A_MC + 3*A_MO</f>
        <v>62.024779999999993</v>
      </c>
      <c r="E240" s="319"/>
      <c r="F240" s="319"/>
      <c r="G240" s="318" t="s">
        <v>624</v>
      </c>
      <c r="H240" s="320"/>
      <c r="I240" s="320"/>
      <c r="J240" s="318"/>
    </row>
    <row r="241" spans="2:10" ht="18" x14ac:dyDescent="0.25">
      <c r="B241" s="317" t="s">
        <v>1248</v>
      </c>
      <c r="C241" s="318" t="s">
        <v>1249</v>
      </c>
      <c r="D241" s="318">
        <f>A_MS+4*A_MO</f>
        <v>96.062600000000003</v>
      </c>
      <c r="E241" s="319"/>
      <c r="F241" s="319"/>
      <c r="G241" s="318" t="s">
        <v>624</v>
      </c>
      <c r="H241" s="320"/>
      <c r="I241" s="320"/>
      <c r="J241" s="318"/>
    </row>
    <row r="242" spans="2:10" ht="18" x14ac:dyDescent="0.25">
      <c r="B242" s="317" t="s">
        <v>1250</v>
      </c>
      <c r="C242" s="318" t="s">
        <v>1251</v>
      </c>
      <c r="D242" s="318">
        <f>A_MH + A_MS+4*A_MO</f>
        <v>97.070539999999994</v>
      </c>
      <c r="E242" s="319"/>
      <c r="F242" s="319"/>
      <c r="G242" s="318" t="s">
        <v>624</v>
      </c>
      <c r="H242" s="320"/>
      <c r="I242" s="320"/>
      <c r="J242" s="318"/>
    </row>
    <row r="243" spans="2:10" ht="18" x14ac:dyDescent="0.25">
      <c r="B243" s="317" t="s">
        <v>1252</v>
      </c>
      <c r="C243" s="318" t="s">
        <v>1144</v>
      </c>
      <c r="D243" s="318">
        <f>2*A_MH + A_MS+4*A_MO</f>
        <v>98.078479999999999</v>
      </c>
      <c r="E243" s="319"/>
      <c r="F243" s="319"/>
      <c r="G243" s="318" t="s">
        <v>624</v>
      </c>
      <c r="H243" s="320"/>
      <c r="I243" s="320"/>
      <c r="J243" s="318"/>
    </row>
    <row r="244" spans="2:10" ht="18" x14ac:dyDescent="0.25">
      <c r="B244" s="317" t="s">
        <v>1253</v>
      </c>
      <c r="C244" s="318" t="s">
        <v>1146</v>
      </c>
      <c r="D244" s="318">
        <f>2*A_MH + A_MS</f>
        <v>34.080880000000001</v>
      </c>
      <c r="E244" s="319"/>
      <c r="F244" s="319"/>
      <c r="G244" s="318" t="s">
        <v>624</v>
      </c>
      <c r="H244" s="320"/>
      <c r="I244" s="320"/>
      <c r="J244" s="318"/>
    </row>
    <row r="245" spans="2:10" ht="18" x14ac:dyDescent="0.25">
      <c r="B245" s="317" t="s">
        <v>1145</v>
      </c>
      <c r="C245" s="318" t="s">
        <v>1254</v>
      </c>
      <c r="D245" s="318">
        <f>A_MH + A_MCl</f>
        <v>36.460940000000001</v>
      </c>
      <c r="E245" s="319"/>
      <c r="F245" s="319"/>
      <c r="G245" s="318" t="s">
        <v>624</v>
      </c>
      <c r="H245" s="320"/>
      <c r="I245" s="320"/>
      <c r="J245" s="318"/>
    </row>
    <row r="246" spans="2:10" ht="18" x14ac:dyDescent="0.25">
      <c r="B246" s="317" t="s">
        <v>883</v>
      </c>
      <c r="C246" s="318" t="s">
        <v>884</v>
      </c>
      <c r="D246" s="318">
        <f>A_MC+3*A_MH+A_MO+A_MH</f>
        <v>32.04186</v>
      </c>
      <c r="E246" s="319"/>
      <c r="F246" s="319"/>
      <c r="G246" s="318" t="s">
        <v>624</v>
      </c>
      <c r="H246" s="320"/>
      <c r="I246" s="320"/>
      <c r="J246" s="318"/>
    </row>
    <row r="247" spans="2:10" ht="18" x14ac:dyDescent="0.25">
      <c r="B247" s="317" t="s">
        <v>885</v>
      </c>
      <c r="C247" s="318" t="s">
        <v>886</v>
      </c>
      <c r="D247" s="318">
        <f>A_MC+3*A_MH+A_MC+2*A_MO+A_MH</f>
        <v>60.051960000000001</v>
      </c>
      <c r="E247" s="319"/>
      <c r="F247" s="319"/>
      <c r="G247" s="318" t="s">
        <v>624</v>
      </c>
      <c r="H247" s="320"/>
      <c r="I247" s="320"/>
      <c r="J247" s="318"/>
    </row>
    <row r="248" spans="2:10" ht="18" x14ac:dyDescent="0.25">
      <c r="B248" s="317" t="s">
        <v>1476</v>
      </c>
      <c r="C248" s="318" t="s">
        <v>1147</v>
      </c>
      <c r="D248" s="318">
        <f>A_MCa+A_MC+3*A_MO</f>
        <v>100.0869</v>
      </c>
      <c r="E248" s="319"/>
      <c r="F248" s="319"/>
      <c r="G248" s="318" t="s">
        <v>624</v>
      </c>
      <c r="H248" s="320"/>
      <c r="I248" s="320"/>
      <c r="J248" s="318"/>
    </row>
    <row r="249" spans="2:10" ht="18" x14ac:dyDescent="0.25">
      <c r="B249" s="317" t="s">
        <v>1255</v>
      </c>
      <c r="C249" s="318" t="s">
        <v>1256</v>
      </c>
      <c r="D249" s="318">
        <f>3*A_MCa+2*M_MPO4+4*M_MH2O</f>
        <v>382.23784440000003</v>
      </c>
      <c r="E249" s="319"/>
      <c r="F249" s="319"/>
      <c r="G249" s="318" t="s">
        <v>624</v>
      </c>
      <c r="H249" s="320"/>
      <c r="I249" s="320"/>
      <c r="J249" s="318"/>
    </row>
    <row r="250" spans="2:10" ht="18" x14ac:dyDescent="0.25">
      <c r="B250" s="317" t="s">
        <v>1477</v>
      </c>
      <c r="C250" s="318" t="s">
        <v>1148</v>
      </c>
      <c r="D250" s="318">
        <f>A_MMg+A_MN+4*A_MH+A_MP+4*A_MO+6*(M_MH2O)</f>
        <v>245.40650220000001</v>
      </c>
      <c r="E250" s="319"/>
      <c r="F250" s="319"/>
      <c r="G250" s="318" t="s">
        <v>624</v>
      </c>
      <c r="H250" s="320"/>
      <c r="I250" s="320"/>
      <c r="J250" s="318"/>
    </row>
    <row r="251" spans="2:10" ht="18" x14ac:dyDescent="0.25">
      <c r="B251" s="317" t="s">
        <v>1478</v>
      </c>
      <c r="C251" s="318" t="s">
        <v>1479</v>
      </c>
      <c r="D251" s="318">
        <f>A_MMg+A_MK+A_MP+4*A_MO+6*2*A_MH+6*A_MO</f>
        <v>266.46634219999999</v>
      </c>
      <c r="E251" s="319"/>
      <c r="F251" s="319"/>
      <c r="G251" s="318" t="s">
        <v>624</v>
      </c>
      <c r="H251" s="320"/>
      <c r="I251" s="320"/>
      <c r="J251" s="318"/>
    </row>
    <row r="252" spans="2:10" ht="18" x14ac:dyDescent="0.25">
      <c r="B252" s="317" t="s">
        <v>1257</v>
      </c>
      <c r="C252" s="318" t="s">
        <v>1258</v>
      </c>
      <c r="D252" s="318">
        <f>3*A_MFe+2*(A_MP+4*A_MO)+8*M_MH2O</f>
        <v>501.59996439999998</v>
      </c>
      <c r="E252" s="319"/>
      <c r="F252" s="319"/>
      <c r="G252" s="318" t="s">
        <v>624</v>
      </c>
      <c r="H252" s="320"/>
      <c r="I252" s="320"/>
      <c r="J252" s="318"/>
    </row>
    <row r="253" spans="2:10" ht="18" x14ac:dyDescent="0.25">
      <c r="B253" s="317" t="s">
        <v>1259</v>
      </c>
      <c r="C253" s="318" t="s">
        <v>1260</v>
      </c>
      <c r="D253" s="318">
        <f>A_MFe+A_MS</f>
        <v>87.91</v>
      </c>
      <c r="E253" s="319"/>
      <c r="F253" s="319"/>
      <c r="G253" s="318" t="s">
        <v>624</v>
      </c>
      <c r="H253" s="320"/>
      <c r="I253" s="320"/>
      <c r="J253" s="318"/>
    </row>
    <row r="254" spans="2:10" ht="18" x14ac:dyDescent="0.25">
      <c r="B254" s="317" t="s">
        <v>1480</v>
      </c>
      <c r="C254" s="318" t="s">
        <v>1481</v>
      </c>
      <c r="D254" s="318">
        <f>A_MFe+3*A_MCl</f>
        <v>162.20400000000001</v>
      </c>
      <c r="E254" s="319"/>
      <c r="F254" s="319"/>
      <c r="G254" s="318" t="s">
        <v>624</v>
      </c>
      <c r="H254" s="320"/>
      <c r="I254" s="320"/>
      <c r="J254" s="318"/>
    </row>
    <row r="255" spans="2:10" ht="18" x14ac:dyDescent="0.25">
      <c r="B255" s="317" t="s">
        <v>1482</v>
      </c>
      <c r="C255" s="318" t="s">
        <v>1483</v>
      </c>
      <c r="D255" s="318">
        <f>A_MFe+2*A_MCl</f>
        <v>126.751</v>
      </c>
      <c r="E255" s="319"/>
      <c r="F255" s="319"/>
      <c r="G255" s="318" t="s">
        <v>624</v>
      </c>
      <c r="H255" s="320"/>
      <c r="I255" s="320"/>
      <c r="J255" s="318"/>
    </row>
    <row r="256" spans="2:10" ht="18" x14ac:dyDescent="0.25">
      <c r="B256" s="317" t="s">
        <v>1484</v>
      </c>
      <c r="C256" s="318" t="s">
        <v>1485</v>
      </c>
      <c r="D256" s="318">
        <f>A_MFe+M_MSO4</f>
        <v>151.9076</v>
      </c>
      <c r="E256" s="319"/>
      <c r="F256" s="319"/>
      <c r="G256" s="318" t="s">
        <v>624</v>
      </c>
      <c r="H256" s="320"/>
      <c r="I256" s="320"/>
      <c r="J256" s="318"/>
    </row>
    <row r="257" spans="2:10" ht="18" x14ac:dyDescent="0.25">
      <c r="B257" s="317" t="s">
        <v>1149</v>
      </c>
      <c r="C257" s="318" t="s">
        <v>1150</v>
      </c>
      <c r="D257" s="318">
        <f>A_MSi + 2*A_MO</f>
        <v>60.084299999999999</v>
      </c>
      <c r="E257" s="319"/>
      <c r="F257" s="319"/>
      <c r="G257" s="318" t="s">
        <v>624</v>
      </c>
      <c r="H257" s="320"/>
      <c r="I257" s="320"/>
      <c r="J257" s="318"/>
    </row>
    <row r="258" spans="2:10" ht="18" x14ac:dyDescent="0.25">
      <c r="B258" s="317" t="s">
        <v>1486</v>
      </c>
      <c r="C258" s="318" t="s">
        <v>1487</v>
      </c>
      <c r="D258" s="318">
        <f>2*A_MCa+A_MP+4*A_MO+2*(A_MO+A_MH)</f>
        <v>209.14204219999999</v>
      </c>
      <c r="E258" s="319"/>
      <c r="F258" s="319"/>
      <c r="G258" s="318" t="s">
        <v>624</v>
      </c>
      <c r="H258" s="320"/>
      <c r="I258" s="320"/>
      <c r="J258" s="318"/>
    </row>
    <row r="259" spans="2:10" ht="18" x14ac:dyDescent="0.25">
      <c r="B259" s="317" t="s">
        <v>1488</v>
      </c>
      <c r="C259" s="318" t="s">
        <v>1489</v>
      </c>
      <c r="D259" s="318">
        <f>5*A_MCa+A_MP*3+4*3*A_MO+A_MO+A_MH</f>
        <v>502.3114266</v>
      </c>
      <c r="E259" s="319"/>
      <c r="F259" s="319"/>
      <c r="G259" s="318" t="s">
        <v>624</v>
      </c>
      <c r="H259" s="320"/>
      <c r="I259" s="320"/>
      <c r="J259" s="318"/>
    </row>
    <row r="260" spans="2:10" ht="18" x14ac:dyDescent="0.25">
      <c r="B260" s="317" t="s">
        <v>1490</v>
      </c>
      <c r="C260" s="318" t="s">
        <v>1491</v>
      </c>
      <c r="D260" s="318">
        <f>A_MCa+A_MO+A_MH</f>
        <v>57.085340000000002</v>
      </c>
      <c r="E260" s="319"/>
      <c r="F260" s="319"/>
      <c r="G260" s="318" t="s">
        <v>624</v>
      </c>
      <c r="H260" s="320"/>
      <c r="I260" s="320"/>
      <c r="J260" s="318"/>
    </row>
    <row r="261" spans="2:10" ht="18" x14ac:dyDescent="0.25">
      <c r="B261" s="317" t="s">
        <v>1492</v>
      </c>
      <c r="C261" s="318" t="s">
        <v>1493</v>
      </c>
      <c r="D261" s="318">
        <f>A_MCa+A_MH+A_MC+3*A_MO</f>
        <v>101.09484</v>
      </c>
      <c r="E261" s="319"/>
      <c r="F261" s="319"/>
      <c r="G261" s="318" t="s">
        <v>624</v>
      </c>
      <c r="H261" s="320"/>
      <c r="I261" s="320"/>
      <c r="J261" s="318"/>
    </row>
    <row r="262" spans="2:10" ht="18" x14ac:dyDescent="0.25">
      <c r="B262" s="317" t="s">
        <v>1494</v>
      </c>
      <c r="C262" s="318" t="s">
        <v>1495</v>
      </c>
      <c r="D262" s="318">
        <f>A_MCa+A_MP+4*A_MO</f>
        <v>135.04936219999999</v>
      </c>
      <c r="E262" s="319"/>
      <c r="F262" s="319"/>
      <c r="G262" s="318" t="s">
        <v>624</v>
      </c>
      <c r="H262" s="320"/>
      <c r="I262" s="320"/>
      <c r="J262" s="318"/>
    </row>
    <row r="263" spans="2:10" ht="18" x14ac:dyDescent="0.25">
      <c r="B263" s="317" t="s">
        <v>1496</v>
      </c>
      <c r="C263" s="318" t="s">
        <v>1497</v>
      </c>
      <c r="D263" s="318">
        <f>A_MCa+A_MH+A_MP+4*A_MO</f>
        <v>136.05730220000001</v>
      </c>
      <c r="E263" s="319"/>
      <c r="F263" s="319"/>
      <c r="G263" s="318" t="s">
        <v>624</v>
      </c>
      <c r="H263" s="320"/>
      <c r="I263" s="320"/>
      <c r="J263" s="318"/>
    </row>
    <row r="264" spans="2:10" ht="18" x14ac:dyDescent="0.25">
      <c r="B264" s="317" t="s">
        <v>1498</v>
      </c>
      <c r="C264" s="318" t="s">
        <v>1499</v>
      </c>
      <c r="D264" s="318">
        <f>A_MCa+2*A_MH+A_MP+4*A_MO</f>
        <v>137.0652422</v>
      </c>
      <c r="E264" s="319"/>
      <c r="F264" s="319"/>
      <c r="G264" s="318" t="s">
        <v>624</v>
      </c>
      <c r="H264" s="320"/>
      <c r="I264" s="320"/>
      <c r="J264" s="318"/>
    </row>
    <row r="265" spans="2:10" ht="18" x14ac:dyDescent="0.25">
      <c r="B265" s="317" t="s">
        <v>1500</v>
      </c>
      <c r="C265" s="318" t="s">
        <v>1501</v>
      </c>
      <c r="D265" s="318">
        <f>A_MMg+A_MO+A_MH</f>
        <v>41.312339999999999</v>
      </c>
      <c r="E265" s="319"/>
      <c r="F265" s="319"/>
      <c r="G265" s="318" t="s">
        <v>624</v>
      </c>
      <c r="H265" s="320"/>
      <c r="I265" s="320"/>
      <c r="J265" s="318"/>
    </row>
    <row r="266" spans="2:10" ht="18" x14ac:dyDescent="0.25">
      <c r="B266" s="317" t="s">
        <v>1502</v>
      </c>
      <c r="C266" s="318" t="s">
        <v>1503</v>
      </c>
      <c r="D266" s="318">
        <f>A_MMg+2*(A_MO+A_MH)</f>
        <v>58.319679999999998</v>
      </c>
      <c r="E266" s="319"/>
      <c r="F266" s="319"/>
      <c r="G266" s="318" t="s">
        <v>624</v>
      </c>
      <c r="H266" s="320"/>
      <c r="I266" s="320"/>
      <c r="J266" s="318"/>
    </row>
    <row r="267" spans="2:10" ht="18" x14ac:dyDescent="0.25">
      <c r="B267" s="317" t="s">
        <v>1504</v>
      </c>
      <c r="C267" s="318" t="s">
        <v>1505</v>
      </c>
      <c r="D267" s="318">
        <f>A_MMg+A_MC+3*A_MO</f>
        <v>84.31389999999999</v>
      </c>
      <c r="E267" s="319"/>
      <c r="F267" s="319"/>
      <c r="G267" s="318" t="s">
        <v>624</v>
      </c>
      <c r="H267" s="320"/>
      <c r="I267" s="320"/>
      <c r="J267" s="318"/>
    </row>
    <row r="268" spans="2:10" ht="18" x14ac:dyDescent="0.25">
      <c r="B268" s="317" t="s">
        <v>1506</v>
      </c>
      <c r="C268" s="318" t="s">
        <v>1507</v>
      </c>
      <c r="D268" s="318">
        <f>A_MMg+A_MH+A_MC+3*A_MO</f>
        <v>85.321839999999995</v>
      </c>
      <c r="E268" s="319"/>
      <c r="F268" s="319"/>
      <c r="G268" s="318" t="s">
        <v>624</v>
      </c>
      <c r="H268" s="320"/>
      <c r="I268" s="320"/>
      <c r="J268" s="318"/>
    </row>
    <row r="269" spans="2:10" ht="18" x14ac:dyDescent="0.25">
      <c r="B269" s="317" t="s">
        <v>1508</v>
      </c>
      <c r="C269" s="318" t="s">
        <v>1509</v>
      </c>
      <c r="D269" s="318">
        <f>A_MMg+A_MH+A_MP+4*A_MO</f>
        <v>120.2843022</v>
      </c>
      <c r="E269" s="319"/>
      <c r="F269" s="319"/>
      <c r="G269" s="318" t="s">
        <v>624</v>
      </c>
      <c r="H269" s="320"/>
      <c r="I269" s="320"/>
      <c r="J269" s="318"/>
    </row>
    <row r="270" spans="2:10" ht="18" x14ac:dyDescent="0.25">
      <c r="B270" s="317" t="s">
        <v>1510</v>
      </c>
      <c r="C270" s="318" t="s">
        <v>1511</v>
      </c>
      <c r="D270" s="318">
        <f>A_MMg+A_MP+4*A_MO</f>
        <v>119.27636219999999</v>
      </c>
      <c r="E270" s="319"/>
      <c r="F270" s="319"/>
      <c r="G270" s="318" t="s">
        <v>624</v>
      </c>
      <c r="H270" s="320"/>
      <c r="I270" s="320"/>
      <c r="J270" s="318"/>
    </row>
    <row r="271" spans="2:10" ht="18" x14ac:dyDescent="0.25">
      <c r="B271" s="317" t="s">
        <v>1512</v>
      </c>
      <c r="C271" s="318" t="s">
        <v>1513</v>
      </c>
      <c r="D271" s="318">
        <f>A_MMg+2*A_MH+A_MP+4*A_MO</f>
        <v>121.2922422</v>
      </c>
      <c r="E271" s="319"/>
      <c r="F271" s="319"/>
      <c r="G271" s="318" t="s">
        <v>624</v>
      </c>
      <c r="H271" s="320"/>
      <c r="I271" s="320"/>
      <c r="J271" s="318"/>
    </row>
    <row r="272" spans="2:10" ht="18" x14ac:dyDescent="0.25">
      <c r="B272" s="317" t="s">
        <v>1514</v>
      </c>
      <c r="C272" s="318" t="s">
        <v>1515</v>
      </c>
      <c r="D272" s="318">
        <f>A_MNa+A_MH+A_MP+4*A_MO</f>
        <v>118.9690712</v>
      </c>
      <c r="E272" s="319"/>
      <c r="F272" s="319"/>
      <c r="G272" s="318" t="s">
        <v>624</v>
      </c>
      <c r="H272" s="320"/>
      <c r="I272" s="320"/>
      <c r="J272" s="318"/>
    </row>
    <row r="273" spans="2:10" ht="18" x14ac:dyDescent="0.25">
      <c r="B273" s="317" t="s">
        <v>1516</v>
      </c>
      <c r="C273" s="318" t="s">
        <v>1517</v>
      </c>
      <c r="D273" s="318">
        <f>A_MNa+A_MCl</f>
        <v>58.442768999999998</v>
      </c>
      <c r="E273" s="319"/>
      <c r="F273" s="319"/>
      <c r="G273" s="318" t="s">
        <v>624</v>
      </c>
      <c r="H273" s="320"/>
      <c r="I273" s="320"/>
      <c r="J273" s="318"/>
    </row>
    <row r="274" spans="2:10" ht="18" x14ac:dyDescent="0.25">
      <c r="B274" s="317" t="s">
        <v>1518</v>
      </c>
      <c r="C274" s="318" t="s">
        <v>1519</v>
      </c>
      <c r="D274" s="318">
        <f>A_MNa+A_MH+A_MO</f>
        <v>39.997109000000002</v>
      </c>
      <c r="E274" s="319"/>
      <c r="F274" s="319"/>
      <c r="G274" s="318" t="s">
        <v>624</v>
      </c>
      <c r="H274" s="320"/>
      <c r="I274" s="320"/>
      <c r="J274" s="318"/>
    </row>
    <row r="275" spans="2:10" ht="18" x14ac:dyDescent="0.25">
      <c r="B275" s="317" t="s">
        <v>1520</v>
      </c>
      <c r="C275" s="318" t="s">
        <v>1521</v>
      </c>
      <c r="D275" s="318">
        <f>2*A_MNa+A_MC+3*A_MO</f>
        <v>105.988438</v>
      </c>
      <c r="E275" s="319"/>
      <c r="F275" s="319"/>
      <c r="G275" s="318" t="s">
        <v>624</v>
      </c>
      <c r="H275" s="320"/>
      <c r="I275" s="320"/>
      <c r="J275" s="318"/>
    </row>
    <row r="276" spans="2:10" ht="18" x14ac:dyDescent="0.25">
      <c r="B276" s="317" t="s">
        <v>1522</v>
      </c>
      <c r="C276" s="318" t="s">
        <v>1523</v>
      </c>
      <c r="D276" s="318">
        <f>A_MNa+A_MH+A_MC+3*A_MO</f>
        <v>84.006608999999997</v>
      </c>
      <c r="E276" s="319"/>
      <c r="F276" s="319"/>
      <c r="G276" s="318" t="s">
        <v>624</v>
      </c>
      <c r="H276" s="320"/>
      <c r="I276" s="320"/>
      <c r="J276" s="318"/>
    </row>
    <row r="277" spans="2:10" ht="18" x14ac:dyDescent="0.25">
      <c r="B277" s="317" t="s">
        <v>1524</v>
      </c>
      <c r="C277" s="318" t="s">
        <v>1525</v>
      </c>
      <c r="D277" s="318">
        <f>4*A_MH+A_MC+A_MS</f>
        <v>48.107459999999996</v>
      </c>
      <c r="E277" s="319"/>
      <c r="F277" s="319"/>
      <c r="G277" s="318" t="s">
        <v>624</v>
      </c>
      <c r="H277" s="320"/>
      <c r="I277" s="320"/>
      <c r="J277" s="318"/>
    </row>
    <row r="279" spans="2:10" ht="15.75" thickBot="1" x14ac:dyDescent="0.3">
      <c r="C279" s="321" t="s">
        <v>887</v>
      </c>
    </row>
    <row r="280" spans="2:10" ht="15.75" thickBot="1" x14ac:dyDescent="0.3">
      <c r="B280" s="322" t="s">
        <v>0</v>
      </c>
      <c r="C280" s="323" t="s">
        <v>1</v>
      </c>
      <c r="D280" s="324" t="s">
        <v>150</v>
      </c>
      <c r="E280" s="324" t="s">
        <v>561</v>
      </c>
      <c r="F280" s="324" t="s">
        <v>562</v>
      </c>
      <c r="G280" s="324" t="s">
        <v>2</v>
      </c>
      <c r="H280" s="324" t="s">
        <v>431</v>
      </c>
      <c r="I280" s="324" t="s">
        <v>114</v>
      </c>
      <c r="J280" s="325" t="s">
        <v>115</v>
      </c>
    </row>
    <row r="281" spans="2:10" ht="18" x14ac:dyDescent="0.25">
      <c r="B281" s="317" t="s">
        <v>1526</v>
      </c>
      <c r="C281" s="318" t="s">
        <v>1261</v>
      </c>
      <c r="D281" s="318">
        <f>2*A_MN</f>
        <v>28.013400000000001</v>
      </c>
      <c r="E281" s="319"/>
      <c r="F281" s="319"/>
      <c r="G281" s="318" t="s">
        <v>1527</v>
      </c>
      <c r="H281" s="320"/>
      <c r="I281" s="320"/>
      <c r="J281" s="318"/>
    </row>
    <row r="282" spans="2:10" ht="18" x14ac:dyDescent="0.25">
      <c r="B282" s="317" t="s">
        <v>1528</v>
      </c>
      <c r="C282" s="318" t="s">
        <v>1262</v>
      </c>
      <c r="D282" s="318">
        <f>A_MN</f>
        <v>14.0067</v>
      </c>
      <c r="E282" s="319"/>
      <c r="F282" s="319"/>
      <c r="G282" s="318" t="s">
        <v>1527</v>
      </c>
      <c r="H282" s="320"/>
      <c r="I282" s="320"/>
      <c r="J282" s="318"/>
    </row>
    <row r="283" spans="2:10" ht="18" x14ac:dyDescent="0.25">
      <c r="B283" s="317" t="s">
        <v>1529</v>
      </c>
      <c r="C283" s="318" t="s">
        <v>1263</v>
      </c>
      <c r="D283" s="318">
        <f>A_MN</f>
        <v>14.0067</v>
      </c>
      <c r="E283" s="319"/>
      <c r="F283" s="319"/>
      <c r="G283" s="318" t="s">
        <v>1527</v>
      </c>
      <c r="H283" s="320"/>
      <c r="I283" s="320"/>
      <c r="J283" s="318"/>
    </row>
    <row r="284" spans="2:10" ht="18" x14ac:dyDescent="0.25">
      <c r="B284" s="317" t="s">
        <v>1530</v>
      </c>
      <c r="C284" s="318" t="s">
        <v>1264</v>
      </c>
      <c r="D284" s="318">
        <f>2*A_MN</f>
        <v>28.013400000000001</v>
      </c>
      <c r="E284" s="319"/>
      <c r="F284" s="319"/>
      <c r="G284" s="318" t="s">
        <v>1527</v>
      </c>
      <c r="H284" s="320"/>
      <c r="I284" s="320"/>
      <c r="J284" s="318"/>
    </row>
    <row r="285" spans="2:10" ht="18" x14ac:dyDescent="0.25">
      <c r="B285" s="317" t="s">
        <v>1531</v>
      </c>
      <c r="C285" s="318" t="s">
        <v>1265</v>
      </c>
      <c r="D285" s="318">
        <v>12.0107</v>
      </c>
      <c r="E285" s="319"/>
      <c r="F285" s="319"/>
      <c r="G285" s="318" t="s">
        <v>624</v>
      </c>
      <c r="H285" s="320"/>
      <c r="I285" s="320"/>
      <c r="J285" s="318" t="s">
        <v>1532</v>
      </c>
    </row>
    <row r="286" spans="2:10" ht="18" x14ac:dyDescent="0.25">
      <c r="B286" s="317" t="s">
        <v>1533</v>
      </c>
      <c r="C286" s="318" t="s">
        <v>1266</v>
      </c>
      <c r="D286" s="318">
        <f>2*A_MO</f>
        <v>31.998799999999999</v>
      </c>
      <c r="E286" s="319"/>
      <c r="F286" s="319"/>
      <c r="G286" s="318" t="s">
        <v>624</v>
      </c>
      <c r="H286" s="320"/>
      <c r="I286" s="320"/>
      <c r="J286" s="318"/>
    </row>
    <row r="287" spans="2:10" ht="18" x14ac:dyDescent="0.25">
      <c r="B287" s="317" t="s">
        <v>888</v>
      </c>
      <c r="C287" s="318" t="s">
        <v>1267</v>
      </c>
      <c r="D287" s="318">
        <v>63.997599999999998</v>
      </c>
      <c r="E287" s="319"/>
      <c r="F287" s="319"/>
      <c r="G287" s="318" t="s">
        <v>1534</v>
      </c>
      <c r="H287" s="320"/>
      <c r="I287" s="320"/>
      <c r="J287" s="318"/>
    </row>
    <row r="288" spans="2:10" ht="18" x14ac:dyDescent="0.25">
      <c r="B288" s="317" t="s">
        <v>889</v>
      </c>
      <c r="C288" s="318" t="s">
        <v>1268</v>
      </c>
      <c r="D288" s="318">
        <f>2*7.9997</f>
        <v>15.9994</v>
      </c>
      <c r="E288" s="319"/>
      <c r="F288" s="319"/>
      <c r="G288" s="318" t="s">
        <v>1534</v>
      </c>
      <c r="H288" s="320"/>
      <c r="I288" s="320"/>
      <c r="J288" s="318"/>
    </row>
    <row r="289" spans="2:10" ht="18" x14ac:dyDescent="0.25">
      <c r="B289" s="317" t="s">
        <v>1535</v>
      </c>
      <c r="C289" s="318" t="s">
        <v>1536</v>
      </c>
      <c r="D289" s="318">
        <f>A_MS</f>
        <v>32.064999999999998</v>
      </c>
      <c r="E289" s="319"/>
      <c r="F289" s="319"/>
      <c r="G289" s="318" t="s">
        <v>1537</v>
      </c>
      <c r="H289" s="320"/>
      <c r="I289" s="320"/>
      <c r="J289" s="318"/>
    </row>
    <row r="291" spans="2:10" ht="15.75" thickBot="1" x14ac:dyDescent="0.3">
      <c r="C291" s="321" t="s">
        <v>890</v>
      </c>
    </row>
    <row r="292" spans="2:10" ht="15.75" thickBot="1" x14ac:dyDescent="0.3">
      <c r="B292" s="322" t="s">
        <v>0</v>
      </c>
      <c r="C292" s="323" t="s">
        <v>1</v>
      </c>
      <c r="D292" s="324" t="s">
        <v>150</v>
      </c>
      <c r="E292" s="324" t="s">
        <v>561</v>
      </c>
      <c r="F292" s="324" t="s">
        <v>562</v>
      </c>
      <c r="G292" s="324" t="s">
        <v>2</v>
      </c>
      <c r="H292" s="324" t="s">
        <v>431</v>
      </c>
      <c r="I292" s="324" t="s">
        <v>114</v>
      </c>
      <c r="J292" s="325" t="s">
        <v>115</v>
      </c>
    </row>
    <row r="293" spans="2:10" ht="18" x14ac:dyDescent="0.25">
      <c r="B293" s="317" t="s">
        <v>1151</v>
      </c>
      <c r="C293" s="318" t="s">
        <v>1538</v>
      </c>
      <c r="D293" s="318">
        <f>10^-13.997</f>
        <v>1.0069316688518014E-14</v>
      </c>
      <c r="E293" s="319"/>
      <c r="F293" s="319"/>
      <c r="G293" s="318"/>
      <c r="H293" s="320"/>
      <c r="I293" s="320"/>
      <c r="J293" s="318" t="s">
        <v>1539</v>
      </c>
    </row>
    <row r="294" spans="2:10" ht="18" x14ac:dyDescent="0.25">
      <c r="B294" s="317" t="s">
        <v>1540</v>
      </c>
      <c r="C294" s="318" t="s">
        <v>1541</v>
      </c>
      <c r="D294" s="318">
        <f>10^-9.244</f>
        <v>5.7016427228074759E-10</v>
      </c>
      <c r="E294" s="319"/>
      <c r="F294" s="319"/>
      <c r="G294" s="318"/>
      <c r="H294" s="320"/>
      <c r="I294" s="320"/>
      <c r="J294" s="318" t="s">
        <v>1542</v>
      </c>
    </row>
    <row r="295" spans="2:10" ht="18" x14ac:dyDescent="0.25">
      <c r="B295" s="317" t="s">
        <v>1543</v>
      </c>
      <c r="C295" s="318" t="s">
        <v>1544</v>
      </c>
      <c r="D295" s="318">
        <f>10^-3.35</f>
        <v>4.4668359215096267E-4</v>
      </c>
      <c r="E295" s="319"/>
      <c r="F295" s="319"/>
      <c r="G295" s="318"/>
      <c r="H295" s="320"/>
      <c r="I295" s="320"/>
      <c r="J295" s="318" t="s">
        <v>1545</v>
      </c>
    </row>
    <row r="296" spans="2:10" ht="18" x14ac:dyDescent="0.25">
      <c r="B296" s="317" t="s">
        <v>1152</v>
      </c>
      <c r="C296" s="318" t="s">
        <v>1546</v>
      </c>
      <c r="D296" s="318">
        <f>10^-6.352</f>
        <v>4.4463126746910741E-7</v>
      </c>
      <c r="E296" s="319"/>
      <c r="F296" s="319"/>
      <c r="G296" s="318"/>
      <c r="H296" s="320"/>
      <c r="I296" s="320"/>
      <c r="J296" s="318" t="s">
        <v>1547</v>
      </c>
    </row>
    <row r="297" spans="2:10" ht="18" x14ac:dyDescent="0.25">
      <c r="B297" s="317" t="s">
        <v>1153</v>
      </c>
      <c r="C297" s="318" t="s">
        <v>1548</v>
      </c>
      <c r="D297" s="318">
        <f>10^-10.329</f>
        <v>4.6881338214526346E-11</v>
      </c>
      <c r="E297" s="319"/>
      <c r="F297" s="319"/>
      <c r="G297" s="318"/>
      <c r="H297" s="320"/>
      <c r="I297" s="320"/>
      <c r="J297" s="318" t="s">
        <v>1549</v>
      </c>
    </row>
    <row r="298" spans="2:10" ht="18" x14ac:dyDescent="0.25">
      <c r="B298" s="317" t="s">
        <v>1154</v>
      </c>
      <c r="C298" s="318" t="s">
        <v>1550</v>
      </c>
      <c r="D298" s="318">
        <f>10^-2.148</f>
        <v>7.1121351365332815E-3</v>
      </c>
      <c r="E298" s="319"/>
      <c r="F298" s="319"/>
      <c r="G298" s="318"/>
      <c r="H298" s="320"/>
      <c r="I298" s="320"/>
      <c r="J298" s="318" t="s">
        <v>1551</v>
      </c>
    </row>
    <row r="299" spans="2:10" ht="18" x14ac:dyDescent="0.25">
      <c r="B299" s="317" t="s">
        <v>1155</v>
      </c>
      <c r="C299" s="318" t="s">
        <v>1552</v>
      </c>
      <c r="D299" s="318">
        <f>10^-7.198</f>
        <v>6.3386971125692633E-8</v>
      </c>
      <c r="E299" s="319"/>
      <c r="F299" s="319"/>
      <c r="G299" s="318"/>
      <c r="H299" s="320"/>
      <c r="I299" s="320"/>
      <c r="J299" s="318" t="s">
        <v>1553</v>
      </c>
    </row>
    <row r="300" spans="2:10" ht="18" x14ac:dyDescent="0.25">
      <c r="B300" s="317" t="s">
        <v>1156</v>
      </c>
      <c r="C300" s="318" t="s">
        <v>1554</v>
      </c>
      <c r="D300" s="318">
        <f>10^-12.375</f>
        <v>4.216965034285812E-13</v>
      </c>
      <c r="E300" s="319"/>
      <c r="F300" s="319"/>
      <c r="G300" s="318"/>
      <c r="H300" s="320"/>
      <c r="I300" s="320"/>
      <c r="J300" s="318" t="s">
        <v>1555</v>
      </c>
    </row>
    <row r="301" spans="2:10" ht="18" x14ac:dyDescent="0.25">
      <c r="B301" s="317" t="s">
        <v>1556</v>
      </c>
      <c r="C301" s="318" t="s">
        <v>1557</v>
      </c>
      <c r="D301" s="318">
        <f>10^-4.757</f>
        <v>1.7498466886246563E-5</v>
      </c>
      <c r="E301" s="319"/>
      <c r="F301" s="319"/>
      <c r="G301" s="318"/>
      <c r="H301" s="320"/>
      <c r="I301" s="320"/>
      <c r="J301" s="318" t="s">
        <v>1558</v>
      </c>
    </row>
    <row r="302" spans="2:10" ht="18" x14ac:dyDescent="0.25">
      <c r="B302" s="317" t="s">
        <v>1559</v>
      </c>
      <c r="C302" s="318" t="s">
        <v>1560</v>
      </c>
      <c r="D302" s="318">
        <f>10^(-7.02)</f>
        <v>9.5499258602143556E-8</v>
      </c>
      <c r="E302" s="319"/>
      <c r="F302" s="319"/>
      <c r="G302" s="318"/>
      <c r="H302" s="320"/>
      <c r="I302" s="320"/>
      <c r="J302" s="318" t="s">
        <v>1561</v>
      </c>
    </row>
    <row r="303" spans="2:10" ht="18" x14ac:dyDescent="0.25">
      <c r="B303" s="317" t="s">
        <v>1562</v>
      </c>
      <c r="C303" s="318" t="s">
        <v>1563</v>
      </c>
      <c r="D303" s="318">
        <f>10^(-17.3)</f>
        <v>5.0118723362726963E-18</v>
      </c>
      <c r="E303" s="319"/>
      <c r="F303" s="319"/>
      <c r="G303" s="318"/>
      <c r="H303" s="320"/>
      <c r="I303" s="320"/>
      <c r="J303" s="318" t="s">
        <v>1561</v>
      </c>
    </row>
    <row r="304" spans="2:10" ht="18" x14ac:dyDescent="0.25">
      <c r="B304" s="317" t="s">
        <v>1564</v>
      </c>
      <c r="C304" s="318" t="s">
        <v>1565</v>
      </c>
      <c r="D304" s="318">
        <f>10^(3)</f>
        <v>1000</v>
      </c>
      <c r="E304" s="319"/>
      <c r="F304" s="319"/>
      <c r="G304" s="318"/>
      <c r="H304" s="320"/>
      <c r="I304" s="320"/>
      <c r="J304" s="318" t="s">
        <v>1566</v>
      </c>
    </row>
    <row r="305" spans="2:10" ht="18" x14ac:dyDescent="0.25">
      <c r="B305" s="317" t="s">
        <v>1567</v>
      </c>
      <c r="C305" s="318" t="s">
        <v>1568</v>
      </c>
      <c r="D305" s="318">
        <f>10^(-1.99)</f>
        <v>1.0232929922807535E-2</v>
      </c>
      <c r="E305" s="319"/>
      <c r="F305" s="319"/>
      <c r="G305" s="318"/>
      <c r="H305" s="320"/>
      <c r="I305" s="320"/>
      <c r="J305" s="318" t="s">
        <v>1569</v>
      </c>
    </row>
    <row r="306" spans="2:10" ht="18" x14ac:dyDescent="0.25">
      <c r="B306" s="317" t="s">
        <v>1570</v>
      </c>
      <c r="C306" s="318" t="s">
        <v>1560</v>
      </c>
      <c r="D306" s="318">
        <f>10^(-7.02)</f>
        <v>9.5499258602143556E-8</v>
      </c>
      <c r="E306" s="319"/>
      <c r="F306" s="319"/>
      <c r="G306" s="318"/>
      <c r="H306" s="320"/>
      <c r="I306" s="320"/>
      <c r="J306" s="318" t="s">
        <v>1569</v>
      </c>
    </row>
    <row r="308" spans="2:10" ht="15.75" thickBot="1" x14ac:dyDescent="0.3">
      <c r="C308" s="321" t="s">
        <v>1571</v>
      </c>
    </row>
    <row r="309" spans="2:10" ht="15.75" thickBot="1" x14ac:dyDescent="0.3">
      <c r="B309" s="322" t="s">
        <v>0</v>
      </c>
      <c r="C309" s="323" t="s">
        <v>1</v>
      </c>
      <c r="D309" s="324" t="s">
        <v>150</v>
      </c>
      <c r="E309" s="324" t="s">
        <v>561</v>
      </c>
      <c r="F309" s="324" t="s">
        <v>562</v>
      </c>
      <c r="G309" s="324" t="s">
        <v>2</v>
      </c>
      <c r="H309" s="324" t="s">
        <v>431</v>
      </c>
      <c r="I309" s="324" t="s">
        <v>114</v>
      </c>
      <c r="J309" s="325" t="s">
        <v>115</v>
      </c>
    </row>
    <row r="310" spans="2:10" ht="18" x14ac:dyDescent="0.25">
      <c r="B310" s="317" t="s">
        <v>1572</v>
      </c>
      <c r="C310" s="318" t="s">
        <v>1573</v>
      </c>
      <c r="D310" s="318">
        <f>10^(-6.35)</f>
        <v>4.4668359215096327E-7</v>
      </c>
      <c r="E310" s="319"/>
      <c r="F310" s="319"/>
      <c r="G310" s="318"/>
      <c r="H310" s="320"/>
      <c r="I310" s="320"/>
      <c r="J310" s="318"/>
    </row>
    <row r="311" spans="2:10" ht="18" x14ac:dyDescent="0.25">
      <c r="B311" s="317" t="s">
        <v>1574</v>
      </c>
      <c r="C311" s="318" t="s">
        <v>1575</v>
      </c>
      <c r="D311" s="318">
        <v>6.9180000000000002E-14</v>
      </c>
      <c r="E311" s="319"/>
      <c r="F311" s="319"/>
      <c r="G311" s="318"/>
      <c r="H311" s="320"/>
      <c r="I311" s="320"/>
      <c r="J311" s="318"/>
    </row>
    <row r="312" spans="2:10" ht="18" x14ac:dyDescent="0.25">
      <c r="B312" s="317" t="s">
        <v>1576</v>
      </c>
      <c r="C312" s="318" t="s">
        <v>1577</v>
      </c>
      <c r="D312" s="318">
        <v>3.162277660168363E-26</v>
      </c>
      <c r="E312" s="319"/>
      <c r="F312" s="319"/>
      <c r="G312" s="318"/>
      <c r="H312" s="320"/>
      <c r="I312" s="320"/>
      <c r="J312" s="318" t="s">
        <v>1578</v>
      </c>
    </row>
    <row r="313" spans="2:10" ht="18" x14ac:dyDescent="0.25">
      <c r="B313" s="317" t="s">
        <v>1579</v>
      </c>
      <c r="C313" s="318" t="s">
        <v>1580</v>
      </c>
      <c r="D313" s="318">
        <v>9.9999999999999994E-37</v>
      </c>
      <c r="E313" s="319"/>
      <c r="F313" s="319"/>
      <c r="G313" s="318"/>
      <c r="H313" s="320"/>
      <c r="I313" s="320"/>
      <c r="J313" s="318" t="s">
        <v>1581</v>
      </c>
    </row>
    <row r="314" spans="2:10" ht="18" x14ac:dyDescent="0.25">
      <c r="B314" s="317" t="s">
        <v>1582</v>
      </c>
      <c r="C314" s="318" t="s">
        <v>1583</v>
      </c>
      <c r="D314" s="318">
        <f>3.7*10^-19</f>
        <v>3.7000000000000001E-19</v>
      </c>
      <c r="E314" s="319"/>
      <c r="F314" s="319"/>
      <c r="G314" s="318"/>
      <c r="H314" s="320"/>
      <c r="I314" s="320"/>
      <c r="J314" s="318"/>
    </row>
    <row r="315" spans="2:10" ht="18" x14ac:dyDescent="0.25">
      <c r="B315" s="317" t="s">
        <v>1584</v>
      </c>
      <c r="C315" s="318" t="s">
        <v>1585</v>
      </c>
      <c r="D315" s="318">
        <v>2.7500000000000001E-22</v>
      </c>
      <c r="E315" s="319"/>
      <c r="F315" s="319"/>
      <c r="G315" s="318"/>
      <c r="H315" s="320"/>
      <c r="I315" s="320"/>
      <c r="J315" s="318"/>
    </row>
    <row r="316" spans="2:10" ht="18" x14ac:dyDescent="0.25">
      <c r="B316" s="317" t="s">
        <v>1586</v>
      </c>
      <c r="C316" s="318" t="s">
        <v>1587</v>
      </c>
      <c r="D316" s="318">
        <f>10^(-16)</f>
        <v>9.9999999999999998E-17</v>
      </c>
      <c r="E316" s="319"/>
      <c r="F316" s="319"/>
      <c r="G316" s="318"/>
      <c r="H316" s="320"/>
      <c r="I316" s="320"/>
      <c r="J316" s="318"/>
    </row>
    <row r="318" spans="2:10" ht="15.75" thickBot="1" x14ac:dyDescent="0.3">
      <c r="C318" s="321" t="s">
        <v>891</v>
      </c>
    </row>
    <row r="319" spans="2:10" ht="15.75" thickBot="1" x14ac:dyDescent="0.3">
      <c r="B319" s="322" t="s">
        <v>0</v>
      </c>
      <c r="C319" s="323" t="s">
        <v>1</v>
      </c>
      <c r="D319" s="324" t="s">
        <v>150</v>
      </c>
      <c r="E319" s="324" t="s">
        <v>561</v>
      </c>
      <c r="F319" s="324" t="s">
        <v>562</v>
      </c>
      <c r="G319" s="324" t="s">
        <v>2</v>
      </c>
      <c r="H319" s="324" t="s">
        <v>431</v>
      </c>
      <c r="I319" s="324" t="s">
        <v>114</v>
      </c>
      <c r="J319" s="325" t="s">
        <v>115</v>
      </c>
    </row>
    <row r="320" spans="2:10" ht="18" x14ac:dyDescent="0.25">
      <c r="B320" s="317" t="s">
        <v>892</v>
      </c>
      <c r="C320" s="318" t="s">
        <v>893</v>
      </c>
      <c r="D320" s="318">
        <f>3*A_MO/(2*A_MN)</f>
        <v>1.7134014435948508</v>
      </c>
      <c r="E320" s="319"/>
      <c r="F320" s="319"/>
      <c r="G320" s="318" t="s">
        <v>1588</v>
      </c>
      <c r="H320" s="320"/>
      <c r="I320" s="320"/>
      <c r="J320" s="318" t="s">
        <v>894</v>
      </c>
    </row>
    <row r="321" spans="2:10" ht="18" x14ac:dyDescent="0.25">
      <c r="B321" s="317" t="s">
        <v>895</v>
      </c>
      <c r="C321" s="318" t="s">
        <v>896</v>
      </c>
      <c r="D321" s="318">
        <f>2*A_MO/(A_MN)</f>
        <v>2.2845352581264677</v>
      </c>
      <c r="E321" s="319"/>
      <c r="F321" s="319"/>
      <c r="G321" s="318" t="s">
        <v>1588</v>
      </c>
      <c r="H321" s="320"/>
      <c r="I321" s="320"/>
      <c r="J321" s="318" t="s">
        <v>894</v>
      </c>
    </row>
    <row r="322" spans="2:10" ht="18" x14ac:dyDescent="0.25">
      <c r="B322" s="317" t="s">
        <v>897</v>
      </c>
      <c r="C322" s="318" t="s">
        <v>898</v>
      </c>
      <c r="D322" s="318">
        <f>2.5*A_MO/(A_MN)</f>
        <v>2.8556690726580851</v>
      </c>
      <c r="E322" s="319"/>
      <c r="F322" s="319"/>
      <c r="G322" s="318" t="s">
        <v>1588</v>
      </c>
      <c r="H322" s="320"/>
      <c r="I322" s="320"/>
      <c r="J322" s="318" t="s">
        <v>894</v>
      </c>
    </row>
    <row r="323" spans="2:10" ht="18" x14ac:dyDescent="0.25">
      <c r="B323" s="317" t="s">
        <v>899</v>
      </c>
      <c r="C323" s="318" t="s">
        <v>900</v>
      </c>
      <c r="D323" s="318">
        <f>3*A_MO/A_MN</f>
        <v>3.4268028871897016</v>
      </c>
      <c r="E323" s="319"/>
      <c r="F323" s="319"/>
      <c r="G323" s="318" t="s">
        <v>1588</v>
      </c>
      <c r="H323" s="320"/>
      <c r="I323" s="320"/>
      <c r="J323" s="318" t="s">
        <v>894</v>
      </c>
    </row>
    <row r="324" spans="2:10" ht="18" x14ac:dyDescent="0.25">
      <c r="B324" s="317" t="s">
        <v>901</v>
      </c>
      <c r="C324" s="318" t="s">
        <v>902</v>
      </c>
      <c r="D324" s="318">
        <f>4*A_MO/A_MN</f>
        <v>4.5690705162529355</v>
      </c>
      <c r="E324" s="319"/>
      <c r="F324" s="319"/>
      <c r="G324" s="318" t="s">
        <v>1588</v>
      </c>
      <c r="H324" s="320"/>
      <c r="I324" s="320"/>
      <c r="J324" s="318" t="s">
        <v>894</v>
      </c>
    </row>
    <row r="325" spans="2:10" ht="18" x14ac:dyDescent="0.25">
      <c r="B325" s="317" t="s">
        <v>1157</v>
      </c>
      <c r="C325" s="318" t="s">
        <v>903</v>
      </c>
      <c r="D325" s="318">
        <f>A_MO/A_MN</f>
        <v>1.1422676290632339</v>
      </c>
      <c r="E325" s="319"/>
      <c r="F325" s="319"/>
      <c r="G325" s="318" t="s">
        <v>1588</v>
      </c>
      <c r="H325" s="320"/>
      <c r="I325" s="320"/>
      <c r="J325" s="318"/>
    </row>
    <row r="326" spans="2:10" ht="18" x14ac:dyDescent="0.25">
      <c r="B326" s="317" t="s">
        <v>1158</v>
      </c>
      <c r="C326" s="318" t="s">
        <v>904</v>
      </c>
      <c r="D326" s="318">
        <f>3*A_MO/(2*A_MN)</f>
        <v>1.7134014435948508</v>
      </c>
      <c r="E326" s="319"/>
      <c r="F326" s="319"/>
      <c r="G326" s="318" t="s">
        <v>1588</v>
      </c>
      <c r="H326" s="320"/>
      <c r="I326" s="320"/>
      <c r="J326" s="318"/>
    </row>
    <row r="327" spans="2:10" ht="18" x14ac:dyDescent="0.25">
      <c r="B327" s="317" t="s">
        <v>1159</v>
      </c>
      <c r="C327" s="318" t="s">
        <v>905</v>
      </c>
      <c r="D327" s="318">
        <f>0.5*A_MO/A_MN</f>
        <v>0.57113381453161693</v>
      </c>
      <c r="E327" s="319"/>
      <c r="F327" s="319"/>
      <c r="G327" s="318" t="s">
        <v>1588</v>
      </c>
      <c r="H327" s="320"/>
      <c r="I327" s="320"/>
      <c r="J327" s="318"/>
    </row>
    <row r="328" spans="2:10" ht="18" x14ac:dyDescent="0.25">
      <c r="B328" s="317" t="s">
        <v>1160</v>
      </c>
      <c r="C328" s="318" t="s">
        <v>906</v>
      </c>
      <c r="D328" s="318">
        <f>0.5*A_MO/A_MN</f>
        <v>0.57113381453161693</v>
      </c>
      <c r="E328" s="319"/>
      <c r="F328" s="319"/>
      <c r="G328" s="318" t="s">
        <v>1588</v>
      </c>
      <c r="H328" s="320"/>
      <c r="I328" s="320"/>
      <c r="J328" s="318"/>
    </row>
    <row r="329" spans="2:10" ht="18" x14ac:dyDescent="0.25">
      <c r="B329" s="317" t="s">
        <v>1161</v>
      </c>
      <c r="C329" s="318" t="s">
        <v>907</v>
      </c>
      <c r="D329" s="318">
        <f>0.5*A_MO/A_MN</f>
        <v>0.57113381453161693</v>
      </c>
      <c r="E329" s="319"/>
      <c r="F329" s="319"/>
      <c r="G329" s="318" t="s">
        <v>1588</v>
      </c>
      <c r="H329" s="320"/>
      <c r="I329" s="320"/>
      <c r="J329" s="318"/>
    </row>
    <row r="330" spans="2:10" ht="18" x14ac:dyDescent="0.25">
      <c r="B330" s="317" t="s">
        <v>1269</v>
      </c>
      <c r="C330" s="318" t="s">
        <v>908</v>
      </c>
      <c r="D330" s="318">
        <f>5*A_MO/(2*A_MN)</f>
        <v>2.8556690726580851</v>
      </c>
      <c r="E330" s="319"/>
      <c r="F330" s="319"/>
      <c r="G330" s="318" t="s">
        <v>1588</v>
      </c>
      <c r="H330" s="320"/>
      <c r="I330" s="320"/>
      <c r="J330" s="318"/>
    </row>
    <row r="331" spans="2:10" ht="18" x14ac:dyDescent="0.25">
      <c r="B331" s="317" t="s">
        <v>1589</v>
      </c>
      <c r="C331" s="318" t="s">
        <v>1590</v>
      </c>
      <c r="D331" s="318">
        <f>8/A_MFe</f>
        <v>0.14325364849136002</v>
      </c>
      <c r="E331" s="319"/>
      <c r="F331" s="319"/>
      <c r="G331" s="318" t="s">
        <v>1591</v>
      </c>
      <c r="H331" s="320"/>
      <c r="I331" s="320"/>
      <c r="J331" s="318"/>
    </row>
    <row r="332" spans="2:10" ht="18" x14ac:dyDescent="0.25">
      <c r="B332" s="317" t="s">
        <v>1592</v>
      </c>
      <c r="C332" s="318" t="s">
        <v>1593</v>
      </c>
      <c r="D332" s="318">
        <f>3*A_MO/(A_MS)</f>
        <v>1.4969031654451894</v>
      </c>
      <c r="E332" s="319"/>
      <c r="F332" s="319"/>
      <c r="G332" s="318" t="s">
        <v>1594</v>
      </c>
      <c r="H332" s="320"/>
      <c r="I332" s="320"/>
      <c r="J332" s="318" t="s">
        <v>1595</v>
      </c>
    </row>
    <row r="333" spans="2:10" ht="18" x14ac:dyDescent="0.25">
      <c r="B333" s="317" t="s">
        <v>1312</v>
      </c>
      <c r="C333" s="318" t="s">
        <v>1270</v>
      </c>
      <c r="D333" s="318">
        <f>4*A_MO/(A_MS)</f>
        <v>1.9958708872602526</v>
      </c>
      <c r="E333" s="319"/>
      <c r="F333" s="319"/>
      <c r="G333" s="318" t="s">
        <v>1596</v>
      </c>
      <c r="H333" s="320"/>
      <c r="I333" s="320"/>
      <c r="J333" s="318" t="s">
        <v>1595</v>
      </c>
    </row>
    <row r="335" spans="2:10" ht="15.75" thickBot="1" x14ac:dyDescent="0.3">
      <c r="C335" s="321" t="s">
        <v>1162</v>
      </c>
    </row>
    <row r="336" spans="2:10" ht="15.75" thickBot="1" x14ac:dyDescent="0.3">
      <c r="B336" s="322" t="s">
        <v>0</v>
      </c>
      <c r="C336" s="323" t="s">
        <v>1</v>
      </c>
      <c r="D336" s="324" t="s">
        <v>150</v>
      </c>
      <c r="E336" s="324" t="s">
        <v>561</v>
      </c>
      <c r="F336" s="324" t="s">
        <v>562</v>
      </c>
      <c r="G336" s="324" t="s">
        <v>2</v>
      </c>
      <c r="H336" s="324" t="s">
        <v>431</v>
      </c>
      <c r="I336" s="324" t="s">
        <v>114</v>
      </c>
      <c r="J336" s="325" t="s">
        <v>115</v>
      </c>
    </row>
    <row r="337" spans="2:10" ht="18" x14ac:dyDescent="0.25">
      <c r="B337" s="317" t="s">
        <v>1163</v>
      </c>
      <c r="C337" s="318" t="s">
        <v>1164</v>
      </c>
      <c r="D337" s="318">
        <v>0.5</v>
      </c>
      <c r="E337" s="319"/>
      <c r="F337" s="319"/>
      <c r="G337" s="318"/>
      <c r="H337" s="320"/>
      <c r="I337" s="320"/>
      <c r="J337" s="318" t="s">
        <v>1271</v>
      </c>
    </row>
    <row r="338" spans="2:10" ht="18" x14ac:dyDescent="0.25">
      <c r="B338" s="317" t="s">
        <v>1165</v>
      </c>
      <c r="C338" s="318" t="s">
        <v>1166</v>
      </c>
      <c r="D338" s="318">
        <v>0.5</v>
      </c>
      <c r="E338" s="319"/>
      <c r="F338" s="319"/>
      <c r="G338" s="318"/>
      <c r="H338" s="320"/>
      <c r="I338" s="320"/>
      <c r="J338" s="318" t="s">
        <v>1272</v>
      </c>
    </row>
    <row r="339" spans="2:10" ht="18" x14ac:dyDescent="0.25">
      <c r="B339" s="317" t="s">
        <v>1167</v>
      </c>
      <c r="C339" s="318" t="s">
        <v>1168</v>
      </c>
      <c r="D339" s="318">
        <v>2</v>
      </c>
      <c r="E339" s="319"/>
      <c r="F339" s="319"/>
      <c r="G339" s="318"/>
      <c r="H339" s="320"/>
      <c r="I339" s="320"/>
      <c r="J339" s="318" t="s">
        <v>1273</v>
      </c>
    </row>
    <row r="340" spans="2:10" ht="18" x14ac:dyDescent="0.25">
      <c r="B340" s="317" t="s">
        <v>1169</v>
      </c>
      <c r="C340" s="318" t="s">
        <v>1170</v>
      </c>
      <c r="D340" s="318">
        <v>2</v>
      </c>
      <c r="E340" s="319"/>
      <c r="F340" s="319"/>
      <c r="G340" s="318"/>
      <c r="H340" s="320"/>
      <c r="I340" s="320"/>
      <c r="J340" s="318" t="s">
        <v>1274</v>
      </c>
    </row>
    <row r="341" spans="2:10" ht="18" x14ac:dyDescent="0.25">
      <c r="B341" s="317" t="s">
        <v>1171</v>
      </c>
      <c r="C341" s="318" t="s">
        <v>1172</v>
      </c>
      <c r="D341" s="318">
        <v>4.5</v>
      </c>
      <c r="E341" s="319"/>
      <c r="F341" s="319"/>
      <c r="G341" s="318"/>
      <c r="H341" s="320"/>
      <c r="I341" s="320"/>
      <c r="J341" s="318" t="s">
        <v>1275</v>
      </c>
    </row>
    <row r="342" spans="2:10" ht="18" x14ac:dyDescent="0.25">
      <c r="B342" s="317" t="s">
        <v>1173</v>
      </c>
      <c r="C342" s="318" t="s">
        <v>1174</v>
      </c>
      <c r="D342" s="318">
        <v>4.5</v>
      </c>
      <c r="E342" s="319"/>
      <c r="F342" s="319"/>
      <c r="G342" s="318"/>
      <c r="H342" s="320"/>
      <c r="I342" s="320"/>
      <c r="J342" s="318" t="s">
        <v>1276</v>
      </c>
    </row>
    <row r="344" spans="2:10" ht="15.75" thickBot="1" x14ac:dyDescent="0.3">
      <c r="C344" s="321" t="s">
        <v>1175</v>
      </c>
    </row>
    <row r="345" spans="2:10" ht="15.75" thickBot="1" x14ac:dyDescent="0.3">
      <c r="B345" s="322" t="s">
        <v>0</v>
      </c>
      <c r="C345" s="323" t="s">
        <v>1</v>
      </c>
      <c r="D345" s="324" t="s">
        <v>150</v>
      </c>
      <c r="E345" s="324" t="s">
        <v>561</v>
      </c>
      <c r="F345" s="324" t="s">
        <v>562</v>
      </c>
      <c r="G345" s="324" t="s">
        <v>2</v>
      </c>
      <c r="H345" s="324" t="s">
        <v>431</v>
      </c>
      <c r="I345" s="324" t="s">
        <v>114</v>
      </c>
      <c r="J345" s="325" t="s">
        <v>115</v>
      </c>
    </row>
    <row r="346" spans="2:10" ht="18" x14ac:dyDescent="0.25">
      <c r="B346" s="317" t="s">
        <v>1176</v>
      </c>
      <c r="C346" s="318" t="s">
        <v>1177</v>
      </c>
      <c r="D346" s="318">
        <v>6.4135999999999997E-5</v>
      </c>
      <c r="E346" s="319"/>
      <c r="F346" s="319"/>
      <c r="G346" s="318" t="s">
        <v>1178</v>
      </c>
      <c r="H346" s="320"/>
      <c r="I346" s="320"/>
      <c r="J346" s="318" t="s">
        <v>1597</v>
      </c>
    </row>
    <row r="348" spans="2:10" ht="15.75" thickBot="1" x14ac:dyDescent="0.3">
      <c r="C348" s="321" t="s">
        <v>1175</v>
      </c>
    </row>
    <row r="349" spans="2:10" ht="15.75" thickBot="1" x14ac:dyDescent="0.3">
      <c r="B349" s="322" t="s">
        <v>0</v>
      </c>
      <c r="C349" s="323" t="s">
        <v>1</v>
      </c>
      <c r="D349" s="324" t="s">
        <v>150</v>
      </c>
      <c r="E349" s="324" t="s">
        <v>561</v>
      </c>
      <c r="F349" s="324" t="s">
        <v>562</v>
      </c>
      <c r="G349" s="324" t="s">
        <v>2</v>
      </c>
      <c r="H349" s="324" t="s">
        <v>431</v>
      </c>
      <c r="I349" s="324" t="s">
        <v>114</v>
      </c>
      <c r="J349" s="325" t="s">
        <v>115</v>
      </c>
    </row>
    <row r="350" spans="2:10" ht="18" x14ac:dyDescent="0.25">
      <c r="B350" s="317" t="s">
        <v>1598</v>
      </c>
      <c r="C350" s="318" t="s">
        <v>1599</v>
      </c>
      <c r="D350" s="318">
        <v>0.6</v>
      </c>
      <c r="E350" s="319" t="s">
        <v>1321</v>
      </c>
      <c r="F350" s="319" t="s">
        <v>1600</v>
      </c>
      <c r="G350" s="318" t="s">
        <v>1601</v>
      </c>
      <c r="H350" s="320"/>
      <c r="I350" s="320"/>
      <c r="J350" s="318" t="s">
        <v>1602</v>
      </c>
    </row>
    <row r="352" spans="2:10" ht="15.75" thickBot="1" x14ac:dyDescent="0.3">
      <c r="C352" s="321" t="s">
        <v>1179</v>
      </c>
    </row>
    <row r="353" spans="2:10" ht="15.75" thickBot="1" x14ac:dyDescent="0.3">
      <c r="B353" s="322" t="s">
        <v>0</v>
      </c>
      <c r="C353" s="323" t="s">
        <v>1</v>
      </c>
      <c r="D353" s="324" t="s">
        <v>150</v>
      </c>
      <c r="E353" s="324" t="s">
        <v>561</v>
      </c>
      <c r="F353" s="324" t="s">
        <v>562</v>
      </c>
      <c r="G353" s="324" t="s">
        <v>2</v>
      </c>
      <c r="H353" s="324" t="s">
        <v>431</v>
      </c>
      <c r="I353" s="324" t="s">
        <v>114</v>
      </c>
      <c r="J353" s="325" t="s">
        <v>115</v>
      </c>
    </row>
    <row r="354" spans="2:10" ht="18" x14ac:dyDescent="0.25">
      <c r="B354" s="317" t="s">
        <v>1180</v>
      </c>
      <c r="C354" s="318" t="s">
        <v>1181</v>
      </c>
      <c r="D354" s="318">
        <v>1000000</v>
      </c>
      <c r="E354" s="319"/>
      <c r="F354" s="319"/>
      <c r="G354" s="318" t="s">
        <v>1603</v>
      </c>
      <c r="H354" s="320"/>
      <c r="I354" s="320"/>
      <c r="J354" s="318"/>
    </row>
    <row r="355" spans="2:10" ht="18" x14ac:dyDescent="0.25">
      <c r="B355" s="317" t="s">
        <v>1325</v>
      </c>
      <c r="C355" s="318" t="s">
        <v>1326</v>
      </c>
      <c r="D355" s="318">
        <v>100</v>
      </c>
      <c r="E355" s="319"/>
      <c r="F355" s="319"/>
      <c r="G355" s="318" t="s">
        <v>1604</v>
      </c>
      <c r="H355" s="320"/>
      <c r="I355" s="320"/>
      <c r="J355" s="318"/>
    </row>
    <row r="356" spans="2:10" ht="18" x14ac:dyDescent="0.25">
      <c r="B356" s="317" t="s">
        <v>1327</v>
      </c>
      <c r="C356" s="318" t="s">
        <v>1328</v>
      </c>
      <c r="D356" s="318">
        <v>100</v>
      </c>
      <c r="E356" s="319"/>
      <c r="F356" s="319"/>
      <c r="G356" s="318" t="s">
        <v>1329</v>
      </c>
      <c r="H356" s="320"/>
      <c r="I356" s="320"/>
      <c r="J356" s="318"/>
    </row>
    <row r="357" spans="2:10" ht="18" x14ac:dyDescent="0.25">
      <c r="B357" s="317" t="s">
        <v>1182</v>
      </c>
      <c r="C357" s="318" t="s">
        <v>1605</v>
      </c>
      <c r="D357" s="318">
        <v>86400</v>
      </c>
      <c r="E357" s="319"/>
      <c r="F357" s="319"/>
      <c r="G357" s="318" t="s">
        <v>1606</v>
      </c>
      <c r="H357" s="320"/>
      <c r="I357" s="320"/>
      <c r="J357" s="318"/>
    </row>
    <row r="358" spans="2:10" ht="18" x14ac:dyDescent="0.25">
      <c r="B358" s="317" t="s">
        <v>1607</v>
      </c>
      <c r="C358" s="318" t="s">
        <v>1608</v>
      </c>
      <c r="D358" s="318">
        <v>3600</v>
      </c>
      <c r="E358" s="319"/>
      <c r="F358" s="319"/>
      <c r="G358" s="318" t="s">
        <v>1609</v>
      </c>
      <c r="H358" s="320"/>
      <c r="I358" s="320"/>
      <c r="J358" s="318"/>
    </row>
    <row r="359" spans="2:10" ht="18" x14ac:dyDescent="0.25">
      <c r="B359" s="317" t="s">
        <v>1610</v>
      </c>
      <c r="C359" s="318" t="s">
        <v>1611</v>
      </c>
      <c r="D359" s="318">
        <v>60</v>
      </c>
      <c r="E359" s="319"/>
      <c r="F359" s="319"/>
      <c r="G359" s="318" t="s">
        <v>1612</v>
      </c>
      <c r="H359" s="320"/>
      <c r="I359" s="320"/>
      <c r="J359" s="318"/>
    </row>
    <row r="360" spans="2:10" ht="18" x14ac:dyDescent="0.25">
      <c r="B360" s="317" t="s">
        <v>1613</v>
      </c>
      <c r="C360" s="318" t="s">
        <v>1614</v>
      </c>
      <c r="D360" s="318">
        <v>24</v>
      </c>
      <c r="E360" s="319"/>
      <c r="F360" s="319"/>
      <c r="G360" s="318" t="s">
        <v>1615</v>
      </c>
      <c r="H360" s="320"/>
      <c r="I360" s="320"/>
      <c r="J360" s="318"/>
    </row>
    <row r="361" spans="2:10" ht="18" x14ac:dyDescent="0.25">
      <c r="B361" s="317" t="s">
        <v>1616</v>
      </c>
      <c r="C361" s="318" t="s">
        <v>1617</v>
      </c>
      <c r="D361" s="318">
        <v>86400000</v>
      </c>
      <c r="E361" s="319"/>
      <c r="F361" s="319"/>
      <c r="G361" s="318" t="s">
        <v>1618</v>
      </c>
      <c r="H361" s="320"/>
      <c r="I361" s="320"/>
      <c r="J361" s="318"/>
    </row>
    <row r="362" spans="2:10" ht="18" x14ac:dyDescent="0.25">
      <c r="B362" s="317" t="s">
        <v>1277</v>
      </c>
      <c r="C362" s="318" t="s">
        <v>1278</v>
      </c>
      <c r="D362" s="318">
        <v>3600000</v>
      </c>
      <c r="E362" s="319"/>
      <c r="F362" s="319"/>
      <c r="G362" s="318" t="s">
        <v>1279</v>
      </c>
      <c r="H362" s="320"/>
      <c r="I362" s="320"/>
      <c r="J362" s="318"/>
    </row>
    <row r="363" spans="2:10" ht="18" x14ac:dyDescent="0.25">
      <c r="B363" s="317" t="s">
        <v>1619</v>
      </c>
      <c r="C363" s="318" t="s">
        <v>1620</v>
      </c>
      <c r="D363" s="318">
        <v>60000</v>
      </c>
      <c r="E363" s="319"/>
      <c r="F363" s="319"/>
      <c r="G363" s="318" t="s">
        <v>1621</v>
      </c>
      <c r="H363" s="320"/>
      <c r="I363" s="320"/>
      <c r="J363" s="318"/>
    </row>
    <row r="364" spans="2:10" ht="18" x14ac:dyDescent="0.25">
      <c r="B364" s="317" t="s">
        <v>1622</v>
      </c>
      <c r="C364" s="318" t="s">
        <v>1623</v>
      </c>
      <c r="D364" s="318">
        <v>1000</v>
      </c>
      <c r="E364" s="319"/>
      <c r="F364" s="319"/>
      <c r="G364" s="318" t="s">
        <v>1624</v>
      </c>
      <c r="H364" s="320"/>
      <c r="I364" s="320"/>
      <c r="J364" s="318"/>
    </row>
    <row r="365" spans="2:10" ht="18" x14ac:dyDescent="0.25">
      <c r="B365" s="317" t="s">
        <v>1183</v>
      </c>
      <c r="C365" s="318" t="s">
        <v>1184</v>
      </c>
      <c r="D365" s="318">
        <v>1000</v>
      </c>
      <c r="E365" s="319"/>
      <c r="F365" s="319"/>
      <c r="G365" s="318" t="s">
        <v>1625</v>
      </c>
      <c r="H365" s="320"/>
      <c r="I365" s="320"/>
      <c r="J365" s="318"/>
    </row>
    <row r="366" spans="2:10" ht="18" x14ac:dyDescent="0.25">
      <c r="B366" s="317" t="s">
        <v>1185</v>
      </c>
      <c r="C366" s="318" t="s">
        <v>1186</v>
      </c>
      <c r="D366" s="318">
        <v>1000</v>
      </c>
      <c r="E366" s="319"/>
      <c r="F366" s="319"/>
      <c r="G366" s="318" t="s">
        <v>1626</v>
      </c>
      <c r="H366" s="320"/>
      <c r="I366" s="320"/>
      <c r="J366" s="318"/>
    </row>
    <row r="367" spans="2:10" ht="18" x14ac:dyDescent="0.25">
      <c r="B367" s="317" t="s">
        <v>1187</v>
      </c>
      <c r="C367" s="318" t="s">
        <v>1627</v>
      </c>
      <c r="D367" s="318">
        <v>1000</v>
      </c>
      <c r="E367" s="319"/>
      <c r="F367" s="319"/>
      <c r="G367" s="318" t="s">
        <v>1628</v>
      </c>
      <c r="H367" s="320"/>
      <c r="I367" s="320"/>
      <c r="J367" s="318"/>
    </row>
    <row r="368" spans="2:10" ht="18" x14ac:dyDescent="0.25">
      <c r="B368" s="326" t="s">
        <v>1629</v>
      </c>
      <c r="C368" s="326" t="s">
        <v>1630</v>
      </c>
      <c r="D368" s="326">
        <v>1000</v>
      </c>
      <c r="E368" s="326"/>
      <c r="F368" s="326"/>
      <c r="G368" s="326" t="s">
        <v>1631</v>
      </c>
      <c r="H368" s="326"/>
      <c r="I368" s="326"/>
      <c r="J368" s="326"/>
    </row>
    <row r="369" spans="2:10" ht="18" x14ac:dyDescent="0.25">
      <c r="B369" s="317" t="s">
        <v>1188</v>
      </c>
      <c r="C369" s="318" t="s">
        <v>1632</v>
      </c>
      <c r="D369" s="318">
        <v>133.32236800000001</v>
      </c>
      <c r="E369" s="319"/>
      <c r="F369" s="319"/>
      <c r="G369" s="318" t="s">
        <v>1633</v>
      </c>
      <c r="H369" s="320"/>
      <c r="I369" s="320"/>
      <c r="J369" s="318"/>
    </row>
    <row r="370" spans="2:10" ht="18" x14ac:dyDescent="0.25">
      <c r="B370" s="317" t="s">
        <v>1189</v>
      </c>
      <c r="C370" s="318" t="s">
        <v>1634</v>
      </c>
      <c r="D370" s="318">
        <v>100000</v>
      </c>
      <c r="E370" s="319"/>
      <c r="F370" s="319"/>
      <c r="G370" s="318" t="s">
        <v>1635</v>
      </c>
      <c r="H370" s="320"/>
      <c r="I370" s="320"/>
      <c r="J370" s="318"/>
    </row>
    <row r="371" spans="2:10" ht="18" x14ac:dyDescent="0.25">
      <c r="B371" s="317" t="s">
        <v>1636</v>
      </c>
      <c r="C371" s="318" t="s">
        <v>1637</v>
      </c>
      <c r="D371" s="318">
        <v>100</v>
      </c>
      <c r="E371" s="319"/>
      <c r="F371" s="319"/>
      <c r="G371" s="318" t="s">
        <v>1638</v>
      </c>
      <c r="H371" s="320"/>
      <c r="I371" s="320"/>
      <c r="J371" s="318"/>
    </row>
    <row r="372" spans="2:10" ht="18" x14ac:dyDescent="0.25">
      <c r="B372" s="317" t="s">
        <v>1190</v>
      </c>
      <c r="C372" s="318" t="s">
        <v>1639</v>
      </c>
      <c r="D372" s="318">
        <v>10000</v>
      </c>
      <c r="E372" s="319"/>
      <c r="F372" s="319"/>
      <c r="G372" s="318" t="s">
        <v>1638</v>
      </c>
      <c r="H372" s="320"/>
      <c r="I372" s="320"/>
      <c r="J372" s="318"/>
    </row>
    <row r="373" spans="2:10" ht="18" x14ac:dyDescent="0.25">
      <c r="B373" s="317" t="s">
        <v>1640</v>
      </c>
      <c r="C373" s="318" t="s">
        <v>1641</v>
      </c>
      <c r="D373" s="318">
        <v>1000000</v>
      </c>
      <c r="E373" s="319"/>
      <c r="F373" s="319"/>
      <c r="G373" s="318" t="s">
        <v>1642</v>
      </c>
      <c r="H373" s="320"/>
      <c r="I373" s="320"/>
      <c r="J373" s="318"/>
    </row>
    <row r="375" spans="2:10" ht="15.75" thickBot="1" x14ac:dyDescent="0.3">
      <c r="C375" s="321" t="s">
        <v>1191</v>
      </c>
    </row>
    <row r="376" spans="2:10" ht="15.75" thickBot="1" x14ac:dyDescent="0.3">
      <c r="B376" s="322" t="s">
        <v>0</v>
      </c>
      <c r="C376" s="323" t="s">
        <v>1</v>
      </c>
      <c r="D376" s="324" t="s">
        <v>150</v>
      </c>
      <c r="E376" s="324" t="s">
        <v>561</v>
      </c>
      <c r="F376" s="324" t="s">
        <v>562</v>
      </c>
      <c r="G376" s="324" t="s">
        <v>2</v>
      </c>
      <c r="H376" s="324" t="s">
        <v>431</v>
      </c>
      <c r="I376" s="324" t="s">
        <v>114</v>
      </c>
      <c r="J376" s="325" t="s">
        <v>115</v>
      </c>
    </row>
    <row r="377" spans="2:10" ht="18" x14ac:dyDescent="0.25">
      <c r="B377" s="317" t="s">
        <v>1280</v>
      </c>
      <c r="C377" s="318" t="s">
        <v>1192</v>
      </c>
      <c r="D377" s="318">
        <v>0</v>
      </c>
      <c r="E377" s="319"/>
      <c r="F377" s="319"/>
      <c r="G377" s="318" t="s">
        <v>1643</v>
      </c>
      <c r="H377" s="320"/>
      <c r="I377" s="320"/>
      <c r="J377" s="318" t="s">
        <v>1193</v>
      </c>
    </row>
    <row r="378" spans="2:10" ht="18" x14ac:dyDescent="0.25">
      <c r="B378" s="317" t="s">
        <v>1281</v>
      </c>
      <c r="C378" s="318" t="s">
        <v>1194</v>
      </c>
      <c r="D378" s="318">
        <v>-285840</v>
      </c>
      <c r="E378" s="319"/>
      <c r="F378" s="319"/>
      <c r="G378" s="318" t="s">
        <v>1643</v>
      </c>
      <c r="H378" s="320"/>
      <c r="I378" s="320"/>
      <c r="J378" s="318" t="s">
        <v>1195</v>
      </c>
    </row>
    <row r="379" spans="2:10" ht="18" x14ac:dyDescent="0.25">
      <c r="B379" s="317" t="s">
        <v>1282</v>
      </c>
      <c r="C379" s="318" t="s">
        <v>1196</v>
      </c>
      <c r="D379" s="318">
        <v>-229994</v>
      </c>
      <c r="E379" s="319"/>
      <c r="F379" s="319"/>
      <c r="G379" s="318" t="s">
        <v>1643</v>
      </c>
      <c r="H379" s="320"/>
      <c r="I379" s="320"/>
      <c r="J379" s="318" t="s">
        <v>1193</v>
      </c>
    </row>
    <row r="380" spans="2:10" ht="18" x14ac:dyDescent="0.25">
      <c r="B380" s="317" t="s">
        <v>1283</v>
      </c>
      <c r="C380" s="318" t="s">
        <v>1197</v>
      </c>
      <c r="D380" s="318">
        <v>-80920</v>
      </c>
      <c r="E380" s="319"/>
      <c r="F380" s="319"/>
      <c r="G380" s="318" t="s">
        <v>1643</v>
      </c>
      <c r="H380" s="320"/>
      <c r="I380" s="320"/>
      <c r="J380" s="318" t="s">
        <v>1193</v>
      </c>
    </row>
    <row r="381" spans="2:10" ht="18" x14ac:dyDescent="0.25">
      <c r="B381" s="317" t="s">
        <v>1284</v>
      </c>
      <c r="C381" s="318" t="s">
        <v>1198</v>
      </c>
      <c r="D381" s="318">
        <v>-132510</v>
      </c>
      <c r="E381" s="319"/>
      <c r="F381" s="319"/>
      <c r="G381" s="318" t="s">
        <v>1643</v>
      </c>
      <c r="H381" s="320"/>
      <c r="I381" s="320"/>
      <c r="J381" s="318" t="s">
        <v>1193</v>
      </c>
    </row>
    <row r="382" spans="2:10" ht="18" x14ac:dyDescent="0.25">
      <c r="B382" s="317" t="s">
        <v>1285</v>
      </c>
      <c r="C382" s="318" t="s">
        <v>1199</v>
      </c>
      <c r="D382" s="318">
        <v>-119200</v>
      </c>
      <c r="E382" s="319"/>
      <c r="F382" s="319"/>
      <c r="G382" s="318" t="s">
        <v>1643</v>
      </c>
      <c r="H382" s="320"/>
      <c r="I382" s="320"/>
      <c r="J382" s="318" t="s">
        <v>1193</v>
      </c>
    </row>
    <row r="383" spans="2:10" ht="18" x14ac:dyDescent="0.25">
      <c r="B383" s="317" t="s">
        <v>1286</v>
      </c>
      <c r="C383" s="318" t="s">
        <v>1200</v>
      </c>
      <c r="D383" s="318">
        <v>-106000</v>
      </c>
      <c r="E383" s="319"/>
      <c r="F383" s="319"/>
      <c r="G383" s="318" t="s">
        <v>1643</v>
      </c>
      <c r="H383" s="320"/>
      <c r="I383" s="320"/>
      <c r="J383" s="318" t="s">
        <v>1195</v>
      </c>
    </row>
    <row r="384" spans="2:10" ht="18" x14ac:dyDescent="0.25">
      <c r="B384" s="317" t="s">
        <v>1287</v>
      </c>
      <c r="C384" s="318" t="s">
        <v>1201</v>
      </c>
      <c r="D384" s="318">
        <v>-205000</v>
      </c>
      <c r="E384" s="319"/>
      <c r="F384" s="319"/>
      <c r="G384" s="318" t="s">
        <v>1643</v>
      </c>
      <c r="H384" s="320"/>
      <c r="I384" s="320"/>
      <c r="J384" s="318" t="s">
        <v>1193</v>
      </c>
    </row>
    <row r="385" spans="2:10" ht="18" x14ac:dyDescent="0.25">
      <c r="B385" s="317" t="s">
        <v>1288</v>
      </c>
      <c r="C385" s="318" t="s">
        <v>1202</v>
      </c>
      <c r="D385" s="318">
        <v>-699650</v>
      </c>
      <c r="E385" s="319"/>
      <c r="F385" s="319"/>
      <c r="G385" s="318" t="s">
        <v>1643</v>
      </c>
      <c r="H385" s="320"/>
      <c r="I385" s="320"/>
      <c r="J385" s="318" t="s">
        <v>1193</v>
      </c>
    </row>
    <row r="386" spans="2:10" ht="18" x14ac:dyDescent="0.25">
      <c r="B386" s="317" t="s">
        <v>1289</v>
      </c>
      <c r="C386" s="318" t="s">
        <v>1203</v>
      </c>
      <c r="D386" s="318">
        <v>-691990</v>
      </c>
      <c r="E386" s="319"/>
      <c r="F386" s="319"/>
      <c r="G386" s="318" t="s">
        <v>1643</v>
      </c>
      <c r="H386" s="320"/>
      <c r="I386" s="320"/>
      <c r="J386" s="318" t="s">
        <v>1193</v>
      </c>
    </row>
    <row r="387" spans="2:10" ht="18" x14ac:dyDescent="0.25">
      <c r="B387" s="317" t="s">
        <v>1290</v>
      </c>
      <c r="C387" s="318" t="s">
        <v>1204</v>
      </c>
      <c r="D387" s="318">
        <v>-677140</v>
      </c>
      <c r="E387" s="319"/>
      <c r="F387" s="319"/>
      <c r="G387" s="318" t="s">
        <v>1643</v>
      </c>
      <c r="H387" s="320"/>
      <c r="I387" s="320"/>
      <c r="J387" s="318" t="s">
        <v>1193</v>
      </c>
    </row>
    <row r="388" spans="2:10" ht="18" x14ac:dyDescent="0.25">
      <c r="B388" s="317" t="s">
        <v>1291</v>
      </c>
      <c r="C388" s="318" t="s">
        <v>1205</v>
      </c>
      <c r="D388" s="318">
        <v>-1299144</v>
      </c>
      <c r="E388" s="319"/>
      <c r="F388" s="319"/>
      <c r="G388" s="318" t="s">
        <v>1643</v>
      </c>
      <c r="H388" s="320"/>
      <c r="I388" s="320"/>
      <c r="J388" s="318" t="s">
        <v>1206</v>
      </c>
    </row>
    <row r="389" spans="2:10" ht="18" x14ac:dyDescent="0.25">
      <c r="B389" s="317" t="s">
        <v>1292</v>
      </c>
      <c r="C389" s="318" t="s">
        <v>1207</v>
      </c>
      <c r="D389" s="318">
        <v>1296000</v>
      </c>
      <c r="E389" s="319"/>
      <c r="F389" s="319"/>
      <c r="G389" s="318" t="s">
        <v>1643</v>
      </c>
      <c r="H389" s="320"/>
      <c r="I389" s="320"/>
      <c r="J389" s="318" t="s">
        <v>1208</v>
      </c>
    </row>
    <row r="390" spans="2:10" ht="18" x14ac:dyDescent="0.25">
      <c r="B390" s="317" t="s">
        <v>1293</v>
      </c>
      <c r="C390" s="318" t="s">
        <v>1209</v>
      </c>
      <c r="D390" s="318">
        <v>-1292000</v>
      </c>
      <c r="E390" s="319"/>
      <c r="F390" s="319"/>
      <c r="G390" s="318" t="s">
        <v>1643</v>
      </c>
      <c r="H390" s="320"/>
      <c r="I390" s="320"/>
      <c r="J390" s="318" t="s">
        <v>1208</v>
      </c>
    </row>
    <row r="391" spans="2:10" ht="18" x14ac:dyDescent="0.25">
      <c r="B391" s="317" t="s">
        <v>1294</v>
      </c>
      <c r="C391" s="318" t="s">
        <v>1210</v>
      </c>
      <c r="D391" s="318">
        <v>-1277400</v>
      </c>
      <c r="E391" s="319"/>
      <c r="F391" s="319"/>
      <c r="G391" s="318" t="s">
        <v>1643</v>
      </c>
      <c r="H391" s="320"/>
      <c r="I391" s="320"/>
      <c r="J391" s="318" t="s">
        <v>1193</v>
      </c>
    </row>
    <row r="392" spans="2:10" ht="18" x14ac:dyDescent="0.25">
      <c r="B392" s="317" t="s">
        <v>1295</v>
      </c>
      <c r="C392" s="318" t="s">
        <v>1211</v>
      </c>
      <c r="D392" s="318">
        <v>-488453</v>
      </c>
      <c r="E392" s="319"/>
      <c r="F392" s="319"/>
      <c r="G392" s="318" t="s">
        <v>1643</v>
      </c>
      <c r="H392" s="320"/>
      <c r="I392" s="320"/>
      <c r="J392" s="318" t="s">
        <v>1195</v>
      </c>
    </row>
    <row r="393" spans="2:10" ht="18" x14ac:dyDescent="0.25">
      <c r="B393" s="317" t="s">
        <v>1296</v>
      </c>
      <c r="C393" s="318" t="s">
        <v>1212</v>
      </c>
      <c r="D393" s="318">
        <v>-488871</v>
      </c>
      <c r="E393" s="319"/>
      <c r="F393" s="319"/>
      <c r="G393" s="318" t="s">
        <v>1643</v>
      </c>
      <c r="H393" s="320"/>
      <c r="I393" s="320"/>
      <c r="J393" s="318" t="s">
        <v>1195</v>
      </c>
    </row>
    <row r="394" spans="2:10" ht="18" x14ac:dyDescent="0.25">
      <c r="B394" s="317" t="s">
        <v>1644</v>
      </c>
      <c r="C394" s="318" t="s">
        <v>1645</v>
      </c>
      <c r="D394" s="318">
        <v>-39000</v>
      </c>
      <c r="E394" s="319"/>
      <c r="F394" s="319"/>
      <c r="G394" s="318" t="s">
        <v>1643</v>
      </c>
      <c r="H394" s="320"/>
      <c r="I394" s="320"/>
      <c r="J394" s="318" t="s">
        <v>1195</v>
      </c>
    </row>
    <row r="395" spans="2:10" ht="18" x14ac:dyDescent="0.25">
      <c r="B395" s="317" t="s">
        <v>1646</v>
      </c>
      <c r="C395" s="318" t="s">
        <v>1647</v>
      </c>
      <c r="D395" s="318">
        <v>-17000</v>
      </c>
      <c r="E395" s="319"/>
      <c r="F395" s="319"/>
      <c r="G395" s="318" t="s">
        <v>1643</v>
      </c>
      <c r="H395" s="320"/>
      <c r="I395" s="320"/>
      <c r="J395" s="318" t="s">
        <v>1648</v>
      </c>
    </row>
    <row r="396" spans="2:10" ht="18" x14ac:dyDescent="0.25">
      <c r="B396" s="317" t="s">
        <v>1649</v>
      </c>
      <c r="C396" s="318" t="s">
        <v>1650</v>
      </c>
      <c r="D396" s="318">
        <v>33000</v>
      </c>
      <c r="E396" s="319"/>
      <c r="F396" s="319"/>
      <c r="G396" s="318" t="s">
        <v>1643</v>
      </c>
      <c r="H396" s="320"/>
      <c r="I396" s="320"/>
      <c r="J396" s="318" t="s">
        <v>1195</v>
      </c>
    </row>
    <row r="397" spans="2:10" ht="18" x14ac:dyDescent="0.25">
      <c r="B397" s="317" t="s">
        <v>1651</v>
      </c>
      <c r="C397" s="318" t="s">
        <v>1652</v>
      </c>
      <c r="D397" s="318">
        <v>-909000</v>
      </c>
      <c r="E397" s="319"/>
      <c r="F397" s="319"/>
      <c r="G397" s="318" t="s">
        <v>1643</v>
      </c>
      <c r="H397" s="320"/>
      <c r="I397" s="320"/>
      <c r="J397" s="318" t="s">
        <v>1208</v>
      </c>
    </row>
    <row r="398" spans="2:10" ht="18" x14ac:dyDescent="0.25">
      <c r="B398" s="317" t="s">
        <v>1653</v>
      </c>
      <c r="C398" s="318" t="s">
        <v>1654</v>
      </c>
      <c r="D398" s="318">
        <v>-887000</v>
      </c>
      <c r="E398" s="319"/>
      <c r="F398" s="319"/>
      <c r="G398" s="318" t="s">
        <v>1643</v>
      </c>
      <c r="H398" s="320"/>
      <c r="I398" s="320"/>
      <c r="J398" s="318" t="s">
        <v>1655</v>
      </c>
    </row>
    <row r="399" spans="2:10" ht="18" x14ac:dyDescent="0.25">
      <c r="B399" s="317" t="s">
        <v>1656</v>
      </c>
      <c r="C399" s="318" t="s">
        <v>1657</v>
      </c>
      <c r="D399" s="318">
        <v>-909000</v>
      </c>
      <c r="E399" s="319"/>
      <c r="F399" s="319"/>
      <c r="G399" s="318" t="s">
        <v>1643</v>
      </c>
      <c r="H399" s="320"/>
      <c r="I399" s="320"/>
      <c r="J399" s="318" t="s">
        <v>1208</v>
      </c>
    </row>
    <row r="400" spans="2:10" ht="18" x14ac:dyDescent="0.25">
      <c r="B400" s="317" t="s">
        <v>1658</v>
      </c>
      <c r="C400" s="318" t="s">
        <v>1659</v>
      </c>
      <c r="D400" s="318">
        <v>-542960</v>
      </c>
      <c r="E400" s="319"/>
      <c r="F400" s="319"/>
      <c r="G400" s="318" t="s">
        <v>1643</v>
      </c>
      <c r="H400" s="320"/>
      <c r="I400" s="320"/>
      <c r="J400" s="318" t="s">
        <v>1195</v>
      </c>
    </row>
    <row r="401" spans="2:12" ht="18" x14ac:dyDescent="0.25">
      <c r="B401" s="317" t="s">
        <v>1660</v>
      </c>
      <c r="C401" s="318" t="s">
        <v>1661</v>
      </c>
      <c r="D401" s="318">
        <v>-461960</v>
      </c>
      <c r="E401" s="319"/>
      <c r="F401" s="319"/>
      <c r="G401" s="318" t="s">
        <v>1643</v>
      </c>
      <c r="H401" s="320"/>
      <c r="I401" s="320"/>
      <c r="J401" s="318" t="s">
        <v>1195</v>
      </c>
    </row>
    <row r="402" spans="2:12" ht="18" x14ac:dyDescent="0.25">
      <c r="B402" s="317" t="s">
        <v>1662</v>
      </c>
      <c r="C402" s="318" t="s">
        <v>1663</v>
      </c>
      <c r="D402" s="318">
        <v>-239660</v>
      </c>
      <c r="E402" s="319"/>
      <c r="F402" s="319"/>
      <c r="G402" s="318" t="s">
        <v>1643</v>
      </c>
      <c r="H402" s="320"/>
      <c r="I402" s="320"/>
      <c r="J402" s="318" t="s">
        <v>1195</v>
      </c>
    </row>
    <row r="404" spans="2:12" ht="15.75" thickBot="1" x14ac:dyDescent="0.3">
      <c r="C404" s="321" t="s">
        <v>1213</v>
      </c>
    </row>
    <row r="405" spans="2:12" ht="15.75" thickBot="1" x14ac:dyDescent="0.3">
      <c r="B405" s="322" t="s">
        <v>0</v>
      </c>
      <c r="C405" s="323" t="s">
        <v>1</v>
      </c>
      <c r="D405" s="324" t="s">
        <v>150</v>
      </c>
      <c r="E405" s="324" t="s">
        <v>561</v>
      </c>
      <c r="F405" s="324" t="s">
        <v>562</v>
      </c>
      <c r="G405" s="324" t="s">
        <v>2</v>
      </c>
      <c r="H405" s="324" t="s">
        <v>431</v>
      </c>
      <c r="I405" s="324" t="s">
        <v>114</v>
      </c>
      <c r="J405" s="325" t="s">
        <v>115</v>
      </c>
    </row>
    <row r="406" spans="2:12" ht="18" x14ac:dyDescent="0.25">
      <c r="B406" s="317" t="s">
        <v>1214</v>
      </c>
      <c r="C406" s="318" t="s">
        <v>1215</v>
      </c>
      <c r="D406" s="318">
        <v>-286933.08</v>
      </c>
      <c r="E406" s="319"/>
      <c r="F406" s="319"/>
      <c r="G406" s="318" t="s">
        <v>1643</v>
      </c>
      <c r="H406" s="320"/>
      <c r="I406" s="320"/>
      <c r="J406" s="318" t="s">
        <v>1216</v>
      </c>
    </row>
    <row r="408" spans="2:12" ht="15.75" thickBot="1" x14ac:dyDescent="0.3">
      <c r="C408" s="321" t="s">
        <v>1664</v>
      </c>
    </row>
    <row r="409" spans="2:12" ht="15.75" thickBot="1" x14ac:dyDescent="0.3">
      <c r="B409" s="322" t="s">
        <v>0</v>
      </c>
      <c r="C409" s="323" t="s">
        <v>1</v>
      </c>
      <c r="D409" s="324" t="s">
        <v>150</v>
      </c>
      <c r="E409" s="324" t="s">
        <v>561</v>
      </c>
      <c r="F409" s="324" t="s">
        <v>562</v>
      </c>
      <c r="G409" s="324" t="s">
        <v>2</v>
      </c>
      <c r="H409" s="324" t="s">
        <v>431</v>
      </c>
      <c r="I409" s="324" t="s">
        <v>114</v>
      </c>
      <c r="J409" s="325" t="s">
        <v>115</v>
      </c>
      <c r="L409" s="311" t="s">
        <v>1665</v>
      </c>
    </row>
    <row r="410" spans="2:12" ht="18" x14ac:dyDescent="0.25">
      <c r="B410" s="317" t="s">
        <v>1666</v>
      </c>
      <c r="C410" s="318" t="s">
        <v>1667</v>
      </c>
      <c r="D410" s="318">
        <v>58032.160000000098</v>
      </c>
      <c r="E410" s="319"/>
      <c r="F410" s="319"/>
      <c r="G410" s="318" t="s">
        <v>1643</v>
      </c>
      <c r="H410" s="320">
        <v>1</v>
      </c>
      <c r="I410" s="320"/>
      <c r="J410" s="318" t="s">
        <v>1668</v>
      </c>
      <c r="L410" s="311">
        <f>(H_OHm+H_H3Op) - 2*H_H2O</f>
        <v>58032.160000000033</v>
      </c>
    </row>
    <row r="411" spans="2:12" ht="18" x14ac:dyDescent="0.25">
      <c r="B411" s="317" t="s">
        <v>1669</v>
      </c>
      <c r="C411" s="318" t="s">
        <v>1670</v>
      </c>
      <c r="D411" s="318">
        <v>5349.0800000000099</v>
      </c>
      <c r="E411" s="319"/>
      <c r="F411" s="319"/>
      <c r="G411" s="318" t="s">
        <v>1643</v>
      </c>
      <c r="H411" s="320">
        <v>1</v>
      </c>
      <c r="I411" s="320"/>
      <c r="J411" s="318" t="s">
        <v>1671</v>
      </c>
      <c r="L411" s="311">
        <f>(H_NH4p + H_OHm) - (H_NH3 + H_H2O)</f>
        <v>5349.0800000000163</v>
      </c>
    </row>
    <row r="412" spans="2:12" ht="18" x14ac:dyDescent="0.25">
      <c r="B412" s="317" t="s">
        <v>1672</v>
      </c>
      <c r="C412" s="318" t="s">
        <v>1673</v>
      </c>
      <c r="D412" s="318">
        <v>14293.080000000031</v>
      </c>
      <c r="E412" s="319"/>
      <c r="F412" s="319"/>
      <c r="G412" s="318" t="s">
        <v>1643</v>
      </c>
      <c r="H412" s="320">
        <v>1</v>
      </c>
      <c r="I412" s="320"/>
      <c r="J412" s="318" t="s">
        <v>1674</v>
      </c>
      <c r="L412" s="311">
        <f>(H_H3Op+H_NO2m)-(H_HNO2+H_H2O)</f>
        <v>14293.080000000016</v>
      </c>
    </row>
    <row r="413" spans="2:12" ht="18" x14ac:dyDescent="0.25">
      <c r="B413" s="317" t="s">
        <v>1675</v>
      </c>
      <c r="C413" s="318" t="s">
        <v>1676</v>
      </c>
      <c r="D413" s="318">
        <v>8753.0800000000672</v>
      </c>
      <c r="E413" s="319"/>
      <c r="F413" s="319"/>
      <c r="G413" s="318" t="s">
        <v>1643</v>
      </c>
      <c r="H413" s="320">
        <v>1</v>
      </c>
      <c r="I413" s="320"/>
      <c r="J413" s="318" t="s">
        <v>1677</v>
      </c>
      <c r="L413" s="311">
        <f>(H_HCO3m + H_H3Op) - (H_H2CO3 + H_H2O)</f>
        <v>8753.0800000000745</v>
      </c>
    </row>
    <row r="414" spans="2:12" ht="18" x14ac:dyDescent="0.25">
      <c r="B414" s="317" t="s">
        <v>1678</v>
      </c>
      <c r="C414" s="318" t="s">
        <v>1679</v>
      </c>
      <c r="D414" s="318">
        <v>15943.080000000009</v>
      </c>
      <c r="E414" s="319"/>
      <c r="F414" s="319"/>
      <c r="G414" s="318" t="s">
        <v>1643</v>
      </c>
      <c r="H414" s="320">
        <v>1</v>
      </c>
      <c r="I414" s="320"/>
      <c r="J414" s="318" t="s">
        <v>1680</v>
      </c>
      <c r="L414" s="311">
        <f>(H_H3Op + H_CO32m) - (H_HCO3m + H_H2O)</f>
        <v>15943.080000000075</v>
      </c>
    </row>
    <row r="415" spans="2:12" ht="18" x14ac:dyDescent="0.25">
      <c r="B415" s="317" t="s">
        <v>1681</v>
      </c>
      <c r="C415" s="318" t="s">
        <v>1682</v>
      </c>
      <c r="D415" s="318">
        <v>2596237.08</v>
      </c>
      <c r="E415" s="319"/>
      <c r="F415" s="319"/>
      <c r="G415" s="318" t="s">
        <v>1643</v>
      </c>
      <c r="H415" s="320">
        <v>1</v>
      </c>
      <c r="I415" s="320"/>
      <c r="J415" s="318" t="s">
        <v>1683</v>
      </c>
      <c r="L415" s="311">
        <f>(H_H3Op + H_H2PO4m) - (H_H3PO4 + H_H2O)</f>
        <v>2596237.08</v>
      </c>
    </row>
    <row r="416" spans="2:12" ht="18" x14ac:dyDescent="0.25">
      <c r="B416" s="317" t="s">
        <v>1684</v>
      </c>
      <c r="C416" s="318" t="s">
        <v>1685</v>
      </c>
      <c r="D416" s="318">
        <v>-2586906.92</v>
      </c>
      <c r="E416" s="319"/>
      <c r="F416" s="319"/>
      <c r="G416" s="318" t="s">
        <v>1643</v>
      </c>
      <c r="H416" s="320">
        <v>1</v>
      </c>
      <c r="I416" s="320"/>
      <c r="J416" s="318" t="s">
        <v>1686</v>
      </c>
      <c r="L416" s="311">
        <f>(H_H3Op + H_HPO42m) - (H_H2PO4m + H_H2O)</f>
        <v>-2586906.92</v>
      </c>
    </row>
    <row r="417" spans="2:12" ht="18" x14ac:dyDescent="0.25">
      <c r="B417" s="317" t="s">
        <v>1687</v>
      </c>
      <c r="C417" s="318" t="s">
        <v>1688</v>
      </c>
      <c r="D417" s="318">
        <v>15693.080000000009</v>
      </c>
      <c r="E417" s="319"/>
      <c r="F417" s="319"/>
      <c r="G417" s="318" t="s">
        <v>1643</v>
      </c>
      <c r="H417" s="320">
        <v>1</v>
      </c>
      <c r="I417" s="320"/>
      <c r="J417" s="318" t="s">
        <v>1689</v>
      </c>
      <c r="L417" s="311">
        <f>(H_H3Op + H_PO43m) - (H_HPO42m + H_H2O)</f>
        <v>15693.080000000075</v>
      </c>
    </row>
    <row r="418" spans="2:12" ht="18" x14ac:dyDescent="0.25">
      <c r="B418" s="317" t="s">
        <v>1690</v>
      </c>
      <c r="C418" s="318" t="s">
        <v>1691</v>
      </c>
      <c r="D418" s="318">
        <v>675.07999999997992</v>
      </c>
      <c r="E418" s="319"/>
      <c r="F418" s="319"/>
      <c r="G418" s="318" t="s">
        <v>1643</v>
      </c>
      <c r="H418" s="320">
        <v>1</v>
      </c>
      <c r="I418" s="320"/>
      <c r="J418" s="318" t="s">
        <v>1692</v>
      </c>
      <c r="L418" s="311">
        <f>(H_H3Op + H_Acm) - (H_HAc + H_H2O)</f>
        <v>675.08000000007451</v>
      </c>
    </row>
    <row r="419" spans="2:12" ht="18" x14ac:dyDescent="0.25">
      <c r="B419" s="317" t="s">
        <v>1693</v>
      </c>
      <c r="C419" s="318" t="s">
        <v>1694</v>
      </c>
      <c r="D419" s="318">
        <v>23093.080000000042</v>
      </c>
      <c r="E419" s="319"/>
      <c r="F419" s="319"/>
      <c r="G419" s="318" t="s">
        <v>1643</v>
      </c>
      <c r="H419" s="320">
        <v>1</v>
      </c>
      <c r="I419" s="320"/>
      <c r="J419" s="318" t="s">
        <v>1695</v>
      </c>
      <c r="L419" s="311">
        <f>(H_HSm+H_H3Op)-(H_H2S+H_H2O)</f>
        <v>23093.080000000016</v>
      </c>
    </row>
    <row r="420" spans="2:12" ht="18" x14ac:dyDescent="0.25">
      <c r="B420" s="317" t="s">
        <v>1696</v>
      </c>
      <c r="C420" s="318" t="s">
        <v>1697</v>
      </c>
      <c r="D420" s="318">
        <v>51093.080000000045</v>
      </c>
      <c r="E420" s="319"/>
      <c r="F420" s="319"/>
      <c r="G420" s="318" t="s">
        <v>1643</v>
      </c>
      <c r="H420" s="320">
        <v>1</v>
      </c>
      <c r="I420" s="320"/>
      <c r="J420" s="318" t="s">
        <v>1698</v>
      </c>
      <c r="L420" s="311">
        <f>(H_H3Op+H_S2m)-(H_HSm+H_H2O)</f>
        <v>51093.080000000016</v>
      </c>
    </row>
    <row r="421" spans="2:12" ht="18" x14ac:dyDescent="0.25">
      <c r="B421" s="317" t="s">
        <v>1699</v>
      </c>
      <c r="C421" s="318" t="s">
        <v>1700</v>
      </c>
      <c r="D421" s="318">
        <v>23093.0800000001</v>
      </c>
      <c r="E421" s="319"/>
      <c r="F421" s="319"/>
      <c r="G421" s="318" t="s">
        <v>1643</v>
      </c>
      <c r="H421" s="320">
        <v>1</v>
      </c>
      <c r="I421" s="320"/>
      <c r="J421" s="318" t="s">
        <v>1701</v>
      </c>
      <c r="L421" s="311">
        <f>(H_HSO4m+H_H3Op)-(H_H2SO4+H_H2O)</f>
        <v>23093.080000000075</v>
      </c>
    </row>
    <row r="422" spans="2:12" ht="18" x14ac:dyDescent="0.25">
      <c r="B422" s="317" t="s">
        <v>1702</v>
      </c>
      <c r="C422" s="318" t="s">
        <v>1703</v>
      </c>
      <c r="D422" s="318">
        <v>-20906.9199999999</v>
      </c>
      <c r="E422" s="319"/>
      <c r="F422" s="319"/>
      <c r="G422" s="318" t="s">
        <v>1643</v>
      </c>
      <c r="H422" s="320">
        <v>1</v>
      </c>
      <c r="I422" s="320"/>
      <c r="J422" s="318" t="s">
        <v>1704</v>
      </c>
      <c r="L422" s="311">
        <f>(H_H3Op+H_SO42m)-(H_HSO4m+H_H2O)</f>
        <v>-20906.919999999925</v>
      </c>
    </row>
    <row r="423" spans="2:12" ht="18" x14ac:dyDescent="0.25">
      <c r="B423" s="317" t="s">
        <v>1705</v>
      </c>
      <c r="C423" s="318" t="s">
        <v>1706</v>
      </c>
      <c r="D423" s="318">
        <v>64110</v>
      </c>
      <c r="E423" s="319"/>
      <c r="F423" s="319"/>
      <c r="G423" s="318" t="s">
        <v>1643</v>
      </c>
      <c r="H423" s="320">
        <v>1</v>
      </c>
      <c r="I423" s="320"/>
      <c r="J423" s="318"/>
    </row>
    <row r="424" spans="2:12" ht="18" x14ac:dyDescent="0.25">
      <c r="B424" s="317" t="s">
        <v>1707</v>
      </c>
      <c r="C424" s="318" t="s">
        <v>1708</v>
      </c>
      <c r="D424" s="318">
        <v>16000</v>
      </c>
      <c r="E424" s="319"/>
      <c r="F424" s="319"/>
      <c r="G424" s="318" t="s">
        <v>1643</v>
      </c>
      <c r="H424" s="320">
        <v>1</v>
      </c>
      <c r="I424" s="320"/>
      <c r="J424" s="318"/>
    </row>
    <row r="425" spans="2:12" ht="18" x14ac:dyDescent="0.25">
      <c r="B425" s="317" t="s">
        <v>1709</v>
      </c>
      <c r="C425" s="318" t="s">
        <v>1710</v>
      </c>
      <c r="D425" s="318">
        <v>5400</v>
      </c>
      <c r="E425" s="319"/>
      <c r="F425" s="319"/>
      <c r="G425" s="318" t="s">
        <v>1643</v>
      </c>
      <c r="H425" s="320">
        <v>1</v>
      </c>
      <c r="I425" s="320"/>
      <c r="J425" s="318"/>
    </row>
    <row r="426" spans="2:12" ht="18" x14ac:dyDescent="0.25">
      <c r="B426" s="317" t="s">
        <v>1711</v>
      </c>
      <c r="C426" s="318" t="s">
        <v>1712</v>
      </c>
      <c r="D426" s="318">
        <v>12970.4</v>
      </c>
      <c r="E426" s="319"/>
      <c r="F426" s="319"/>
      <c r="G426" s="318" t="s">
        <v>1643</v>
      </c>
      <c r="H426" s="320">
        <v>1</v>
      </c>
      <c r="I426" s="320"/>
      <c r="J426" s="318"/>
    </row>
    <row r="427" spans="2:12" ht="18" x14ac:dyDescent="0.25">
      <c r="B427" s="317" t="s">
        <v>1713</v>
      </c>
      <c r="C427" s="318" t="s">
        <v>1714</v>
      </c>
      <c r="D427" s="318">
        <v>-3000</v>
      </c>
      <c r="E427" s="319"/>
      <c r="F427" s="319"/>
      <c r="G427" s="318" t="s">
        <v>1643</v>
      </c>
      <c r="H427" s="320">
        <v>1</v>
      </c>
      <c r="I427" s="320"/>
      <c r="J427" s="318"/>
    </row>
    <row r="428" spans="2:12" ht="18" x14ac:dyDescent="0.25">
      <c r="B428" s="317" t="s">
        <v>1715</v>
      </c>
      <c r="C428" s="318" t="s">
        <v>1716</v>
      </c>
      <c r="D428" s="318">
        <v>-6000</v>
      </c>
      <c r="E428" s="319"/>
      <c r="F428" s="319"/>
      <c r="G428" s="318" t="s">
        <v>1643</v>
      </c>
      <c r="H428" s="320">
        <v>1</v>
      </c>
      <c r="I428" s="320"/>
      <c r="J428" s="318"/>
    </row>
    <row r="429" spans="2:12" ht="18" x14ac:dyDescent="0.25">
      <c r="B429" s="317" t="s">
        <v>1717</v>
      </c>
      <c r="C429" s="318" t="s">
        <v>1718</v>
      </c>
      <c r="D429" s="318">
        <v>67810</v>
      </c>
      <c r="E429" s="319"/>
      <c r="F429" s="319"/>
      <c r="G429" s="318" t="s">
        <v>1643</v>
      </c>
      <c r="H429" s="320">
        <v>1</v>
      </c>
      <c r="I429" s="320"/>
      <c r="J429" s="318"/>
    </row>
    <row r="430" spans="2:12" ht="18" x14ac:dyDescent="0.25">
      <c r="B430" s="317" t="s">
        <v>1719</v>
      </c>
      <c r="C430" s="318" t="s">
        <v>1720</v>
      </c>
      <c r="D430" s="318">
        <v>12000</v>
      </c>
      <c r="E430" s="319"/>
      <c r="F430" s="319"/>
      <c r="G430" s="318" t="s">
        <v>1643</v>
      </c>
      <c r="H430" s="320">
        <v>1</v>
      </c>
      <c r="I430" s="320"/>
      <c r="J430" s="318"/>
    </row>
    <row r="431" spans="2:12" ht="18" x14ac:dyDescent="0.25">
      <c r="B431" s="317" t="s">
        <v>1721</v>
      </c>
      <c r="C431" s="318" t="s">
        <v>1722</v>
      </c>
      <c r="D431" s="318">
        <v>-10600</v>
      </c>
      <c r="E431" s="319"/>
      <c r="F431" s="319"/>
      <c r="G431" s="318" t="s">
        <v>1643</v>
      </c>
      <c r="H431" s="320">
        <v>1</v>
      </c>
      <c r="I431" s="320"/>
      <c r="J431" s="318"/>
    </row>
    <row r="432" spans="2:12" ht="18" x14ac:dyDescent="0.25">
      <c r="B432" s="317" t="s">
        <v>1723</v>
      </c>
      <c r="C432" s="318" t="s">
        <v>1724</v>
      </c>
      <c r="D432" s="318">
        <v>-3000</v>
      </c>
      <c r="E432" s="319"/>
      <c r="F432" s="319"/>
      <c r="G432" s="318" t="s">
        <v>1643</v>
      </c>
      <c r="H432" s="320">
        <v>1</v>
      </c>
      <c r="I432" s="320"/>
      <c r="J432" s="318"/>
    </row>
    <row r="433" spans="2:12" ht="18" x14ac:dyDescent="0.25">
      <c r="B433" s="317" t="s">
        <v>1725</v>
      </c>
      <c r="C433" s="318" t="s">
        <v>1726</v>
      </c>
      <c r="D433" s="318">
        <v>12970.4</v>
      </c>
      <c r="E433" s="319"/>
      <c r="F433" s="319"/>
      <c r="G433" s="318" t="s">
        <v>1643</v>
      </c>
      <c r="H433" s="320">
        <v>1</v>
      </c>
      <c r="I433" s="320"/>
      <c r="J433" s="318"/>
    </row>
    <row r="434" spans="2:12" ht="18" x14ac:dyDescent="0.25">
      <c r="B434" s="317" t="s">
        <v>1727</v>
      </c>
      <c r="C434" s="318" t="s">
        <v>1728</v>
      </c>
      <c r="D434" s="318">
        <v>21256.1</v>
      </c>
      <c r="E434" s="319"/>
      <c r="F434" s="319"/>
      <c r="G434" s="318" t="s">
        <v>1643</v>
      </c>
      <c r="H434" s="320">
        <v>1</v>
      </c>
      <c r="I434" s="320"/>
      <c r="J434" s="318"/>
    </row>
    <row r="435" spans="2:12" ht="18" x14ac:dyDescent="0.25">
      <c r="B435" s="317" t="s">
        <v>1729</v>
      </c>
      <c r="C435" s="318" t="s">
        <v>1730</v>
      </c>
      <c r="D435" s="318">
        <v>0</v>
      </c>
      <c r="E435" s="319"/>
      <c r="F435" s="319"/>
      <c r="G435" s="318" t="s">
        <v>1643</v>
      </c>
      <c r="H435" s="320">
        <v>1</v>
      </c>
      <c r="I435" s="320"/>
      <c r="J435" s="318"/>
    </row>
    <row r="437" spans="2:12" ht="15.75" thickBot="1" x14ac:dyDescent="0.3">
      <c r="C437" s="321" t="s">
        <v>1731</v>
      </c>
    </row>
    <row r="438" spans="2:12" ht="15.75" thickBot="1" x14ac:dyDescent="0.3">
      <c r="B438" s="322" t="s">
        <v>0</v>
      </c>
      <c r="C438" s="323" t="s">
        <v>1</v>
      </c>
      <c r="D438" s="324" t="s">
        <v>150</v>
      </c>
      <c r="E438" s="324" t="s">
        <v>561</v>
      </c>
      <c r="F438" s="324" t="s">
        <v>562</v>
      </c>
      <c r="G438" s="324" t="s">
        <v>2</v>
      </c>
      <c r="H438" s="324" t="s">
        <v>431</v>
      </c>
      <c r="I438" s="324" t="s">
        <v>114</v>
      </c>
      <c r="J438" s="325" t="s">
        <v>115</v>
      </c>
      <c r="L438" s="311" t="s">
        <v>1665</v>
      </c>
    </row>
    <row r="439" spans="2:12" ht="18" x14ac:dyDescent="0.25">
      <c r="B439" s="317" t="s">
        <v>1732</v>
      </c>
      <c r="C439" s="318" t="s">
        <v>1733</v>
      </c>
      <c r="D439" s="318">
        <v>2.5000000000000001E-5</v>
      </c>
      <c r="E439" s="319" t="s">
        <v>1321</v>
      </c>
      <c r="F439" s="319" t="s">
        <v>1322</v>
      </c>
      <c r="G439" s="318" t="s">
        <v>1734</v>
      </c>
      <c r="H439" s="320">
        <v>2</v>
      </c>
      <c r="I439" s="320"/>
      <c r="J439" s="318" t="s">
        <v>1735</v>
      </c>
    </row>
    <row r="440" spans="2:12" ht="18" x14ac:dyDescent="0.25">
      <c r="B440" s="317" t="s">
        <v>1736</v>
      </c>
      <c r="C440" s="318" t="s">
        <v>1733</v>
      </c>
      <c r="D440" s="318">
        <v>2.5000000000000001E-5</v>
      </c>
      <c r="E440" s="319" t="s">
        <v>1321</v>
      </c>
      <c r="F440" s="319" t="s">
        <v>1322</v>
      </c>
      <c r="G440" s="318" t="s">
        <v>1734</v>
      </c>
      <c r="H440" s="320">
        <v>2</v>
      </c>
      <c r="I440" s="320"/>
      <c r="J440" s="318" t="s">
        <v>1735</v>
      </c>
    </row>
    <row r="441" spans="2:12" ht="18" x14ac:dyDescent="0.25">
      <c r="B441" s="317" t="s">
        <v>1737</v>
      </c>
      <c r="C441" s="318" t="s">
        <v>1733</v>
      </c>
      <c r="D441" s="318">
        <v>2.5000000000000001E-5</v>
      </c>
      <c r="E441" s="319" t="s">
        <v>1321</v>
      </c>
      <c r="F441" s="319" t="s">
        <v>1322</v>
      </c>
      <c r="G441" s="318" t="s">
        <v>1734</v>
      </c>
      <c r="H441" s="320">
        <v>2</v>
      </c>
      <c r="I441" s="320"/>
      <c r="J441" s="318" t="s">
        <v>1735</v>
      </c>
    </row>
    <row r="442" spans="2:12" ht="18" x14ac:dyDescent="0.25">
      <c r="B442" s="317" t="s">
        <v>1738</v>
      </c>
      <c r="C442" s="318" t="s">
        <v>1739</v>
      </c>
      <c r="D442" s="318">
        <v>1.24E-5</v>
      </c>
      <c r="E442" s="319" t="s">
        <v>1321</v>
      </c>
      <c r="F442" s="319" t="s">
        <v>1322</v>
      </c>
      <c r="G442" s="318" t="s">
        <v>1734</v>
      </c>
      <c r="H442" s="320">
        <v>2</v>
      </c>
      <c r="I442" s="320"/>
      <c r="J442" s="318" t="s">
        <v>1735</v>
      </c>
    </row>
    <row r="443" spans="2:12" ht="18" x14ac:dyDescent="0.25">
      <c r="B443" s="317" t="s">
        <v>1740</v>
      </c>
      <c r="C443" s="318" t="s">
        <v>1741</v>
      </c>
      <c r="D443" s="318">
        <v>1.24E-5</v>
      </c>
      <c r="E443" s="319" t="s">
        <v>1321</v>
      </c>
      <c r="F443" s="319" t="s">
        <v>1322</v>
      </c>
      <c r="G443" s="318" t="s">
        <v>1734</v>
      </c>
      <c r="H443" s="320">
        <v>2</v>
      </c>
      <c r="I443" s="320"/>
      <c r="J443" s="318" t="s">
        <v>1735</v>
      </c>
    </row>
    <row r="444" spans="2:12" ht="18" x14ac:dyDescent="0.25">
      <c r="B444" s="317" t="s">
        <v>1742</v>
      </c>
      <c r="C444" s="318" t="s">
        <v>1743</v>
      </c>
      <c r="D444" s="318">
        <v>1.24E-5</v>
      </c>
      <c r="E444" s="319" t="s">
        <v>1321</v>
      </c>
      <c r="F444" s="319" t="s">
        <v>1322</v>
      </c>
      <c r="G444" s="318" t="s">
        <v>1734</v>
      </c>
      <c r="H444" s="320">
        <v>2</v>
      </c>
      <c r="I444" s="320"/>
      <c r="J444" s="318" t="s">
        <v>1735</v>
      </c>
    </row>
    <row r="445" spans="2:12" ht="18" x14ac:dyDescent="0.25">
      <c r="B445" s="317" t="s">
        <v>1744</v>
      </c>
      <c r="C445" s="318" t="s">
        <v>1739</v>
      </c>
      <c r="D445" s="318">
        <v>1.24E-5</v>
      </c>
      <c r="E445" s="319" t="s">
        <v>1321</v>
      </c>
      <c r="F445" s="319" t="s">
        <v>1322</v>
      </c>
      <c r="G445" s="318" t="s">
        <v>1734</v>
      </c>
      <c r="H445" s="320">
        <v>2</v>
      </c>
      <c r="I445" s="320"/>
      <c r="J445" s="318" t="s">
        <v>1735</v>
      </c>
    </row>
    <row r="446" spans="2:12" ht="18" x14ac:dyDescent="0.25">
      <c r="B446" s="317" t="s">
        <v>1745</v>
      </c>
      <c r="C446" s="318" t="s">
        <v>1746</v>
      </c>
      <c r="D446" s="318">
        <v>1.24E-5</v>
      </c>
      <c r="E446" s="319" t="s">
        <v>1321</v>
      </c>
      <c r="F446" s="319" t="s">
        <v>1322</v>
      </c>
      <c r="G446" s="318" t="s">
        <v>1734</v>
      </c>
      <c r="H446" s="320">
        <v>2</v>
      </c>
      <c r="I446" s="320"/>
      <c r="J446" s="318" t="s">
        <v>1735</v>
      </c>
    </row>
    <row r="447" spans="2:12" ht="18" x14ac:dyDescent="0.25">
      <c r="B447" s="317" t="s">
        <v>1747</v>
      </c>
      <c r="C447" s="318" t="s">
        <v>1746</v>
      </c>
      <c r="D447" s="318">
        <v>1.24E-5</v>
      </c>
      <c r="E447" s="319" t="s">
        <v>1321</v>
      </c>
      <c r="F447" s="319" t="s">
        <v>1322</v>
      </c>
      <c r="G447" s="318" t="s">
        <v>1734</v>
      </c>
      <c r="H447" s="320">
        <v>2</v>
      </c>
      <c r="I447" s="320"/>
      <c r="J447" s="318" t="s">
        <v>1735</v>
      </c>
    </row>
    <row r="448" spans="2:12" ht="18" x14ac:dyDescent="0.25">
      <c r="B448" s="317" t="s">
        <v>1748</v>
      </c>
      <c r="C448" s="318" t="s">
        <v>1749</v>
      </c>
      <c r="D448" s="318">
        <v>1.24E-5</v>
      </c>
      <c r="E448" s="319" t="s">
        <v>1321</v>
      </c>
      <c r="F448" s="319" t="s">
        <v>1322</v>
      </c>
      <c r="G448" s="318" t="s">
        <v>1734</v>
      </c>
      <c r="H448" s="320">
        <v>2</v>
      </c>
      <c r="I448" s="320"/>
      <c r="J448" s="318" t="s">
        <v>1735</v>
      </c>
    </row>
    <row r="449" spans="2:10" ht="18" x14ac:dyDescent="0.25">
      <c r="B449" s="317" t="s">
        <v>1750</v>
      </c>
      <c r="C449" s="318" t="s">
        <v>1751</v>
      </c>
      <c r="D449" s="318">
        <v>1.0000000000000001E-5</v>
      </c>
      <c r="E449" s="319" t="s">
        <v>1321</v>
      </c>
      <c r="F449" s="319" t="s">
        <v>1322</v>
      </c>
      <c r="G449" s="318" t="s">
        <v>1734</v>
      </c>
      <c r="H449" s="320">
        <v>2</v>
      </c>
      <c r="I449" s="320"/>
      <c r="J449" s="318"/>
    </row>
    <row r="450" spans="2:10" ht="18" x14ac:dyDescent="0.25">
      <c r="B450" s="317" t="s">
        <v>1752</v>
      </c>
      <c r="C450" s="318" t="s">
        <v>1751</v>
      </c>
      <c r="D450" s="318">
        <v>1.0000000000000001E-5</v>
      </c>
      <c r="E450" s="319" t="s">
        <v>1321</v>
      </c>
      <c r="F450" s="319" t="s">
        <v>1322</v>
      </c>
      <c r="G450" s="318" t="s">
        <v>1734</v>
      </c>
      <c r="H450" s="320">
        <v>2</v>
      </c>
      <c r="I450" s="320"/>
      <c r="J450" s="318"/>
    </row>
    <row r="451" spans="2:10" ht="18" x14ac:dyDescent="0.25">
      <c r="B451" s="317" t="s">
        <v>1753</v>
      </c>
      <c r="C451" s="318" t="s">
        <v>1754</v>
      </c>
      <c r="D451" s="318">
        <v>2.5000000000000002E-6</v>
      </c>
      <c r="E451" s="319" t="s">
        <v>1321</v>
      </c>
      <c r="F451" s="319" t="s">
        <v>1322</v>
      </c>
      <c r="G451" s="318" t="s">
        <v>1734</v>
      </c>
      <c r="H451" s="320">
        <v>2</v>
      </c>
      <c r="I451" s="320"/>
      <c r="J451" s="318" t="s">
        <v>1735</v>
      </c>
    </row>
    <row r="452" spans="2:10" ht="18" x14ac:dyDescent="0.25">
      <c r="B452" s="317" t="s">
        <v>1755</v>
      </c>
      <c r="C452" s="318" t="s">
        <v>1756</v>
      </c>
      <c r="D452" s="318">
        <v>2.5000000000000002E-6</v>
      </c>
      <c r="E452" s="319" t="s">
        <v>1321</v>
      </c>
      <c r="F452" s="319" t="s">
        <v>1322</v>
      </c>
      <c r="G452" s="318" t="s">
        <v>1734</v>
      </c>
      <c r="H452" s="320">
        <v>2</v>
      </c>
      <c r="I452" s="320"/>
      <c r="J452" s="318" t="s">
        <v>1735</v>
      </c>
    </row>
    <row r="453" spans="2:10" ht="18" x14ac:dyDescent="0.25">
      <c r="B453" s="317" t="s">
        <v>1757</v>
      </c>
      <c r="C453" s="318" t="s">
        <v>1758</v>
      </c>
      <c r="D453" s="318">
        <v>2.0000000000000002E-5</v>
      </c>
      <c r="E453" s="319" t="s">
        <v>1321</v>
      </c>
      <c r="F453" s="319" t="s">
        <v>1322</v>
      </c>
      <c r="G453" s="318" t="s">
        <v>1734</v>
      </c>
      <c r="H453" s="320">
        <v>2</v>
      </c>
      <c r="I453" s="320"/>
      <c r="J453" s="318" t="s">
        <v>1759</v>
      </c>
    </row>
    <row r="454" spans="2:10" ht="18" x14ac:dyDescent="0.25">
      <c r="B454" s="317" t="s">
        <v>1760</v>
      </c>
      <c r="C454" s="318" t="s">
        <v>1758</v>
      </c>
      <c r="D454" s="318">
        <v>2.0000000000000002E-5</v>
      </c>
      <c r="E454" s="319" t="s">
        <v>1321</v>
      </c>
      <c r="F454" s="319" t="s">
        <v>1322</v>
      </c>
      <c r="G454" s="318" t="s">
        <v>1734</v>
      </c>
      <c r="H454" s="320">
        <v>2</v>
      </c>
      <c r="I454" s="320"/>
      <c r="J454" s="318" t="s">
        <v>1759</v>
      </c>
    </row>
    <row r="455" spans="2:10" ht="18" x14ac:dyDescent="0.25">
      <c r="B455" s="317" t="s">
        <v>1761</v>
      </c>
      <c r="C455" s="318" t="s">
        <v>1758</v>
      </c>
      <c r="D455" s="318">
        <v>2.0000000000000002E-5</v>
      </c>
      <c r="E455" s="319" t="s">
        <v>1321</v>
      </c>
      <c r="F455" s="319" t="s">
        <v>1322</v>
      </c>
      <c r="G455" s="318" t="s">
        <v>1734</v>
      </c>
      <c r="H455" s="320">
        <v>2</v>
      </c>
      <c r="I455" s="320"/>
      <c r="J455" s="318" t="s">
        <v>1759</v>
      </c>
    </row>
    <row r="456" spans="2:10" ht="18" x14ac:dyDescent="0.25">
      <c r="B456" s="317" t="s">
        <v>1762</v>
      </c>
      <c r="C456" s="318" t="s">
        <v>1763</v>
      </c>
      <c r="D456" s="318">
        <v>2.0000000000000002E-5</v>
      </c>
      <c r="E456" s="319" t="s">
        <v>1321</v>
      </c>
      <c r="F456" s="319" t="s">
        <v>1600</v>
      </c>
      <c r="G456" s="318" t="s">
        <v>1734</v>
      </c>
      <c r="H456" s="320">
        <v>2</v>
      </c>
      <c r="I456" s="320"/>
      <c r="J456" s="318" t="s">
        <v>1764</v>
      </c>
    </row>
    <row r="457" spans="2:10" ht="18" x14ac:dyDescent="0.25">
      <c r="B457" s="317" t="s">
        <v>1765</v>
      </c>
      <c r="C457" s="318" t="s">
        <v>1766</v>
      </c>
      <c r="D457" s="318">
        <v>1.0000000000000001E-5</v>
      </c>
      <c r="E457" s="319" t="s">
        <v>1321</v>
      </c>
      <c r="F457" s="319" t="s">
        <v>1600</v>
      </c>
      <c r="G457" s="318" t="s">
        <v>1734</v>
      </c>
      <c r="H457" s="320">
        <v>2</v>
      </c>
      <c r="I457" s="320"/>
      <c r="J457" s="318" t="s">
        <v>1735</v>
      </c>
    </row>
    <row r="458" spans="2:10" ht="18" x14ac:dyDescent="0.25">
      <c r="B458" s="317" t="s">
        <v>1767</v>
      </c>
      <c r="C458" s="318" t="s">
        <v>1768</v>
      </c>
      <c r="D458" s="318">
        <v>1.24E-5</v>
      </c>
      <c r="E458" s="319" t="s">
        <v>1321</v>
      </c>
      <c r="F458" s="319" t="s">
        <v>1600</v>
      </c>
      <c r="G458" s="318" t="s">
        <v>1734</v>
      </c>
      <c r="H458" s="320">
        <v>2</v>
      </c>
      <c r="I458" s="320"/>
      <c r="J458" s="318" t="s">
        <v>1735</v>
      </c>
    </row>
    <row r="459" spans="2:10" ht="18" x14ac:dyDescent="0.25">
      <c r="B459" s="317" t="s">
        <v>1769</v>
      </c>
      <c r="C459" s="318" t="s">
        <v>1770</v>
      </c>
      <c r="D459" s="318">
        <v>1.9000000000000001E-5</v>
      </c>
      <c r="E459" s="319" t="s">
        <v>1321</v>
      </c>
      <c r="F459" s="319" t="s">
        <v>1600</v>
      </c>
      <c r="G459" s="318" t="s">
        <v>1734</v>
      </c>
      <c r="H459" s="320">
        <v>2</v>
      </c>
      <c r="I459" s="320"/>
      <c r="J459" s="318" t="s">
        <v>1771</v>
      </c>
    </row>
    <row r="460" spans="2:10" ht="18" x14ac:dyDescent="0.25">
      <c r="B460" s="317" t="s">
        <v>1772</v>
      </c>
      <c r="C460" s="318" t="s">
        <v>1773</v>
      </c>
      <c r="D460" s="318">
        <v>1.24E-5</v>
      </c>
      <c r="E460" s="319" t="s">
        <v>1321</v>
      </c>
      <c r="F460" s="319" t="s">
        <v>1600</v>
      </c>
      <c r="G460" s="318" t="s">
        <v>1734</v>
      </c>
      <c r="H460" s="320">
        <v>2</v>
      </c>
      <c r="I460" s="320"/>
      <c r="J460" s="318" t="s">
        <v>1774</v>
      </c>
    </row>
    <row r="461" spans="2:10" ht="18" x14ac:dyDescent="0.25">
      <c r="B461" s="317" t="s">
        <v>1775</v>
      </c>
      <c r="C461" s="318" t="s">
        <v>1776</v>
      </c>
      <c r="D461" s="318">
        <v>1.24E-5</v>
      </c>
      <c r="E461" s="319" t="s">
        <v>1321</v>
      </c>
      <c r="F461" s="319" t="s">
        <v>1600</v>
      </c>
      <c r="G461" s="318" t="s">
        <v>1734</v>
      </c>
      <c r="H461" s="320">
        <v>2</v>
      </c>
      <c r="I461" s="320"/>
      <c r="J461" s="318" t="s">
        <v>1774</v>
      </c>
    </row>
    <row r="462" spans="2:10" ht="18" x14ac:dyDescent="0.25">
      <c r="B462" s="317" t="s">
        <v>1777</v>
      </c>
      <c r="C462" s="318" t="s">
        <v>1751</v>
      </c>
      <c r="D462" s="318">
        <v>1.0000000000000001E-5</v>
      </c>
      <c r="E462" s="319" t="s">
        <v>1321</v>
      </c>
      <c r="F462" s="319" t="s">
        <v>1600</v>
      </c>
      <c r="G462" s="318" t="s">
        <v>1734</v>
      </c>
      <c r="H462" s="320">
        <v>2</v>
      </c>
      <c r="I462" s="320"/>
      <c r="J462" s="318" t="s">
        <v>1735</v>
      </c>
    </row>
    <row r="463" spans="2:10" ht="18" x14ac:dyDescent="0.25">
      <c r="B463" s="317" t="s">
        <v>1778</v>
      </c>
      <c r="C463" s="318" t="s">
        <v>1766</v>
      </c>
      <c r="D463" s="318">
        <v>1.0000000000000001E-5</v>
      </c>
      <c r="E463" s="319" t="s">
        <v>1321</v>
      </c>
      <c r="F463" s="319" t="s">
        <v>1322</v>
      </c>
      <c r="G463" s="318" t="s">
        <v>1734</v>
      </c>
      <c r="H463" s="320">
        <v>2</v>
      </c>
      <c r="I463" s="320"/>
      <c r="J463" s="318"/>
    </row>
    <row r="464" spans="2:10" ht="18" x14ac:dyDescent="0.25">
      <c r="B464" s="317" t="s">
        <v>1779</v>
      </c>
      <c r="C464" s="318" t="s">
        <v>1766</v>
      </c>
      <c r="D464" s="318">
        <v>1.0000000000000001E-5</v>
      </c>
      <c r="E464" s="319" t="s">
        <v>1321</v>
      </c>
      <c r="F464" s="319" t="s">
        <v>1322</v>
      </c>
      <c r="G464" s="318" t="s">
        <v>1734</v>
      </c>
      <c r="H464" s="320">
        <v>2</v>
      </c>
      <c r="I464" s="320"/>
      <c r="J464" s="318"/>
    </row>
    <row r="465" spans="2:10" ht="18" x14ac:dyDescent="0.25">
      <c r="B465" s="317" t="s">
        <v>1780</v>
      </c>
      <c r="C465" s="318" t="s">
        <v>1781</v>
      </c>
      <c r="D465" s="318">
        <v>1.0000000000000001E-5</v>
      </c>
      <c r="E465" s="319" t="s">
        <v>1321</v>
      </c>
      <c r="F465" s="319" t="s">
        <v>1600</v>
      </c>
      <c r="G465" s="318" t="s">
        <v>1734</v>
      </c>
      <c r="H465" s="320">
        <v>2</v>
      </c>
      <c r="I465" s="320"/>
      <c r="J465" s="318"/>
    </row>
    <row r="466" spans="2:10" ht="18" x14ac:dyDescent="0.25">
      <c r="B466" s="317" t="s">
        <v>1782</v>
      </c>
      <c r="C466" s="318" t="s">
        <v>1783</v>
      </c>
      <c r="D466" s="318">
        <v>1.0000000000000001E-5</v>
      </c>
      <c r="E466" s="319" t="s">
        <v>1321</v>
      </c>
      <c r="F466" s="319" t="s">
        <v>1600</v>
      </c>
      <c r="G466" s="318" t="s">
        <v>1734</v>
      </c>
      <c r="H466" s="320">
        <v>2</v>
      </c>
      <c r="I466" s="320"/>
      <c r="J466" s="318"/>
    </row>
    <row r="467" spans="2:10" ht="18" x14ac:dyDescent="0.25">
      <c r="B467" s="317" t="s">
        <v>1784</v>
      </c>
      <c r="C467" s="318" t="s">
        <v>1785</v>
      </c>
      <c r="D467" s="318">
        <v>1.24E-5</v>
      </c>
      <c r="E467" s="319" t="s">
        <v>1321</v>
      </c>
      <c r="F467" s="319" t="s">
        <v>1322</v>
      </c>
      <c r="G467" s="318" t="s">
        <v>1734</v>
      </c>
      <c r="H467" s="320">
        <v>2</v>
      </c>
      <c r="I467" s="320"/>
      <c r="J467" s="318" t="s">
        <v>1774</v>
      </c>
    </row>
    <row r="468" spans="2:10" ht="18" x14ac:dyDescent="0.25">
      <c r="B468" s="317" t="s">
        <v>1786</v>
      </c>
      <c r="C468" s="318" t="s">
        <v>1785</v>
      </c>
      <c r="D468" s="318">
        <v>1.24E-5</v>
      </c>
      <c r="E468" s="319" t="s">
        <v>1321</v>
      </c>
      <c r="F468" s="319" t="s">
        <v>1322</v>
      </c>
      <c r="G468" s="318" t="s">
        <v>1734</v>
      </c>
      <c r="H468" s="320">
        <v>2</v>
      </c>
      <c r="I468" s="320"/>
      <c r="J468" s="318" t="s">
        <v>1774</v>
      </c>
    </row>
    <row r="469" spans="2:10" ht="18" x14ac:dyDescent="0.25">
      <c r="B469" s="317" t="s">
        <v>1787</v>
      </c>
      <c r="C469" s="318" t="s">
        <v>1768</v>
      </c>
      <c r="D469" s="318">
        <v>1.24E-5</v>
      </c>
      <c r="E469" s="319" t="s">
        <v>1321</v>
      </c>
      <c r="F469" s="319" t="s">
        <v>1322</v>
      </c>
      <c r="G469" s="318" t="s">
        <v>1734</v>
      </c>
      <c r="H469" s="320">
        <v>2</v>
      </c>
      <c r="I469" s="320"/>
      <c r="J469" s="318" t="s">
        <v>1735</v>
      </c>
    </row>
    <row r="470" spans="2:10" ht="18" x14ac:dyDescent="0.25">
      <c r="B470" s="317" t="s">
        <v>1788</v>
      </c>
      <c r="C470" s="318" t="s">
        <v>1768</v>
      </c>
      <c r="D470" s="318">
        <v>1.24E-5</v>
      </c>
      <c r="E470" s="319" t="s">
        <v>1321</v>
      </c>
      <c r="F470" s="319" t="s">
        <v>1322</v>
      </c>
      <c r="G470" s="318" t="s">
        <v>1734</v>
      </c>
      <c r="H470" s="320">
        <v>2</v>
      </c>
      <c r="I470" s="320"/>
      <c r="J470" s="318" t="s">
        <v>1735</v>
      </c>
    </row>
    <row r="471" spans="2:10" ht="18" x14ac:dyDescent="0.25">
      <c r="B471" s="317" t="s">
        <v>1789</v>
      </c>
      <c r="C471" s="318" t="s">
        <v>1790</v>
      </c>
      <c r="D471" s="318">
        <v>1.24E-5</v>
      </c>
      <c r="E471" s="319" t="s">
        <v>1321</v>
      </c>
      <c r="F471" s="319" t="s">
        <v>1322</v>
      </c>
      <c r="G471" s="318" t="s">
        <v>1734</v>
      </c>
      <c r="H471" s="320">
        <v>2</v>
      </c>
      <c r="I471" s="320"/>
      <c r="J471" s="318" t="s">
        <v>1774</v>
      </c>
    </row>
    <row r="472" spans="2:10" ht="18" x14ac:dyDescent="0.25">
      <c r="B472" s="317" t="s">
        <v>1791</v>
      </c>
      <c r="C472" s="318" t="s">
        <v>1792</v>
      </c>
      <c r="D472" s="318">
        <v>2.5000000000000001E-5</v>
      </c>
      <c r="E472" s="319" t="s">
        <v>1321</v>
      </c>
      <c r="F472" s="319" t="s">
        <v>1322</v>
      </c>
      <c r="G472" s="318" t="s">
        <v>1734</v>
      </c>
      <c r="H472" s="320">
        <v>2</v>
      </c>
      <c r="I472" s="320"/>
      <c r="J472" s="318" t="s">
        <v>1793</v>
      </c>
    </row>
    <row r="473" spans="2:10" ht="18" x14ac:dyDescent="0.25">
      <c r="B473" s="317" t="s">
        <v>1794</v>
      </c>
      <c r="C473" s="318" t="s">
        <v>1795</v>
      </c>
      <c r="D473" s="318">
        <v>2.5000000000000001E-5</v>
      </c>
      <c r="E473" s="319" t="s">
        <v>1321</v>
      </c>
      <c r="F473" s="319" t="s">
        <v>1322</v>
      </c>
      <c r="G473" s="318" t="s">
        <v>1734</v>
      </c>
      <c r="H473" s="320">
        <v>2</v>
      </c>
      <c r="I473" s="320"/>
      <c r="J473" s="318" t="s">
        <v>1735</v>
      </c>
    </row>
    <row r="474" spans="2:10" ht="18" x14ac:dyDescent="0.25">
      <c r="B474" s="317" t="s">
        <v>1796</v>
      </c>
      <c r="C474" s="318" t="s">
        <v>1797</v>
      </c>
      <c r="D474" s="318">
        <v>2.5000000000000001E-5</v>
      </c>
      <c r="E474" s="319" t="s">
        <v>1321</v>
      </c>
      <c r="F474" s="319" t="s">
        <v>1322</v>
      </c>
      <c r="G474" s="318" t="s">
        <v>1734</v>
      </c>
      <c r="H474" s="320">
        <v>2</v>
      </c>
      <c r="I474" s="320"/>
      <c r="J474" s="318" t="s">
        <v>1735</v>
      </c>
    </row>
    <row r="475" spans="2:10" ht="18" x14ac:dyDescent="0.25">
      <c r="B475" s="317" t="s">
        <v>1798</v>
      </c>
      <c r="C475" s="318" t="s">
        <v>1799</v>
      </c>
      <c r="D475" s="318">
        <v>1.0000000000000001E-5</v>
      </c>
      <c r="E475" s="319" t="s">
        <v>1321</v>
      </c>
      <c r="F475" s="319" t="s">
        <v>1322</v>
      </c>
      <c r="G475" s="318" t="s">
        <v>1734</v>
      </c>
      <c r="H475" s="320">
        <v>2</v>
      </c>
      <c r="I475" s="320"/>
      <c r="J475" s="318" t="s">
        <v>1735</v>
      </c>
    </row>
    <row r="476" spans="2:10" ht="18" x14ac:dyDescent="0.25">
      <c r="B476" s="317" t="s">
        <v>1800</v>
      </c>
      <c r="C476" s="318" t="s">
        <v>1801</v>
      </c>
      <c r="D476" s="318">
        <v>1.9000000000000001E-5</v>
      </c>
      <c r="E476" s="319" t="s">
        <v>1321</v>
      </c>
      <c r="F476" s="319" t="s">
        <v>1322</v>
      </c>
      <c r="G476" s="318" t="s">
        <v>1734</v>
      </c>
      <c r="H476" s="320">
        <v>2</v>
      </c>
      <c r="I476" s="320"/>
      <c r="J476" s="318" t="s">
        <v>1735</v>
      </c>
    </row>
    <row r="477" spans="2:10" ht="18" x14ac:dyDescent="0.25">
      <c r="B477" s="317" t="s">
        <v>1802</v>
      </c>
      <c r="C477" s="318" t="s">
        <v>1803</v>
      </c>
      <c r="D477" s="318">
        <v>1.9000000000000001E-5</v>
      </c>
      <c r="E477" s="319" t="s">
        <v>1321</v>
      </c>
      <c r="F477" s="319" t="s">
        <v>1322</v>
      </c>
      <c r="G477" s="318" t="s">
        <v>1734</v>
      </c>
      <c r="H477" s="320">
        <v>2</v>
      </c>
      <c r="I477" s="320"/>
      <c r="J477" s="318" t="s">
        <v>1735</v>
      </c>
    </row>
    <row r="478" spans="2:10" ht="18" x14ac:dyDescent="0.25">
      <c r="B478" s="317" t="s">
        <v>1804</v>
      </c>
      <c r="C478" s="318" t="s">
        <v>1805</v>
      </c>
      <c r="D478" s="318">
        <v>1.9000000000000001E-5</v>
      </c>
      <c r="E478" s="319" t="s">
        <v>1321</v>
      </c>
      <c r="F478" s="319" t="s">
        <v>1322</v>
      </c>
      <c r="G478" s="318" t="s">
        <v>1734</v>
      </c>
      <c r="H478" s="320">
        <v>2</v>
      </c>
      <c r="I478" s="320"/>
      <c r="J478" s="318" t="s">
        <v>1735</v>
      </c>
    </row>
    <row r="479" spans="2:10" ht="18" x14ac:dyDescent="0.25">
      <c r="B479" s="317" t="s">
        <v>1806</v>
      </c>
      <c r="C479" s="318" t="s">
        <v>1807</v>
      </c>
      <c r="D479" s="318">
        <v>1.9000000000000001E-5</v>
      </c>
      <c r="E479" s="319" t="s">
        <v>1321</v>
      </c>
      <c r="F479" s="319" t="s">
        <v>1322</v>
      </c>
      <c r="G479" s="318" t="s">
        <v>1734</v>
      </c>
      <c r="H479" s="320">
        <v>2</v>
      </c>
      <c r="I479" s="320"/>
      <c r="J479" s="318" t="s">
        <v>1735</v>
      </c>
    </row>
    <row r="480" spans="2:10" ht="18" x14ac:dyDescent="0.25">
      <c r="B480" s="317" t="s">
        <v>1808</v>
      </c>
      <c r="C480" s="318" t="s">
        <v>1809</v>
      </c>
      <c r="D480" s="318">
        <v>1.9000000000000001E-5</v>
      </c>
      <c r="E480" s="319" t="s">
        <v>1321</v>
      </c>
      <c r="F480" s="319" t="s">
        <v>1322</v>
      </c>
      <c r="G480" s="318" t="s">
        <v>1734</v>
      </c>
      <c r="H480" s="320">
        <v>2</v>
      </c>
      <c r="I480" s="320"/>
      <c r="J480" s="318" t="s">
        <v>1735</v>
      </c>
    </row>
    <row r="481" spans="2:10" ht="18" x14ac:dyDescent="0.25">
      <c r="B481" s="317" t="s">
        <v>1810</v>
      </c>
      <c r="C481" s="318" t="s">
        <v>1811</v>
      </c>
      <c r="D481" s="318">
        <v>1.9000000000000001E-5</v>
      </c>
      <c r="E481" s="319" t="s">
        <v>1321</v>
      </c>
      <c r="F481" s="319" t="s">
        <v>1322</v>
      </c>
      <c r="G481" s="318" t="s">
        <v>1734</v>
      </c>
      <c r="H481" s="320">
        <v>2</v>
      </c>
      <c r="I481" s="320"/>
      <c r="J481" s="318" t="s">
        <v>1735</v>
      </c>
    </row>
    <row r="482" spans="2:10" ht="18" x14ac:dyDescent="0.25">
      <c r="B482" s="317" t="s">
        <v>1812</v>
      </c>
      <c r="C482" s="318" t="s">
        <v>1813</v>
      </c>
      <c r="D482" s="318">
        <v>1.9000000000000001E-5</v>
      </c>
      <c r="E482" s="319" t="s">
        <v>1321</v>
      </c>
      <c r="F482" s="319" t="s">
        <v>1322</v>
      </c>
      <c r="G482" s="318" t="s">
        <v>1734</v>
      </c>
      <c r="H482" s="320">
        <v>2</v>
      </c>
      <c r="I482" s="320"/>
      <c r="J482" s="318" t="s">
        <v>1735</v>
      </c>
    </row>
    <row r="483" spans="2:10" ht="18" x14ac:dyDescent="0.25">
      <c r="B483" s="317" t="s">
        <v>1814</v>
      </c>
      <c r="C483" s="318" t="s">
        <v>1815</v>
      </c>
      <c r="D483" s="318">
        <v>1.9000000000000001E-5</v>
      </c>
      <c r="E483" s="319" t="s">
        <v>1321</v>
      </c>
      <c r="F483" s="319" t="s">
        <v>1322</v>
      </c>
      <c r="G483" s="318" t="s">
        <v>1734</v>
      </c>
      <c r="H483" s="320">
        <v>2</v>
      </c>
      <c r="I483" s="320"/>
      <c r="J483" s="318" t="s">
        <v>1735</v>
      </c>
    </row>
    <row r="484" spans="2:10" ht="18" x14ac:dyDescent="0.25">
      <c r="B484" s="317" t="s">
        <v>1816</v>
      </c>
      <c r="C484" s="318" t="s">
        <v>1817</v>
      </c>
      <c r="D484" s="318">
        <v>1.0000000000000001E-5</v>
      </c>
      <c r="E484" s="319" t="s">
        <v>1321</v>
      </c>
      <c r="F484" s="319" t="s">
        <v>1600</v>
      </c>
      <c r="G484" s="318" t="s">
        <v>1734</v>
      </c>
      <c r="H484" s="320"/>
      <c r="I484" s="320"/>
      <c r="J484" s="318"/>
    </row>
    <row r="485" spans="2:10" ht="18" x14ac:dyDescent="0.25">
      <c r="B485" s="317" t="s">
        <v>1818</v>
      </c>
      <c r="C485" s="318" t="s">
        <v>1819</v>
      </c>
      <c r="D485" s="318">
        <v>1.9000000000000001E-5</v>
      </c>
      <c r="E485" s="319" t="s">
        <v>1321</v>
      </c>
      <c r="F485" s="319" t="s">
        <v>1600</v>
      </c>
      <c r="G485" s="318" t="s">
        <v>1734</v>
      </c>
      <c r="H485" s="320">
        <v>2</v>
      </c>
      <c r="I485" s="320"/>
      <c r="J485" s="318" t="s">
        <v>1735</v>
      </c>
    </row>
  </sheetData>
  <conditionalFormatting sqref="E52:F52 E439:F485">
    <cfRule type="cellIs" dxfId="23" priority="18" stopIfTrue="1" operator="notEqual">
      <formula>INDIRECT("Dummy_for_Comparison3!"&amp;ADDRESS(ROW(),COLUMN()))</formula>
    </cfRule>
  </conditionalFormatting>
  <conditionalFormatting sqref="E4:F6 E11:F27 E32:F39 E44:F48 E53:F58 E63:F69 E74:F83 E92:F208 E213:F221 E226:F277 E282:F289 E294:F306 E311:F316 E321:F333 E338:F342 E355:F367 E378:F402 E411:F435 E369:F373">
    <cfRule type="cellIs" dxfId="22" priority="22" stopIfTrue="1" operator="notEqual">
      <formula>INDIRECT("Dummy_for_Comparison3!"&amp;ADDRESS(ROW(),COLUMN()))</formula>
    </cfRule>
  </conditionalFormatting>
  <conditionalFormatting sqref="E10:F10">
    <cfRule type="cellIs" dxfId="21" priority="21" stopIfTrue="1" operator="notEqual">
      <formula>INDIRECT("Dummy_for_Comparison3!"&amp;ADDRESS(ROW(),COLUMN()))</formula>
    </cfRule>
  </conditionalFormatting>
  <conditionalFormatting sqref="E31:F31">
    <cfRule type="cellIs" dxfId="20" priority="20" stopIfTrue="1" operator="notEqual">
      <formula>INDIRECT("Dummy_for_Comparison3!"&amp;ADDRESS(ROW(),COLUMN()))</formula>
    </cfRule>
  </conditionalFormatting>
  <conditionalFormatting sqref="E43:F43">
    <cfRule type="cellIs" dxfId="19" priority="19" stopIfTrue="1" operator="notEqual">
      <formula>INDIRECT("Dummy_for_Comparison3!"&amp;ADDRESS(ROW(),COLUMN()))</formula>
    </cfRule>
  </conditionalFormatting>
  <conditionalFormatting sqref="E62:F62">
    <cfRule type="cellIs" dxfId="18" priority="17" stopIfTrue="1" operator="notEqual">
      <formula>INDIRECT("Dummy_for_Comparison3!"&amp;ADDRESS(ROW(),COLUMN()))</formula>
    </cfRule>
  </conditionalFormatting>
  <conditionalFormatting sqref="E73:F73">
    <cfRule type="cellIs" dxfId="17" priority="16" stopIfTrue="1" operator="notEqual">
      <formula>INDIRECT("Dummy_for_Comparison3!"&amp;ADDRESS(ROW(),COLUMN()))</formula>
    </cfRule>
  </conditionalFormatting>
  <conditionalFormatting sqref="E87:F87">
    <cfRule type="cellIs" dxfId="16" priority="15" stopIfTrue="1" operator="notEqual">
      <formula>INDIRECT("Dummy_for_Comparison3!"&amp;ADDRESS(ROW(),COLUMN()))</formula>
    </cfRule>
  </conditionalFormatting>
  <conditionalFormatting sqref="E91:F91">
    <cfRule type="cellIs" dxfId="15" priority="14" stopIfTrue="1" operator="notEqual">
      <formula>INDIRECT("Dummy_for_Comparison3!"&amp;ADDRESS(ROW(),COLUMN()))</formula>
    </cfRule>
  </conditionalFormatting>
  <conditionalFormatting sqref="E212:F212">
    <cfRule type="cellIs" dxfId="14" priority="13" stopIfTrue="1" operator="notEqual">
      <formula>INDIRECT("Dummy_for_Comparison3!"&amp;ADDRESS(ROW(),COLUMN()))</formula>
    </cfRule>
  </conditionalFormatting>
  <conditionalFormatting sqref="E225:F225">
    <cfRule type="cellIs" dxfId="13" priority="12" stopIfTrue="1" operator="notEqual">
      <formula>INDIRECT("Dummy_for_Comparison3!"&amp;ADDRESS(ROW(),COLUMN()))</formula>
    </cfRule>
  </conditionalFormatting>
  <conditionalFormatting sqref="E281:F281">
    <cfRule type="cellIs" dxfId="12" priority="11" stopIfTrue="1" operator="notEqual">
      <formula>INDIRECT("Dummy_for_Comparison3!"&amp;ADDRESS(ROW(),COLUMN()))</formula>
    </cfRule>
  </conditionalFormatting>
  <conditionalFormatting sqref="E293:F293">
    <cfRule type="cellIs" dxfId="11" priority="10" stopIfTrue="1" operator="notEqual">
      <formula>INDIRECT("Dummy_for_Comparison3!"&amp;ADDRESS(ROW(),COLUMN()))</formula>
    </cfRule>
  </conditionalFormatting>
  <conditionalFormatting sqref="E310:F310">
    <cfRule type="cellIs" dxfId="10" priority="9" stopIfTrue="1" operator="notEqual">
      <formula>INDIRECT("Dummy_for_Comparison3!"&amp;ADDRESS(ROW(),COLUMN()))</formula>
    </cfRule>
  </conditionalFormatting>
  <conditionalFormatting sqref="E320:F320">
    <cfRule type="cellIs" dxfId="9" priority="8" stopIfTrue="1" operator="notEqual">
      <formula>INDIRECT("Dummy_for_Comparison3!"&amp;ADDRESS(ROW(),COLUMN()))</formula>
    </cfRule>
  </conditionalFormatting>
  <conditionalFormatting sqref="E337:F337">
    <cfRule type="cellIs" dxfId="8" priority="7" stopIfTrue="1" operator="notEqual">
      <formula>INDIRECT("Dummy_for_Comparison3!"&amp;ADDRESS(ROW(),COLUMN()))</formula>
    </cfRule>
  </conditionalFormatting>
  <conditionalFormatting sqref="E346:F346">
    <cfRule type="cellIs" dxfId="7" priority="6" stopIfTrue="1" operator="notEqual">
      <formula>INDIRECT("Dummy_for_Comparison3!"&amp;ADDRESS(ROW(),COLUMN()))</formula>
    </cfRule>
  </conditionalFormatting>
  <conditionalFormatting sqref="E350:F350">
    <cfRule type="cellIs" dxfId="6" priority="5" stopIfTrue="1" operator="notEqual">
      <formula>INDIRECT("Dummy_for_Comparison3!"&amp;ADDRESS(ROW(),COLUMN()))</formula>
    </cfRule>
  </conditionalFormatting>
  <conditionalFormatting sqref="E354:F354">
    <cfRule type="cellIs" dxfId="5" priority="4" stopIfTrue="1" operator="notEqual">
      <formula>INDIRECT("Dummy_for_Comparison3!"&amp;ADDRESS(ROW(),COLUMN()))</formula>
    </cfRule>
  </conditionalFormatting>
  <conditionalFormatting sqref="E377:F377">
    <cfRule type="cellIs" dxfId="4" priority="3" stopIfTrue="1" operator="notEqual">
      <formula>INDIRECT("Dummy_for_Comparison3!"&amp;ADDRESS(ROW(),COLUMN()))</formula>
    </cfRule>
  </conditionalFormatting>
  <conditionalFormatting sqref="E406:F406">
    <cfRule type="cellIs" dxfId="3" priority="2" stopIfTrue="1" operator="notEqual">
      <formula>INDIRECT("Dummy_for_Comparison3!"&amp;ADDRESS(ROW(),COLUMN()))</formula>
    </cfRule>
  </conditionalFormatting>
  <conditionalFormatting sqref="E410:F410">
    <cfRule type="cellIs" dxfId="2" priority="1" stopIfTrue="1" operator="notEqual">
      <formula>INDIRECT("Dummy_for_Comparison3!"&amp;ADDRESS(ROW(),COLUMN()))</formula>
    </cfRule>
  </conditionalFormatting>
  <hyperlinks>
    <hyperlink ref="J10" r:id="rId1"/>
    <hyperlink ref="J24" r:id="rId2"/>
    <hyperlink ref="J25" r:id="rId3"/>
    <hyperlink ref="J26" r:id="rId4"/>
    <hyperlink ref="J27" r:id="rId5"/>
    <hyperlink ref="J20" r:id="rId6"/>
    <hyperlink ref="J21" r:id="rId7"/>
    <hyperlink ref="J22" r:id="rId8"/>
    <hyperlink ref="J23" r:id="rId9"/>
    <hyperlink ref="J400" r:id="rId10"/>
    <hyperlink ref="J13" r:id="rId11"/>
  </hyperlinks>
  <pageMargins left="0.7" right="0.7" top="0.75" bottom="0.75" header="0.3" footer="0.3"/>
  <pageSetup orientation="portrait"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9"/>
  <sheetViews>
    <sheetView zoomScaleNormal="100" workbookViewId="0">
      <selection activeCell="B11" sqref="B11"/>
    </sheetView>
  </sheetViews>
  <sheetFormatPr defaultColWidth="9.140625" defaultRowHeight="15" x14ac:dyDescent="0.25"/>
  <cols>
    <col min="1" max="1" width="5.85546875" customWidth="1"/>
    <col min="2" max="2" width="47" bestFit="1" customWidth="1"/>
    <col min="3" max="3" width="52" customWidth="1"/>
    <col min="4" max="4" width="82.7109375" customWidth="1"/>
    <col min="5" max="5" width="17.7109375" customWidth="1"/>
    <col min="6" max="6" width="9.28515625" customWidth="1"/>
    <col min="8" max="8" width="56.85546875" style="12" customWidth="1"/>
    <col min="9" max="9" width="22.7109375" customWidth="1"/>
  </cols>
  <sheetData>
    <row r="1" spans="2:8" ht="53.25" customHeight="1" thickBot="1" x14ac:dyDescent="0.3"/>
    <row r="2" spans="2:8" ht="15.75" thickBot="1" x14ac:dyDescent="0.3">
      <c r="C2" s="161" t="s">
        <v>537</v>
      </c>
      <c r="D2" s="1"/>
      <c r="E2" s="1"/>
    </row>
    <row r="3" spans="2:8" ht="15.75" thickBot="1" x14ac:dyDescent="0.3">
      <c r="B3" s="162" t="s">
        <v>0</v>
      </c>
      <c r="C3" s="163" t="s">
        <v>1</v>
      </c>
      <c r="D3" s="164" t="s">
        <v>4</v>
      </c>
      <c r="E3" s="164" t="s">
        <v>114</v>
      </c>
      <c r="F3" s="165" t="s">
        <v>2</v>
      </c>
      <c r="H3" s="166" t="s">
        <v>538</v>
      </c>
    </row>
    <row r="4" spans="2:8" ht="18.75" customHeight="1" x14ac:dyDescent="0.25">
      <c r="B4" s="167" t="s">
        <v>163</v>
      </c>
      <c r="C4" s="89" t="s">
        <v>164</v>
      </c>
      <c r="D4" s="168" t="s">
        <v>165</v>
      </c>
      <c r="E4" s="168"/>
      <c r="F4" s="169"/>
    </row>
    <row r="5" spans="2:8" x14ac:dyDescent="0.25">
      <c r="B5" s="171" t="s">
        <v>1098</v>
      </c>
      <c r="C5" s="97" t="s">
        <v>539</v>
      </c>
      <c r="D5" s="170" t="s">
        <v>1099</v>
      </c>
      <c r="E5" s="170"/>
      <c r="F5" s="172"/>
    </row>
    <row r="6" spans="2:8" x14ac:dyDescent="0.25">
      <c r="B6" s="171" t="s">
        <v>166</v>
      </c>
      <c r="C6" s="104" t="s">
        <v>167</v>
      </c>
      <c r="D6" s="104" t="s">
        <v>168</v>
      </c>
      <c r="E6" s="104"/>
      <c r="F6" s="172"/>
    </row>
    <row r="7" spans="2:8" x14ac:dyDescent="0.25">
      <c r="B7" s="171" t="s">
        <v>1100</v>
      </c>
      <c r="C7" s="97" t="s">
        <v>540</v>
      </c>
      <c r="D7" s="170" t="s">
        <v>1101</v>
      </c>
      <c r="E7" s="104"/>
      <c r="F7" s="172"/>
    </row>
    <row r="8" spans="2:8" x14ac:dyDescent="0.25">
      <c r="B8" s="171" t="s">
        <v>541</v>
      </c>
      <c r="C8" s="104" t="s">
        <v>542</v>
      </c>
      <c r="D8" s="104" t="s">
        <v>543</v>
      </c>
      <c r="E8" s="104"/>
      <c r="F8" s="172"/>
    </row>
    <row r="9" spans="2:8" x14ac:dyDescent="0.25">
      <c r="B9" s="171" t="s">
        <v>544</v>
      </c>
      <c r="C9" s="104" t="s">
        <v>545</v>
      </c>
      <c r="D9" s="104" t="s">
        <v>1301</v>
      </c>
      <c r="E9" s="104"/>
      <c r="F9" s="172"/>
    </row>
    <row r="10" spans="2:8" x14ac:dyDescent="0.25">
      <c r="B10" s="171" t="s">
        <v>169</v>
      </c>
      <c r="C10" s="104" t="s">
        <v>170</v>
      </c>
      <c r="D10" s="104" t="s">
        <v>171</v>
      </c>
      <c r="E10" s="104"/>
      <c r="F10" s="172"/>
    </row>
    <row r="11" spans="2:8" x14ac:dyDescent="0.25">
      <c r="B11" s="171" t="s">
        <v>546</v>
      </c>
      <c r="C11" s="97" t="s">
        <v>547</v>
      </c>
      <c r="D11" s="170" t="s">
        <v>975</v>
      </c>
      <c r="E11" s="104"/>
      <c r="F11" s="172"/>
    </row>
    <row r="12" spans="2:8" x14ac:dyDescent="0.25">
      <c r="B12" s="171" t="s">
        <v>172</v>
      </c>
      <c r="C12" s="104" t="s">
        <v>173</v>
      </c>
      <c r="D12" s="104" t="s">
        <v>1234</v>
      </c>
      <c r="E12" s="104"/>
      <c r="F12" s="172"/>
    </row>
    <row r="13" spans="2:8" x14ac:dyDescent="0.25">
      <c r="B13" s="171" t="s">
        <v>1102</v>
      </c>
      <c r="C13" s="104" t="s">
        <v>1103</v>
      </c>
      <c r="D13" s="104" t="s">
        <v>1104</v>
      </c>
      <c r="E13" s="104"/>
      <c r="F13" s="172"/>
    </row>
    <row r="14" spans="2:8" x14ac:dyDescent="0.25">
      <c r="B14" s="171" t="s">
        <v>175</v>
      </c>
      <c r="C14" s="104" t="s">
        <v>176</v>
      </c>
      <c r="D14" s="104" t="s">
        <v>1235</v>
      </c>
      <c r="E14" s="104"/>
      <c r="F14" s="172"/>
    </row>
    <row r="15" spans="2:8" x14ac:dyDescent="0.25">
      <c r="B15" s="171" t="s">
        <v>1236</v>
      </c>
      <c r="C15" s="104" t="s">
        <v>1237</v>
      </c>
      <c r="D15" s="104" t="s">
        <v>1238</v>
      </c>
      <c r="E15" s="104"/>
      <c r="F15" s="172"/>
    </row>
    <row r="16" spans="2:8" x14ac:dyDescent="0.25">
      <c r="B16" s="189" t="s">
        <v>1239</v>
      </c>
      <c r="C16" s="190" t="s">
        <v>1240</v>
      </c>
      <c r="D16" s="190" t="s">
        <v>1302</v>
      </c>
      <c r="E16" s="190"/>
      <c r="F16" s="191"/>
    </row>
    <row r="17" spans="2:8" x14ac:dyDescent="0.25">
      <c r="B17" s="171" t="s">
        <v>1241</v>
      </c>
      <c r="C17" s="190" t="s">
        <v>1242</v>
      </c>
      <c r="D17" s="190" t="s">
        <v>1243</v>
      </c>
      <c r="E17" s="190"/>
      <c r="F17" s="191"/>
    </row>
    <row r="18" spans="2:8" x14ac:dyDescent="0.25">
      <c r="B18" s="171" t="s">
        <v>178</v>
      </c>
      <c r="C18" s="104" t="s">
        <v>179</v>
      </c>
      <c r="D18" s="104" t="s">
        <v>180</v>
      </c>
      <c r="E18" s="104"/>
      <c r="F18" s="172"/>
      <c r="H18" s="173" t="s">
        <v>552</v>
      </c>
    </row>
    <row r="19" spans="2:8" x14ac:dyDescent="0.25">
      <c r="B19" s="171" t="s">
        <v>181</v>
      </c>
      <c r="C19" s="104" t="s">
        <v>182</v>
      </c>
      <c r="D19" s="104" t="s">
        <v>548</v>
      </c>
      <c r="E19" s="104"/>
      <c r="F19" s="172"/>
    </row>
    <row r="20" spans="2:8" x14ac:dyDescent="0.25">
      <c r="B20" s="171" t="s">
        <v>149</v>
      </c>
      <c r="C20" s="104" t="s">
        <v>147</v>
      </c>
      <c r="D20" s="104" t="s">
        <v>148</v>
      </c>
      <c r="E20" s="104"/>
      <c r="F20" s="172"/>
    </row>
    <row r="21" spans="2:8" x14ac:dyDescent="0.25">
      <c r="B21" s="171" t="s">
        <v>549</v>
      </c>
      <c r="C21" s="78" t="s">
        <v>550</v>
      </c>
      <c r="D21" s="170" t="s">
        <v>551</v>
      </c>
      <c r="E21" s="104"/>
      <c r="F21" s="172"/>
    </row>
    <row r="22" spans="2:8" ht="18" x14ac:dyDescent="0.35">
      <c r="B22" s="171" t="s">
        <v>1105</v>
      </c>
      <c r="C22" s="78" t="s">
        <v>553</v>
      </c>
      <c r="D22" s="170" t="s">
        <v>1303</v>
      </c>
      <c r="E22" s="104"/>
      <c r="F22" s="172"/>
    </row>
    <row r="23" spans="2:8" ht="18" x14ac:dyDescent="0.35">
      <c r="B23" s="171" t="s">
        <v>1106</v>
      </c>
      <c r="C23" s="78" t="s">
        <v>554</v>
      </c>
      <c r="D23" s="170" t="s">
        <v>1304</v>
      </c>
      <c r="E23" s="104"/>
      <c r="F23" s="172"/>
    </row>
    <row r="24" spans="2:8" ht="18" x14ac:dyDescent="0.35">
      <c r="B24" s="171" t="s">
        <v>1107</v>
      </c>
      <c r="C24" s="78" t="s">
        <v>555</v>
      </c>
      <c r="D24" s="170" t="s">
        <v>1305</v>
      </c>
      <c r="E24" s="104"/>
      <c r="F24" s="172"/>
    </row>
    <row r="25" spans="2:8" ht="18" x14ac:dyDescent="0.35">
      <c r="B25" s="171" t="s">
        <v>1108</v>
      </c>
      <c r="C25" s="78" t="s">
        <v>556</v>
      </c>
      <c r="D25" s="170" t="s">
        <v>1306</v>
      </c>
      <c r="E25" s="104"/>
      <c r="F25" s="172"/>
    </row>
    <row r="26" spans="2:8" ht="18" x14ac:dyDescent="0.35">
      <c r="B26" s="171" t="s">
        <v>1109</v>
      </c>
      <c r="C26" s="78" t="s">
        <v>557</v>
      </c>
      <c r="D26" s="170" t="s">
        <v>1307</v>
      </c>
      <c r="E26" s="104"/>
      <c r="F26" s="172"/>
    </row>
    <row r="27" spans="2:8" ht="15.75" customHeight="1" x14ac:dyDescent="0.35">
      <c r="B27" s="171" t="s">
        <v>1110</v>
      </c>
      <c r="C27" s="78" t="s">
        <v>558</v>
      </c>
      <c r="D27" s="170" t="s">
        <v>1308</v>
      </c>
      <c r="E27" s="104"/>
      <c r="F27" s="172"/>
    </row>
    <row r="28" spans="2:8" ht="16.5" customHeight="1" thickBot="1" x14ac:dyDescent="0.4">
      <c r="B28" s="192" t="s">
        <v>1111</v>
      </c>
      <c r="C28" s="148" t="s">
        <v>559</v>
      </c>
      <c r="D28" s="193" t="s">
        <v>1309</v>
      </c>
      <c r="E28" s="155"/>
      <c r="F28" s="174"/>
    </row>
    <row r="29" spans="2:8" ht="16.5" customHeight="1" x14ac:dyDescent="0.25"/>
  </sheetData>
  <conditionalFormatting sqref="D43">
    <cfRule type="cellIs" dxfId="1" priority="2" stopIfTrue="1" operator="notEqual">
      <formula>INDIRECT("Dummy_for_Comparison5!"&amp;ADDRESS(ROW(),COLUMN()))</formula>
    </cfRule>
  </conditionalFormatting>
  <conditionalFormatting sqref="D44">
    <cfRule type="cellIs" dxfId="0"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4"/>
  <sheetViews>
    <sheetView workbookViewId="0">
      <selection activeCell="B3" sqref="B3:D14"/>
    </sheetView>
  </sheetViews>
  <sheetFormatPr defaultColWidth="9.140625" defaultRowHeight="15" x14ac:dyDescent="0.25"/>
  <cols>
    <col min="1" max="1" width="9.140625" style="175"/>
    <col min="2" max="2" width="19.28515625" style="175" bestFit="1" customWidth="1"/>
    <col min="3" max="3" width="43.140625" style="175" bestFit="1" customWidth="1"/>
    <col min="4" max="5" width="9.140625" style="175"/>
    <col min="6" max="6" width="17.85546875" style="175" customWidth="1"/>
    <col min="7" max="8" width="9.140625" style="175"/>
    <col min="9" max="9" width="12.85546875" style="175" bestFit="1" customWidth="1"/>
    <col min="10" max="16384" width="9.140625" style="175"/>
  </cols>
  <sheetData>
    <row r="1" spans="2:9" ht="15.75" thickBot="1" x14ac:dyDescent="0.3"/>
    <row r="2" spans="2:9" ht="15.75" thickBot="1" x14ac:dyDescent="0.3">
      <c r="B2" s="131"/>
      <c r="C2" s="132" t="s">
        <v>909</v>
      </c>
      <c r="D2" s="131"/>
      <c r="E2" s="131"/>
      <c r="F2" s="131"/>
      <c r="G2" s="131"/>
      <c r="H2" s="131"/>
      <c r="I2" s="131"/>
    </row>
    <row r="3" spans="2:9" ht="15.75" thickBot="1" x14ac:dyDescent="0.3">
      <c r="B3" s="176" t="s">
        <v>0</v>
      </c>
      <c r="C3" s="177" t="s">
        <v>1</v>
      </c>
      <c r="D3" s="177" t="s">
        <v>150</v>
      </c>
      <c r="E3" s="178" t="s">
        <v>561</v>
      </c>
      <c r="F3" s="178" t="s">
        <v>562</v>
      </c>
      <c r="G3" s="177" t="s">
        <v>2</v>
      </c>
      <c r="H3" s="177" t="s">
        <v>431</v>
      </c>
      <c r="I3" s="179" t="s">
        <v>114</v>
      </c>
    </row>
    <row r="4" spans="2:9" ht="15.75" thickBot="1" x14ac:dyDescent="0.3">
      <c r="B4" s="110"/>
      <c r="C4" s="195"/>
      <c r="D4" s="196"/>
      <c r="E4" s="197"/>
      <c r="F4" s="198"/>
      <c r="G4" s="196"/>
      <c r="H4" s="196"/>
      <c r="I4" s="199"/>
    </row>
    <row r="5" spans="2:9" ht="15.75" thickBot="1" x14ac:dyDescent="0.3">
      <c r="B5" s="110"/>
      <c r="C5" s="132" t="s">
        <v>1313</v>
      </c>
      <c r="D5" s="196"/>
      <c r="E5" s="197"/>
      <c r="F5" s="198"/>
      <c r="G5" s="196"/>
      <c r="H5" s="196"/>
      <c r="I5" s="199"/>
    </row>
    <row r="6" spans="2:9" ht="15.75" thickBot="1" x14ac:dyDescent="0.3">
      <c r="B6" s="176" t="s">
        <v>0</v>
      </c>
      <c r="C6" s="177" t="s">
        <v>1</v>
      </c>
      <c r="D6" s="177" t="s">
        <v>150</v>
      </c>
      <c r="E6" s="178" t="s">
        <v>561</v>
      </c>
      <c r="F6" s="178" t="s">
        <v>562</v>
      </c>
      <c r="G6" s="177" t="s">
        <v>2</v>
      </c>
      <c r="H6" s="177" t="s">
        <v>431</v>
      </c>
      <c r="I6" s="179" t="s">
        <v>114</v>
      </c>
    </row>
    <row r="7" spans="2:9" ht="15.75" thickBot="1" x14ac:dyDescent="0.3">
      <c r="B7" s="200" t="s">
        <v>976</v>
      </c>
      <c r="C7" s="201" t="s">
        <v>910</v>
      </c>
      <c r="D7" s="202" t="b">
        <v>0</v>
      </c>
      <c r="E7" s="201"/>
      <c r="F7" s="201"/>
      <c r="G7" s="201"/>
      <c r="H7" s="201"/>
      <c r="I7" s="203" t="s">
        <v>911</v>
      </c>
    </row>
    <row r="8" spans="2:9" ht="15.75" thickBot="1" x14ac:dyDescent="0.3"/>
    <row r="9" spans="2:9" ht="15.75" thickBot="1" x14ac:dyDescent="0.3">
      <c r="B9" s="204" t="s">
        <v>1314</v>
      </c>
      <c r="C9" s="132" t="s">
        <v>1315</v>
      </c>
      <c r="D9" s="131"/>
      <c r="E9" s="131"/>
      <c r="F9" s="131"/>
      <c r="G9" s="131"/>
      <c r="H9" s="131"/>
      <c r="I9" s="131"/>
    </row>
    <row r="10" spans="2:9" ht="15.75" thickBot="1" x14ac:dyDescent="0.3">
      <c r="B10" s="176" t="s">
        <v>0</v>
      </c>
      <c r="C10" s="177" t="s">
        <v>1</v>
      </c>
      <c r="D10" s="177" t="s">
        <v>150</v>
      </c>
      <c r="E10" s="178" t="s">
        <v>561</v>
      </c>
      <c r="F10" s="178" t="s">
        <v>562</v>
      </c>
      <c r="G10" s="177" t="s">
        <v>2</v>
      </c>
      <c r="H10" s="177" t="s">
        <v>431</v>
      </c>
      <c r="I10" s="179" t="s">
        <v>114</v>
      </c>
    </row>
    <row r="11" spans="2:9" x14ac:dyDescent="0.25">
      <c r="B11" s="180" t="s">
        <v>1300</v>
      </c>
      <c r="C11" s="181"/>
      <c r="D11" s="181" t="b">
        <v>0</v>
      </c>
      <c r="E11" s="181"/>
      <c r="F11" s="181"/>
      <c r="G11" s="181"/>
      <c r="H11" s="181"/>
      <c r="I11" s="182" t="s">
        <v>1317</v>
      </c>
    </row>
    <row r="12" spans="2:9" x14ac:dyDescent="0.25">
      <c r="B12" s="180" t="s">
        <v>1316</v>
      </c>
      <c r="C12" s="181"/>
      <c r="D12" s="181" t="b">
        <v>0</v>
      </c>
      <c r="E12" s="181"/>
      <c r="F12" s="181"/>
      <c r="G12" s="181"/>
      <c r="H12" s="181"/>
      <c r="I12" s="182" t="s">
        <v>1317</v>
      </c>
    </row>
    <row r="13" spans="2:9" x14ac:dyDescent="0.25">
      <c r="B13" s="205" t="s">
        <v>1318</v>
      </c>
      <c r="C13" s="206"/>
      <c r="D13" s="206" t="b">
        <v>1</v>
      </c>
      <c r="E13" s="206"/>
      <c r="F13" s="206"/>
      <c r="G13" s="206"/>
      <c r="H13" s="206"/>
      <c r="I13" s="207" t="s">
        <v>1317</v>
      </c>
    </row>
    <row r="14" spans="2:9" ht="15.75" thickBot="1" x14ac:dyDescent="0.3">
      <c r="B14" s="208" t="s">
        <v>419</v>
      </c>
      <c r="C14" s="209"/>
      <c r="D14" s="209" t="b">
        <v>1</v>
      </c>
      <c r="E14" s="209"/>
      <c r="F14" s="209"/>
      <c r="G14" s="209"/>
      <c r="H14" s="209"/>
      <c r="I14" s="210" t="s">
        <v>1317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C10" sqref="C10"/>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47" customFormat="1" ht="44.25" customHeight="1" thickBot="1" x14ac:dyDescent="0.3"/>
    <row r="2" spans="2:7" ht="16.5" customHeight="1" thickBot="1" x14ac:dyDescent="0.3">
      <c r="B2" s="4"/>
      <c r="C2" s="61"/>
      <c r="D2" s="60"/>
      <c r="E2" s="4"/>
      <c r="F2" s="4"/>
      <c r="G2" s="4"/>
    </row>
    <row r="3" spans="2:7" ht="13.5" customHeight="1" thickBot="1" x14ac:dyDescent="0.3">
      <c r="B3" s="63"/>
      <c r="C3" s="64" t="s">
        <v>1</v>
      </c>
      <c r="D3" s="64" t="s">
        <v>4</v>
      </c>
      <c r="E3" s="66" t="s">
        <v>2</v>
      </c>
      <c r="F3" s="67" t="s">
        <v>114</v>
      </c>
      <c r="G3" s="65" t="s">
        <v>115</v>
      </c>
    </row>
    <row r="4" spans="2:7" ht="20.25" customHeight="1" x14ac:dyDescent="0.25">
      <c r="B4" s="42"/>
      <c r="C4" s="42"/>
      <c r="D4" s="41"/>
      <c r="E4" s="43"/>
      <c r="F4" s="44"/>
      <c r="G4" s="44"/>
    </row>
  </sheetData>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J17" sqref="J17"/>
    </sheetView>
  </sheetViews>
  <sheetFormatPr defaultColWidth="9.140625" defaultRowHeight="15" x14ac:dyDescent="0.25"/>
  <cols>
    <col min="1" max="1" width="9.140625" style="8"/>
    <col min="2" max="7" width="16.42578125" style="8" customWidth="1"/>
    <col min="8" max="73" width="9.140625" style="8"/>
  </cols>
  <sheetData>
    <row r="1" spans="2:7" ht="15.75" thickBot="1" x14ac:dyDescent="0.3"/>
    <row r="2" spans="2:7" x14ac:dyDescent="0.25">
      <c r="B2" s="9"/>
      <c r="C2" s="10"/>
      <c r="D2" s="10"/>
      <c r="E2" s="10"/>
      <c r="F2" s="10"/>
      <c r="G2" s="11"/>
    </row>
    <row r="3" spans="2:7" x14ac:dyDescent="0.25">
      <c r="B3" s="439" t="s">
        <v>107</v>
      </c>
      <c r="C3" s="440"/>
      <c r="D3" s="440"/>
      <c r="E3" s="440"/>
      <c r="F3" s="440"/>
      <c r="G3" s="441"/>
    </row>
    <row r="4" spans="2:7" x14ac:dyDescent="0.25">
      <c r="B4" s="439"/>
      <c r="C4" s="440"/>
      <c r="D4" s="440"/>
      <c r="E4" s="440"/>
      <c r="F4" s="440"/>
      <c r="G4" s="441"/>
    </row>
    <row r="5" spans="2:7" x14ac:dyDescent="0.25">
      <c r="B5" s="439"/>
      <c r="C5" s="440"/>
      <c r="D5" s="440"/>
      <c r="E5" s="440"/>
      <c r="F5" s="440"/>
      <c r="G5" s="441"/>
    </row>
    <row r="6" spans="2:7" x14ac:dyDescent="0.25">
      <c r="B6" s="439"/>
      <c r="C6" s="440"/>
      <c r="D6" s="440"/>
      <c r="E6" s="440"/>
      <c r="F6" s="440"/>
      <c r="G6" s="441"/>
    </row>
    <row r="7" spans="2:7" x14ac:dyDescent="0.25">
      <c r="B7" s="439"/>
      <c r="C7" s="440"/>
      <c r="D7" s="440"/>
      <c r="E7" s="440"/>
      <c r="F7" s="440"/>
      <c r="G7" s="441"/>
    </row>
    <row r="8" spans="2:7" ht="15.75" thickBot="1" x14ac:dyDescent="0.3">
      <c r="B8" s="442"/>
      <c r="C8" s="443"/>
      <c r="D8" s="443"/>
      <c r="E8" s="443"/>
      <c r="F8" s="443"/>
      <c r="G8" s="444"/>
    </row>
    <row r="10" spans="2:7" x14ac:dyDescent="0.25">
      <c r="B10" s="445"/>
      <c r="C10" s="445"/>
      <c r="D10" s="445"/>
      <c r="E10" s="445"/>
      <c r="F10" s="445"/>
      <c r="G10" s="445"/>
    </row>
    <row r="11" spans="2:7" x14ac:dyDescent="0.25">
      <c r="B11" s="445"/>
      <c r="C11" s="445"/>
      <c r="D11" s="445"/>
      <c r="E11" s="445"/>
      <c r="F11" s="445"/>
      <c r="G11" s="445"/>
    </row>
    <row r="12" spans="2:7" x14ac:dyDescent="0.25">
      <c r="B12" s="445"/>
      <c r="C12" s="445"/>
      <c r="D12" s="445"/>
      <c r="E12" s="445"/>
      <c r="F12" s="445"/>
      <c r="G12" s="445"/>
    </row>
    <row r="13" spans="2:7" x14ac:dyDescent="0.25">
      <c r="B13" s="445"/>
      <c r="C13" s="445"/>
      <c r="D13" s="445"/>
      <c r="E13" s="445"/>
      <c r="F13" s="445"/>
      <c r="G13" s="445"/>
    </row>
    <row r="14" spans="2:7" x14ac:dyDescent="0.25">
      <c r="B14" s="445"/>
      <c r="C14" s="445"/>
      <c r="D14" s="445"/>
      <c r="E14" s="445"/>
      <c r="F14" s="445"/>
      <c r="G14" s="445"/>
    </row>
    <row r="15" spans="2:7" x14ac:dyDescent="0.25">
      <c r="B15" s="445"/>
      <c r="C15" s="445"/>
      <c r="D15" s="445"/>
      <c r="E15" s="445"/>
      <c r="F15" s="445"/>
      <c r="G15" s="445"/>
    </row>
    <row r="16" spans="2:7" x14ac:dyDescent="0.25">
      <c r="B16" s="445"/>
      <c r="C16" s="445"/>
      <c r="D16" s="445"/>
      <c r="E16" s="445"/>
      <c r="F16" s="445"/>
      <c r="G16" s="445"/>
    </row>
    <row r="17" spans="2:7" x14ac:dyDescent="0.25">
      <c r="B17" s="445"/>
      <c r="C17" s="445"/>
      <c r="D17" s="445"/>
      <c r="E17" s="445"/>
      <c r="F17" s="445"/>
      <c r="G17" s="445"/>
    </row>
    <row r="18" spans="2:7" x14ac:dyDescent="0.25">
      <c r="B18" s="445"/>
      <c r="C18" s="445"/>
      <c r="D18" s="445"/>
      <c r="E18" s="445"/>
      <c r="F18" s="445"/>
      <c r="G18" s="445"/>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105</v>
      </c>
      <c r="B1" s="7">
        <v>387</v>
      </c>
    </row>
    <row r="2" spans="1:3" x14ac:dyDescent="0.25">
      <c r="A2" t="s">
        <v>106</v>
      </c>
      <c r="B2" s="7">
        <v>441</v>
      </c>
    </row>
    <row r="3" spans="1:3" x14ac:dyDescent="0.25">
      <c r="A3" t="s">
        <v>108</v>
      </c>
      <c r="B3">
        <v>517</v>
      </c>
    </row>
    <row r="4" spans="1:3" x14ac:dyDescent="0.25">
      <c r="A4" t="s">
        <v>111</v>
      </c>
      <c r="B4">
        <v>444</v>
      </c>
    </row>
    <row r="5" spans="1:3" x14ac:dyDescent="0.25">
      <c r="A5" t="s">
        <v>118</v>
      </c>
      <c r="B5">
        <v>364</v>
      </c>
    </row>
    <row r="6" spans="1:3" x14ac:dyDescent="0.25">
      <c r="A6" t="s">
        <v>124</v>
      </c>
      <c r="B6">
        <v>418</v>
      </c>
    </row>
    <row r="7" spans="1:3" x14ac:dyDescent="0.25">
      <c r="A7" t="s">
        <v>125</v>
      </c>
      <c r="B7">
        <v>510</v>
      </c>
    </row>
    <row r="8" spans="1:3" x14ac:dyDescent="0.25">
      <c r="A8" t="s">
        <v>127</v>
      </c>
      <c r="B8">
        <v>452</v>
      </c>
      <c r="C8" t="s">
        <v>128</v>
      </c>
    </row>
    <row r="9" spans="1:3" x14ac:dyDescent="0.25">
      <c r="A9" t="s">
        <v>129</v>
      </c>
      <c r="B9">
        <v>611</v>
      </c>
      <c r="C9" t="s">
        <v>130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B6" sqref="B6"/>
    </sheetView>
  </sheetViews>
  <sheetFormatPr defaultColWidth="9.140625" defaultRowHeight="15" x14ac:dyDescent="0.25"/>
  <cols>
    <col min="3" max="3" width="28.85546875" customWidth="1"/>
    <col min="6" max="6" width="13" customWidth="1"/>
    <col min="8" max="8" width="25" customWidth="1"/>
  </cols>
  <sheetData>
    <row r="1" spans="2:8" s="47" customFormat="1" ht="44.25" customHeight="1" thickBot="1" x14ac:dyDescent="0.3"/>
    <row r="2" spans="2:8" ht="15.75" thickBot="1" x14ac:dyDescent="0.3">
      <c r="B2" s="86"/>
      <c r="C2" s="133" t="s">
        <v>7</v>
      </c>
      <c r="D2" s="86"/>
      <c r="E2" s="86"/>
      <c r="F2" s="86"/>
      <c r="G2" s="83"/>
      <c r="H2" s="83"/>
    </row>
    <row r="3" spans="2:8" ht="15.75" thickBot="1" x14ac:dyDescent="0.3">
      <c r="B3" s="121" t="s">
        <v>0</v>
      </c>
      <c r="C3" s="122" t="s">
        <v>1</v>
      </c>
      <c r="D3" s="71" t="s">
        <v>150</v>
      </c>
      <c r="E3" s="122" t="s">
        <v>2</v>
      </c>
      <c r="F3" s="122" t="s">
        <v>431</v>
      </c>
      <c r="G3" s="122" t="s">
        <v>114</v>
      </c>
      <c r="H3" s="123" t="s">
        <v>115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15</vt:i4>
      </vt:variant>
      <vt:variant>
        <vt:lpstr>Névvel ellátott tartományok</vt:lpstr>
      </vt:variant>
      <vt:variant>
        <vt:i4>1379</vt:i4>
      </vt:variant>
    </vt:vector>
  </HeadingPairs>
  <TitlesOfParts>
    <vt:vector size="1394" baseType="lpstr">
      <vt:lpstr>Help</vt:lpstr>
      <vt:lpstr>Parameters</vt:lpstr>
      <vt:lpstr>Model</vt:lpstr>
      <vt:lpstr>pH</vt:lpstr>
      <vt:lpstr>Tableau</vt:lpstr>
      <vt:lpstr>Components</vt:lpstr>
      <vt:lpstr>Algebraic model</vt:lpstr>
      <vt:lpstr>Expert knowledge</vt:lpstr>
      <vt:lpstr>Functions</vt:lpstr>
      <vt:lpstr>Calculated variables</vt:lpstr>
      <vt:lpstr>systemcode_constants</vt:lpstr>
      <vt:lpstr>systemcode_functions</vt:lpstr>
      <vt:lpstr>other parameters</vt:lpstr>
      <vt:lpstr>Code</vt:lpstr>
      <vt:lpstr>Species</vt:lpstr>
      <vt:lpstr>µ_P1</vt:lpstr>
      <vt:lpstr>µ_P2</vt:lpstr>
      <vt:lpstr>A_dvanced</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b_A</vt:lpstr>
      <vt:lpstr>b_H</vt:lpstr>
      <vt:lpstr>B_H2O</vt:lpstr>
      <vt:lpstr>b_P</vt:lpstr>
      <vt:lpstr>b_PP</vt:lpstr>
      <vt:lpstr>c_cm_m</vt:lpstr>
      <vt:lpstr>c_cm2_m2</vt:lpstr>
      <vt:lpstr>c_cm3_m3</vt:lpstr>
      <vt:lpstr>c_g_kg</vt:lpstr>
      <vt:lpstr>c_h_d</vt:lpstr>
      <vt:lpstr>C_H2O</vt:lpstr>
      <vt:lpstr>c_kJ_MJ</vt:lpstr>
      <vt:lpstr>c_L_m3</vt:lpstr>
      <vt:lpstr>c_mg_g</vt:lpstr>
      <vt:lpstr>c_min_h</vt:lpstr>
      <vt:lpstr>c_ms_d</vt:lpstr>
      <vt:lpstr>c_ms_h</vt:lpstr>
      <vt:lpstr>c_ms_min</vt:lpstr>
      <vt:lpstr>c_ms_s</vt:lpstr>
      <vt:lpstr>c_p_water</vt:lpstr>
      <vt:lpstr>c_Pa_bar</vt:lpstr>
      <vt:lpstr>c_Pa_Hgmm</vt:lpstr>
      <vt:lpstr>c_percent_fraction</vt:lpstr>
      <vt:lpstr>c_percent_Vconc</vt:lpstr>
      <vt:lpstr>c_ppm_Vconc</vt:lpstr>
      <vt:lpstr>c_s_d</vt:lpstr>
      <vt:lpstr>c_s_h</vt:lpstr>
      <vt:lpstr>conc_Hp_Ieq</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E_ANA</vt:lpstr>
      <vt:lpstr>E_ANOX</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F__</vt:lpstr>
      <vt:lpstr>f_Ar_air</vt:lpstr>
      <vt:lpstr>f_BOD5_BODult</vt:lpstr>
      <vt:lpstr>f_CO2_air</vt:lpstr>
      <vt:lpstr>f_CV_A</vt:lpstr>
      <vt:lpstr>f_CV_H</vt:lpstr>
      <vt:lpstr>f_CV_O</vt:lpstr>
      <vt:lpstr>f_CV_P</vt:lpstr>
      <vt:lpstr>f_CV_SBSA</vt:lpstr>
      <vt:lpstr>f_CV_SBSC</vt:lpstr>
      <vt:lpstr>f_CV_SUS</vt:lpstr>
      <vt:lpstr>f_di_IS_an</vt:lpstr>
      <vt:lpstr>f_di_IS_cat</vt:lpstr>
      <vt:lpstr>f_EP_A</vt:lpstr>
      <vt:lpstr>f_EP_H</vt:lpstr>
      <vt:lpstr>f_EP_P</vt:lpstr>
      <vt:lpstr>f_ES_P</vt:lpstr>
      <vt:lpstr>f_mono_IS_an</vt:lpstr>
      <vt:lpstr>f_mono_IS_cat</vt:lpstr>
      <vt:lpstr>f_N_SEP</vt:lpstr>
      <vt:lpstr>f_N_ZA</vt:lpstr>
      <vt:lpstr>f_N_ZEA</vt:lpstr>
      <vt:lpstr>f_N_ZEH</vt:lpstr>
      <vt:lpstr>f_N_ZEP</vt:lpstr>
      <vt:lpstr>f_N_ZH</vt:lpstr>
      <vt:lpstr>f_N_ZP</vt:lpstr>
      <vt:lpstr>f_N2_air</vt:lpstr>
      <vt:lpstr>f_O2_air</vt:lpstr>
      <vt:lpstr>f_P_REL</vt:lpstr>
      <vt:lpstr>f_P_UPT1</vt:lpstr>
      <vt:lpstr>f_P_UPT2</vt:lpstr>
      <vt:lpstr>f_P_ZA</vt:lpstr>
      <vt:lpstr>f_P_ZEA</vt:lpstr>
      <vt:lpstr>f_P_ZEH</vt:lpstr>
      <vt:lpstr>f_P_ZEP</vt:lpstr>
      <vt:lpstr>f_P_ZH</vt:lpstr>
      <vt:lpstr>f_P_ZP</vt:lpstr>
      <vt:lpstr>f_PP</vt:lpstr>
      <vt:lpstr>f_tri_IS_an</vt:lpstr>
      <vt:lpstr>f_tri_IS_cat</vt:lpstr>
      <vt:lpstr>G_CH4_atm</vt:lpstr>
      <vt:lpstr>G_CO2_atm</vt:lpstr>
      <vt:lpstr>g_grav</vt:lpstr>
      <vt:lpstr>G_H2_atm</vt:lpstr>
      <vt:lpstr>G_H2S_atm</vt:lpstr>
      <vt:lpstr>G_N2_atm</vt:lpstr>
      <vt:lpstr>G_NH3_atm</vt:lpstr>
      <vt:lpstr>G_O2_atm</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i_COD_H2</vt:lpstr>
      <vt:lpstr>i_COD_N2</vt:lpstr>
      <vt:lpstr>i_COD_NO3</vt:lpstr>
      <vt:lpstr>i_NO3_N2</vt:lpstr>
      <vt:lpstr>K_Ac_param</vt:lpstr>
      <vt:lpstr>K_C</vt:lpstr>
      <vt:lpstr>K_C1_param</vt:lpstr>
      <vt:lpstr>K_C2_param</vt:lpstr>
      <vt:lpstr>K_H</vt:lpstr>
      <vt:lpstr>K_H2S_param</vt:lpstr>
      <vt:lpstr>K_LP_GRO</vt:lpstr>
      <vt:lpstr>K_LP_UPT</vt:lpstr>
      <vt:lpstr>K_NA</vt:lpstr>
      <vt:lpstr>K_NH</vt:lpstr>
      <vt:lpstr>K_NH3_param</vt:lpstr>
      <vt:lpstr>K_NO</vt:lpstr>
      <vt:lpstr>K_NO2_param</vt:lpstr>
      <vt:lpstr>K_O_AUT</vt:lpstr>
      <vt:lpstr>K_O_HET</vt:lpstr>
      <vt:lpstr>K_P</vt:lpstr>
      <vt:lpstr>K_P1_param</vt:lpstr>
      <vt:lpstr>K_P2_param</vt:lpstr>
      <vt:lpstr>K_P3_param</vt:lpstr>
      <vt:lpstr>K_R</vt:lpstr>
      <vt:lpstr>K_S_ANA</vt:lpstr>
      <vt:lpstr>K_S_H</vt:lpstr>
      <vt:lpstr>K_S_H_BSA</vt:lpstr>
      <vt:lpstr>K_S1_param</vt:lpstr>
      <vt:lpstr>K_S2_param</vt:lpstr>
      <vt:lpstr>K_SO41_param</vt:lpstr>
      <vt:lpstr>K_SO42_param</vt:lpstr>
      <vt:lpstr>K_sp_ACP_param</vt:lpstr>
      <vt:lpstr>K_sp_CaCO3_param</vt:lpstr>
      <vt:lpstr>K_sp_FeS_param</vt:lpstr>
      <vt:lpstr>K_sp_HDP_param</vt:lpstr>
      <vt:lpstr>K_sp_MKP_param</vt:lpstr>
      <vt:lpstr>K_sp_STR_param</vt:lpstr>
      <vt:lpstr>K_sp_Vivi_param</vt:lpstr>
      <vt:lpstr>K_SP1</vt:lpstr>
      <vt:lpstr>K_SP2</vt:lpstr>
      <vt:lpstr>K_SSEQ</vt:lpstr>
      <vt:lpstr>K_W_param</vt:lpstr>
      <vt:lpstr>K_X</vt:lpstr>
      <vt:lpstr>K_XP</vt:lpstr>
      <vt:lpstr>M_inhNH3_KNA</vt:lpstr>
      <vt:lpstr>M_inhNO3_KNO</vt:lpstr>
      <vt:lpstr>M_inhPO4_KLP_UPT</vt:lpstr>
      <vt:lpstr>M_inhSO_KO_HET</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M_RsatSENM_ZH_KX</vt:lpstr>
      <vt:lpstr>M_RsatSPHB_ZP_KSP1</vt:lpstr>
      <vt:lpstr>M_RsatSPHB_ZP_KSP2</vt:lpstr>
      <vt:lpstr>M_satNH3_KNA</vt:lpstr>
      <vt:lpstr>M_satNH3_KNH</vt:lpstr>
      <vt:lpstr>M_satNO3_KNO</vt:lpstr>
      <vt:lpstr>M_satPO4_KLP_GRO</vt:lpstr>
      <vt:lpstr>M_satPO4_KLP_UPT</vt:lpstr>
      <vt:lpstr>M_satPPP_LO_KXP</vt:lpstr>
      <vt:lpstr>M_satSBSA_KS_H_BSA</vt:lpstr>
      <vt:lpstr>M_satSBSA_KSSEQ</vt:lpstr>
      <vt:lpstr>M_satSBSA_SBSC</vt:lpstr>
      <vt:lpstr>M_satSBSC_KS_ANA</vt:lpstr>
      <vt:lpstr>M_satSBSC_KS_H</vt:lpstr>
      <vt:lpstr>M_satSBSC_SBSA</vt:lpstr>
      <vt:lpstr>M_satSO_KO_AUT</vt:lpstr>
      <vt:lpstr>M_satSO_KO_HET</vt:lpstr>
      <vt:lpstr>N_BP</vt:lpstr>
      <vt:lpstr>N_BS</vt:lpstr>
      <vt:lpstr>N_H3</vt:lpstr>
      <vt:lpstr>N_O3</vt:lpstr>
      <vt:lpstr>N_UR</vt:lpstr>
      <vt:lpstr>N_US</vt:lpstr>
      <vt:lpstr>O_UR</vt:lpstr>
      <vt:lpstr>p_i</vt:lpstr>
      <vt:lpstr>p_N</vt:lpstr>
      <vt:lpstr>P_O4</vt:lpstr>
      <vt:lpstr>P_PP_HI</vt:lpstr>
      <vt:lpstr>P_PP_LO</vt:lpstr>
      <vt:lpstr>p_St</vt:lpstr>
      <vt:lpstr>p_STP</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r_4</vt:lpstr>
      <vt:lpstr>r_5</vt:lpstr>
      <vt:lpstr>r_6</vt:lpstr>
      <vt:lpstr>r_7</vt:lpstr>
      <vt:lpstr>r_8</vt:lpstr>
      <vt:lpstr>r_9</vt:lpstr>
      <vt:lpstr>R_air</vt:lpstr>
      <vt:lpstr>S_BOD_5</vt:lpstr>
      <vt:lpstr>S_BOD_ult</vt:lpstr>
      <vt:lpstr>S_BSA</vt:lpstr>
      <vt:lpstr>S_BSC</vt:lpstr>
      <vt:lpstr>S_COD</vt:lpstr>
      <vt:lpstr>S_ENM</vt:lpstr>
      <vt:lpstr>S_H2</vt:lpstr>
      <vt:lpstr>S_N2</vt:lpstr>
      <vt:lpstr>S_O</vt:lpstr>
      <vt:lpstr>S_PHB</vt:lpstr>
      <vt:lpstr>S_umo__pHEffects</vt:lpstr>
      <vt:lpstr>S_UP</vt:lpstr>
      <vt:lpstr>S_US</vt:lpstr>
      <vt:lpstr>T_BOD_5</vt:lpstr>
      <vt:lpstr>T_BOD_ult</vt:lpstr>
      <vt:lpstr>T_COD</vt:lpstr>
      <vt:lpstr>T_KN</vt:lpstr>
      <vt:lpstr>T_N</vt:lpstr>
      <vt:lpstr>T_NTP_K</vt:lpstr>
      <vt:lpstr>T_null</vt:lpstr>
      <vt:lpstr>T_st_K</vt:lpstr>
      <vt:lpstr>T_STP_K</vt:lpstr>
      <vt:lpstr>v_1_NBP</vt:lpstr>
      <vt:lpstr>v_1_NBS</vt:lpstr>
      <vt:lpstr>v_1_NH3</vt:lpstr>
      <vt:lpstr>v_1_NO3</vt:lpstr>
      <vt:lpstr>v_1_NUS</vt:lpstr>
      <vt:lpstr>v_1_PO4</vt:lpstr>
      <vt:lpstr>v_1_PPP_HI</vt:lpstr>
      <vt:lpstr>v_1_PPP_LO</vt:lpstr>
      <vt:lpstr>v_1_SBSA</vt:lpstr>
      <vt:lpstr>v_1_SBSC</vt:lpstr>
      <vt:lpstr>v_1_SENM</vt:lpstr>
      <vt:lpstr>v_1_SH2</vt:lpstr>
      <vt:lpstr>v_1_SN2</vt:lpstr>
      <vt:lpstr>v_1_SO</vt:lpstr>
      <vt:lpstr>v_1_SPHB</vt:lpstr>
      <vt:lpstr>v_1_SUP</vt:lpstr>
      <vt:lpstr>v_1_SUS</vt:lpstr>
      <vt:lpstr>v_1_XINORG</vt:lpstr>
      <vt:lpstr>v_1_ZA</vt:lpstr>
      <vt:lpstr>v_1_ZE</vt:lpstr>
      <vt:lpstr>v_1_ZH</vt:lpstr>
      <vt:lpstr>v_1_ZP</vt:lpstr>
      <vt:lpstr>v_10_NBP</vt:lpstr>
      <vt:lpstr>v_10_NBS</vt:lpstr>
      <vt:lpstr>v_10_NH3</vt:lpstr>
      <vt:lpstr>v_10_NO3</vt:lpstr>
      <vt:lpstr>v_10_NUS</vt:lpstr>
      <vt:lpstr>v_10_PO4</vt:lpstr>
      <vt:lpstr>v_10_PPP_HI</vt:lpstr>
      <vt:lpstr>v_10_PPP_LO</vt:lpstr>
      <vt:lpstr>v_10_SBSA</vt:lpstr>
      <vt:lpstr>v_10_SBSC</vt:lpstr>
      <vt:lpstr>v_10_SENM</vt:lpstr>
      <vt:lpstr>v_10_SH2</vt:lpstr>
      <vt:lpstr>v_10_SN2</vt:lpstr>
      <vt:lpstr>v_10_SO</vt:lpstr>
      <vt:lpstr>v_10_SPHB</vt:lpstr>
      <vt:lpstr>v_10_SUP</vt:lpstr>
      <vt:lpstr>v_10_SUS</vt:lpstr>
      <vt:lpstr>v_10_XINORG</vt:lpstr>
      <vt:lpstr>v_10_ZA</vt:lpstr>
      <vt:lpstr>v_10_ZE</vt:lpstr>
      <vt:lpstr>v_10_ZH</vt:lpstr>
      <vt:lpstr>v_10_ZP</vt:lpstr>
      <vt:lpstr>v_11_NBP</vt:lpstr>
      <vt:lpstr>v_11_NBS</vt:lpstr>
      <vt:lpstr>v_11_NH3</vt:lpstr>
      <vt:lpstr>v_11_NO3</vt:lpstr>
      <vt:lpstr>v_11_NUS</vt:lpstr>
      <vt:lpstr>v_11_PO4</vt:lpstr>
      <vt:lpstr>v_11_PPP_HI</vt:lpstr>
      <vt:lpstr>v_11_PPP_LO</vt:lpstr>
      <vt:lpstr>v_11_SBSA</vt:lpstr>
      <vt:lpstr>v_11_SBSC</vt:lpstr>
      <vt:lpstr>v_11_SENM</vt:lpstr>
      <vt:lpstr>v_11_SH2</vt:lpstr>
      <vt:lpstr>v_11_SN2</vt:lpstr>
      <vt:lpstr>v_11_SO</vt:lpstr>
      <vt:lpstr>v_11_SPHB</vt:lpstr>
      <vt:lpstr>v_11_SUP</vt:lpstr>
      <vt:lpstr>v_11_SUS</vt:lpstr>
      <vt:lpstr>v_11_XINORG</vt:lpstr>
      <vt:lpstr>v_11_ZA</vt:lpstr>
      <vt:lpstr>v_11_ZE</vt:lpstr>
      <vt:lpstr>v_11_ZH</vt:lpstr>
      <vt:lpstr>v_11_ZP</vt:lpstr>
      <vt:lpstr>v_12_NBP</vt:lpstr>
      <vt:lpstr>v_12_NBS</vt:lpstr>
      <vt:lpstr>v_12_NH3</vt:lpstr>
      <vt:lpstr>v_12_NO3</vt:lpstr>
      <vt:lpstr>v_12_NUS</vt:lpstr>
      <vt:lpstr>v_12_PO4</vt:lpstr>
      <vt:lpstr>v_12_PPP_HI</vt:lpstr>
      <vt:lpstr>v_12_PPP_LO</vt:lpstr>
      <vt:lpstr>v_12_SBSA</vt:lpstr>
      <vt:lpstr>v_12_SBSC</vt:lpstr>
      <vt:lpstr>v_12_SENM</vt:lpstr>
      <vt:lpstr>v_12_SH2</vt:lpstr>
      <vt:lpstr>v_12_SN2</vt:lpstr>
      <vt:lpstr>v_12_SO</vt:lpstr>
      <vt:lpstr>v_12_SPHB</vt:lpstr>
      <vt:lpstr>v_12_SUP</vt:lpstr>
      <vt:lpstr>v_12_SUS</vt:lpstr>
      <vt:lpstr>v_12_XINORG</vt:lpstr>
      <vt:lpstr>v_12_ZA</vt:lpstr>
      <vt:lpstr>v_12_ZE</vt:lpstr>
      <vt:lpstr>v_12_ZH</vt:lpstr>
      <vt:lpstr>v_12_ZP</vt:lpstr>
      <vt:lpstr>v_13_NBP</vt:lpstr>
      <vt:lpstr>v_13_NBS</vt:lpstr>
      <vt:lpstr>v_13_NH3</vt:lpstr>
      <vt:lpstr>v_13_NO3</vt:lpstr>
      <vt:lpstr>v_13_NUS</vt:lpstr>
      <vt:lpstr>v_13_PO4</vt:lpstr>
      <vt:lpstr>v_13_PPP_HI</vt:lpstr>
      <vt:lpstr>v_13_PPP_LO</vt:lpstr>
      <vt:lpstr>v_13_SBSA</vt:lpstr>
      <vt:lpstr>v_13_SBSC</vt:lpstr>
      <vt:lpstr>v_13_SENM</vt:lpstr>
      <vt:lpstr>v_13_SH2</vt:lpstr>
      <vt:lpstr>v_13_SN2</vt:lpstr>
      <vt:lpstr>v_13_SO</vt:lpstr>
      <vt:lpstr>v_13_SPHB</vt:lpstr>
      <vt:lpstr>v_13_SUP</vt:lpstr>
      <vt:lpstr>v_13_SUS</vt:lpstr>
      <vt:lpstr>v_13_XINORG</vt:lpstr>
      <vt:lpstr>v_13_ZA</vt:lpstr>
      <vt:lpstr>v_13_ZE</vt:lpstr>
      <vt:lpstr>v_13_ZH</vt:lpstr>
      <vt:lpstr>v_13_ZP</vt:lpstr>
      <vt:lpstr>v_14_NBP</vt:lpstr>
      <vt:lpstr>v_14_NBS</vt:lpstr>
      <vt:lpstr>v_14_NH3</vt:lpstr>
      <vt:lpstr>v_14_NO3</vt:lpstr>
      <vt:lpstr>v_14_NUS</vt:lpstr>
      <vt:lpstr>v_14_PO4</vt:lpstr>
      <vt:lpstr>v_14_PPP_HI</vt:lpstr>
      <vt:lpstr>v_14_PPP_LO</vt:lpstr>
      <vt:lpstr>v_14_SBSA</vt:lpstr>
      <vt:lpstr>v_14_SBSC</vt:lpstr>
      <vt:lpstr>v_14_SENM</vt:lpstr>
      <vt:lpstr>v_14_SH2</vt:lpstr>
      <vt:lpstr>v_14_SN2</vt:lpstr>
      <vt:lpstr>v_14_SO</vt:lpstr>
      <vt:lpstr>v_14_SPHB</vt:lpstr>
      <vt:lpstr>v_14_SUP</vt:lpstr>
      <vt:lpstr>v_14_SUS</vt:lpstr>
      <vt:lpstr>v_14_XINORG</vt:lpstr>
      <vt:lpstr>v_14_ZA</vt:lpstr>
      <vt:lpstr>v_14_ZE</vt:lpstr>
      <vt:lpstr>v_14_ZH</vt:lpstr>
      <vt:lpstr>v_14_ZP</vt:lpstr>
      <vt:lpstr>v_15_NBP</vt:lpstr>
      <vt:lpstr>v_15_NBS</vt:lpstr>
      <vt:lpstr>v_15_NH3</vt:lpstr>
      <vt:lpstr>v_15_NO3</vt:lpstr>
      <vt:lpstr>v_15_NUS</vt:lpstr>
      <vt:lpstr>v_15_PO4</vt:lpstr>
      <vt:lpstr>v_15_PPP_HI</vt:lpstr>
      <vt:lpstr>v_15_PPP_LO</vt:lpstr>
      <vt:lpstr>v_15_SBSA</vt:lpstr>
      <vt:lpstr>v_15_SBSC</vt:lpstr>
      <vt:lpstr>v_15_SENM</vt:lpstr>
      <vt:lpstr>v_15_SH2</vt:lpstr>
      <vt:lpstr>v_15_SN2</vt:lpstr>
      <vt:lpstr>v_15_SO</vt:lpstr>
      <vt:lpstr>v_15_SPHB</vt:lpstr>
      <vt:lpstr>v_15_SUP</vt:lpstr>
      <vt:lpstr>v_15_SUS</vt:lpstr>
      <vt:lpstr>v_15_XINORG</vt:lpstr>
      <vt:lpstr>v_15_ZA</vt:lpstr>
      <vt:lpstr>v_15_ZE</vt:lpstr>
      <vt:lpstr>v_15_ZH</vt:lpstr>
      <vt:lpstr>v_15_ZP</vt:lpstr>
      <vt:lpstr>v_16_NBP</vt:lpstr>
      <vt:lpstr>v_16_NBS</vt:lpstr>
      <vt:lpstr>v_16_NH3</vt:lpstr>
      <vt:lpstr>v_16_NO3</vt:lpstr>
      <vt:lpstr>v_16_NUS</vt:lpstr>
      <vt:lpstr>v_16_PO4</vt:lpstr>
      <vt:lpstr>v_16_PPP_HI</vt:lpstr>
      <vt:lpstr>v_16_PPP_LO</vt:lpstr>
      <vt:lpstr>v_16_SBSA</vt:lpstr>
      <vt:lpstr>v_16_SBSC</vt:lpstr>
      <vt:lpstr>v_16_SENM</vt:lpstr>
      <vt:lpstr>v_16_SH2</vt:lpstr>
      <vt:lpstr>v_16_SN2</vt:lpstr>
      <vt:lpstr>v_16_SO</vt:lpstr>
      <vt:lpstr>v_16_SPHB</vt:lpstr>
      <vt:lpstr>v_16_SUP</vt:lpstr>
      <vt:lpstr>v_16_SUS</vt:lpstr>
      <vt:lpstr>v_16_XINORG</vt:lpstr>
      <vt:lpstr>v_16_ZA</vt:lpstr>
      <vt:lpstr>v_16_ZE</vt:lpstr>
      <vt:lpstr>v_16_ZH</vt:lpstr>
      <vt:lpstr>v_16_ZP</vt:lpstr>
      <vt:lpstr>v_17_NBP</vt:lpstr>
      <vt:lpstr>v_17_NBS</vt:lpstr>
      <vt:lpstr>v_17_NH3</vt:lpstr>
      <vt:lpstr>v_17_NO3</vt:lpstr>
      <vt:lpstr>v_17_NUS</vt:lpstr>
      <vt:lpstr>v_17_PO4</vt:lpstr>
      <vt:lpstr>v_17_PPP_HI</vt:lpstr>
      <vt:lpstr>v_17_PPP_LO</vt:lpstr>
      <vt:lpstr>v_17_SBSA</vt:lpstr>
      <vt:lpstr>v_17_SBSC</vt:lpstr>
      <vt:lpstr>v_17_SENM</vt:lpstr>
      <vt:lpstr>v_17_SH2</vt:lpstr>
      <vt:lpstr>v_17_SN2</vt:lpstr>
      <vt:lpstr>v_17_SO</vt:lpstr>
      <vt:lpstr>v_17_SPHB</vt:lpstr>
      <vt:lpstr>v_17_SUP</vt:lpstr>
      <vt:lpstr>v_17_SUS</vt:lpstr>
      <vt:lpstr>v_17_XINORG</vt:lpstr>
      <vt:lpstr>v_17_ZA</vt:lpstr>
      <vt:lpstr>v_17_ZE</vt:lpstr>
      <vt:lpstr>v_17_ZH</vt:lpstr>
      <vt:lpstr>v_17_ZP</vt:lpstr>
      <vt:lpstr>v_18_NBP</vt:lpstr>
      <vt:lpstr>v_18_NBS</vt:lpstr>
      <vt:lpstr>v_18_NH3</vt:lpstr>
      <vt:lpstr>v_18_NO3</vt:lpstr>
      <vt:lpstr>v_18_NUS</vt:lpstr>
      <vt:lpstr>v_18_PO4</vt:lpstr>
      <vt:lpstr>v_18_PPP_HI</vt:lpstr>
      <vt:lpstr>v_18_PPP_LO</vt:lpstr>
      <vt:lpstr>v_18_SBSA</vt:lpstr>
      <vt:lpstr>v_18_SBSC</vt:lpstr>
      <vt:lpstr>v_18_SENM</vt:lpstr>
      <vt:lpstr>v_18_SH2</vt:lpstr>
      <vt:lpstr>v_18_SN2</vt:lpstr>
      <vt:lpstr>v_18_SO</vt:lpstr>
      <vt:lpstr>v_18_SPHB</vt:lpstr>
      <vt:lpstr>v_18_SUP</vt:lpstr>
      <vt:lpstr>v_18_SUS</vt:lpstr>
      <vt:lpstr>v_18_XINORG</vt:lpstr>
      <vt:lpstr>v_18_ZA</vt:lpstr>
      <vt:lpstr>v_18_ZE</vt:lpstr>
      <vt:lpstr>v_18_ZH</vt:lpstr>
      <vt:lpstr>v_18_ZP</vt:lpstr>
      <vt:lpstr>v_19_NBP</vt:lpstr>
      <vt:lpstr>v_19_NBS</vt:lpstr>
      <vt:lpstr>v_19_NH3</vt:lpstr>
      <vt:lpstr>v_19_NO3</vt:lpstr>
      <vt:lpstr>v_19_NUS</vt:lpstr>
      <vt:lpstr>v_19_PO4</vt:lpstr>
      <vt:lpstr>v_19_PPP_HI</vt:lpstr>
      <vt:lpstr>v_19_PPP_LO</vt:lpstr>
      <vt:lpstr>v_19_SBSA</vt:lpstr>
      <vt:lpstr>v_19_SBSC</vt:lpstr>
      <vt:lpstr>v_19_SENM</vt:lpstr>
      <vt:lpstr>v_19_SH2</vt:lpstr>
      <vt:lpstr>v_19_SN2</vt:lpstr>
      <vt:lpstr>v_19_SO</vt:lpstr>
      <vt:lpstr>v_19_SPHB</vt:lpstr>
      <vt:lpstr>v_19_SUP</vt:lpstr>
      <vt:lpstr>v_19_SUS</vt:lpstr>
      <vt:lpstr>v_19_XINORG</vt:lpstr>
      <vt:lpstr>v_19_ZA</vt:lpstr>
      <vt:lpstr>v_19_ZE</vt:lpstr>
      <vt:lpstr>v_19_ZH</vt:lpstr>
      <vt:lpstr>v_19_ZP</vt:lpstr>
      <vt:lpstr>v_2_NBP</vt:lpstr>
      <vt:lpstr>v_2_NBS</vt:lpstr>
      <vt:lpstr>v_2_NH3</vt:lpstr>
      <vt:lpstr>v_2_NO3</vt:lpstr>
      <vt:lpstr>v_2_NUS</vt:lpstr>
      <vt:lpstr>v_2_PO4</vt:lpstr>
      <vt:lpstr>v_2_PPP_HI</vt:lpstr>
      <vt:lpstr>v_2_PPP_LO</vt:lpstr>
      <vt:lpstr>v_2_SBSA</vt:lpstr>
      <vt:lpstr>v_2_SBSC</vt:lpstr>
      <vt:lpstr>v_2_SENM</vt:lpstr>
      <vt:lpstr>v_2_SH2</vt:lpstr>
      <vt:lpstr>v_2_SN2</vt:lpstr>
      <vt:lpstr>v_2_SO</vt:lpstr>
      <vt:lpstr>v_2_SPHB</vt:lpstr>
      <vt:lpstr>v_2_SUP</vt:lpstr>
      <vt:lpstr>v_2_SUS</vt:lpstr>
      <vt:lpstr>v_2_XINORG</vt:lpstr>
      <vt:lpstr>v_2_ZA</vt:lpstr>
      <vt:lpstr>v_2_ZE</vt:lpstr>
      <vt:lpstr>v_2_ZH</vt:lpstr>
      <vt:lpstr>v_2_ZP</vt:lpstr>
      <vt:lpstr>v_20_NBP</vt:lpstr>
      <vt:lpstr>v_20_NBS</vt:lpstr>
      <vt:lpstr>v_20_NH3</vt:lpstr>
      <vt:lpstr>v_20_NO3</vt:lpstr>
      <vt:lpstr>v_20_NUS</vt:lpstr>
      <vt:lpstr>v_20_PO4</vt:lpstr>
      <vt:lpstr>v_20_PPP_HI</vt:lpstr>
      <vt:lpstr>v_20_PPP_LO</vt:lpstr>
      <vt:lpstr>v_20_SBSA</vt:lpstr>
      <vt:lpstr>v_20_SBSC</vt:lpstr>
      <vt:lpstr>v_20_SENM</vt:lpstr>
      <vt:lpstr>v_20_SH2</vt:lpstr>
      <vt:lpstr>v_20_SN2</vt:lpstr>
      <vt:lpstr>v_20_SO</vt:lpstr>
      <vt:lpstr>v_20_SPHB</vt:lpstr>
      <vt:lpstr>v_20_SUP</vt:lpstr>
      <vt:lpstr>v_20_SUS</vt:lpstr>
      <vt:lpstr>v_20_XINORG</vt:lpstr>
      <vt:lpstr>v_20_ZA</vt:lpstr>
      <vt:lpstr>v_20_ZE</vt:lpstr>
      <vt:lpstr>v_20_ZH</vt:lpstr>
      <vt:lpstr>v_20_ZP</vt:lpstr>
      <vt:lpstr>v_21_NBP</vt:lpstr>
      <vt:lpstr>v_21_NBS</vt:lpstr>
      <vt:lpstr>v_21_NH3</vt:lpstr>
      <vt:lpstr>v_21_NO3</vt:lpstr>
      <vt:lpstr>v_21_NUS</vt:lpstr>
      <vt:lpstr>v_21_PO4</vt:lpstr>
      <vt:lpstr>v_21_PPP_HI</vt:lpstr>
      <vt:lpstr>v_21_PPP_LO</vt:lpstr>
      <vt:lpstr>v_21_SBSA</vt:lpstr>
      <vt:lpstr>v_21_SBSC</vt:lpstr>
      <vt:lpstr>v_21_SENM</vt:lpstr>
      <vt:lpstr>v_21_SH2</vt:lpstr>
      <vt:lpstr>v_21_SN2</vt:lpstr>
      <vt:lpstr>v_21_SO</vt:lpstr>
      <vt:lpstr>v_21_SPHB</vt:lpstr>
      <vt:lpstr>v_21_SUP</vt:lpstr>
      <vt:lpstr>v_21_SUS</vt:lpstr>
      <vt:lpstr>v_21_XINORG</vt:lpstr>
      <vt:lpstr>v_21_ZA</vt:lpstr>
      <vt:lpstr>v_21_ZE</vt:lpstr>
      <vt:lpstr>v_21_ZH</vt:lpstr>
      <vt:lpstr>v_21_ZP</vt:lpstr>
      <vt:lpstr>v_22_NBP</vt:lpstr>
      <vt:lpstr>v_22_NBS</vt:lpstr>
      <vt:lpstr>v_22_NH3</vt:lpstr>
      <vt:lpstr>v_22_NO3</vt:lpstr>
      <vt:lpstr>v_22_NUS</vt:lpstr>
      <vt:lpstr>v_22_PO4</vt:lpstr>
      <vt:lpstr>v_22_PPP_HI</vt:lpstr>
      <vt:lpstr>v_22_PPP_LO</vt:lpstr>
      <vt:lpstr>v_22_SBSA</vt:lpstr>
      <vt:lpstr>v_22_SBSC</vt:lpstr>
      <vt:lpstr>v_22_SENM</vt:lpstr>
      <vt:lpstr>v_22_SH2</vt:lpstr>
      <vt:lpstr>v_22_SN2</vt:lpstr>
      <vt:lpstr>v_22_SO</vt:lpstr>
      <vt:lpstr>v_22_SPHB</vt:lpstr>
      <vt:lpstr>v_22_SUP</vt:lpstr>
      <vt:lpstr>v_22_SUS</vt:lpstr>
      <vt:lpstr>v_22_XINORG</vt:lpstr>
      <vt:lpstr>v_22_ZA</vt:lpstr>
      <vt:lpstr>v_22_ZE</vt:lpstr>
      <vt:lpstr>v_22_ZH</vt:lpstr>
      <vt:lpstr>v_22_ZP</vt:lpstr>
      <vt:lpstr>v_23_NBP</vt:lpstr>
      <vt:lpstr>v_23_NBS</vt:lpstr>
      <vt:lpstr>v_23_NH3</vt:lpstr>
      <vt:lpstr>v_23_NO3</vt:lpstr>
      <vt:lpstr>v_23_NUS</vt:lpstr>
      <vt:lpstr>v_23_PO4</vt:lpstr>
      <vt:lpstr>v_23_PPP_HI</vt:lpstr>
      <vt:lpstr>v_23_PPP_LO</vt:lpstr>
      <vt:lpstr>v_23_SBSA</vt:lpstr>
      <vt:lpstr>v_23_SBSC</vt:lpstr>
      <vt:lpstr>v_23_SENM</vt:lpstr>
      <vt:lpstr>v_23_SH2</vt:lpstr>
      <vt:lpstr>v_23_SN2</vt:lpstr>
      <vt:lpstr>v_23_SO</vt:lpstr>
      <vt:lpstr>v_23_SPHB</vt:lpstr>
      <vt:lpstr>v_23_SUP</vt:lpstr>
      <vt:lpstr>v_23_SUS</vt:lpstr>
      <vt:lpstr>v_23_XINORG</vt:lpstr>
      <vt:lpstr>v_23_ZA</vt:lpstr>
      <vt:lpstr>v_23_ZE</vt:lpstr>
      <vt:lpstr>v_23_ZH</vt:lpstr>
      <vt:lpstr>v_23_ZP</vt:lpstr>
      <vt:lpstr>v_24_NBP</vt:lpstr>
      <vt:lpstr>v_24_NBS</vt:lpstr>
      <vt:lpstr>v_24_NH3</vt:lpstr>
      <vt:lpstr>v_24_NO3</vt:lpstr>
      <vt:lpstr>v_24_NUS</vt:lpstr>
      <vt:lpstr>v_24_PO4</vt:lpstr>
      <vt:lpstr>v_24_PPP_HI</vt:lpstr>
      <vt:lpstr>v_24_PPP_LO</vt:lpstr>
      <vt:lpstr>v_24_SBSA</vt:lpstr>
      <vt:lpstr>v_24_SBSC</vt:lpstr>
      <vt:lpstr>v_24_SENM</vt:lpstr>
      <vt:lpstr>v_24_SH2</vt:lpstr>
      <vt:lpstr>v_24_SN2</vt:lpstr>
      <vt:lpstr>v_24_SO</vt:lpstr>
      <vt:lpstr>v_24_SPHB</vt:lpstr>
      <vt:lpstr>v_24_SUP</vt:lpstr>
      <vt:lpstr>v_24_SUS</vt:lpstr>
      <vt:lpstr>v_24_XINORG</vt:lpstr>
      <vt:lpstr>v_24_ZA</vt:lpstr>
      <vt:lpstr>v_24_ZE</vt:lpstr>
      <vt:lpstr>v_24_ZH</vt:lpstr>
      <vt:lpstr>v_24_ZP</vt:lpstr>
      <vt:lpstr>v_25_NBP</vt:lpstr>
      <vt:lpstr>v_25_NBS</vt:lpstr>
      <vt:lpstr>v_25_NH3</vt:lpstr>
      <vt:lpstr>v_25_NO3</vt:lpstr>
      <vt:lpstr>v_25_NUS</vt:lpstr>
      <vt:lpstr>v_25_PO4</vt:lpstr>
      <vt:lpstr>v_25_PPP_HI</vt:lpstr>
      <vt:lpstr>v_25_PPP_LO</vt:lpstr>
      <vt:lpstr>v_25_SBSA</vt:lpstr>
      <vt:lpstr>v_25_SBSC</vt:lpstr>
      <vt:lpstr>v_25_SENM</vt:lpstr>
      <vt:lpstr>v_25_SH2</vt:lpstr>
      <vt:lpstr>v_25_SN2</vt:lpstr>
      <vt:lpstr>v_25_SO</vt:lpstr>
      <vt:lpstr>v_25_SPHB</vt:lpstr>
      <vt:lpstr>v_25_SUP</vt:lpstr>
      <vt:lpstr>v_25_SUS</vt:lpstr>
      <vt:lpstr>v_25_XINORG</vt:lpstr>
      <vt:lpstr>v_25_ZA</vt:lpstr>
      <vt:lpstr>v_25_ZE</vt:lpstr>
      <vt:lpstr>v_25_ZH</vt:lpstr>
      <vt:lpstr>v_25_ZP</vt:lpstr>
      <vt:lpstr>v_26_NBP</vt:lpstr>
      <vt:lpstr>v_26_NBS</vt:lpstr>
      <vt:lpstr>v_26_NH3</vt:lpstr>
      <vt:lpstr>v_26_NO3</vt:lpstr>
      <vt:lpstr>v_26_NUS</vt:lpstr>
      <vt:lpstr>v_26_PO4</vt:lpstr>
      <vt:lpstr>v_26_PPP_HI</vt:lpstr>
      <vt:lpstr>v_26_PPP_LO</vt:lpstr>
      <vt:lpstr>v_26_SBSA</vt:lpstr>
      <vt:lpstr>v_26_SBSC</vt:lpstr>
      <vt:lpstr>v_26_SENM</vt:lpstr>
      <vt:lpstr>v_26_SH2</vt:lpstr>
      <vt:lpstr>v_26_SN2</vt:lpstr>
      <vt:lpstr>v_26_SO</vt:lpstr>
      <vt:lpstr>v_26_SPHB</vt:lpstr>
      <vt:lpstr>v_26_SUP</vt:lpstr>
      <vt:lpstr>v_26_SUS</vt:lpstr>
      <vt:lpstr>v_26_XINORG</vt:lpstr>
      <vt:lpstr>v_26_ZA</vt:lpstr>
      <vt:lpstr>v_26_ZE</vt:lpstr>
      <vt:lpstr>v_26_ZH</vt:lpstr>
      <vt:lpstr>v_26_ZP</vt:lpstr>
      <vt:lpstr>v_27_NBP</vt:lpstr>
      <vt:lpstr>v_27_NBS</vt:lpstr>
      <vt:lpstr>v_27_NH3</vt:lpstr>
      <vt:lpstr>v_27_NO3</vt:lpstr>
      <vt:lpstr>v_27_NUS</vt:lpstr>
      <vt:lpstr>v_27_PO4</vt:lpstr>
      <vt:lpstr>v_27_PPP_HI</vt:lpstr>
      <vt:lpstr>v_27_PPP_LO</vt:lpstr>
      <vt:lpstr>v_27_SBSA</vt:lpstr>
      <vt:lpstr>v_27_SBSC</vt:lpstr>
      <vt:lpstr>v_27_SENM</vt:lpstr>
      <vt:lpstr>v_27_SH2</vt:lpstr>
      <vt:lpstr>v_27_SN2</vt:lpstr>
      <vt:lpstr>v_27_SO</vt:lpstr>
      <vt:lpstr>v_27_SPHB</vt:lpstr>
      <vt:lpstr>v_27_SUP</vt:lpstr>
      <vt:lpstr>v_27_SUS</vt:lpstr>
      <vt:lpstr>v_27_XINORG</vt:lpstr>
      <vt:lpstr>v_27_ZA</vt:lpstr>
      <vt:lpstr>v_27_ZE</vt:lpstr>
      <vt:lpstr>v_27_ZH</vt:lpstr>
      <vt:lpstr>v_27_ZP</vt:lpstr>
      <vt:lpstr>v_28_NBP</vt:lpstr>
      <vt:lpstr>v_28_NBS</vt:lpstr>
      <vt:lpstr>v_28_NH3</vt:lpstr>
      <vt:lpstr>v_28_NO3</vt:lpstr>
      <vt:lpstr>v_28_NUS</vt:lpstr>
      <vt:lpstr>v_28_PO4</vt:lpstr>
      <vt:lpstr>v_28_PPP_HI</vt:lpstr>
      <vt:lpstr>v_28_PPP_LO</vt:lpstr>
      <vt:lpstr>v_28_SBSA</vt:lpstr>
      <vt:lpstr>v_28_SBSC</vt:lpstr>
      <vt:lpstr>v_28_SENM</vt:lpstr>
      <vt:lpstr>v_28_SH2</vt:lpstr>
      <vt:lpstr>v_28_SN2</vt:lpstr>
      <vt:lpstr>v_28_SO</vt:lpstr>
      <vt:lpstr>v_28_SPHB</vt:lpstr>
      <vt:lpstr>v_28_SUP</vt:lpstr>
      <vt:lpstr>v_28_SUS</vt:lpstr>
      <vt:lpstr>v_28_XINORG</vt:lpstr>
      <vt:lpstr>v_28_ZA</vt:lpstr>
      <vt:lpstr>v_28_ZE</vt:lpstr>
      <vt:lpstr>v_28_ZH</vt:lpstr>
      <vt:lpstr>v_28_ZP</vt:lpstr>
      <vt:lpstr>v_29_NBP</vt:lpstr>
      <vt:lpstr>v_29_NBS</vt:lpstr>
      <vt:lpstr>v_29_NH3</vt:lpstr>
      <vt:lpstr>v_29_NO3</vt:lpstr>
      <vt:lpstr>v_29_NUS</vt:lpstr>
      <vt:lpstr>v_29_PO4</vt:lpstr>
      <vt:lpstr>v_29_PPP_HI</vt:lpstr>
      <vt:lpstr>v_29_PPP_LO</vt:lpstr>
      <vt:lpstr>v_29_SBSA</vt:lpstr>
      <vt:lpstr>v_29_SBSC</vt:lpstr>
      <vt:lpstr>v_29_SENM</vt:lpstr>
      <vt:lpstr>v_29_SH2</vt:lpstr>
      <vt:lpstr>v_29_SN2</vt:lpstr>
      <vt:lpstr>v_29_SO</vt:lpstr>
      <vt:lpstr>v_29_SPHB</vt:lpstr>
      <vt:lpstr>v_29_SUP</vt:lpstr>
      <vt:lpstr>v_29_SUS</vt:lpstr>
      <vt:lpstr>v_29_XINORG</vt:lpstr>
      <vt:lpstr>v_29_ZA</vt:lpstr>
      <vt:lpstr>v_29_ZE</vt:lpstr>
      <vt:lpstr>v_29_ZH</vt:lpstr>
      <vt:lpstr>v_29_ZP</vt:lpstr>
      <vt:lpstr>v_3_NBP</vt:lpstr>
      <vt:lpstr>v_3_NBS</vt:lpstr>
      <vt:lpstr>v_3_NH3</vt:lpstr>
      <vt:lpstr>v_3_NO3</vt:lpstr>
      <vt:lpstr>v_3_NUS</vt:lpstr>
      <vt:lpstr>v_3_PO4</vt:lpstr>
      <vt:lpstr>v_3_PPP_HI</vt:lpstr>
      <vt:lpstr>v_3_PPP_LO</vt:lpstr>
      <vt:lpstr>v_3_SBSA</vt:lpstr>
      <vt:lpstr>v_3_SBSC</vt:lpstr>
      <vt:lpstr>v_3_SENM</vt:lpstr>
      <vt:lpstr>v_3_SH2</vt:lpstr>
      <vt:lpstr>v_3_SN2</vt:lpstr>
      <vt:lpstr>v_3_SO</vt:lpstr>
      <vt:lpstr>v_3_SPHB</vt:lpstr>
      <vt:lpstr>v_3_SUP</vt:lpstr>
      <vt:lpstr>v_3_SUS</vt:lpstr>
      <vt:lpstr>v_3_XINORG</vt:lpstr>
      <vt:lpstr>v_3_ZA</vt:lpstr>
      <vt:lpstr>v_3_ZE</vt:lpstr>
      <vt:lpstr>v_3_ZH</vt:lpstr>
      <vt:lpstr>v_3_ZP</vt:lpstr>
      <vt:lpstr>v_30_NBP</vt:lpstr>
      <vt:lpstr>v_30_NBS</vt:lpstr>
      <vt:lpstr>v_30_NH3</vt:lpstr>
      <vt:lpstr>v_30_NO3</vt:lpstr>
      <vt:lpstr>v_30_NUS</vt:lpstr>
      <vt:lpstr>v_30_PO4</vt:lpstr>
      <vt:lpstr>v_30_PPP_HI</vt:lpstr>
      <vt:lpstr>v_30_PPP_LO</vt:lpstr>
      <vt:lpstr>v_30_SBSA</vt:lpstr>
      <vt:lpstr>v_30_SBSC</vt:lpstr>
      <vt:lpstr>v_30_SENM</vt:lpstr>
      <vt:lpstr>v_30_SH2</vt:lpstr>
      <vt:lpstr>v_30_SN2</vt:lpstr>
      <vt:lpstr>v_30_SO</vt:lpstr>
      <vt:lpstr>v_30_SPHB</vt:lpstr>
      <vt:lpstr>v_30_SUP</vt:lpstr>
      <vt:lpstr>v_30_SUS</vt:lpstr>
      <vt:lpstr>v_30_XINORG</vt:lpstr>
      <vt:lpstr>v_30_ZA</vt:lpstr>
      <vt:lpstr>v_30_ZE</vt:lpstr>
      <vt:lpstr>v_30_ZH</vt:lpstr>
      <vt:lpstr>v_30_ZP</vt:lpstr>
      <vt:lpstr>v_31_NBP</vt:lpstr>
      <vt:lpstr>v_31_NBS</vt:lpstr>
      <vt:lpstr>v_31_NH3</vt:lpstr>
      <vt:lpstr>v_31_NO3</vt:lpstr>
      <vt:lpstr>v_31_NUS</vt:lpstr>
      <vt:lpstr>v_31_PO4</vt:lpstr>
      <vt:lpstr>v_31_PPP_HI</vt:lpstr>
      <vt:lpstr>v_31_PPP_LO</vt:lpstr>
      <vt:lpstr>v_31_SBSA</vt:lpstr>
      <vt:lpstr>v_31_SBSC</vt:lpstr>
      <vt:lpstr>v_31_SENM</vt:lpstr>
      <vt:lpstr>v_31_SH2</vt:lpstr>
      <vt:lpstr>v_31_SN2</vt:lpstr>
      <vt:lpstr>v_31_SO</vt:lpstr>
      <vt:lpstr>v_31_SPHB</vt:lpstr>
      <vt:lpstr>v_31_SUP</vt:lpstr>
      <vt:lpstr>v_31_SUS</vt:lpstr>
      <vt:lpstr>v_31_XINORG</vt:lpstr>
      <vt:lpstr>v_31_ZA</vt:lpstr>
      <vt:lpstr>v_31_ZE</vt:lpstr>
      <vt:lpstr>v_31_ZH</vt:lpstr>
      <vt:lpstr>v_31_ZP</vt:lpstr>
      <vt:lpstr>v_32_NBP</vt:lpstr>
      <vt:lpstr>v_32_NBS</vt:lpstr>
      <vt:lpstr>v_32_NH3</vt:lpstr>
      <vt:lpstr>v_32_NO3</vt:lpstr>
      <vt:lpstr>v_32_NUS</vt:lpstr>
      <vt:lpstr>v_32_PO4</vt:lpstr>
      <vt:lpstr>v_32_PPP_HI</vt:lpstr>
      <vt:lpstr>v_32_PPP_LO</vt:lpstr>
      <vt:lpstr>v_32_SBSA</vt:lpstr>
      <vt:lpstr>v_32_SBSC</vt:lpstr>
      <vt:lpstr>v_32_SENM</vt:lpstr>
      <vt:lpstr>v_32_SH2</vt:lpstr>
      <vt:lpstr>v_32_SN2</vt:lpstr>
      <vt:lpstr>v_32_SO</vt:lpstr>
      <vt:lpstr>v_32_SPHB</vt:lpstr>
      <vt:lpstr>v_32_SUP</vt:lpstr>
      <vt:lpstr>v_32_SUS</vt:lpstr>
      <vt:lpstr>v_32_XINORG</vt:lpstr>
      <vt:lpstr>v_32_ZA</vt:lpstr>
      <vt:lpstr>v_32_ZE</vt:lpstr>
      <vt:lpstr>v_32_ZH</vt:lpstr>
      <vt:lpstr>v_32_ZP</vt:lpstr>
      <vt:lpstr>v_33_NBP</vt:lpstr>
      <vt:lpstr>v_33_NBS</vt:lpstr>
      <vt:lpstr>v_33_NH3</vt:lpstr>
      <vt:lpstr>v_33_NO3</vt:lpstr>
      <vt:lpstr>v_33_NUS</vt:lpstr>
      <vt:lpstr>v_33_PO4</vt:lpstr>
      <vt:lpstr>v_33_PPP_HI</vt:lpstr>
      <vt:lpstr>v_33_PPP_LO</vt:lpstr>
      <vt:lpstr>v_33_SBSA</vt:lpstr>
      <vt:lpstr>v_33_SBSC</vt:lpstr>
      <vt:lpstr>v_33_SENM</vt:lpstr>
      <vt:lpstr>v_33_SH2</vt:lpstr>
      <vt:lpstr>v_33_SN2</vt:lpstr>
      <vt:lpstr>v_33_SO</vt:lpstr>
      <vt:lpstr>v_33_SPHB</vt:lpstr>
      <vt:lpstr>v_33_SUP</vt:lpstr>
      <vt:lpstr>v_33_SUS</vt:lpstr>
      <vt:lpstr>v_33_XINORG</vt:lpstr>
      <vt:lpstr>v_33_ZA</vt:lpstr>
      <vt:lpstr>v_33_ZE</vt:lpstr>
      <vt:lpstr>v_33_ZH</vt:lpstr>
      <vt:lpstr>v_33_ZP</vt:lpstr>
      <vt:lpstr>v_34_NBP</vt:lpstr>
      <vt:lpstr>v_34_NBS</vt:lpstr>
      <vt:lpstr>v_34_NH3</vt:lpstr>
      <vt:lpstr>v_34_NO3</vt:lpstr>
      <vt:lpstr>v_34_NUS</vt:lpstr>
      <vt:lpstr>v_34_PO4</vt:lpstr>
      <vt:lpstr>v_34_PPP_HI</vt:lpstr>
      <vt:lpstr>v_34_PPP_LO</vt:lpstr>
      <vt:lpstr>v_34_SBSA</vt:lpstr>
      <vt:lpstr>v_34_SBSC</vt:lpstr>
      <vt:lpstr>v_34_SENM</vt:lpstr>
      <vt:lpstr>v_34_SH2</vt:lpstr>
      <vt:lpstr>v_34_SN2</vt:lpstr>
      <vt:lpstr>v_34_SO</vt:lpstr>
      <vt:lpstr>v_34_SPHB</vt:lpstr>
      <vt:lpstr>v_34_SUP</vt:lpstr>
      <vt:lpstr>v_34_SUS</vt:lpstr>
      <vt:lpstr>v_34_XINORG</vt:lpstr>
      <vt:lpstr>v_34_ZA</vt:lpstr>
      <vt:lpstr>v_34_ZE</vt:lpstr>
      <vt:lpstr>v_34_ZH</vt:lpstr>
      <vt:lpstr>v_34_ZP</vt:lpstr>
      <vt:lpstr>v_35_NBP</vt:lpstr>
      <vt:lpstr>v_35_NBS</vt:lpstr>
      <vt:lpstr>v_35_NH3</vt:lpstr>
      <vt:lpstr>v_35_NO3</vt:lpstr>
      <vt:lpstr>v_35_NUS</vt:lpstr>
      <vt:lpstr>v_35_PO4</vt:lpstr>
      <vt:lpstr>v_35_PPP_HI</vt:lpstr>
      <vt:lpstr>v_35_PPP_LO</vt:lpstr>
      <vt:lpstr>v_35_SBSA</vt:lpstr>
      <vt:lpstr>v_35_SBSC</vt:lpstr>
      <vt:lpstr>v_35_SENM</vt:lpstr>
      <vt:lpstr>v_35_SH2</vt:lpstr>
      <vt:lpstr>v_35_SN2</vt:lpstr>
      <vt:lpstr>v_35_SO</vt:lpstr>
      <vt:lpstr>v_35_SPHB</vt:lpstr>
      <vt:lpstr>v_35_SUP</vt:lpstr>
      <vt:lpstr>v_35_SUS</vt:lpstr>
      <vt:lpstr>v_35_XINORG</vt:lpstr>
      <vt:lpstr>v_35_ZA</vt:lpstr>
      <vt:lpstr>v_35_ZE</vt:lpstr>
      <vt:lpstr>v_35_ZH</vt:lpstr>
      <vt:lpstr>v_35_ZP</vt:lpstr>
      <vt:lpstr>v_36_NBP</vt:lpstr>
      <vt:lpstr>v_36_NBS</vt:lpstr>
      <vt:lpstr>v_36_NH3</vt:lpstr>
      <vt:lpstr>v_36_NO3</vt:lpstr>
      <vt:lpstr>v_36_NUS</vt:lpstr>
      <vt:lpstr>v_36_PO4</vt:lpstr>
      <vt:lpstr>v_36_PPP_HI</vt:lpstr>
      <vt:lpstr>v_36_PPP_LO</vt:lpstr>
      <vt:lpstr>v_36_SBSA</vt:lpstr>
      <vt:lpstr>v_36_SBSC</vt:lpstr>
      <vt:lpstr>v_36_SENM</vt:lpstr>
      <vt:lpstr>v_36_SH2</vt:lpstr>
      <vt:lpstr>v_36_SN2</vt:lpstr>
      <vt:lpstr>v_36_SO</vt:lpstr>
      <vt:lpstr>v_36_SPHB</vt:lpstr>
      <vt:lpstr>v_36_SUP</vt:lpstr>
      <vt:lpstr>v_36_SUS</vt:lpstr>
      <vt:lpstr>v_36_XINORG</vt:lpstr>
      <vt:lpstr>v_36_ZA</vt:lpstr>
      <vt:lpstr>v_36_ZE</vt:lpstr>
      <vt:lpstr>v_36_ZH</vt:lpstr>
      <vt:lpstr>v_36_ZP</vt:lpstr>
      <vt:lpstr>v_4_NBP</vt:lpstr>
      <vt:lpstr>v_4_NBS</vt:lpstr>
      <vt:lpstr>v_4_NH3</vt:lpstr>
      <vt:lpstr>v_4_NO3</vt:lpstr>
      <vt:lpstr>v_4_NUS</vt:lpstr>
      <vt:lpstr>v_4_PO4</vt:lpstr>
      <vt:lpstr>v_4_PPP_HI</vt:lpstr>
      <vt:lpstr>v_4_PPP_LO</vt:lpstr>
      <vt:lpstr>v_4_SBSA</vt:lpstr>
      <vt:lpstr>v_4_SBSC</vt:lpstr>
      <vt:lpstr>v_4_SENM</vt:lpstr>
      <vt:lpstr>v_4_SH2</vt:lpstr>
      <vt:lpstr>v_4_SN2</vt:lpstr>
      <vt:lpstr>v_4_SO</vt:lpstr>
      <vt:lpstr>v_4_SPHB</vt:lpstr>
      <vt:lpstr>v_4_SUP</vt:lpstr>
      <vt:lpstr>v_4_SUS</vt:lpstr>
      <vt:lpstr>v_4_XINORG</vt:lpstr>
      <vt:lpstr>v_4_ZA</vt:lpstr>
      <vt:lpstr>v_4_ZE</vt:lpstr>
      <vt:lpstr>v_4_ZH</vt:lpstr>
      <vt:lpstr>v_4_ZP</vt:lpstr>
      <vt:lpstr>v_5_NBP</vt:lpstr>
      <vt:lpstr>v_5_NBS</vt:lpstr>
      <vt:lpstr>v_5_NH3</vt:lpstr>
      <vt:lpstr>v_5_NO3</vt:lpstr>
      <vt:lpstr>v_5_NUS</vt:lpstr>
      <vt:lpstr>v_5_PO4</vt:lpstr>
      <vt:lpstr>v_5_PPP_HI</vt:lpstr>
      <vt:lpstr>v_5_PPP_LO</vt:lpstr>
      <vt:lpstr>v_5_SBSA</vt:lpstr>
      <vt:lpstr>v_5_SBSC</vt:lpstr>
      <vt:lpstr>v_5_SENM</vt:lpstr>
      <vt:lpstr>v_5_SH2</vt:lpstr>
      <vt:lpstr>v_5_SN2</vt:lpstr>
      <vt:lpstr>v_5_SO</vt:lpstr>
      <vt:lpstr>v_5_SPHB</vt:lpstr>
      <vt:lpstr>v_5_SUP</vt:lpstr>
      <vt:lpstr>v_5_SUS</vt:lpstr>
      <vt:lpstr>v_5_XINORG</vt:lpstr>
      <vt:lpstr>v_5_ZA</vt:lpstr>
      <vt:lpstr>v_5_ZE</vt:lpstr>
      <vt:lpstr>v_5_ZH</vt:lpstr>
      <vt:lpstr>v_5_ZP</vt:lpstr>
      <vt:lpstr>v_6_NBP</vt:lpstr>
      <vt:lpstr>v_6_NBS</vt:lpstr>
      <vt:lpstr>v_6_NH3</vt:lpstr>
      <vt:lpstr>v_6_NO3</vt:lpstr>
      <vt:lpstr>v_6_NUS</vt:lpstr>
      <vt:lpstr>v_6_PO4</vt:lpstr>
      <vt:lpstr>v_6_PPP_HI</vt:lpstr>
      <vt:lpstr>v_6_PPP_LO</vt:lpstr>
      <vt:lpstr>v_6_SBSA</vt:lpstr>
      <vt:lpstr>v_6_SBSC</vt:lpstr>
      <vt:lpstr>v_6_SENM</vt:lpstr>
      <vt:lpstr>v_6_SH2</vt:lpstr>
      <vt:lpstr>v_6_SN2</vt:lpstr>
      <vt:lpstr>v_6_SO</vt:lpstr>
      <vt:lpstr>v_6_SPHB</vt:lpstr>
      <vt:lpstr>v_6_SUP</vt:lpstr>
      <vt:lpstr>v_6_SUS</vt:lpstr>
      <vt:lpstr>v_6_XINORG</vt:lpstr>
      <vt:lpstr>v_6_ZA</vt:lpstr>
      <vt:lpstr>v_6_ZE</vt:lpstr>
      <vt:lpstr>v_6_ZH</vt:lpstr>
      <vt:lpstr>v_6_ZP</vt:lpstr>
      <vt:lpstr>v_7_NBP</vt:lpstr>
      <vt:lpstr>v_7_NBS</vt:lpstr>
      <vt:lpstr>v_7_NH3</vt:lpstr>
      <vt:lpstr>v_7_NO3</vt:lpstr>
      <vt:lpstr>v_7_NUS</vt:lpstr>
      <vt:lpstr>v_7_PO4</vt:lpstr>
      <vt:lpstr>v_7_PPP_HI</vt:lpstr>
      <vt:lpstr>v_7_PPP_LO</vt:lpstr>
      <vt:lpstr>v_7_SBSA</vt:lpstr>
      <vt:lpstr>v_7_SBSC</vt:lpstr>
      <vt:lpstr>v_7_SENM</vt:lpstr>
      <vt:lpstr>v_7_SH2</vt:lpstr>
      <vt:lpstr>v_7_SN2</vt:lpstr>
      <vt:lpstr>v_7_SO</vt:lpstr>
      <vt:lpstr>v_7_SPHB</vt:lpstr>
      <vt:lpstr>v_7_SUP</vt:lpstr>
      <vt:lpstr>v_7_SUS</vt:lpstr>
      <vt:lpstr>v_7_XINORG</vt:lpstr>
      <vt:lpstr>v_7_ZA</vt:lpstr>
      <vt:lpstr>v_7_ZE</vt:lpstr>
      <vt:lpstr>v_7_ZH</vt:lpstr>
      <vt:lpstr>v_7_ZP</vt:lpstr>
      <vt:lpstr>v_8_NBP</vt:lpstr>
      <vt:lpstr>v_8_NBS</vt:lpstr>
      <vt:lpstr>v_8_NH3</vt:lpstr>
      <vt:lpstr>v_8_NO3</vt:lpstr>
      <vt:lpstr>v_8_NUS</vt:lpstr>
      <vt:lpstr>v_8_PO4</vt:lpstr>
      <vt:lpstr>v_8_PPP_HI</vt:lpstr>
      <vt:lpstr>v_8_PPP_LO</vt:lpstr>
      <vt:lpstr>v_8_SBSA</vt:lpstr>
      <vt:lpstr>v_8_SBSC</vt:lpstr>
      <vt:lpstr>v_8_SENM</vt:lpstr>
      <vt:lpstr>v_8_SH2</vt:lpstr>
      <vt:lpstr>v_8_SN2</vt:lpstr>
      <vt:lpstr>v_8_SO</vt:lpstr>
      <vt:lpstr>v_8_SPHB</vt:lpstr>
      <vt:lpstr>v_8_SUP</vt:lpstr>
      <vt:lpstr>v_8_SUS</vt:lpstr>
      <vt:lpstr>v_8_XINORG</vt:lpstr>
      <vt:lpstr>v_8_ZA</vt:lpstr>
      <vt:lpstr>v_8_ZE</vt:lpstr>
      <vt:lpstr>v_8_ZH</vt:lpstr>
      <vt:lpstr>v_8_ZP</vt:lpstr>
      <vt:lpstr>v_9_NBP</vt:lpstr>
      <vt:lpstr>v_9_NBS</vt:lpstr>
      <vt:lpstr>v_9_NH3</vt:lpstr>
      <vt:lpstr>v_9_NO3</vt:lpstr>
      <vt:lpstr>v_9_NUS</vt:lpstr>
      <vt:lpstr>v_9_PO4</vt:lpstr>
      <vt:lpstr>v_9_PPP_HI</vt:lpstr>
      <vt:lpstr>v_9_PPP_LO</vt:lpstr>
      <vt:lpstr>v_9_SBSA</vt:lpstr>
      <vt:lpstr>v_9_SBSC</vt:lpstr>
      <vt:lpstr>v_9_SENM</vt:lpstr>
      <vt:lpstr>v_9_SH2</vt:lpstr>
      <vt:lpstr>v_9_SN2</vt:lpstr>
      <vt:lpstr>v_9_SO</vt:lpstr>
      <vt:lpstr>v_9_SPHB</vt:lpstr>
      <vt:lpstr>v_9_SUP</vt:lpstr>
      <vt:lpstr>v_9_SUS</vt:lpstr>
      <vt:lpstr>v_9_XINORG</vt:lpstr>
      <vt:lpstr>v_9_ZA</vt:lpstr>
      <vt:lpstr>v_9_ZE</vt:lpstr>
      <vt:lpstr>v_9_ZH</vt:lpstr>
      <vt:lpstr>v_9_ZP</vt:lpstr>
      <vt:lpstr>V_mol_N</vt:lpstr>
      <vt:lpstr>X_BOD_5</vt:lpstr>
      <vt:lpstr>X_BOD_ult</vt:lpstr>
      <vt:lpstr>X_COD</vt:lpstr>
      <vt:lpstr>X_DM</vt:lpstr>
      <vt:lpstr>X_INORG</vt:lpstr>
      <vt:lpstr>X_ISS</vt:lpstr>
      <vt:lpstr>X_TSS</vt:lpstr>
      <vt:lpstr>X_VSS</vt:lpstr>
      <vt:lpstr>Y_A</vt:lpstr>
      <vt:lpstr>Y_AC</vt:lpstr>
      <vt:lpstr>Y_H_AER</vt:lpstr>
      <vt:lpstr>Y_H_ANA</vt:lpstr>
      <vt:lpstr>Y_H_ANOX</vt:lpstr>
      <vt:lpstr>Y_P</vt:lpstr>
      <vt:lpstr>Y_PHB</vt:lpstr>
      <vt:lpstr>Z_A</vt:lpstr>
      <vt:lpstr>Z_E</vt:lpstr>
      <vt:lpstr>Z_H</vt:lpstr>
      <vt:lpstr>Z_P</vt:lpstr>
      <vt:lpstr>Δ_atm</vt:lpstr>
      <vt:lpstr>η_gro</vt:lpstr>
      <vt:lpstr>η_H2O</vt:lpstr>
      <vt:lpstr>η_p</vt:lpstr>
      <vt:lpstr>η_S_ANA</vt:lpstr>
      <vt:lpstr>η_S_ANOX</vt:lpstr>
      <vt:lpstr>κ__</vt:lpstr>
      <vt:lpstr>λ_H</vt:lpstr>
      <vt:lpstr>μ_A</vt:lpstr>
      <vt:lpstr>μ_H</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dcterms:created xsi:type="dcterms:W3CDTF">2006-09-16T00:00:00Z</dcterms:created>
  <dcterms:modified xsi:type="dcterms:W3CDTF">2023-09-05T13:44:14Z</dcterms:modified>
</cp:coreProperties>
</file>