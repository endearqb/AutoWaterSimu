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38295" yWindow="-105" windowWidth="38625" windowHeight="21360" tabRatio="815"/>
  </bookViews>
  <sheets>
    <sheet name="Help" sheetId="22" r:id="rId1"/>
    <sheet name="Parameters" sheetId="9" r:id="rId2"/>
    <sheet name="Model" sheetId="1" r:id="rId3"/>
    <sheet name="pH" sheetId="4" state="hidden" r:id="rId4"/>
    <sheet name="Tableau" sheetId="17" state="hidden" r:id="rId5"/>
    <sheet name="Components" sheetId="2" r:id="rId6"/>
    <sheet name="Algebraic model" sheetId="13" state="hidden" r:id="rId7"/>
    <sheet name="Expert knowledge" sheetId="14" state="hidden" r:id="rId8"/>
    <sheet name="Functions" sheetId="3" state="hidden" r:id="rId9"/>
    <sheet name="Calculated variables" sheetId="5" r:id="rId10"/>
    <sheet name="systemcode_constants" sheetId="23" state="hidden" r:id="rId11"/>
    <sheet name="systemcode_functions" sheetId="18"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A_dvanced">Parameters!$D$3</definedName>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variables'!$E$23</definedName>
    <definedName name="b_A">Parameters!$D$56</definedName>
    <definedName name="b_H">Parameters!$D$21</definedName>
    <definedName name="B_H2O">systemcode_constants!$D$44</definedName>
    <definedName name="b_PAO">Parameters!$D$39</definedName>
    <definedName name="b_PHA">Parameters!$D$43</definedName>
    <definedName name="b_PP">Parameters!$D$41</definedName>
    <definedName name="b_Sto">Parameters!$D$14</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Parameters!$D$116</definedName>
    <definedName name="f_CO2_air">systemcode_constants!$D$55</definedName>
    <definedName name="f_di_IS_an">systemcode_constants!$D$340</definedName>
    <definedName name="f_di_IS_cat">systemcode_constants!$D$339</definedName>
    <definedName name="f_mono_IS_an">systemcode_constants!$D$338</definedName>
    <definedName name="f_mono_IS_cat">systemcode_constants!$D$337</definedName>
    <definedName name="f_N2_air">systemcode_constants!$D$53</definedName>
    <definedName name="f_O2_air">systemcode_constants!$D$52</definedName>
    <definedName name="f_SI">Parameters!$D$77</definedName>
    <definedName name="f_tri_IS_an">systemcode_constants!$D$342</definedName>
    <definedName name="f_tri_IS_cat">systemcode_constants!$D$341</definedName>
    <definedName name="f_XI">Parameters!$D$78</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harge_SNHx">Parameters!$D$106</definedName>
    <definedName name="i_Charge_SNOx">Parameters!$D$107</definedName>
    <definedName name="i_Charge_SPO4">Parameters!$D$109</definedName>
    <definedName name="i_Charge_XPAO_PP">Parameters!$D$108</definedName>
    <definedName name="i_COD_N2">Parameters!$D$105</definedName>
    <definedName name="i_COD_NO3">Parameters!$D$104</definedName>
    <definedName name="i_CV">Parameters!$D$113</definedName>
    <definedName name="i_CV_SI">Parameters!$D$115</definedName>
    <definedName name="i_CV_SS">Parameters!$D$114</definedName>
    <definedName name="i_N_BM">Parameters!$D$86</definedName>
    <definedName name="i_N_SI">Parameters!$D$83</definedName>
    <definedName name="i_N_SS">Parameters!$D$82</definedName>
    <definedName name="i_N_XI">Parameters!$D$84</definedName>
    <definedName name="i_N_XS">Parameters!$D$85</definedName>
    <definedName name="i_NO3_N2">Parameters!$D$103</definedName>
    <definedName name="i_P_BM">Parameters!$D$91</definedName>
    <definedName name="i_P_SI">Parameters!$D$88</definedName>
    <definedName name="i_P_SS">Parameters!$D$87</definedName>
    <definedName name="i_P_XI">Parameters!$D$89</definedName>
    <definedName name="i_P_XS">Parameters!$D$90</definedName>
    <definedName name="i_TSS_BM">Parameters!$D$98</definedName>
    <definedName name="i_TSS_XI">Parameters!$D$95</definedName>
    <definedName name="i_TSS_XPP">Parameters!$D$99</definedName>
    <definedName name="i_TSS_XS">Parameters!$D$96</definedName>
    <definedName name="i_TSS_XSTO">Parameters!$D$97</definedName>
    <definedName name="K_Ac_param">systemcode_constants!$D$301</definedName>
    <definedName name="K_C1_param">systemcode_constants!$D$296</definedName>
    <definedName name="K_C2_param">systemcode_constants!$D$297</definedName>
    <definedName name="k_H">Parameters!$D$7</definedName>
    <definedName name="K_H2S_param">systemcode_constants!$D$306</definedName>
    <definedName name="K_HCO_A">Parameters!$D$61</definedName>
    <definedName name="K_HCO_H">Parameters!$D$27</definedName>
    <definedName name="K_HCO_PAO">Parameters!$D$51</definedName>
    <definedName name="K_iPP_PAO">Parameters!$D$35</definedName>
    <definedName name="K_max_PAO">Parameters!$D$34</definedName>
    <definedName name="K_NH_A">Parameters!$D$59</definedName>
    <definedName name="K_NH_H">Parameters!$D$25</definedName>
    <definedName name="K_NH_PAO">Parameters!$D$48</definedName>
    <definedName name="K_NH3_param">systemcode_constants!$D$294</definedName>
    <definedName name="K_NO_H">Parameters!$D$24</definedName>
    <definedName name="K_NO_PAO">Parameters!$D$47</definedName>
    <definedName name="K_NO2_param">systemcode_constants!$D$295</definedName>
    <definedName name="K_O_A">Parameters!$D$58</definedName>
    <definedName name="K_O_H">Parameters!$D$23</definedName>
    <definedName name="K_O_PAO">Parameters!$D$46</definedName>
    <definedName name="K_P1_param">systemcode_constants!$D$298</definedName>
    <definedName name="K_P2_param">systemcode_constants!$D$299</definedName>
    <definedName name="K_P3_param">systemcode_constants!$D$300</definedName>
    <definedName name="K_PHA">Parameters!$D$38</definedName>
    <definedName name="K_PO4_A">Parameters!$D$60</definedName>
    <definedName name="K_PO4_H">Parameters!$D$26</definedName>
    <definedName name="K_PO4_PAO">Parameters!$D$50</definedName>
    <definedName name="K_PO4_PP">Parameters!$D$49</definedName>
    <definedName name="K_PP_PAO">Parameters!$D$33</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SS_H">Parameters!$D$20</definedName>
    <definedName name="K_SS_PAO">Parameters!$D$45</definedName>
    <definedName name="k_STO">Parameters!$D$12</definedName>
    <definedName name="K_STO_H">Parameters!$D$13</definedName>
    <definedName name="K_W_param">systemcode_constants!$D$293</definedName>
    <definedName name="K_X">Parameters!$D$8</definedName>
    <definedName name="M_inhSO_KO_A">'Calculated variables'!$E$49</definedName>
    <definedName name="M_inhSO_KO_H">'Calculated variables'!$E$48</definedName>
    <definedName name="M_inhSO_KO_PAO">'Calculated variables'!$E$50</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RinhXPP_XPAO_KiPP_PAO">'Calculated variables'!$E$51</definedName>
    <definedName name="M_RsatXPHA_XPAO_KPHA">'Calculated variables'!$E$47</definedName>
    <definedName name="M_RsatXPP_XPAO_KPP_PAO">'Calculated variables'!$E$44</definedName>
    <definedName name="M_RsatXS_XH_KX">'Calculated variables'!$E$45</definedName>
    <definedName name="M_RsatXSTO_XH_KSTO_H">'Calculated variables'!$E$46</definedName>
    <definedName name="M_satSHCO_KHCO_A">'Calculated variables'!$E$34</definedName>
    <definedName name="M_satSHCO_KHCO_H">'Calculated variables'!$E$31</definedName>
    <definedName name="M_satSHCO_KHCO_PAO">'Calculated variables'!$E$36</definedName>
    <definedName name="M_satSNH4_KNH_A">'Calculated variables'!$E$33</definedName>
    <definedName name="M_satSNH4_KNH_H">'Calculated variables'!$E$30</definedName>
    <definedName name="M_satSNH4_KNH_PAO">'Calculated variables'!$E$39</definedName>
    <definedName name="M_satSNO_KNO_H">'Calculated variables'!$E$29</definedName>
    <definedName name="M_satSNO_KNO_PAO">'Calculated variables'!$E$38</definedName>
    <definedName name="M_satSO_KO_A">'Calculated variables'!$E$42</definedName>
    <definedName name="M_satSO_KO_H">'Calculated variables'!$E$28</definedName>
    <definedName name="M_satSO_KO_PAO">'Calculated variables'!$E$37</definedName>
    <definedName name="M_satSPO4_KPO4_A">'Calculated variables'!$E$35</definedName>
    <definedName name="M_satSPO4_KPO4_H">'Calculated variables'!$E$32</definedName>
    <definedName name="M_satSPO4_KPO4_PAO">'Calculated variables'!$E$40</definedName>
    <definedName name="M_satSPO4_KPO4_PP">'Calculated variables'!$E$41</definedName>
    <definedName name="M_satSS_KSS_H">'Calculated variables'!$E$27</definedName>
    <definedName name="M_satSS_KSS_PAO">'Calculated variables'!$E$43</definedName>
    <definedName name="N_UR">'Calculated variables'!$E$22</definedName>
    <definedName name="O_UR">'Calculated variables'!$E$21</definedName>
    <definedName name="p_i">systemcode_constants!$D$87</definedName>
    <definedName name="p_N">systemcode_constants!$D$58</definedName>
    <definedName name="p_St">systemcode_constants!$D$5</definedName>
    <definedName name="p_STP">systemcode_constants!$D$57</definedName>
    <definedName name="q_PHA">Parameters!$D$31</definedName>
    <definedName name="q_PP">Parameters!$D$32</definedName>
    <definedName name="R__">systemcode_constants!$D$73</definedName>
    <definedName name="r_1">Model!$V$40</definedName>
    <definedName name="r_10">Model!$V$49</definedName>
    <definedName name="r_11">Model!$V$50</definedName>
    <definedName name="r_12">Model!$V$51</definedName>
    <definedName name="r_13">Model!$V$52</definedName>
    <definedName name="r_14">Model!$V$53</definedName>
    <definedName name="r_15">Model!$V$54</definedName>
    <definedName name="r_16">Model!$V$55</definedName>
    <definedName name="r_17">Model!$V$56</definedName>
    <definedName name="r_18">Model!$V$57</definedName>
    <definedName name="r_19">Model!$V$58</definedName>
    <definedName name="r_2">Model!$V$41</definedName>
    <definedName name="r_20">Model!$V$59</definedName>
    <definedName name="r_21">Model!$V$60</definedName>
    <definedName name="r_22">Model!$V$61</definedName>
    <definedName name="r_23">Model!$V$62</definedName>
    <definedName name="r_3">Model!$V$42</definedName>
    <definedName name="r_4">Model!$V$43</definedName>
    <definedName name="r_5">Model!$V$44</definedName>
    <definedName name="r_6">Model!$V$45</definedName>
    <definedName name="r_7">Model!$V$46</definedName>
    <definedName name="r_8">Model!$V$47</definedName>
    <definedName name="r_9">Model!$V$48</definedName>
    <definedName name="R_air">systemcode_constants!$D$74</definedName>
    <definedName name="S_BOD_5">'Calculated variables'!$E$7</definedName>
    <definedName name="S_BOD_ult">'Calculated variables'!$E$4</definedName>
    <definedName name="S_COD">'Calculated variables'!$E$10</definedName>
    <definedName name="S_HCO">Components!$E$10</definedName>
    <definedName name="S_I">Components!$E$11</definedName>
    <definedName name="S_N2">Components!$E$8</definedName>
    <definedName name="S_NH4">Components!$E$6</definedName>
    <definedName name="S_NO">Components!$E$7</definedName>
    <definedName name="S_O">Components!$E$4</definedName>
    <definedName name="S_PO4">Components!$E$9</definedName>
    <definedName name="S_S">Components!$E$5</definedName>
    <definedName name="S_umo__pHEffects">'other parameters'!$D$7</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TP_K">systemcode_constants!$D$81</definedName>
    <definedName name="T_null">systemcode_constants!$D$4</definedName>
    <definedName name="T_st_K">systemcode_constants!$D$80</definedName>
    <definedName name="T_STP_K">systemcode_constants!$D$82</definedName>
    <definedName name="v_1_SHCO">Model!$K$40</definedName>
    <definedName name="v_1_SI">Model!$L$40</definedName>
    <definedName name="v_1_SN2">Model!$I$40</definedName>
    <definedName name="v_1_SNH4">Model!$G$40</definedName>
    <definedName name="v_1_SNO">Model!$H$40</definedName>
    <definedName name="v_1_SO">Model!$E$40</definedName>
    <definedName name="v_1_SPO4">Model!$J$40</definedName>
    <definedName name="v_1_SS">Model!$F$40</definedName>
    <definedName name="v_1_XA">Model!$T$40</definedName>
    <definedName name="v_1_XH">Model!$O$40</definedName>
    <definedName name="v_1_XI">Model!$M$40</definedName>
    <definedName name="v_1_XPAO">Model!$Q$40</definedName>
    <definedName name="v_1_XPHA">Model!$S$40</definedName>
    <definedName name="v_1_XPP">Model!$R$40</definedName>
    <definedName name="v_1_XS">Model!$N$40</definedName>
    <definedName name="v_1_XSTO">Model!$P$40</definedName>
    <definedName name="v_1_XTSS">Model!$U$40</definedName>
    <definedName name="v_10_SHCO">Model!$K$49</definedName>
    <definedName name="v_10_SI">Model!$L$49</definedName>
    <definedName name="v_10_SN2">Model!$I$49</definedName>
    <definedName name="v_10_SNH4">Model!$G$49</definedName>
    <definedName name="v_10_SNO">Model!$H$49</definedName>
    <definedName name="v_10_SO">Model!$E$49</definedName>
    <definedName name="v_10_SPO4">Model!$J$49</definedName>
    <definedName name="v_10_SS">Model!$F$49</definedName>
    <definedName name="v_10_XA">Model!$T$49</definedName>
    <definedName name="v_10_XH">Model!$O$49</definedName>
    <definedName name="v_10_XI">Model!$M$49</definedName>
    <definedName name="v_10_XPAO">Model!$Q$49</definedName>
    <definedName name="v_10_XPHA">Model!$S$49</definedName>
    <definedName name="v_10_XPP">Model!$R$49</definedName>
    <definedName name="v_10_XS">Model!$N$49</definedName>
    <definedName name="v_10_XSTO">Model!$P$49</definedName>
    <definedName name="v_10_XTSS">Model!$U$49</definedName>
    <definedName name="v_11_SHCO">Model!$K$50</definedName>
    <definedName name="v_11_SI">Model!$L$50</definedName>
    <definedName name="v_11_SN2">Model!$I$50</definedName>
    <definedName name="v_11_SNH4">Model!$G$50</definedName>
    <definedName name="v_11_SNO">Model!$H$50</definedName>
    <definedName name="v_11_SO">Model!$E$50</definedName>
    <definedName name="v_11_SPO4">Model!$J$50</definedName>
    <definedName name="v_11_SS">Model!$F$50</definedName>
    <definedName name="v_11_XA">Model!$T$50</definedName>
    <definedName name="v_11_XH">Model!$O$50</definedName>
    <definedName name="v_11_XI">Model!$M$50</definedName>
    <definedName name="v_11_XPAO">Model!$Q$50</definedName>
    <definedName name="v_11_XPHA">Model!$S$50</definedName>
    <definedName name="v_11_XPP">Model!$R$50</definedName>
    <definedName name="v_11_XS">Model!$N$50</definedName>
    <definedName name="v_11_XSTO">Model!$P$50</definedName>
    <definedName name="v_11_XTSS">Model!$U$50</definedName>
    <definedName name="v_12_SHCO">Model!$K$51</definedName>
    <definedName name="v_12_SI">Model!$L$51</definedName>
    <definedName name="v_12_SN2">Model!$I$51</definedName>
    <definedName name="v_12_SNH4">Model!$G$51</definedName>
    <definedName name="v_12_SNO">Model!$H$51</definedName>
    <definedName name="v_12_SO">Model!$E$51</definedName>
    <definedName name="v_12_SPO4">Model!$J$51</definedName>
    <definedName name="v_12_SS">Model!$F$51</definedName>
    <definedName name="v_12_XA">Model!$T$51</definedName>
    <definedName name="v_12_XH">Model!$O$51</definedName>
    <definedName name="v_12_XI">Model!$M$51</definedName>
    <definedName name="v_12_XPAO">Model!$Q$51</definedName>
    <definedName name="v_12_XPHA">Model!$S$51</definedName>
    <definedName name="v_12_XPP">Model!$R$51</definedName>
    <definedName name="v_12_XS">Model!$N$51</definedName>
    <definedName name="v_12_XSTO">Model!$P$51</definedName>
    <definedName name="v_12_XTSS">Model!$U$51</definedName>
    <definedName name="v_13_SHCO">Model!$K$52</definedName>
    <definedName name="v_13_SI">Model!$L$52</definedName>
    <definedName name="v_13_SN2">Model!$I$52</definedName>
    <definedName name="v_13_SNH4">Model!$G$52</definedName>
    <definedName name="v_13_SNO">Model!$H$52</definedName>
    <definedName name="v_13_SO">Model!$E$52</definedName>
    <definedName name="v_13_SPO4">Model!$J$52</definedName>
    <definedName name="v_13_SS">Model!$F$52</definedName>
    <definedName name="v_13_XA">Model!$T$52</definedName>
    <definedName name="v_13_XH">Model!$O$52</definedName>
    <definedName name="v_13_XI">Model!$M$52</definedName>
    <definedName name="v_13_XPAO">Model!$Q$52</definedName>
    <definedName name="v_13_XPHA">Model!$S$52</definedName>
    <definedName name="v_13_XPP">Model!$R$52</definedName>
    <definedName name="v_13_XS">Model!$N$52</definedName>
    <definedName name="v_13_XSTO">Model!$P$52</definedName>
    <definedName name="v_13_XTSS">Model!$U$52</definedName>
    <definedName name="v_14_SHCO">Model!$K$53</definedName>
    <definedName name="v_14_SI">Model!$L$53</definedName>
    <definedName name="v_14_SN2">Model!$I$53</definedName>
    <definedName name="v_14_SNH4">Model!$G$53</definedName>
    <definedName name="v_14_SNO">Model!$H$53</definedName>
    <definedName name="v_14_SO">Model!$E$53</definedName>
    <definedName name="v_14_SPO4">Model!$J$53</definedName>
    <definedName name="v_14_SS">Model!$F$53</definedName>
    <definedName name="v_14_XA">Model!$T$53</definedName>
    <definedName name="v_14_XH">Model!$O$53</definedName>
    <definedName name="v_14_XI">Model!$M$53</definedName>
    <definedName name="v_14_XPAO">Model!$Q$53</definedName>
    <definedName name="v_14_XPHA">Model!$S$53</definedName>
    <definedName name="v_14_XPP">Model!$R$53</definedName>
    <definedName name="v_14_XS">Model!$N$53</definedName>
    <definedName name="v_14_XSTO">Model!$P$53</definedName>
    <definedName name="v_14_XTSS">Model!$U$53</definedName>
    <definedName name="v_15_SHCO">Model!$K$54</definedName>
    <definedName name="v_15_SI">Model!$L$54</definedName>
    <definedName name="v_15_SN2">Model!$I$54</definedName>
    <definedName name="v_15_SNH4">Model!$G$54</definedName>
    <definedName name="v_15_SNO">Model!$H$54</definedName>
    <definedName name="v_15_SO">Model!$E$54</definedName>
    <definedName name="v_15_SPO4">Model!$J$54</definedName>
    <definedName name="v_15_SS">Model!$F$54</definedName>
    <definedName name="v_15_XA">Model!$T$54</definedName>
    <definedName name="v_15_XH">Model!$O$54</definedName>
    <definedName name="v_15_XI">Model!$M$54</definedName>
    <definedName name="v_15_XPAO">Model!$Q$54</definedName>
    <definedName name="v_15_XPHA">Model!$S$54</definedName>
    <definedName name="v_15_XPP">Model!$R$54</definedName>
    <definedName name="v_15_XS">Model!$N$54</definedName>
    <definedName name="v_15_XSTO">Model!$P$54</definedName>
    <definedName name="v_15_XTSS">Model!$U$54</definedName>
    <definedName name="v_16_SHCO">Model!$K$55</definedName>
    <definedName name="v_16_SI">Model!$L$55</definedName>
    <definedName name="v_16_SN2">Model!$I$55</definedName>
    <definedName name="v_16_SNH4">Model!$G$55</definedName>
    <definedName name="v_16_SNO">Model!$H$55</definedName>
    <definedName name="v_16_SO">Model!$E$55</definedName>
    <definedName name="v_16_SPO4">Model!$J$55</definedName>
    <definedName name="v_16_SS">Model!$F$55</definedName>
    <definedName name="v_16_XA">Model!$T$55</definedName>
    <definedName name="v_16_XH">Model!$O$55</definedName>
    <definedName name="v_16_XI">Model!$M$55</definedName>
    <definedName name="v_16_XPAO">Model!$Q$55</definedName>
    <definedName name="v_16_XPHA">Model!$S$55</definedName>
    <definedName name="v_16_XPP">Model!$R$55</definedName>
    <definedName name="v_16_XS">Model!$N$55</definedName>
    <definedName name="v_16_XSTO">Model!$P$55</definedName>
    <definedName name="v_16_XTSS">Model!$U$55</definedName>
    <definedName name="v_17_SHCO">Model!$K$56</definedName>
    <definedName name="v_17_SI">Model!$L$56</definedName>
    <definedName name="v_17_SN2">Model!$I$56</definedName>
    <definedName name="v_17_SNH4">Model!$G$56</definedName>
    <definedName name="v_17_SNO">Model!$H$56</definedName>
    <definedName name="v_17_SO">Model!$E$56</definedName>
    <definedName name="v_17_SPO4">Model!$J$56</definedName>
    <definedName name="v_17_SS">Model!$F$56</definedName>
    <definedName name="v_17_XA">Model!$T$56</definedName>
    <definedName name="v_17_XH">Model!$O$56</definedName>
    <definedName name="v_17_XI">Model!$M$56</definedName>
    <definedName name="v_17_XPAO">Model!$Q$56</definedName>
    <definedName name="v_17_XPHA">Model!$S$56</definedName>
    <definedName name="v_17_XPP">Model!$R$56</definedName>
    <definedName name="v_17_XS">Model!$N$56</definedName>
    <definedName name="v_17_XSTO">Model!$P$56</definedName>
    <definedName name="v_17_XTSS">Model!$U$56</definedName>
    <definedName name="v_18_SHCO">Model!$K$57</definedName>
    <definedName name="v_18_SI">Model!$L$57</definedName>
    <definedName name="v_18_SN2">Model!$I$57</definedName>
    <definedName name="v_18_SNH4">Model!$G$57</definedName>
    <definedName name="v_18_SNO">Model!$H$57</definedName>
    <definedName name="v_18_SO">Model!$E$57</definedName>
    <definedName name="v_18_SPO4">Model!$J$57</definedName>
    <definedName name="v_18_SS">Model!$F$57</definedName>
    <definedName name="v_18_XA">Model!$T$57</definedName>
    <definedName name="v_18_XH">Model!$O$57</definedName>
    <definedName name="v_18_XI">Model!$M$57</definedName>
    <definedName name="v_18_XPAO">Model!$Q$57</definedName>
    <definedName name="v_18_XPHA">Model!$S$57</definedName>
    <definedName name="v_18_XPP">Model!$R$57</definedName>
    <definedName name="v_18_XS">Model!$N$57</definedName>
    <definedName name="v_18_XSTO">Model!$P$57</definedName>
    <definedName name="v_18_XTSS">Model!$U$57</definedName>
    <definedName name="v_19_SHCO">Model!$K$58</definedName>
    <definedName name="v_19_SI">Model!$L$58</definedName>
    <definedName name="v_19_SN2">Model!$I$58</definedName>
    <definedName name="v_19_SNH4">Model!$G$58</definedName>
    <definedName name="v_19_SNO">Model!$H$58</definedName>
    <definedName name="v_19_SO">Model!$E$58</definedName>
    <definedName name="v_19_SPO4">Model!$J$58</definedName>
    <definedName name="v_19_SS">Model!$F$58</definedName>
    <definedName name="v_19_XA">Model!$T$58</definedName>
    <definedName name="v_19_XH">Model!$O$58</definedName>
    <definedName name="v_19_XI">Model!$M$58</definedName>
    <definedName name="v_19_XPAO">Model!$Q$58</definedName>
    <definedName name="v_19_XPHA">Model!$S$58</definedName>
    <definedName name="v_19_XPP">Model!$R$58</definedName>
    <definedName name="v_19_XS">Model!$N$58</definedName>
    <definedName name="v_19_XSTO">Model!$P$58</definedName>
    <definedName name="v_19_XTSS">Model!$U$58</definedName>
    <definedName name="v_2_SHCO">Model!$K$41</definedName>
    <definedName name="v_2_SI">Model!$L$41</definedName>
    <definedName name="v_2_SN2">Model!$I$41</definedName>
    <definedName name="v_2_SNH4">Model!$G$41</definedName>
    <definedName name="v_2_SNO">Model!$H$41</definedName>
    <definedName name="v_2_SO">Model!$E$41</definedName>
    <definedName name="v_2_SPO4">Model!$J$41</definedName>
    <definedName name="v_2_SS">Model!$F$41</definedName>
    <definedName name="v_2_XA">Model!$T$41</definedName>
    <definedName name="v_2_XH">Model!$O$41</definedName>
    <definedName name="v_2_XI">Model!$M$41</definedName>
    <definedName name="v_2_XPAO">Model!$Q$41</definedName>
    <definedName name="v_2_XPHA">Model!$S$41</definedName>
    <definedName name="v_2_XPP">Model!$R$41</definedName>
    <definedName name="v_2_XS">Model!$N$41</definedName>
    <definedName name="v_2_XSTO">Model!$P$41</definedName>
    <definedName name="v_2_XTSS">Model!$U$41</definedName>
    <definedName name="v_20_SHCO">Model!$K$59</definedName>
    <definedName name="v_20_SI">Model!$L$59</definedName>
    <definedName name="v_20_SN2">Model!$I$59</definedName>
    <definedName name="v_20_SNH4">Model!$G$59</definedName>
    <definedName name="v_20_SNO">Model!$H$59</definedName>
    <definedName name="v_20_SO">Model!$E$59</definedName>
    <definedName name="v_20_SPO4">Model!$J$59</definedName>
    <definedName name="v_20_SS">Model!$F$59</definedName>
    <definedName name="v_20_XA">Model!$T$59</definedName>
    <definedName name="v_20_XH">Model!$O$59</definedName>
    <definedName name="v_20_XI">Model!$M$59</definedName>
    <definedName name="v_20_XPAO">Model!$Q$59</definedName>
    <definedName name="v_20_XPHA">Model!$S$59</definedName>
    <definedName name="v_20_XPP">Model!$R$59</definedName>
    <definedName name="v_20_XS">Model!$N$59</definedName>
    <definedName name="v_20_XSTO">Model!$P$59</definedName>
    <definedName name="v_20_XTSS">Model!$U$59</definedName>
    <definedName name="v_21_SHCO">Model!$K$60</definedName>
    <definedName name="v_21_SI">Model!$L$60</definedName>
    <definedName name="v_21_SN2">Model!$I$60</definedName>
    <definedName name="v_21_SNH4">Model!$G$60</definedName>
    <definedName name="v_21_SNO">Model!$H$60</definedName>
    <definedName name="v_21_SO">Model!$E$60</definedName>
    <definedName name="v_21_SPO4">Model!$J$60</definedName>
    <definedName name="v_21_SS">Model!$F$60</definedName>
    <definedName name="v_21_XA">Model!$T$60</definedName>
    <definedName name="v_21_XH">Model!$O$60</definedName>
    <definedName name="v_21_XI">Model!$M$60</definedName>
    <definedName name="v_21_XPAO">Model!$Q$60</definedName>
    <definedName name="v_21_XPHA">Model!$S$60</definedName>
    <definedName name="v_21_XPP">Model!$R$60</definedName>
    <definedName name="v_21_XS">Model!$N$60</definedName>
    <definedName name="v_21_XSTO">Model!$P$60</definedName>
    <definedName name="v_21_XTSS">Model!$U$60</definedName>
    <definedName name="v_22_SHCO">Model!$K$61</definedName>
    <definedName name="v_22_SI">Model!$L$61</definedName>
    <definedName name="v_22_SN2">Model!$I$61</definedName>
    <definedName name="v_22_SNH4">Model!$G$61</definedName>
    <definedName name="v_22_SNO">Model!$H$61</definedName>
    <definedName name="v_22_SO">Model!$E$61</definedName>
    <definedName name="v_22_SPO4">Model!$J$61</definedName>
    <definedName name="v_22_SS">Model!$F$61</definedName>
    <definedName name="v_22_XA">Model!$T$61</definedName>
    <definedName name="v_22_XH">Model!$O$61</definedName>
    <definedName name="v_22_XI">Model!$M$61</definedName>
    <definedName name="v_22_XPAO">Model!$Q$61</definedName>
    <definedName name="v_22_XPHA">Model!$S$61</definedName>
    <definedName name="v_22_XPP">Model!$R$61</definedName>
    <definedName name="v_22_XS">Model!$N$61</definedName>
    <definedName name="v_22_XSTO">Model!$P$61</definedName>
    <definedName name="v_22_XTSS">Model!$U$61</definedName>
    <definedName name="v_23_SHCO">Model!$K$62</definedName>
    <definedName name="v_23_SI">Model!$L$62</definedName>
    <definedName name="v_23_SN2">Model!$I$62</definedName>
    <definedName name="v_23_SNH4">Model!$G$62</definedName>
    <definedName name="v_23_SNO">Model!$H$62</definedName>
    <definedName name="v_23_SO">Model!$E$62</definedName>
    <definedName name="v_23_SPO4">Model!$J$62</definedName>
    <definedName name="v_23_SS">Model!$F$62</definedName>
    <definedName name="v_23_XA">Model!$T$62</definedName>
    <definedName name="v_23_XH">Model!$O$62</definedName>
    <definedName name="v_23_XI">Model!$M$62</definedName>
    <definedName name="v_23_XPAO">Model!$Q$62</definedName>
    <definedName name="v_23_XPHA">Model!$S$62</definedName>
    <definedName name="v_23_XPP">Model!$R$62</definedName>
    <definedName name="v_23_XS">Model!$N$62</definedName>
    <definedName name="v_23_XSTO">Model!$P$62</definedName>
    <definedName name="v_23_XTSS">Model!$U$62</definedName>
    <definedName name="v_3_SHCO">Model!$K$42</definedName>
    <definedName name="v_3_SI">Model!$L$42</definedName>
    <definedName name="v_3_SN2">Model!$I$42</definedName>
    <definedName name="v_3_SNH4">Model!$G$42</definedName>
    <definedName name="v_3_SNO">Model!$H$42</definedName>
    <definedName name="v_3_SO">Model!$E$42</definedName>
    <definedName name="v_3_SPO4">Model!$J$42</definedName>
    <definedName name="v_3_SS">Model!$F$42</definedName>
    <definedName name="v_3_XA">Model!$T$42</definedName>
    <definedName name="v_3_XH">Model!$O$42</definedName>
    <definedName name="v_3_XI">Model!$M$42</definedName>
    <definedName name="v_3_XPAO">Model!$Q$42</definedName>
    <definedName name="v_3_XPHA">Model!$S$42</definedName>
    <definedName name="v_3_XPP">Model!$R$42</definedName>
    <definedName name="v_3_XS">Model!$N$42</definedName>
    <definedName name="v_3_XSTO">Model!$P$42</definedName>
    <definedName name="v_3_XTSS">Model!$U$42</definedName>
    <definedName name="v_4_SHCO">Model!$K$43</definedName>
    <definedName name="v_4_SI">Model!$L$43</definedName>
    <definedName name="v_4_SN2">Model!$I$43</definedName>
    <definedName name="v_4_SNH4">Model!$G$43</definedName>
    <definedName name="v_4_SNO">Model!$H$43</definedName>
    <definedName name="v_4_SO">Model!$E$43</definedName>
    <definedName name="v_4_SPO4">Model!$J$43</definedName>
    <definedName name="v_4_SS">Model!$F$43</definedName>
    <definedName name="v_4_XA">Model!$T$43</definedName>
    <definedName name="v_4_XH">Model!$O$43</definedName>
    <definedName name="v_4_XI">Model!$M$43</definedName>
    <definedName name="v_4_XPAO">Model!$Q$43</definedName>
    <definedName name="v_4_XPHA">Model!$S$43</definedName>
    <definedName name="v_4_XPP">Model!$R$43</definedName>
    <definedName name="v_4_XS">Model!$N$43</definedName>
    <definedName name="v_4_XSTO">Model!$P$43</definedName>
    <definedName name="v_4_XTSS">Model!$U$43</definedName>
    <definedName name="v_5_SHCO">Model!$K$44</definedName>
    <definedName name="v_5_SI">Model!$L$44</definedName>
    <definedName name="v_5_SN2">Model!$I$44</definedName>
    <definedName name="v_5_SNH4">Model!$G$44</definedName>
    <definedName name="v_5_SNO">Model!$H$44</definedName>
    <definedName name="v_5_SO">Model!$E$44</definedName>
    <definedName name="v_5_SPO4">Model!$J$44</definedName>
    <definedName name="v_5_SS">Model!$F$44</definedName>
    <definedName name="v_5_XA">Model!$T$44</definedName>
    <definedName name="v_5_XH">Model!$O$44</definedName>
    <definedName name="v_5_XI">Model!$M$44</definedName>
    <definedName name="v_5_XPAO">Model!$Q$44</definedName>
    <definedName name="v_5_XPHA">Model!$S$44</definedName>
    <definedName name="v_5_XPP">Model!$R$44</definedName>
    <definedName name="v_5_XS">Model!$N$44</definedName>
    <definedName name="v_5_XSTO">Model!$P$44</definedName>
    <definedName name="v_5_XTSS">Model!$U$44</definedName>
    <definedName name="v_6_SHCO">Model!$K$45</definedName>
    <definedName name="v_6_SI">Model!$L$45</definedName>
    <definedName name="v_6_SN2">Model!$I$45</definedName>
    <definedName name="v_6_SNH4">Model!$G$45</definedName>
    <definedName name="v_6_SNO">Model!$H$45</definedName>
    <definedName name="v_6_SO">Model!$E$45</definedName>
    <definedName name="v_6_SPO4">Model!$J$45</definedName>
    <definedName name="v_6_SS">Model!$F$45</definedName>
    <definedName name="v_6_XA">Model!$T$45</definedName>
    <definedName name="v_6_XH">Model!$O$45</definedName>
    <definedName name="v_6_XI">Model!$M$45</definedName>
    <definedName name="v_6_XPAO">Model!$Q$45</definedName>
    <definedName name="v_6_XPHA">Model!$S$45</definedName>
    <definedName name="v_6_XPP">Model!$R$45</definedName>
    <definedName name="v_6_XS">Model!$N$45</definedName>
    <definedName name="v_6_XSTO">Model!$P$45</definedName>
    <definedName name="v_6_XTSS">Model!$U$45</definedName>
    <definedName name="v_7_SHCO">Model!$K$46</definedName>
    <definedName name="v_7_SI">Model!$L$46</definedName>
    <definedName name="v_7_SN2">Model!$I$46</definedName>
    <definedName name="v_7_SNH4">Model!$G$46</definedName>
    <definedName name="v_7_SNO">Model!$H$46</definedName>
    <definedName name="v_7_SO">Model!$E$46</definedName>
    <definedName name="v_7_SPO4">Model!$J$46</definedName>
    <definedName name="v_7_SS">Model!$F$46</definedName>
    <definedName name="v_7_XA">Model!$T$46</definedName>
    <definedName name="v_7_XH">Model!$O$46</definedName>
    <definedName name="v_7_XI">Model!$M$46</definedName>
    <definedName name="v_7_XPAO">Model!$Q$46</definedName>
    <definedName name="v_7_XPHA">Model!$S$46</definedName>
    <definedName name="v_7_XPP">Model!$R$46</definedName>
    <definedName name="v_7_XS">Model!$N$46</definedName>
    <definedName name="v_7_XSTO">Model!$P$46</definedName>
    <definedName name="v_7_XTSS">Model!$U$46</definedName>
    <definedName name="v_8_SHCO">Model!$K$47</definedName>
    <definedName name="v_8_SI">Model!$L$47</definedName>
    <definedName name="v_8_SN2">Model!$I$47</definedName>
    <definedName name="v_8_SNH4">Model!$G$47</definedName>
    <definedName name="v_8_SNO">Model!$H$47</definedName>
    <definedName name="v_8_SO">Model!$E$47</definedName>
    <definedName name="v_8_SPO4">Model!$J$47</definedName>
    <definedName name="v_8_SS">Model!$F$47</definedName>
    <definedName name="v_8_XA">Model!$T$47</definedName>
    <definedName name="v_8_XH">Model!$O$47</definedName>
    <definedName name="v_8_XI">Model!$M$47</definedName>
    <definedName name="v_8_XPAO">Model!$Q$47</definedName>
    <definedName name="v_8_XPHA">Model!$S$47</definedName>
    <definedName name="v_8_XPP">Model!$R$47</definedName>
    <definedName name="v_8_XS">Model!$N$47</definedName>
    <definedName name="v_8_XSTO">Model!$P$47</definedName>
    <definedName name="v_8_XTSS">Model!$U$47</definedName>
    <definedName name="v_9_SHCO">Model!$K$48</definedName>
    <definedName name="v_9_SI">Model!$L$48</definedName>
    <definedName name="v_9_SN2">Model!$I$48</definedName>
    <definedName name="v_9_SNH4">Model!$G$48</definedName>
    <definedName name="v_9_SNO">Model!$H$48</definedName>
    <definedName name="v_9_SO">Model!$E$48</definedName>
    <definedName name="v_9_SPO4">Model!$J$48</definedName>
    <definedName name="v_9_SS">Model!$F$48</definedName>
    <definedName name="v_9_XA">Model!$T$48</definedName>
    <definedName name="v_9_XH">Model!$O$48</definedName>
    <definedName name="v_9_XI">Model!$M$48</definedName>
    <definedName name="v_9_XPAO">Model!$Q$48</definedName>
    <definedName name="v_9_XPHA">Model!$S$48</definedName>
    <definedName name="v_9_XPP">Model!$R$48</definedName>
    <definedName name="v_9_XS">Model!$N$48</definedName>
    <definedName name="v_9_XSTO">Model!$P$48</definedName>
    <definedName name="v_9_XTSS">Model!$U$48</definedName>
    <definedName name="V_mol_N">systemcode_constants!$D$75</definedName>
    <definedName name="X_A">Components!$E$19</definedName>
    <definedName name="X_BOD_5">'Calculated variables'!$E$8</definedName>
    <definedName name="X_BOD_ult">'Calculated variables'!$E$5</definedName>
    <definedName name="X_COD">'Calculated variables'!$E$11</definedName>
    <definedName name="X_DM">'Calculated variables'!$E$17</definedName>
    <definedName name="X_H">Components!$E$14</definedName>
    <definedName name="X_I">Components!$E$12</definedName>
    <definedName name="X_ISS">'Calculated variables'!$E$16</definedName>
    <definedName name="X_PAO">Components!$E$16</definedName>
    <definedName name="X_PHA">Components!$E$18</definedName>
    <definedName name="X_PP">Components!$E$17</definedName>
    <definedName name="X_S">Components!$E$13</definedName>
    <definedName name="X_STO">Components!$E$15</definedName>
    <definedName name="X_TSS">Components!$E$20</definedName>
    <definedName name="X_VSS">'Calculated variables'!$E$15</definedName>
    <definedName name="Y_AUT">Parameters!$D$73</definedName>
    <definedName name="Y_H_NO">Parameters!$D$66</definedName>
    <definedName name="Y_H_O2">Parameters!$D$65</definedName>
    <definedName name="Y_PAO_NO">Parameters!$D$70</definedName>
    <definedName name="Y_PAO_O2">Parameters!$D$69</definedName>
    <definedName name="Y_PHA">Parameters!$D$71</definedName>
    <definedName name="Y_PO4">Parameters!$D$72</definedName>
    <definedName name="Y_STO_NO">Parameters!$D$68</definedName>
    <definedName name="Y_STO_O2">Parameters!$D$67</definedName>
    <definedName name="Δ_atm">systemcode_constants!$D$69</definedName>
    <definedName name="η_H2O">systemcode_constants!$D$48</definedName>
    <definedName name="η_NO_end_A">Parameters!$D$57</definedName>
    <definedName name="η_NO_end_H">Parameters!$D$22</definedName>
    <definedName name="η_NO_end_PAO">Parameters!$D$40</definedName>
    <definedName name="η_NO_H">Parameters!$D$19</definedName>
    <definedName name="η_NO_lys_PP">Parameters!$D$42</definedName>
    <definedName name="η_NO_PAO">Parameters!$D$37</definedName>
    <definedName name="η_NO_resp_PHA">Parameters!$D$44</definedName>
    <definedName name="κ__">systemcode_constants!$D$76</definedName>
    <definedName name="λ_H">systemcode_constants!$D$350</definedName>
    <definedName name="μ_A">Parameters!$D$55</definedName>
    <definedName name="μ_H">Parameters!$D$18</definedName>
    <definedName name="μ_PAO">Parameters!$D$36</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1" i="5" l="1"/>
  <c r="E50" i="5"/>
  <c r="E49" i="5"/>
  <c r="E48" i="5"/>
  <c r="E47" i="5"/>
  <c r="E46" i="5"/>
  <c r="E45" i="5"/>
  <c r="E44" i="5"/>
  <c r="E43" i="5"/>
  <c r="E42" i="5"/>
  <c r="E41" i="5"/>
  <c r="E40" i="5"/>
  <c r="E39" i="5"/>
  <c r="E38" i="5"/>
  <c r="E37" i="5"/>
  <c r="V53" i="1" s="1"/>
  <c r="E36" i="5"/>
  <c r="E35" i="5"/>
  <c r="E34" i="5"/>
  <c r="E33" i="5"/>
  <c r="E32" i="5"/>
  <c r="E31" i="5"/>
  <c r="E30" i="5"/>
  <c r="E29" i="5"/>
  <c r="E28" i="5"/>
  <c r="E27" i="5"/>
  <c r="E17" i="5"/>
  <c r="E16" i="5"/>
  <c r="E15" i="5"/>
  <c r="E14" i="5"/>
  <c r="E13" i="5"/>
  <c r="E12" i="5"/>
  <c r="E11" i="5"/>
  <c r="E10" i="5"/>
  <c r="E9" i="5"/>
  <c r="E8" i="5"/>
  <c r="E7" i="5"/>
  <c r="E6" i="5"/>
  <c r="E5" i="5"/>
  <c r="E4" i="5"/>
  <c r="AB62" i="1"/>
  <c r="AA62" i="1"/>
  <c r="Z62" i="1"/>
  <c r="Y62" i="1"/>
  <c r="X62" i="1"/>
  <c r="AB61" i="1"/>
  <c r="AA61" i="1"/>
  <c r="Z61" i="1"/>
  <c r="Y61" i="1"/>
  <c r="X61" i="1"/>
  <c r="AB60" i="1"/>
  <c r="AA60" i="1"/>
  <c r="Z60" i="1"/>
  <c r="Y60" i="1"/>
  <c r="X60" i="1"/>
  <c r="AB59" i="1"/>
  <c r="AA59" i="1"/>
  <c r="Z59" i="1"/>
  <c r="Y59" i="1"/>
  <c r="X59" i="1"/>
  <c r="AB58" i="1"/>
  <c r="AA58" i="1"/>
  <c r="Z58" i="1"/>
  <c r="Y58" i="1"/>
  <c r="X58" i="1"/>
  <c r="AB57" i="1"/>
  <c r="AA57" i="1"/>
  <c r="Z57" i="1"/>
  <c r="Y57" i="1"/>
  <c r="X57" i="1"/>
  <c r="AB56" i="1"/>
  <c r="AA56" i="1"/>
  <c r="Z56" i="1"/>
  <c r="Y56" i="1"/>
  <c r="X56" i="1"/>
  <c r="AB55" i="1"/>
  <c r="AA55" i="1"/>
  <c r="Z55" i="1"/>
  <c r="Y55" i="1"/>
  <c r="X55" i="1"/>
  <c r="AB54" i="1"/>
  <c r="AA54" i="1"/>
  <c r="Z54" i="1"/>
  <c r="Y54" i="1"/>
  <c r="X54" i="1"/>
  <c r="AB53" i="1"/>
  <c r="AA53" i="1"/>
  <c r="Z53" i="1"/>
  <c r="Y53" i="1"/>
  <c r="X53" i="1"/>
  <c r="AB52" i="1"/>
  <c r="AA52" i="1"/>
  <c r="Z52" i="1"/>
  <c r="Y52" i="1"/>
  <c r="X52" i="1"/>
  <c r="AB51" i="1"/>
  <c r="AA51" i="1"/>
  <c r="Z51" i="1"/>
  <c r="Y51" i="1"/>
  <c r="X51" i="1"/>
  <c r="AB50" i="1"/>
  <c r="AA50" i="1"/>
  <c r="Z50" i="1"/>
  <c r="Y50" i="1"/>
  <c r="X50" i="1"/>
  <c r="AB49" i="1"/>
  <c r="AA49" i="1"/>
  <c r="Z49" i="1"/>
  <c r="Y49" i="1"/>
  <c r="X49" i="1"/>
  <c r="AB48" i="1"/>
  <c r="AA48" i="1"/>
  <c r="Z48" i="1"/>
  <c r="Y48" i="1"/>
  <c r="X48" i="1"/>
  <c r="AB47" i="1"/>
  <c r="AA47" i="1"/>
  <c r="Z47" i="1"/>
  <c r="Y47" i="1"/>
  <c r="X47" i="1"/>
  <c r="AB46" i="1"/>
  <c r="AA46" i="1"/>
  <c r="Z46" i="1"/>
  <c r="Y46" i="1"/>
  <c r="X46" i="1"/>
  <c r="AB45" i="1"/>
  <c r="AA45" i="1"/>
  <c r="Z45" i="1"/>
  <c r="Y45" i="1"/>
  <c r="X45" i="1"/>
  <c r="AB44" i="1"/>
  <c r="AA44" i="1"/>
  <c r="Z44" i="1"/>
  <c r="Y44" i="1"/>
  <c r="X44" i="1"/>
  <c r="AB43" i="1"/>
  <c r="AA43" i="1"/>
  <c r="Z43" i="1"/>
  <c r="Y43" i="1"/>
  <c r="X43" i="1"/>
  <c r="AB42" i="1"/>
  <c r="AA42" i="1"/>
  <c r="Z42" i="1"/>
  <c r="Y42" i="1"/>
  <c r="X42" i="1"/>
  <c r="AB41" i="1"/>
  <c r="AA41" i="1"/>
  <c r="Z41" i="1"/>
  <c r="Y41" i="1"/>
  <c r="X41" i="1"/>
  <c r="AB40" i="1"/>
  <c r="AA40" i="1"/>
  <c r="Z40" i="1"/>
  <c r="Y40" i="1"/>
  <c r="X40" i="1"/>
  <c r="T70" i="1"/>
  <c r="S70" i="1"/>
  <c r="R70" i="1"/>
  <c r="Q70" i="1"/>
  <c r="P70" i="1"/>
  <c r="O70" i="1"/>
  <c r="N70" i="1"/>
  <c r="M70" i="1"/>
  <c r="R69" i="1"/>
  <c r="J69" i="1"/>
  <c r="H69" i="1"/>
  <c r="G69" i="1"/>
  <c r="T68" i="1"/>
  <c r="Q68" i="1"/>
  <c r="O68" i="1"/>
  <c r="N68" i="1"/>
  <c r="M68" i="1"/>
  <c r="L68" i="1"/>
  <c r="F68" i="1"/>
  <c r="T67" i="1"/>
  <c r="Q67" i="1"/>
  <c r="O67" i="1"/>
  <c r="N67" i="1"/>
  <c r="M67" i="1"/>
  <c r="L67" i="1"/>
  <c r="F67" i="1"/>
  <c r="I66" i="1"/>
  <c r="H66" i="1"/>
  <c r="V62" i="1"/>
  <c r="V61" i="1"/>
  <c r="V60" i="1"/>
  <c r="V59" i="1"/>
  <c r="V58" i="1"/>
  <c r="V57" i="1"/>
  <c r="V56" i="1"/>
  <c r="V54" i="1"/>
  <c r="V52" i="1"/>
  <c r="V51" i="1"/>
  <c r="V50" i="1"/>
  <c r="V49" i="1"/>
  <c r="V48" i="1"/>
  <c r="V47" i="1"/>
  <c r="V46" i="1"/>
  <c r="V45" i="1"/>
  <c r="V42" i="1"/>
  <c r="V41" i="1"/>
  <c r="V40" i="1"/>
  <c r="U62" i="1"/>
  <c r="U61" i="1"/>
  <c r="U60" i="1"/>
  <c r="U59" i="1"/>
  <c r="U58" i="1"/>
  <c r="U57" i="1"/>
  <c r="U56" i="1"/>
  <c r="U55" i="1"/>
  <c r="U54" i="1"/>
  <c r="U53" i="1"/>
  <c r="U52" i="1"/>
  <c r="U51" i="1"/>
  <c r="U50" i="1"/>
  <c r="U49" i="1"/>
  <c r="U48" i="1"/>
  <c r="U47" i="1"/>
  <c r="U46" i="1"/>
  <c r="U45" i="1"/>
  <c r="U44" i="1"/>
  <c r="U43" i="1"/>
  <c r="U42" i="1"/>
  <c r="U41" i="1"/>
  <c r="U40" i="1"/>
  <c r="T62" i="1"/>
  <c r="T61" i="1"/>
  <c r="T60" i="1"/>
  <c r="T59" i="1"/>
  <c r="T58" i="1"/>
  <c r="T57" i="1"/>
  <c r="T56" i="1"/>
  <c r="T55" i="1"/>
  <c r="T54" i="1"/>
  <c r="T53" i="1"/>
  <c r="T52" i="1"/>
  <c r="T51" i="1"/>
  <c r="T50" i="1"/>
  <c r="T49" i="1"/>
  <c r="T48" i="1"/>
  <c r="T47" i="1"/>
  <c r="T46" i="1"/>
  <c r="T45" i="1"/>
  <c r="T44" i="1"/>
  <c r="T43" i="1"/>
  <c r="T42" i="1"/>
  <c r="T41" i="1"/>
  <c r="T40" i="1"/>
  <c r="S62" i="1"/>
  <c r="S61" i="1"/>
  <c r="S60" i="1"/>
  <c r="S59" i="1"/>
  <c r="S58" i="1"/>
  <c r="S57" i="1"/>
  <c r="S56" i="1"/>
  <c r="S55" i="1"/>
  <c r="S54" i="1"/>
  <c r="S53" i="1"/>
  <c r="S52" i="1"/>
  <c r="S51" i="1"/>
  <c r="S50" i="1"/>
  <c r="S49" i="1"/>
  <c r="S48" i="1"/>
  <c r="S47" i="1"/>
  <c r="S46" i="1"/>
  <c r="S45" i="1"/>
  <c r="S44" i="1"/>
  <c r="S43" i="1"/>
  <c r="S42" i="1"/>
  <c r="S41" i="1"/>
  <c r="S40" i="1"/>
  <c r="R62" i="1"/>
  <c r="R61" i="1"/>
  <c r="R60" i="1"/>
  <c r="R59" i="1"/>
  <c r="R58" i="1"/>
  <c r="R57" i="1"/>
  <c r="R56" i="1"/>
  <c r="R55" i="1"/>
  <c r="R54" i="1"/>
  <c r="R53" i="1"/>
  <c r="R52" i="1"/>
  <c r="R51" i="1"/>
  <c r="R50" i="1"/>
  <c r="R49" i="1"/>
  <c r="R48" i="1"/>
  <c r="R47" i="1"/>
  <c r="R46" i="1"/>
  <c r="R45" i="1"/>
  <c r="R44" i="1"/>
  <c r="R43" i="1"/>
  <c r="R42" i="1"/>
  <c r="R41" i="1"/>
  <c r="R40" i="1"/>
  <c r="Q62" i="1"/>
  <c r="Q61" i="1"/>
  <c r="Q60" i="1"/>
  <c r="Q59" i="1"/>
  <c r="Q58" i="1"/>
  <c r="Q57" i="1"/>
  <c r="Q56" i="1"/>
  <c r="Q55" i="1"/>
  <c r="Q54" i="1"/>
  <c r="Q53" i="1"/>
  <c r="Q52" i="1"/>
  <c r="Q51" i="1"/>
  <c r="Q50" i="1"/>
  <c r="Q49" i="1"/>
  <c r="Q48" i="1"/>
  <c r="Q47" i="1"/>
  <c r="Q46" i="1"/>
  <c r="Q45" i="1"/>
  <c r="Q44" i="1"/>
  <c r="Q43" i="1"/>
  <c r="Q42" i="1"/>
  <c r="Q41" i="1"/>
  <c r="Q40" i="1"/>
  <c r="P62" i="1"/>
  <c r="P61" i="1"/>
  <c r="P60" i="1"/>
  <c r="P59" i="1"/>
  <c r="P58" i="1"/>
  <c r="P57" i="1"/>
  <c r="P56" i="1"/>
  <c r="P55" i="1"/>
  <c r="P54" i="1"/>
  <c r="P53" i="1"/>
  <c r="P52" i="1"/>
  <c r="P51" i="1"/>
  <c r="P50" i="1"/>
  <c r="P49" i="1"/>
  <c r="P48" i="1"/>
  <c r="P47" i="1"/>
  <c r="P46" i="1"/>
  <c r="P45" i="1"/>
  <c r="P44" i="1"/>
  <c r="P43" i="1"/>
  <c r="P42" i="1"/>
  <c r="P41" i="1"/>
  <c r="P40" i="1"/>
  <c r="O62" i="1"/>
  <c r="O61" i="1"/>
  <c r="O60" i="1"/>
  <c r="O59" i="1"/>
  <c r="O58" i="1"/>
  <c r="O57" i="1"/>
  <c r="O56" i="1"/>
  <c r="O55" i="1"/>
  <c r="O54" i="1"/>
  <c r="O53" i="1"/>
  <c r="O52" i="1"/>
  <c r="O51" i="1"/>
  <c r="O50" i="1"/>
  <c r="O49" i="1"/>
  <c r="O48" i="1"/>
  <c r="O47" i="1"/>
  <c r="O46" i="1"/>
  <c r="O45" i="1"/>
  <c r="O44" i="1"/>
  <c r="O43" i="1"/>
  <c r="O42" i="1"/>
  <c r="O41" i="1"/>
  <c r="O40" i="1"/>
  <c r="N62" i="1"/>
  <c r="N61" i="1"/>
  <c r="N60" i="1"/>
  <c r="N59" i="1"/>
  <c r="N58" i="1"/>
  <c r="N57" i="1"/>
  <c r="N56" i="1"/>
  <c r="N55" i="1"/>
  <c r="N54" i="1"/>
  <c r="N53" i="1"/>
  <c r="N52" i="1"/>
  <c r="N51" i="1"/>
  <c r="N50" i="1"/>
  <c r="N49" i="1"/>
  <c r="N48" i="1"/>
  <c r="N47" i="1"/>
  <c r="N46" i="1"/>
  <c r="N45" i="1"/>
  <c r="N44" i="1"/>
  <c r="N43" i="1"/>
  <c r="N42" i="1"/>
  <c r="N41" i="1"/>
  <c r="N40" i="1"/>
  <c r="M62" i="1"/>
  <c r="M61" i="1"/>
  <c r="M60" i="1"/>
  <c r="M59" i="1"/>
  <c r="M58" i="1"/>
  <c r="M57" i="1"/>
  <c r="M56" i="1"/>
  <c r="M55" i="1"/>
  <c r="M54" i="1"/>
  <c r="M53" i="1"/>
  <c r="M52" i="1"/>
  <c r="M51" i="1"/>
  <c r="M50" i="1"/>
  <c r="M49" i="1"/>
  <c r="M48" i="1"/>
  <c r="M47" i="1"/>
  <c r="M46" i="1"/>
  <c r="M45" i="1"/>
  <c r="M44" i="1"/>
  <c r="M43" i="1"/>
  <c r="M42" i="1"/>
  <c r="M41" i="1"/>
  <c r="M40" i="1"/>
  <c r="L62" i="1"/>
  <c r="L61" i="1"/>
  <c r="L60" i="1"/>
  <c r="L59" i="1"/>
  <c r="L58" i="1"/>
  <c r="L57" i="1"/>
  <c r="L56" i="1"/>
  <c r="L55" i="1"/>
  <c r="L54" i="1"/>
  <c r="L53" i="1"/>
  <c r="L52" i="1"/>
  <c r="L51" i="1"/>
  <c r="L50" i="1"/>
  <c r="L49" i="1"/>
  <c r="L48" i="1"/>
  <c r="L47" i="1"/>
  <c r="L46" i="1"/>
  <c r="L45" i="1"/>
  <c r="L44" i="1"/>
  <c r="L43" i="1"/>
  <c r="L42" i="1"/>
  <c r="L41" i="1"/>
  <c r="L40" i="1"/>
  <c r="K62" i="1"/>
  <c r="K61" i="1"/>
  <c r="K60" i="1"/>
  <c r="K59" i="1"/>
  <c r="K58" i="1"/>
  <c r="K57" i="1"/>
  <c r="K56" i="1"/>
  <c r="K55" i="1"/>
  <c r="K54" i="1"/>
  <c r="K53" i="1"/>
  <c r="K52" i="1"/>
  <c r="K51" i="1"/>
  <c r="K50" i="1"/>
  <c r="K49" i="1"/>
  <c r="K48" i="1"/>
  <c r="K47" i="1"/>
  <c r="K46" i="1"/>
  <c r="K45" i="1"/>
  <c r="K44" i="1"/>
  <c r="K43" i="1"/>
  <c r="K42" i="1"/>
  <c r="K41" i="1"/>
  <c r="K40" i="1"/>
  <c r="J62" i="1"/>
  <c r="J61" i="1"/>
  <c r="J60" i="1"/>
  <c r="J59" i="1"/>
  <c r="J58" i="1"/>
  <c r="J57" i="1"/>
  <c r="J56" i="1"/>
  <c r="J55" i="1"/>
  <c r="J54" i="1"/>
  <c r="J53" i="1"/>
  <c r="J52" i="1"/>
  <c r="J51" i="1"/>
  <c r="J50" i="1"/>
  <c r="J49" i="1"/>
  <c r="J48" i="1"/>
  <c r="J47" i="1"/>
  <c r="J46" i="1"/>
  <c r="J45" i="1"/>
  <c r="J44" i="1"/>
  <c r="J43" i="1"/>
  <c r="J42" i="1"/>
  <c r="J41" i="1"/>
  <c r="J40" i="1"/>
  <c r="I62" i="1"/>
  <c r="I61" i="1"/>
  <c r="I60" i="1"/>
  <c r="I59" i="1"/>
  <c r="I58" i="1"/>
  <c r="I57" i="1"/>
  <c r="I56" i="1"/>
  <c r="I55" i="1"/>
  <c r="I54" i="1"/>
  <c r="I53" i="1"/>
  <c r="I52" i="1"/>
  <c r="I51" i="1"/>
  <c r="I50" i="1"/>
  <c r="I49" i="1"/>
  <c r="I48" i="1"/>
  <c r="I47" i="1"/>
  <c r="I46" i="1"/>
  <c r="I45" i="1"/>
  <c r="I44" i="1"/>
  <c r="I43" i="1"/>
  <c r="I42" i="1"/>
  <c r="I41" i="1"/>
  <c r="I40" i="1"/>
  <c r="H62" i="1"/>
  <c r="H61" i="1"/>
  <c r="H60" i="1"/>
  <c r="H59" i="1"/>
  <c r="H58" i="1"/>
  <c r="H57" i="1"/>
  <c r="H56" i="1"/>
  <c r="H55" i="1"/>
  <c r="H54" i="1"/>
  <c r="H53" i="1"/>
  <c r="H52" i="1"/>
  <c r="H51" i="1"/>
  <c r="H50" i="1"/>
  <c r="H49" i="1"/>
  <c r="H48" i="1"/>
  <c r="H47" i="1"/>
  <c r="H46" i="1"/>
  <c r="H45" i="1"/>
  <c r="H44" i="1"/>
  <c r="H43" i="1"/>
  <c r="H42" i="1"/>
  <c r="H41" i="1"/>
  <c r="H40" i="1"/>
  <c r="G62" i="1"/>
  <c r="G61" i="1"/>
  <c r="G60" i="1"/>
  <c r="G59" i="1"/>
  <c r="G58" i="1"/>
  <c r="G57" i="1"/>
  <c r="G56" i="1"/>
  <c r="G55" i="1"/>
  <c r="G54" i="1"/>
  <c r="G53" i="1"/>
  <c r="G52" i="1"/>
  <c r="G51" i="1"/>
  <c r="G50" i="1"/>
  <c r="G49" i="1"/>
  <c r="G48" i="1"/>
  <c r="G47" i="1"/>
  <c r="G46" i="1"/>
  <c r="G45" i="1"/>
  <c r="G44" i="1"/>
  <c r="G43" i="1"/>
  <c r="G42" i="1"/>
  <c r="G41" i="1"/>
  <c r="G40" i="1"/>
  <c r="F62" i="1"/>
  <c r="F61" i="1"/>
  <c r="F60" i="1"/>
  <c r="F59" i="1"/>
  <c r="F58" i="1"/>
  <c r="F57" i="1"/>
  <c r="F56" i="1"/>
  <c r="F55" i="1"/>
  <c r="F54" i="1"/>
  <c r="F53" i="1"/>
  <c r="F52" i="1"/>
  <c r="F51" i="1"/>
  <c r="F50" i="1"/>
  <c r="F49" i="1"/>
  <c r="F48" i="1"/>
  <c r="F47" i="1"/>
  <c r="F46" i="1"/>
  <c r="F45" i="1"/>
  <c r="F44" i="1"/>
  <c r="F43" i="1"/>
  <c r="F42" i="1"/>
  <c r="F41" i="1"/>
  <c r="F40" i="1"/>
  <c r="E62" i="1"/>
  <c r="E61" i="1"/>
  <c r="E60" i="1"/>
  <c r="E59" i="1"/>
  <c r="E58" i="1"/>
  <c r="E57" i="1"/>
  <c r="E56" i="1"/>
  <c r="E55" i="1"/>
  <c r="E54" i="1"/>
  <c r="E53" i="1"/>
  <c r="E52" i="1"/>
  <c r="E51" i="1"/>
  <c r="E50" i="1"/>
  <c r="E49" i="1"/>
  <c r="E48" i="1"/>
  <c r="E47" i="1"/>
  <c r="E46" i="1"/>
  <c r="E45" i="1"/>
  <c r="E44" i="1"/>
  <c r="E43" i="1"/>
  <c r="E42" i="1"/>
  <c r="E41" i="1"/>
  <c r="E40" i="1"/>
  <c r="V43" i="1" l="1"/>
  <c r="V55" i="1"/>
  <c r="V44" i="1"/>
  <c r="E22" i="5"/>
  <c r="E23" i="5"/>
  <c r="E21" i="5"/>
  <c r="L422" i="23" l="1"/>
  <c r="L421" i="23"/>
  <c r="L420" i="23"/>
  <c r="L419" i="23"/>
  <c r="L418" i="23"/>
  <c r="L417" i="23"/>
  <c r="L416" i="23"/>
  <c r="L415" i="23"/>
  <c r="L414" i="23"/>
  <c r="L413" i="23"/>
  <c r="L412" i="23"/>
  <c r="L411" i="23"/>
  <c r="L410" i="23"/>
  <c r="D333" i="23"/>
  <c r="D332" i="23"/>
  <c r="D331" i="23"/>
  <c r="D330" i="23"/>
  <c r="D329" i="23"/>
  <c r="D328" i="23"/>
  <c r="D327" i="23"/>
  <c r="D326" i="23"/>
  <c r="D325" i="23"/>
  <c r="D324" i="23"/>
  <c r="D323" i="23"/>
  <c r="D322" i="23"/>
  <c r="D321" i="23"/>
  <c r="D320" i="23"/>
  <c r="D316" i="23"/>
  <c r="D314" i="23"/>
  <c r="D310" i="23"/>
  <c r="D306" i="23"/>
  <c r="D305" i="23"/>
  <c r="D304" i="23"/>
  <c r="D303" i="23"/>
  <c r="D302" i="23"/>
  <c r="D301" i="23"/>
  <c r="D300" i="23"/>
  <c r="D299" i="23"/>
  <c r="D298" i="23"/>
  <c r="D297" i="23"/>
  <c r="D296" i="23"/>
  <c r="D295" i="23"/>
  <c r="D294" i="23"/>
  <c r="D293" i="23"/>
  <c r="D289" i="23"/>
  <c r="D288" i="23"/>
  <c r="D286" i="23"/>
  <c r="D284" i="23"/>
  <c r="D283" i="23"/>
  <c r="D282" i="23"/>
  <c r="D281" i="23"/>
  <c r="D277" i="23"/>
  <c r="D276" i="23"/>
  <c r="D275" i="23"/>
  <c r="D274" i="23"/>
  <c r="D273" i="23"/>
  <c r="D272" i="23"/>
  <c r="D271" i="23"/>
  <c r="D270" i="23"/>
  <c r="D269" i="23"/>
  <c r="D268" i="23"/>
  <c r="D267" i="23"/>
  <c r="D266" i="23"/>
  <c r="D265" i="23"/>
  <c r="D264" i="23"/>
  <c r="D263" i="23"/>
  <c r="D262" i="23"/>
  <c r="D261" i="23"/>
  <c r="D260" i="23"/>
  <c r="D259" i="23"/>
  <c r="D258" i="23"/>
  <c r="D257" i="23"/>
  <c r="D256" i="23"/>
  <c r="D255" i="23"/>
  <c r="D254" i="23"/>
  <c r="D253" i="23"/>
  <c r="D251" i="23"/>
  <c r="D248" i="23"/>
  <c r="D247" i="23"/>
  <c r="D246" i="23"/>
  <c r="D245" i="23"/>
  <c r="D244" i="23"/>
  <c r="D243" i="23"/>
  <c r="D242" i="23"/>
  <c r="D241" i="23"/>
  <c r="D240" i="23"/>
  <c r="D239" i="23"/>
  <c r="D238" i="23"/>
  <c r="D237" i="23"/>
  <c r="D236" i="23"/>
  <c r="D235" i="23"/>
  <c r="D234" i="23"/>
  <c r="D233" i="23"/>
  <c r="D232" i="23"/>
  <c r="D231" i="23"/>
  <c r="D230" i="23"/>
  <c r="D229" i="23"/>
  <c r="D228" i="23"/>
  <c r="D227" i="23"/>
  <c r="D226" i="23"/>
  <c r="D225" i="23"/>
  <c r="D249" i="23" s="1"/>
  <c r="D221" i="23"/>
  <c r="D220" i="23"/>
  <c r="D219" i="23"/>
  <c r="D218" i="23"/>
  <c r="D217" i="23"/>
  <c r="D216" i="23"/>
  <c r="D215" i="23"/>
  <c r="D214" i="23"/>
  <c r="D213" i="23"/>
  <c r="D75" i="23"/>
  <c r="D48" i="23"/>
  <c r="D33" i="23"/>
  <c r="D250" i="23" l="1"/>
  <c r="D252" i="23"/>
</calcChain>
</file>

<file path=xl/comments1.xml><?xml version="1.0" encoding="utf-8"?>
<comments xmlns="http://schemas.openxmlformats.org/spreadsheetml/2006/main">
  <authors>
    <author>Szerző</author>
  </authors>
  <commentList>
    <comment ref="D28" authorId="0" shapeId="0">
      <text>
        <r>
          <rPr>
            <sz val="9"/>
            <color indexed="81"/>
            <rFont val="Tahoma"/>
            <family val="2"/>
          </rPr>
          <t>COD, N, P, O, H, Charge, etc)</t>
        </r>
      </text>
    </comment>
    <comment ref="D65" authorId="0" shapeId="0">
      <text>
        <r>
          <rPr>
            <sz val="9"/>
            <color indexed="81"/>
            <rFont val="Tahoma"/>
            <family val="2"/>
          </rPr>
          <t>COD, N, P, O, H, Charge, etc)</t>
        </r>
      </text>
    </comment>
  </commentList>
</comments>
</file>

<file path=xl/sharedStrings.xml><?xml version="1.0" encoding="utf-8"?>
<sst xmlns="http://schemas.openxmlformats.org/spreadsheetml/2006/main" count="3376" uniqueCount="1872">
  <si>
    <t>Symbol</t>
  </si>
  <si>
    <t>Name</t>
  </si>
  <si>
    <t>Unit</t>
  </si>
  <si>
    <t>Handling</t>
  </si>
  <si>
    <t>Expression</t>
  </si>
  <si>
    <t>Elemental composition</t>
  </si>
  <si>
    <t>Chemical formula</t>
  </si>
  <si>
    <t>State variables</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</si>
  <si>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</si>
  <si>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</si>
  <si>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</si>
  <si>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</si>
  <si>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</si>
  <si>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</si>
  <si>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</si>
  <si>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</si>
  <si>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</si>
  <si>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</si>
  <si>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</si>
  <si>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</si>
  <si>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</si>
  <si>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</si>
  <si>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</si>
  <si>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</si>
  <si>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</si>
  <si>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</si>
  <si>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</si>
  <si>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</si>
  <si>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</si>
  <si>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</si>
  <si>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</si>
  <si>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</si>
  <si>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</si>
  <si>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</si>
  <si>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</si>
  <si>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</si>
  <si>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</si>
  <si>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</si>
  <si>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</si>
  <si>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</si>
  <si>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</si>
  <si>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</si>
  <si>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</si>
  <si>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</si>
  <si>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</si>
  <si>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</si>
  <si>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</si>
  <si>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</si>
  <si>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</si>
  <si>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</si>
  <si>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</si>
  <si>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</si>
  <si>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</si>
  <si>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</si>
  <si>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</si>
  <si>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</si>
  <si>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</si>
  <si>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</si>
  <si>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</si>
  <si>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</si>
  <si>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</si>
  <si>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</si>
  <si>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</si>
  <si>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</si>
  <si>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</si>
  <si>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</si>
  <si>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</si>
  <si>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</si>
  <si>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</si>
  <si>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</si>
  <si>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</si>
  <si>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</si>
  <si>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</si>
  <si>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</si>
  <si>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</si>
  <si>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</si>
  <si>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</si>
  <si>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</si>
  <si>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</si>
  <si>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</si>
  <si>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</si>
  <si>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</si>
  <si>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</si>
  <si>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</si>
  <si>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</si>
  <si>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</si>
  <si>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</si>
  <si>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</si>
  <si>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</si>
  <si>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</si>
  <si>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</si>
  <si>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</si>
  <si>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</si>
  <si>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</si>
  <si>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</si>
  <si>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</si>
  <si>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</si>
  <si>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</si>
  <si>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</si>
  <si>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</si>
  <si>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</si>
  <si>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</si>
  <si>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</si>
  <si>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</si>
  <si>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</si>
  <si>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</si>
  <si>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</si>
  <si>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</si>
  <si>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</si>
  <si>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</si>
  <si>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</si>
  <si>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</si>
  <si>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</si>
  <si>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</si>
  <si>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</si>
  <si>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</si>
  <si>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</si>
  <si>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</si>
  <si>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</si>
  <si>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</si>
  <si>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</si>
  <si>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</si>
  <si>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</si>
  <si>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</si>
  <si>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</si>
  <si>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</si>
  <si>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</si>
  <si>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</si>
  <si>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</si>
  <si>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</si>
  <si>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</si>
  <si>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</si>
  <si>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</si>
  <si>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</si>
  <si>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</si>
  <si>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</si>
  <si>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</si>
  <si>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</si>
  <si>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</si>
  <si>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</si>
  <si>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</si>
  <si>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</si>
  <si>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</si>
  <si>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</si>
  <si>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</si>
  <si>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</si>
  <si>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</si>
  <si>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</si>
  <si>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</si>
  <si>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</si>
  <si>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</si>
  <si>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</si>
  <si>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</si>
  <si>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</si>
  <si>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</si>
  <si>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</si>
  <si>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</si>
  <si>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</si>
  <si>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</si>
  <si>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</si>
  <si>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</si>
  <si>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</si>
  <si>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</si>
  <si>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</si>
  <si>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</si>
  <si>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</si>
  <si>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</si>
  <si>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</si>
  <si>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</si>
  <si>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</si>
  <si>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</si>
  <si>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</si>
  <si>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</si>
  <si>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</si>
  <si>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</si>
  <si>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</si>
  <si>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</si>
  <si>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</si>
  <si>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</si>
  <si>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</si>
  <si>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</si>
  <si>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</si>
  <si>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</si>
  <si>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</si>
  <si>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</si>
  <si>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</si>
  <si>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</si>
  <si>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</si>
  <si>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</si>
  <si>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</si>
  <si>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</si>
  <si>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</si>
  <si>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</si>
  <si>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</si>
  <si>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</si>
  <si>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</si>
  <si>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</si>
  <si>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</si>
  <si>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</si>
  <si>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</si>
  <si>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</si>
  <si>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</si>
  <si>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</si>
  <si>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</si>
  <si>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</si>
  <si>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</si>
  <si>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</si>
  <si>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</si>
  <si>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</si>
  <si>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</si>
  <si>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</si>
  <si>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</si>
  <si>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</si>
  <si>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ASM3_BioP</t>
  </si>
  <si>
    <t>Maximum specific hydrolysis rate</t>
  </si>
  <si>
    <t>12.5</t>
  </si>
  <si>
    <t>-</t>
  </si>
  <si>
    <t>0.3</t>
  </si>
  <si>
    <t>6</t>
  </si>
  <si>
    <t>1.5</t>
  </si>
  <si>
    <t>0.2</t>
  </si>
  <si>
    <t>10</t>
  </si>
  <si>
    <r>
      <t>f</t>
    </r>
    <r>
      <rPr>
        <vertAlign val="subscript"/>
        <sz val="12"/>
        <rFont val="Arial"/>
        <family val="2"/>
      </rPr>
      <t>SI</t>
    </r>
  </si>
  <si>
    <t>Fraction of inert COD generated in hydrolysis</t>
  </si>
  <si>
    <r>
      <t>Y</t>
    </r>
    <r>
      <rPr>
        <vertAlign val="subscript"/>
        <sz val="12"/>
        <rFont val="Arial"/>
        <family val="2"/>
      </rPr>
      <t>STO,O2</t>
    </r>
  </si>
  <si>
    <r>
      <t>f</t>
    </r>
    <r>
      <rPr>
        <vertAlign val="subscript"/>
        <sz val="12"/>
        <rFont val="Arial"/>
        <family val="2"/>
      </rPr>
      <t>XI</t>
    </r>
  </si>
  <si>
    <r>
      <t>i</t>
    </r>
    <r>
      <rPr>
        <vertAlign val="subscript"/>
        <sz val="12"/>
        <rFont val="Arial"/>
        <family val="2"/>
      </rPr>
      <t>N,SS</t>
    </r>
  </si>
  <si>
    <r>
      <t>i</t>
    </r>
    <r>
      <rPr>
        <vertAlign val="subscript"/>
        <sz val="12"/>
        <rFont val="Arial"/>
        <family val="2"/>
      </rPr>
      <t>N,SI</t>
    </r>
  </si>
  <si>
    <r>
      <t>i</t>
    </r>
    <r>
      <rPr>
        <vertAlign val="subscript"/>
        <sz val="12"/>
        <rFont val="Arial"/>
        <family val="2"/>
      </rPr>
      <t>N,XI</t>
    </r>
  </si>
  <si>
    <r>
      <t>i</t>
    </r>
    <r>
      <rPr>
        <vertAlign val="subscript"/>
        <sz val="12"/>
        <rFont val="Arial"/>
        <family val="2"/>
      </rPr>
      <t>N,XS</t>
    </r>
  </si>
  <si>
    <r>
      <t>i</t>
    </r>
    <r>
      <rPr>
        <vertAlign val="subscript"/>
        <sz val="12"/>
        <rFont val="Arial"/>
        <family val="2"/>
      </rPr>
      <t>N,BM</t>
    </r>
  </si>
  <si>
    <r>
      <t>i</t>
    </r>
    <r>
      <rPr>
        <vertAlign val="subscript"/>
        <sz val="12"/>
        <rFont val="Arial"/>
        <family val="2"/>
      </rPr>
      <t>P,SS</t>
    </r>
  </si>
  <si>
    <r>
      <t>i</t>
    </r>
    <r>
      <rPr>
        <vertAlign val="subscript"/>
        <sz val="12"/>
        <rFont val="Arial"/>
        <family val="2"/>
      </rPr>
      <t>P,SI</t>
    </r>
  </si>
  <si>
    <r>
      <t>i</t>
    </r>
    <r>
      <rPr>
        <vertAlign val="subscript"/>
        <sz val="12"/>
        <rFont val="Arial"/>
        <family val="2"/>
      </rPr>
      <t>P,XI</t>
    </r>
  </si>
  <si>
    <r>
      <t>i</t>
    </r>
    <r>
      <rPr>
        <vertAlign val="subscript"/>
        <sz val="12"/>
        <rFont val="Arial"/>
        <family val="2"/>
      </rPr>
      <t>P,XS</t>
    </r>
  </si>
  <si>
    <r>
      <t>i</t>
    </r>
    <r>
      <rPr>
        <vertAlign val="subscript"/>
        <sz val="12"/>
        <rFont val="Arial"/>
        <family val="2"/>
      </rPr>
      <t>P,BM</t>
    </r>
  </si>
  <si>
    <r>
      <t>i</t>
    </r>
    <r>
      <rPr>
        <vertAlign val="subscript"/>
        <sz val="12"/>
        <rFont val="Arial"/>
        <family val="2"/>
      </rPr>
      <t>TSS,XI</t>
    </r>
  </si>
  <si>
    <r>
      <t>i</t>
    </r>
    <r>
      <rPr>
        <vertAlign val="subscript"/>
        <sz val="12"/>
        <rFont val="Arial"/>
        <family val="2"/>
      </rPr>
      <t>TSS,XS</t>
    </r>
  </si>
  <si>
    <r>
      <t>i</t>
    </r>
    <r>
      <rPr>
        <vertAlign val="subscript"/>
        <sz val="12"/>
        <rFont val="Arial"/>
        <family val="2"/>
      </rPr>
      <t>TSS,XSTO</t>
    </r>
  </si>
  <si>
    <r>
      <t>i</t>
    </r>
    <r>
      <rPr>
        <vertAlign val="subscript"/>
        <sz val="12"/>
        <rFont val="Arial"/>
        <family val="2"/>
      </rPr>
      <t>TSS,BM</t>
    </r>
  </si>
  <si>
    <t>Conversion factor biomass into TSS</t>
  </si>
  <si>
    <r>
      <t>i</t>
    </r>
    <r>
      <rPr>
        <vertAlign val="subscript"/>
        <sz val="12"/>
        <rFont val="Arial"/>
        <family val="2"/>
      </rPr>
      <t>TSS,XPP</t>
    </r>
  </si>
  <si>
    <r>
      <t>i</t>
    </r>
    <r>
      <rPr>
        <vertAlign val="subscript"/>
        <sz val="12"/>
        <rFont val="Arial"/>
        <family val="2"/>
      </rPr>
      <t>COD_NO3</t>
    </r>
  </si>
  <si>
    <r>
      <t>i</t>
    </r>
    <r>
      <rPr>
        <vertAlign val="subscript"/>
        <sz val="12"/>
        <rFont val="Arial"/>
        <family val="2"/>
      </rPr>
      <t>COD_N2</t>
    </r>
  </si>
  <si>
    <r>
      <t>i</t>
    </r>
    <r>
      <rPr>
        <vertAlign val="subscript"/>
        <sz val="12"/>
        <rFont val="Arial"/>
        <family val="2"/>
      </rPr>
      <t>Charge_SNHx</t>
    </r>
  </si>
  <si>
    <r>
      <t>i</t>
    </r>
    <r>
      <rPr>
        <vertAlign val="subscript"/>
        <sz val="12"/>
        <rFont val="Arial"/>
        <family val="2"/>
      </rPr>
      <t>Charge_SNOx</t>
    </r>
  </si>
  <si>
    <r>
      <t>i</t>
    </r>
    <r>
      <rPr>
        <vertAlign val="subscript"/>
        <sz val="12"/>
        <rFont val="Arial"/>
        <family val="2"/>
      </rPr>
      <t>Charge_XPAO,PP</t>
    </r>
  </si>
  <si>
    <r>
      <t>i</t>
    </r>
    <r>
      <rPr>
        <vertAlign val="subscript"/>
        <sz val="12"/>
        <rFont val="Arial"/>
        <family val="2"/>
      </rPr>
      <t>Charge_SPO4</t>
    </r>
  </si>
  <si>
    <t>Particulate COD to VSS ratio</t>
  </si>
  <si>
    <r>
      <t>S</t>
    </r>
    <r>
      <rPr>
        <b/>
        <vertAlign val="subscript"/>
        <sz val="12"/>
        <rFont val="Arial"/>
        <family val="2"/>
      </rPr>
      <t>S</t>
    </r>
  </si>
  <si>
    <r>
      <t>S</t>
    </r>
    <r>
      <rPr>
        <b/>
        <vertAlign val="subscript"/>
        <sz val="12"/>
        <rFont val="Arial"/>
        <family val="2"/>
      </rPr>
      <t>NH4</t>
    </r>
  </si>
  <si>
    <r>
      <t>S</t>
    </r>
    <r>
      <rPr>
        <b/>
        <vertAlign val="subscript"/>
        <sz val="12"/>
        <rFont val="Arial"/>
        <family val="2"/>
      </rPr>
      <t>N2</t>
    </r>
  </si>
  <si>
    <r>
      <t>S</t>
    </r>
    <r>
      <rPr>
        <b/>
        <vertAlign val="subscript"/>
        <sz val="12"/>
        <rFont val="Arial"/>
        <family val="2"/>
      </rPr>
      <t>PO4</t>
    </r>
  </si>
  <si>
    <r>
      <t>S</t>
    </r>
    <r>
      <rPr>
        <b/>
        <vertAlign val="subscript"/>
        <sz val="12"/>
        <rFont val="Arial"/>
        <family val="2"/>
      </rPr>
      <t>I</t>
    </r>
  </si>
  <si>
    <r>
      <t>X</t>
    </r>
    <r>
      <rPr>
        <b/>
        <vertAlign val="subscript"/>
        <sz val="12"/>
        <rFont val="Arial"/>
        <family val="2"/>
      </rPr>
      <t>I</t>
    </r>
  </si>
  <si>
    <r>
      <t>X</t>
    </r>
    <r>
      <rPr>
        <b/>
        <vertAlign val="subscript"/>
        <sz val="12"/>
        <rFont val="Arial"/>
        <family val="2"/>
      </rPr>
      <t>S</t>
    </r>
  </si>
  <si>
    <r>
      <t>X</t>
    </r>
    <r>
      <rPr>
        <b/>
        <vertAlign val="subscript"/>
        <sz val="12"/>
        <rFont val="Arial"/>
        <family val="2"/>
      </rPr>
      <t>H</t>
    </r>
  </si>
  <si>
    <r>
      <t>X</t>
    </r>
    <r>
      <rPr>
        <b/>
        <vertAlign val="subscript"/>
        <sz val="12"/>
        <rFont val="Arial"/>
        <family val="2"/>
      </rPr>
      <t>STO</t>
    </r>
  </si>
  <si>
    <r>
      <t>X</t>
    </r>
    <r>
      <rPr>
        <b/>
        <vertAlign val="subscript"/>
        <sz val="12"/>
        <rFont val="Arial"/>
        <family val="2"/>
      </rPr>
      <t>PAO</t>
    </r>
  </si>
  <si>
    <r>
      <t>X</t>
    </r>
    <r>
      <rPr>
        <b/>
        <vertAlign val="subscript"/>
        <sz val="12"/>
        <rFont val="Arial"/>
        <family val="2"/>
      </rPr>
      <t>PP</t>
    </r>
  </si>
  <si>
    <r>
      <t>X</t>
    </r>
    <r>
      <rPr>
        <b/>
        <vertAlign val="subscript"/>
        <sz val="12"/>
        <rFont val="Arial"/>
        <family val="2"/>
      </rPr>
      <t>PHA</t>
    </r>
  </si>
  <si>
    <r>
      <t>X</t>
    </r>
    <r>
      <rPr>
        <b/>
        <vertAlign val="subscript"/>
        <sz val="12"/>
        <rFont val="Arial"/>
        <family val="2"/>
      </rPr>
      <t>A</t>
    </r>
  </si>
  <si>
    <r>
      <t>X</t>
    </r>
    <r>
      <rPr>
        <b/>
        <vertAlign val="subscript"/>
        <sz val="12"/>
        <rFont val="Arial"/>
        <family val="2"/>
      </rPr>
      <t>TSS</t>
    </r>
  </si>
  <si>
    <t>1</t>
  </si>
  <si>
    <t>r1</t>
  </si>
  <si>
    <t>Hydrolysis</t>
  </si>
  <si>
    <r>
      <t>1-</t>
    </r>
    <r>
      <rPr>
        <i/>
        <sz val="12"/>
        <rFont val="Arial"/>
        <family val="2"/>
      </rPr>
      <t>f</t>
    </r>
    <r>
      <rPr>
        <vertAlign val="subscript"/>
        <sz val="12"/>
        <rFont val="Arial"/>
        <family val="2"/>
      </rPr>
      <t>SI</t>
    </r>
  </si>
  <si>
    <r>
      <t>-(1-</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N,SS</t>
    </r>
    <r>
      <rPr>
        <sz val="12"/>
        <rFont val="Arial"/>
        <family val="2"/>
      </rPr>
      <t>-</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N,SI</t>
    </r>
    <r>
      <rPr>
        <sz val="12"/>
        <rFont val="Arial"/>
        <family val="2"/>
      </rPr>
      <t>+</t>
    </r>
    <r>
      <rPr>
        <i/>
        <sz val="12"/>
        <rFont val="Arial"/>
        <family val="2"/>
      </rPr>
      <t>i</t>
    </r>
    <r>
      <rPr>
        <vertAlign val="subscript"/>
        <sz val="12"/>
        <rFont val="Arial"/>
        <family val="2"/>
      </rPr>
      <t>N,XS</t>
    </r>
  </si>
  <si>
    <r>
      <t>-(1-</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P,SS</t>
    </r>
    <r>
      <rPr>
        <sz val="12"/>
        <rFont val="Arial"/>
        <family val="2"/>
      </rPr>
      <t>-</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P,SI</t>
    </r>
    <r>
      <rPr>
        <sz val="12"/>
        <rFont val="Arial"/>
        <family val="2"/>
      </rPr>
      <t>+</t>
    </r>
    <r>
      <rPr>
        <i/>
        <sz val="12"/>
        <rFont val="Arial"/>
        <family val="2"/>
      </rPr>
      <t>i</t>
    </r>
    <r>
      <rPr>
        <vertAlign val="subscript"/>
        <sz val="12"/>
        <rFont val="Arial"/>
        <family val="2"/>
      </rPr>
      <t>P,XS</t>
    </r>
  </si>
  <si>
    <r>
      <t>v</t>
    </r>
    <r>
      <rPr>
        <vertAlign val="subscript"/>
        <sz val="12"/>
        <rFont val="Arial"/>
        <family val="2"/>
      </rPr>
      <t>1_SNH4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1_SPO4</t>
    </r>
    <r>
      <rPr>
        <sz val="12"/>
        <rFont val="Arial"/>
        <family val="2"/>
      </rPr>
      <t>*</t>
    </r>
    <r>
      <rPr>
        <i/>
        <sz val="12"/>
        <rFont val="Arial"/>
        <family val="2"/>
      </rPr>
      <t>i</t>
    </r>
    <r>
      <rPr>
        <vertAlign val="subscript"/>
        <sz val="12"/>
        <rFont val="Arial"/>
        <family val="2"/>
      </rPr>
      <t>Charge_SPO4</t>
    </r>
  </si>
  <si>
    <r>
      <t>-</t>
    </r>
    <r>
      <rPr>
        <i/>
        <sz val="12"/>
        <rFont val="Arial"/>
        <family val="2"/>
      </rPr>
      <t>i</t>
    </r>
    <r>
      <rPr>
        <vertAlign val="subscript"/>
        <sz val="12"/>
        <rFont val="Arial"/>
        <family val="2"/>
      </rPr>
      <t>TSS,XS</t>
    </r>
  </si>
  <si>
    <t>2</t>
  </si>
  <si>
    <t>r2</t>
  </si>
  <si>
    <r>
      <t>Aerobic storage of X</t>
    </r>
    <r>
      <rPr>
        <b/>
        <vertAlign val="subscript"/>
        <sz val="11"/>
        <rFont val="Arial"/>
        <family val="2"/>
      </rPr>
      <t>STO</t>
    </r>
  </si>
  <si>
    <r>
      <t>-(1-</t>
    </r>
    <r>
      <rPr>
        <i/>
        <sz val="12"/>
        <rFont val="Arial"/>
        <family val="2"/>
      </rPr>
      <t>Y</t>
    </r>
    <r>
      <rPr>
        <vertAlign val="subscript"/>
        <sz val="12"/>
        <rFont val="Arial"/>
        <family val="2"/>
      </rPr>
      <t>STO,O2</t>
    </r>
    <r>
      <rPr>
        <sz val="12"/>
        <rFont val="Arial"/>
        <family val="2"/>
      </rPr>
      <t>)</t>
    </r>
  </si>
  <si>
    <r>
      <t>v</t>
    </r>
    <r>
      <rPr>
        <vertAlign val="subscript"/>
        <sz val="12"/>
        <rFont val="Arial"/>
        <family val="2"/>
      </rPr>
      <t>2_SNH4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2_SPO4</t>
    </r>
    <r>
      <rPr>
        <sz val="12"/>
        <rFont val="Arial"/>
        <family val="2"/>
      </rPr>
      <t>*</t>
    </r>
    <r>
      <rPr>
        <i/>
        <sz val="12"/>
        <rFont val="Arial"/>
        <family val="2"/>
      </rPr>
      <t>i</t>
    </r>
    <r>
      <rPr>
        <vertAlign val="subscript"/>
        <sz val="12"/>
        <rFont val="Arial"/>
        <family val="2"/>
      </rPr>
      <t>Charge_SPO4</t>
    </r>
  </si>
  <si>
    <r>
      <t>Y</t>
    </r>
    <r>
      <rPr>
        <vertAlign val="subscript"/>
        <sz val="12"/>
        <rFont val="Arial"/>
        <family val="2"/>
      </rPr>
      <t>STO,O2</t>
    </r>
    <r>
      <rPr>
        <sz val="12"/>
        <rFont val="Arial"/>
        <family val="2"/>
      </rPr>
      <t>*</t>
    </r>
    <r>
      <rPr>
        <i/>
        <sz val="12"/>
        <rFont val="Arial"/>
        <family val="2"/>
      </rPr>
      <t>i</t>
    </r>
    <r>
      <rPr>
        <vertAlign val="subscript"/>
        <sz val="12"/>
        <rFont val="Arial"/>
        <family val="2"/>
      </rPr>
      <t>TSS,XSTO</t>
    </r>
  </si>
  <si>
    <t>3</t>
  </si>
  <si>
    <t>r3</t>
  </si>
  <si>
    <r>
      <t>Anoxic storage of X</t>
    </r>
    <r>
      <rPr>
        <b/>
        <vertAlign val="subscript"/>
        <sz val="11"/>
        <rFont val="Arial"/>
        <family val="2"/>
      </rPr>
      <t>STO</t>
    </r>
  </si>
  <si>
    <t>4</t>
  </si>
  <si>
    <t>r4</t>
  </si>
  <si>
    <r>
      <t>Aerobic growth of X</t>
    </r>
    <r>
      <rPr>
        <b/>
        <vertAlign val="subscript"/>
        <sz val="11"/>
        <rFont val="Arial"/>
        <family val="2"/>
      </rPr>
      <t>H</t>
    </r>
  </si>
  <si>
    <r>
      <t>-(1-</t>
    </r>
    <r>
      <rPr>
        <i/>
        <sz val="12"/>
        <rFont val="Arial"/>
        <family val="2"/>
      </rPr>
      <t>Y</t>
    </r>
    <r>
      <rPr>
        <vertAlign val="subscript"/>
        <sz val="12"/>
        <rFont val="Arial"/>
        <family val="2"/>
      </rPr>
      <t>H,O2</t>
    </r>
    <r>
      <rPr>
        <sz val="12"/>
        <rFont val="Arial"/>
        <family val="2"/>
      </rPr>
      <t>)/</t>
    </r>
    <r>
      <rPr>
        <i/>
        <sz val="12"/>
        <rFont val="Arial"/>
        <family val="2"/>
      </rPr>
      <t>Y</t>
    </r>
    <r>
      <rPr>
        <vertAlign val="subscript"/>
        <sz val="12"/>
        <rFont val="Arial"/>
        <family val="2"/>
      </rPr>
      <t>H,O2</t>
    </r>
  </si>
  <si>
    <r>
      <t>-</t>
    </r>
    <r>
      <rPr>
        <i/>
        <sz val="12"/>
        <rFont val="Arial"/>
        <family val="2"/>
      </rPr>
      <t>i</t>
    </r>
    <r>
      <rPr>
        <vertAlign val="subscript"/>
        <sz val="12"/>
        <rFont val="Arial"/>
        <family val="2"/>
      </rPr>
      <t>N,BM</t>
    </r>
  </si>
  <si>
    <r>
      <t>-</t>
    </r>
    <r>
      <rPr>
        <i/>
        <sz val="12"/>
        <rFont val="Arial"/>
        <family val="2"/>
      </rPr>
      <t>i</t>
    </r>
    <r>
      <rPr>
        <vertAlign val="subscript"/>
        <sz val="12"/>
        <rFont val="Arial"/>
        <family val="2"/>
      </rPr>
      <t>P,BM</t>
    </r>
  </si>
  <si>
    <r>
      <t>v</t>
    </r>
    <r>
      <rPr>
        <vertAlign val="subscript"/>
        <sz val="12"/>
        <rFont val="Arial"/>
        <family val="2"/>
      </rPr>
      <t>4_SNH4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4_SPO4</t>
    </r>
    <r>
      <rPr>
        <sz val="12"/>
        <rFont val="Arial"/>
        <family val="2"/>
      </rPr>
      <t>*</t>
    </r>
    <r>
      <rPr>
        <i/>
        <sz val="12"/>
        <rFont val="Arial"/>
        <family val="2"/>
      </rPr>
      <t>i</t>
    </r>
    <r>
      <rPr>
        <vertAlign val="subscript"/>
        <sz val="12"/>
        <rFont val="Arial"/>
        <family val="2"/>
      </rPr>
      <t>Charge_SPO4</t>
    </r>
  </si>
  <si>
    <r>
      <t>-1/</t>
    </r>
    <r>
      <rPr>
        <i/>
        <sz val="12"/>
        <rFont val="Arial"/>
        <family val="2"/>
      </rPr>
      <t>Y</t>
    </r>
    <r>
      <rPr>
        <vertAlign val="subscript"/>
        <sz val="12"/>
        <rFont val="Arial"/>
        <family val="2"/>
      </rPr>
      <t>H,O2</t>
    </r>
  </si>
  <si>
    <r>
      <t>(-1/</t>
    </r>
    <r>
      <rPr>
        <i/>
        <sz val="12"/>
        <rFont val="Arial"/>
        <family val="2"/>
      </rPr>
      <t>Y</t>
    </r>
    <r>
      <rPr>
        <vertAlign val="subscript"/>
        <sz val="12"/>
        <rFont val="Arial"/>
        <family val="2"/>
      </rPr>
      <t>H,O2</t>
    </r>
    <r>
      <rPr>
        <sz val="12"/>
        <rFont val="Arial"/>
        <family val="2"/>
      </rPr>
      <t>)*</t>
    </r>
    <r>
      <rPr>
        <i/>
        <sz val="12"/>
        <rFont val="Arial"/>
        <family val="2"/>
      </rPr>
      <t>i</t>
    </r>
    <r>
      <rPr>
        <vertAlign val="subscript"/>
        <sz val="12"/>
        <rFont val="Arial"/>
        <family val="2"/>
      </rPr>
      <t>TSS,XSTO</t>
    </r>
    <r>
      <rPr>
        <sz val="12"/>
        <rFont val="Arial"/>
        <family val="2"/>
      </rPr>
      <t>+</t>
    </r>
    <r>
      <rPr>
        <i/>
        <sz val="12"/>
        <rFont val="Arial"/>
        <family val="2"/>
      </rPr>
      <t>i</t>
    </r>
    <r>
      <rPr>
        <vertAlign val="subscript"/>
        <sz val="12"/>
        <rFont val="Arial"/>
        <family val="2"/>
      </rPr>
      <t>TSS,BM</t>
    </r>
  </si>
  <si>
    <t>5</t>
  </si>
  <si>
    <t>r5</t>
  </si>
  <si>
    <r>
      <t>Anoxic growth of X</t>
    </r>
    <r>
      <rPr>
        <b/>
        <vertAlign val="subscript"/>
        <sz val="11"/>
        <rFont val="Arial"/>
        <family val="2"/>
      </rPr>
      <t>H</t>
    </r>
    <r>
      <rPr>
        <b/>
        <sz val="11"/>
        <rFont val="Arial"/>
        <family val="2"/>
      </rPr>
      <t xml:space="preserve"> (denitrification)</t>
    </r>
  </si>
  <si>
    <t>r6</t>
  </si>
  <si>
    <r>
      <t>Aerobic endogenous respiration of X</t>
    </r>
    <r>
      <rPr>
        <b/>
        <vertAlign val="subscript"/>
        <sz val="11"/>
        <rFont val="Arial"/>
        <family val="2"/>
      </rPr>
      <t>H</t>
    </r>
  </si>
  <si>
    <r>
      <t>-(1-</t>
    </r>
    <r>
      <rPr>
        <i/>
        <sz val="12"/>
        <rFont val="Arial"/>
        <family val="2"/>
      </rPr>
      <t>f</t>
    </r>
    <r>
      <rPr>
        <vertAlign val="subscript"/>
        <sz val="12"/>
        <rFont val="Arial"/>
        <family val="2"/>
      </rPr>
      <t>XI</t>
    </r>
    <r>
      <rPr>
        <sz val="12"/>
        <rFont val="Arial"/>
        <family val="2"/>
      </rPr>
      <t>)</t>
    </r>
  </si>
  <si>
    <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N,XI</t>
    </r>
    <r>
      <rPr>
        <sz val="12"/>
        <rFont val="Arial"/>
        <family val="2"/>
      </rPr>
      <t>+</t>
    </r>
    <r>
      <rPr>
        <i/>
        <sz val="12"/>
        <rFont val="Arial"/>
        <family val="2"/>
      </rPr>
      <t>i</t>
    </r>
    <r>
      <rPr>
        <vertAlign val="subscript"/>
        <sz val="12"/>
        <rFont val="Arial"/>
        <family val="2"/>
      </rPr>
      <t>N,BM</t>
    </r>
  </si>
  <si>
    <r>
      <t>i</t>
    </r>
    <r>
      <rPr>
        <vertAlign val="subscript"/>
        <sz val="12"/>
        <rFont val="Arial"/>
        <family val="2"/>
      </rPr>
      <t>P,BM</t>
    </r>
    <r>
      <rPr>
        <sz val="12"/>
        <rFont val="Arial"/>
        <family val="2"/>
      </rP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P,XI</t>
    </r>
  </si>
  <si>
    <r>
      <t>v</t>
    </r>
    <r>
      <rPr>
        <vertAlign val="subscript"/>
        <sz val="12"/>
        <rFont val="Arial"/>
        <family val="2"/>
      </rPr>
      <t>6_SNH4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6_SPO4</t>
    </r>
    <r>
      <rPr>
        <sz val="12"/>
        <rFont val="Arial"/>
        <family val="2"/>
      </rPr>
      <t>*</t>
    </r>
    <r>
      <rPr>
        <i/>
        <sz val="12"/>
        <rFont val="Arial"/>
        <family val="2"/>
      </rPr>
      <t>i</t>
    </r>
    <r>
      <rPr>
        <vertAlign val="subscript"/>
        <sz val="12"/>
        <rFont val="Arial"/>
        <family val="2"/>
      </rPr>
      <t>Charge_SPO4</t>
    </r>
  </si>
  <si>
    <r>
      <t>-</t>
    </r>
    <r>
      <rPr>
        <i/>
        <sz val="12"/>
        <rFont val="Arial"/>
        <family val="2"/>
      </rPr>
      <t>i</t>
    </r>
    <r>
      <rPr>
        <vertAlign val="subscript"/>
        <sz val="12"/>
        <rFont val="Arial"/>
        <family val="2"/>
      </rPr>
      <t>TSS,BM</t>
    </r>
    <r>
      <rPr>
        <sz val="12"/>
        <rFont val="Arial"/>
        <family val="2"/>
      </rP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TSS,XI</t>
    </r>
  </si>
  <si>
    <t>7</t>
  </si>
  <si>
    <t>r7</t>
  </si>
  <si>
    <r>
      <t>Anoxic endogenous respiration of X</t>
    </r>
    <r>
      <rPr>
        <b/>
        <vertAlign val="subscript"/>
        <sz val="11"/>
        <rFont val="Arial"/>
        <family val="2"/>
      </rPr>
      <t>H</t>
    </r>
  </si>
  <si>
    <t>8</t>
  </si>
  <si>
    <t>r8</t>
  </si>
  <si>
    <r>
      <t>Aerobic respiration of X</t>
    </r>
    <r>
      <rPr>
        <b/>
        <vertAlign val="subscript"/>
        <sz val="11"/>
        <rFont val="Arial"/>
        <family val="2"/>
      </rPr>
      <t>STO</t>
    </r>
  </si>
  <si>
    <t>-1</t>
  </si>
  <si>
    <r>
      <t>-</t>
    </r>
    <r>
      <rPr>
        <i/>
        <sz val="12"/>
        <rFont val="Arial"/>
        <family val="2"/>
      </rPr>
      <t>i</t>
    </r>
    <r>
      <rPr>
        <vertAlign val="subscript"/>
        <sz val="12"/>
        <rFont val="Arial"/>
        <family val="2"/>
      </rPr>
      <t>TSS,XSTO</t>
    </r>
  </si>
  <si>
    <t>9</t>
  </si>
  <si>
    <t>r9</t>
  </si>
  <si>
    <r>
      <t>Anoxic respiration of X</t>
    </r>
    <r>
      <rPr>
        <b/>
        <vertAlign val="subscript"/>
        <sz val="11"/>
        <rFont val="Arial"/>
        <family val="2"/>
      </rPr>
      <t>STO</t>
    </r>
  </si>
  <si>
    <t>r10</t>
  </si>
  <si>
    <t>Growth of autotrophic nitrifying organisms</t>
  </si>
  <si>
    <r>
      <t>-(-i</t>
    </r>
    <r>
      <rPr>
        <vertAlign val="subscript"/>
        <sz val="12"/>
        <rFont val="Arial"/>
        <family val="2"/>
      </rPr>
      <t>COD_NO3</t>
    </r>
    <r>
      <rPr>
        <sz val="12"/>
        <rFont val="Arial"/>
        <family val="2"/>
      </rPr>
      <t>-Y</t>
    </r>
    <r>
      <rPr>
        <vertAlign val="subscript"/>
        <sz val="12"/>
        <rFont val="Arial"/>
        <family val="2"/>
      </rPr>
      <t>AUT</t>
    </r>
    <r>
      <rPr>
        <sz val="12"/>
        <rFont val="Arial"/>
        <family val="2"/>
      </rPr>
      <t>)/Y</t>
    </r>
    <r>
      <rPr>
        <vertAlign val="subscript"/>
        <sz val="12"/>
        <rFont val="Arial"/>
        <family val="2"/>
      </rPr>
      <t>AUT</t>
    </r>
  </si>
  <si>
    <r>
      <t>-1/</t>
    </r>
    <r>
      <rPr>
        <i/>
        <sz val="12"/>
        <rFont val="Arial"/>
        <family val="2"/>
      </rPr>
      <t>Y</t>
    </r>
    <r>
      <rPr>
        <vertAlign val="subscript"/>
        <sz val="12"/>
        <rFont val="Arial"/>
        <family val="2"/>
      </rPr>
      <t>AUT</t>
    </r>
    <r>
      <rPr>
        <sz val="12"/>
        <rFont val="Arial"/>
        <family val="2"/>
      </rPr>
      <t>-</t>
    </r>
    <r>
      <rPr>
        <i/>
        <sz val="12"/>
        <rFont val="Arial"/>
        <family val="2"/>
      </rPr>
      <t>i</t>
    </r>
    <r>
      <rPr>
        <vertAlign val="subscript"/>
        <sz val="12"/>
        <rFont val="Arial"/>
        <family val="2"/>
      </rPr>
      <t>N,BM</t>
    </r>
  </si>
  <si>
    <r>
      <t>1/</t>
    </r>
    <r>
      <rPr>
        <i/>
        <sz val="12"/>
        <rFont val="Arial"/>
        <family val="2"/>
      </rPr>
      <t>Y</t>
    </r>
    <r>
      <rPr>
        <vertAlign val="subscript"/>
        <sz val="12"/>
        <rFont val="Arial"/>
        <family val="2"/>
      </rPr>
      <t>AUT</t>
    </r>
  </si>
  <si>
    <t>11</t>
  </si>
  <si>
    <t>r11</t>
  </si>
  <si>
    <r>
      <t>Aerobic endogenous respiration of X</t>
    </r>
    <r>
      <rPr>
        <b/>
        <vertAlign val="subscript"/>
        <sz val="11"/>
        <rFont val="Arial"/>
        <family val="2"/>
      </rPr>
      <t>AUT</t>
    </r>
  </si>
  <si>
    <r>
      <t>v</t>
    </r>
    <r>
      <rPr>
        <vertAlign val="subscript"/>
        <sz val="12"/>
        <rFont val="Arial"/>
        <family val="2"/>
      </rPr>
      <t>11_SNH4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11_SPO4</t>
    </r>
    <r>
      <rPr>
        <sz val="12"/>
        <rFont val="Arial"/>
        <family val="2"/>
      </rPr>
      <t>*</t>
    </r>
    <r>
      <rPr>
        <i/>
        <sz val="12"/>
        <rFont val="Arial"/>
        <family val="2"/>
      </rPr>
      <t>i</t>
    </r>
    <r>
      <rPr>
        <vertAlign val="subscript"/>
        <sz val="12"/>
        <rFont val="Arial"/>
        <family val="2"/>
      </rPr>
      <t>Charge_SPO4</t>
    </r>
  </si>
  <si>
    <t>12</t>
  </si>
  <si>
    <t>r12</t>
  </si>
  <si>
    <r>
      <t>Anoxic endogenous respiration of X</t>
    </r>
    <r>
      <rPr>
        <b/>
        <vertAlign val="subscript"/>
        <sz val="11"/>
        <rFont val="Arial"/>
        <family val="2"/>
      </rPr>
      <t>AUT</t>
    </r>
  </si>
  <si>
    <t>13</t>
  </si>
  <si>
    <t>r13</t>
  </si>
  <si>
    <r>
      <t>Storage of X</t>
    </r>
    <r>
      <rPr>
        <b/>
        <vertAlign val="subscript"/>
        <sz val="11"/>
        <rFont val="Arial"/>
        <family val="2"/>
      </rPr>
      <t>PHA</t>
    </r>
  </si>
  <si>
    <r>
      <t>Y</t>
    </r>
    <r>
      <rPr>
        <vertAlign val="subscript"/>
        <sz val="12"/>
        <rFont val="Arial"/>
        <family val="2"/>
      </rPr>
      <t>PO4</t>
    </r>
    <r>
      <rPr>
        <sz val="12"/>
        <rFont val="Arial"/>
        <family val="2"/>
      </rPr>
      <t>+</t>
    </r>
    <r>
      <rPr>
        <i/>
        <sz val="12"/>
        <rFont val="Arial"/>
        <family val="2"/>
      </rPr>
      <t>i</t>
    </r>
    <r>
      <rPr>
        <vertAlign val="subscript"/>
        <sz val="12"/>
        <rFont val="Arial"/>
        <family val="2"/>
      </rPr>
      <t>P,SS</t>
    </r>
  </si>
  <si>
    <r>
      <t>v</t>
    </r>
    <r>
      <rPr>
        <i/>
        <vertAlign val="subscript"/>
        <sz val="12"/>
        <rFont val="Arial"/>
        <family val="2"/>
      </rPr>
      <t>13_SNH4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i/>
        <vertAlign val="subscript"/>
        <sz val="12"/>
        <rFont val="Arial"/>
        <family val="2"/>
      </rPr>
      <t>13</t>
    </r>
    <r>
      <rPr>
        <vertAlign val="subscript"/>
        <sz val="12"/>
        <rFont val="Arial"/>
        <family val="2"/>
      </rPr>
      <t>_SPO4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i/>
        <vertAlign val="subscript"/>
        <sz val="12"/>
        <rFont val="Arial"/>
        <family val="2"/>
      </rPr>
      <t>13</t>
    </r>
    <r>
      <rPr>
        <vertAlign val="subscript"/>
        <sz val="12"/>
        <rFont val="Arial"/>
        <family val="2"/>
      </rPr>
      <t>_XPP</t>
    </r>
    <r>
      <rPr>
        <sz val="12"/>
        <rFont val="Arial"/>
        <family val="2"/>
      </rPr>
      <t>*</t>
    </r>
    <r>
      <rPr>
        <i/>
        <sz val="12"/>
        <rFont val="Arial"/>
        <family val="2"/>
      </rPr>
      <t>i</t>
    </r>
    <r>
      <rPr>
        <vertAlign val="subscript"/>
        <sz val="12"/>
        <rFont val="Arial"/>
        <family val="2"/>
      </rPr>
      <t>Charge_XPAO,PP</t>
    </r>
  </si>
  <si>
    <r>
      <t>-</t>
    </r>
    <r>
      <rPr>
        <i/>
        <sz val="12"/>
        <rFont val="Arial"/>
        <family val="2"/>
      </rPr>
      <t>Y</t>
    </r>
    <r>
      <rPr>
        <vertAlign val="subscript"/>
        <sz val="12"/>
        <rFont val="Arial"/>
        <family val="2"/>
      </rPr>
      <t>PO4</t>
    </r>
  </si>
  <si>
    <r>
      <t>i</t>
    </r>
    <r>
      <rPr>
        <vertAlign val="subscript"/>
        <sz val="12"/>
        <rFont val="Arial"/>
        <family val="2"/>
      </rPr>
      <t>TSS,XSTO</t>
    </r>
    <r>
      <rPr>
        <sz val="12"/>
        <rFont val="Arial"/>
        <family val="2"/>
      </rPr>
      <t>-</t>
    </r>
    <r>
      <rPr>
        <i/>
        <sz val="12"/>
        <rFont val="Arial"/>
        <family val="2"/>
      </rPr>
      <t>i</t>
    </r>
    <r>
      <rPr>
        <vertAlign val="subscript"/>
        <sz val="12"/>
        <rFont val="Arial"/>
        <family val="2"/>
      </rPr>
      <t>TSS,XPP</t>
    </r>
    <r>
      <rPr>
        <sz val="12"/>
        <rFont val="Arial"/>
        <family val="2"/>
      </rPr>
      <t>*</t>
    </r>
    <r>
      <rPr>
        <i/>
        <sz val="12"/>
        <rFont val="Arial"/>
        <family val="2"/>
      </rPr>
      <t>Y</t>
    </r>
    <r>
      <rPr>
        <vertAlign val="subscript"/>
        <sz val="12"/>
        <rFont val="Arial"/>
        <family val="2"/>
      </rPr>
      <t>PO4</t>
    </r>
  </si>
  <si>
    <t>14</t>
  </si>
  <si>
    <t>r14</t>
  </si>
  <si>
    <r>
      <t>Aerobic storage of X</t>
    </r>
    <r>
      <rPr>
        <b/>
        <vertAlign val="subscript"/>
        <sz val="11"/>
        <rFont val="Arial"/>
        <family val="2"/>
      </rPr>
      <t>PP</t>
    </r>
  </si>
  <si>
    <r>
      <t>-</t>
    </r>
    <r>
      <rPr>
        <i/>
        <sz val="12"/>
        <rFont val="Arial"/>
        <family val="2"/>
      </rPr>
      <t>Y</t>
    </r>
    <r>
      <rPr>
        <vertAlign val="subscript"/>
        <sz val="12"/>
        <rFont val="Arial"/>
        <family val="2"/>
      </rPr>
      <t>PHA</t>
    </r>
  </si>
  <si>
    <r>
      <t>v</t>
    </r>
    <r>
      <rPr>
        <vertAlign val="subscript"/>
        <sz val="12"/>
        <rFont val="Arial"/>
        <family val="2"/>
      </rPr>
      <t>14_SPO4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14_XPP</t>
    </r>
    <r>
      <rPr>
        <sz val="12"/>
        <rFont val="Arial"/>
        <family val="2"/>
      </rPr>
      <t>*</t>
    </r>
    <r>
      <rPr>
        <i/>
        <sz val="12"/>
        <rFont val="Arial"/>
        <family val="2"/>
      </rPr>
      <t>i</t>
    </r>
    <r>
      <rPr>
        <vertAlign val="subscript"/>
        <sz val="12"/>
        <rFont val="Arial"/>
        <family val="2"/>
      </rPr>
      <t>Charge_XPAO,PP</t>
    </r>
  </si>
  <si>
    <r>
      <t>-</t>
    </r>
    <r>
      <rPr>
        <i/>
        <sz val="12"/>
        <rFont val="Arial"/>
        <family val="2"/>
      </rPr>
      <t>Y</t>
    </r>
    <r>
      <rPr>
        <vertAlign val="subscript"/>
        <sz val="12"/>
        <rFont val="Arial"/>
        <family val="2"/>
      </rPr>
      <t>PHA</t>
    </r>
    <r>
      <rPr>
        <sz val="12"/>
        <rFont val="Arial"/>
        <family val="2"/>
      </rPr>
      <t>*</t>
    </r>
    <r>
      <rPr>
        <i/>
        <sz val="12"/>
        <rFont val="Arial"/>
        <family val="2"/>
      </rPr>
      <t>i</t>
    </r>
    <r>
      <rPr>
        <vertAlign val="subscript"/>
        <sz val="12"/>
        <rFont val="Arial"/>
        <family val="2"/>
      </rPr>
      <t>TSS,XSTO</t>
    </r>
    <r>
      <rPr>
        <sz val="12"/>
        <rFont val="Arial"/>
        <family val="2"/>
      </rPr>
      <t>+</t>
    </r>
    <r>
      <rPr>
        <i/>
        <sz val="12"/>
        <rFont val="Arial"/>
        <family val="2"/>
      </rPr>
      <t>i</t>
    </r>
    <r>
      <rPr>
        <vertAlign val="subscript"/>
        <sz val="12"/>
        <rFont val="Arial"/>
        <family val="2"/>
      </rPr>
      <t>TSS,XPP</t>
    </r>
  </si>
  <si>
    <t>15</t>
  </si>
  <si>
    <t>r15</t>
  </si>
  <si>
    <r>
      <t>Anoxic storage of X</t>
    </r>
    <r>
      <rPr>
        <b/>
        <vertAlign val="subscript"/>
        <sz val="11"/>
        <rFont val="Arial"/>
        <family val="2"/>
      </rPr>
      <t>PP</t>
    </r>
  </si>
  <si>
    <r>
      <t>-</t>
    </r>
    <r>
      <rPr>
        <i/>
        <sz val="12"/>
        <rFont val="Arial"/>
        <family val="2"/>
      </rPr>
      <t>Y</t>
    </r>
    <r>
      <rPr>
        <vertAlign val="subscript"/>
        <sz val="12"/>
        <rFont val="Arial"/>
        <family val="2"/>
      </rPr>
      <t>PHA</t>
    </r>
    <r>
      <rPr>
        <sz val="12"/>
        <rFont val="Arial"/>
        <family val="2"/>
      </rPr>
      <t>/</t>
    </r>
    <r>
      <rPr>
        <i/>
        <sz val="12"/>
        <rFont val="Arial"/>
        <family val="2"/>
      </rPr>
      <t>i</t>
    </r>
    <r>
      <rPr>
        <vertAlign val="subscript"/>
        <sz val="12"/>
        <rFont val="Arial"/>
        <family val="2"/>
      </rPr>
      <t>NO3,N2</t>
    </r>
  </si>
  <si>
    <r>
      <t>Y</t>
    </r>
    <r>
      <rPr>
        <vertAlign val="subscript"/>
        <sz val="12"/>
        <rFont val="Arial"/>
        <family val="2"/>
      </rPr>
      <t>PHA</t>
    </r>
    <r>
      <rPr>
        <sz val="12"/>
        <rFont val="Arial"/>
        <family val="2"/>
      </rPr>
      <t>/</t>
    </r>
    <r>
      <rPr>
        <i/>
        <sz val="12"/>
        <rFont val="Arial"/>
        <family val="2"/>
      </rPr>
      <t>i</t>
    </r>
    <r>
      <rPr>
        <vertAlign val="subscript"/>
        <sz val="12"/>
        <rFont val="Arial"/>
        <family val="2"/>
      </rPr>
      <t>NO3,N2</t>
    </r>
  </si>
  <si>
    <t>16</t>
  </si>
  <si>
    <t>r16</t>
  </si>
  <si>
    <r>
      <t>Aerobic growth of X</t>
    </r>
    <r>
      <rPr>
        <b/>
        <vertAlign val="subscript"/>
        <sz val="11"/>
        <rFont val="Arial"/>
        <family val="2"/>
      </rPr>
      <t>PAO</t>
    </r>
  </si>
  <si>
    <r>
      <t>-(1-</t>
    </r>
    <r>
      <rPr>
        <i/>
        <sz val="12"/>
        <rFont val="Arial"/>
        <family val="2"/>
      </rPr>
      <t>Y</t>
    </r>
    <r>
      <rPr>
        <vertAlign val="subscript"/>
        <sz val="12"/>
        <rFont val="Arial"/>
        <family val="2"/>
      </rPr>
      <t>PAO,O2</t>
    </r>
    <r>
      <rPr>
        <sz val="12"/>
        <rFont val="Arial"/>
        <family val="2"/>
      </rPr>
      <t>)/</t>
    </r>
    <r>
      <rPr>
        <i/>
        <sz val="12"/>
        <rFont val="Arial"/>
        <family val="2"/>
      </rPr>
      <t>Y</t>
    </r>
    <r>
      <rPr>
        <vertAlign val="subscript"/>
        <sz val="12"/>
        <rFont val="Arial"/>
        <family val="2"/>
      </rPr>
      <t>PAO,O2</t>
    </r>
  </si>
  <si>
    <r>
      <t>v</t>
    </r>
    <r>
      <rPr>
        <i/>
        <vertAlign val="subscript"/>
        <sz val="12"/>
        <rFont val="Arial"/>
        <family val="2"/>
      </rPr>
      <t>1</t>
    </r>
    <r>
      <rPr>
        <vertAlign val="subscript"/>
        <sz val="12"/>
        <rFont val="Arial"/>
        <family val="2"/>
      </rPr>
      <t>6_SNH4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16_SPO4</t>
    </r>
    <r>
      <rPr>
        <sz val="12"/>
        <rFont val="Arial"/>
        <family val="2"/>
      </rPr>
      <t>*</t>
    </r>
    <r>
      <rPr>
        <i/>
        <sz val="12"/>
        <rFont val="Arial"/>
        <family val="2"/>
      </rPr>
      <t>i</t>
    </r>
    <r>
      <rPr>
        <vertAlign val="subscript"/>
        <sz val="12"/>
        <rFont val="Arial"/>
        <family val="2"/>
      </rPr>
      <t>Charge_SPO4</t>
    </r>
  </si>
  <si>
    <r>
      <t>-1/</t>
    </r>
    <r>
      <rPr>
        <i/>
        <sz val="12"/>
        <rFont val="Arial"/>
        <family val="2"/>
      </rPr>
      <t>Y</t>
    </r>
    <r>
      <rPr>
        <vertAlign val="subscript"/>
        <sz val="12"/>
        <rFont val="Arial"/>
        <family val="2"/>
      </rPr>
      <t>PAO,O2</t>
    </r>
  </si>
  <si>
    <r>
      <t>-(1/</t>
    </r>
    <r>
      <rPr>
        <i/>
        <sz val="12"/>
        <rFont val="Arial"/>
        <family val="2"/>
      </rPr>
      <t>Y</t>
    </r>
    <r>
      <rPr>
        <vertAlign val="subscript"/>
        <sz val="12"/>
        <rFont val="Arial"/>
        <family val="2"/>
      </rPr>
      <t>PAO,O2</t>
    </r>
    <r>
      <rPr>
        <sz val="12"/>
        <rFont val="Arial"/>
        <family val="2"/>
      </rPr>
      <t>)*</t>
    </r>
    <r>
      <rPr>
        <i/>
        <sz val="12"/>
        <rFont val="Arial"/>
        <family val="2"/>
      </rPr>
      <t>i</t>
    </r>
    <r>
      <rPr>
        <vertAlign val="subscript"/>
        <sz val="12"/>
        <rFont val="Arial"/>
        <family val="2"/>
      </rPr>
      <t>TSS,XSTO</t>
    </r>
    <r>
      <rPr>
        <sz val="12"/>
        <rFont val="Arial"/>
        <family val="2"/>
      </rPr>
      <t>+</t>
    </r>
    <r>
      <rPr>
        <i/>
        <sz val="12"/>
        <rFont val="Arial"/>
        <family val="2"/>
      </rPr>
      <t>i</t>
    </r>
    <r>
      <rPr>
        <vertAlign val="subscript"/>
        <sz val="12"/>
        <rFont val="Arial"/>
        <family val="2"/>
      </rPr>
      <t>TSS,BM</t>
    </r>
  </si>
  <si>
    <t>17</t>
  </si>
  <si>
    <t>r17</t>
  </si>
  <si>
    <r>
      <t>Anoxic growth of X</t>
    </r>
    <r>
      <rPr>
        <b/>
        <vertAlign val="subscript"/>
        <sz val="11"/>
        <rFont val="Arial"/>
        <family val="2"/>
      </rPr>
      <t>PAO</t>
    </r>
  </si>
  <si>
    <t>18</t>
  </si>
  <si>
    <t>r18</t>
  </si>
  <si>
    <r>
      <t>Aerobic endogenous respiration of X</t>
    </r>
    <r>
      <rPr>
        <b/>
        <vertAlign val="subscript"/>
        <sz val="11"/>
        <rFont val="Arial"/>
        <family val="2"/>
      </rPr>
      <t>PAO</t>
    </r>
  </si>
  <si>
    <r>
      <t>-</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P,XI</t>
    </r>
    <r>
      <rPr>
        <sz val="12"/>
        <rFont val="Arial"/>
        <family val="2"/>
      </rPr>
      <t>+</t>
    </r>
    <r>
      <rPr>
        <i/>
        <sz val="12"/>
        <rFont val="Arial"/>
        <family val="2"/>
      </rPr>
      <t>i</t>
    </r>
    <r>
      <rPr>
        <vertAlign val="subscript"/>
        <sz val="12"/>
        <rFont val="Arial"/>
        <family val="2"/>
      </rPr>
      <t>P,BM</t>
    </r>
  </si>
  <si>
    <r>
      <t>v</t>
    </r>
    <r>
      <rPr>
        <vertAlign val="subscript"/>
        <sz val="12"/>
        <rFont val="Arial"/>
        <family val="2"/>
      </rPr>
      <t>18_SNH4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18_SPO4</t>
    </r>
    <r>
      <rPr>
        <sz val="12"/>
        <rFont val="Arial"/>
        <family val="2"/>
      </rPr>
      <t>*</t>
    </r>
    <r>
      <rPr>
        <i/>
        <sz val="12"/>
        <rFont val="Arial"/>
        <family val="2"/>
      </rPr>
      <t>i</t>
    </r>
    <r>
      <rPr>
        <vertAlign val="subscript"/>
        <sz val="12"/>
        <rFont val="Arial"/>
        <family val="2"/>
      </rPr>
      <t>Charge_SPO4</t>
    </r>
  </si>
  <si>
    <t>19</t>
  </si>
  <si>
    <t>r19</t>
  </si>
  <si>
    <r>
      <t>Anoxic endogenous respiration of X</t>
    </r>
    <r>
      <rPr>
        <b/>
        <vertAlign val="subscript"/>
        <sz val="11"/>
        <rFont val="Arial"/>
        <family val="2"/>
      </rPr>
      <t>PAO</t>
    </r>
  </si>
  <si>
    <r>
      <t>-(1-</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NO3,N2</t>
    </r>
  </si>
  <si>
    <r>
      <t>(1-</t>
    </r>
    <r>
      <rPr>
        <i/>
        <sz val="12"/>
        <rFont val="Arial"/>
        <family val="2"/>
      </rPr>
      <t>f</t>
    </r>
    <r>
      <rPr>
        <vertAlign val="subscript"/>
        <sz val="12"/>
        <rFont val="Arial"/>
        <family val="2"/>
      </rPr>
      <t>XI</t>
    </r>
    <r>
      <rPr>
        <sz val="12"/>
        <rFont val="Arial"/>
        <family val="2"/>
      </rPr>
      <t>)/</t>
    </r>
    <r>
      <rPr>
        <i/>
        <sz val="12"/>
        <rFont val="Arial"/>
        <family val="2"/>
      </rPr>
      <t>i</t>
    </r>
    <r>
      <rPr>
        <vertAlign val="subscript"/>
        <sz val="12"/>
        <rFont val="Arial"/>
        <family val="2"/>
      </rPr>
      <t>NO3,N2</t>
    </r>
  </si>
  <si>
    <t>20</t>
  </si>
  <si>
    <t>r20</t>
  </si>
  <si>
    <r>
      <t>Aerobic lysis of X</t>
    </r>
    <r>
      <rPr>
        <b/>
        <vertAlign val="subscript"/>
        <sz val="11"/>
        <rFont val="Arial"/>
        <family val="2"/>
      </rPr>
      <t>PP</t>
    </r>
  </si>
  <si>
    <r>
      <t>v</t>
    </r>
    <r>
      <rPr>
        <vertAlign val="subscript"/>
        <sz val="12"/>
        <rFont val="Arial"/>
        <family val="2"/>
      </rPr>
      <t>20_SPO4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20_XPP</t>
    </r>
    <r>
      <rPr>
        <sz val="12"/>
        <rFont val="Arial"/>
        <family val="2"/>
      </rPr>
      <t>*</t>
    </r>
    <r>
      <rPr>
        <i/>
        <sz val="12"/>
        <rFont val="Arial"/>
        <family val="2"/>
      </rPr>
      <t>i</t>
    </r>
    <r>
      <rPr>
        <vertAlign val="subscript"/>
        <sz val="12"/>
        <rFont val="Arial"/>
        <family val="2"/>
      </rPr>
      <t>Charge_XPAO,PP</t>
    </r>
  </si>
  <si>
    <r>
      <t>-</t>
    </r>
    <r>
      <rPr>
        <i/>
        <sz val="12"/>
        <rFont val="Arial"/>
        <family val="2"/>
      </rPr>
      <t>i</t>
    </r>
    <r>
      <rPr>
        <vertAlign val="subscript"/>
        <sz val="12"/>
        <rFont val="Arial"/>
        <family val="2"/>
      </rPr>
      <t>TSS,XPP</t>
    </r>
  </si>
  <si>
    <t>21</t>
  </si>
  <si>
    <t>r21</t>
  </si>
  <si>
    <r>
      <t>Anoxic lysis of X</t>
    </r>
    <r>
      <rPr>
        <b/>
        <vertAlign val="subscript"/>
        <sz val="11"/>
        <rFont val="Arial"/>
        <family val="2"/>
      </rPr>
      <t>PP</t>
    </r>
  </si>
  <si>
    <r>
      <t>v</t>
    </r>
    <r>
      <rPr>
        <vertAlign val="subscript"/>
        <sz val="12"/>
        <rFont val="Arial"/>
        <family val="2"/>
      </rPr>
      <t>21_SPO4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21_XPP</t>
    </r>
    <r>
      <rPr>
        <sz val="12"/>
        <rFont val="Arial"/>
        <family val="2"/>
      </rPr>
      <t>*</t>
    </r>
    <r>
      <rPr>
        <i/>
        <sz val="12"/>
        <rFont val="Arial"/>
        <family val="2"/>
      </rPr>
      <t>i</t>
    </r>
    <r>
      <rPr>
        <vertAlign val="subscript"/>
        <sz val="12"/>
        <rFont val="Arial"/>
        <family val="2"/>
      </rPr>
      <t>Charge_XPAO,PP</t>
    </r>
  </si>
  <si>
    <t>22</t>
  </si>
  <si>
    <t>r22</t>
  </si>
  <si>
    <r>
      <t>Aerobic respiration of X</t>
    </r>
    <r>
      <rPr>
        <b/>
        <vertAlign val="subscript"/>
        <sz val="11"/>
        <rFont val="Arial"/>
        <family val="2"/>
      </rPr>
      <t>PHA</t>
    </r>
  </si>
  <si>
    <t>23</t>
  </si>
  <si>
    <t>r23</t>
  </si>
  <si>
    <r>
      <t>Anoxic respiration of X</t>
    </r>
    <r>
      <rPr>
        <b/>
        <vertAlign val="subscript"/>
        <sz val="11"/>
        <rFont val="Arial"/>
        <family val="2"/>
      </rPr>
      <t>PHA</t>
    </r>
  </si>
  <si>
    <r>
      <t>-1/</t>
    </r>
    <r>
      <rPr>
        <i/>
        <sz val="12"/>
        <rFont val="Arial"/>
        <family val="2"/>
      </rPr>
      <t>i</t>
    </r>
    <r>
      <rPr>
        <vertAlign val="subscript"/>
        <sz val="12"/>
        <rFont val="Arial"/>
        <family val="2"/>
      </rPr>
      <t>NO3,N2</t>
    </r>
  </si>
  <si>
    <r>
      <t>1/</t>
    </r>
    <r>
      <rPr>
        <i/>
        <sz val="12"/>
        <rFont val="Arial"/>
        <family val="2"/>
      </rPr>
      <t>i</t>
    </r>
    <r>
      <rPr>
        <vertAlign val="subscript"/>
        <sz val="12"/>
        <rFont val="Arial"/>
        <family val="2"/>
      </rPr>
      <t>NO3,N2</t>
    </r>
  </si>
  <si>
    <t>N</t>
  </si>
  <si>
    <t>P</t>
  </si>
  <si>
    <t>Total suspended solids (TSS)</t>
  </si>
  <si>
    <r>
      <t>Dissolved oxygen (O</t>
    </r>
    <r>
      <rPr>
        <vertAlign val="subscript"/>
        <sz val="11"/>
        <color rgb="FF000000"/>
        <rFont val="Calibri"/>
        <family val="2"/>
        <scheme val="minor"/>
      </rPr>
      <t>2</t>
    </r>
    <r>
      <rPr>
        <sz val="11"/>
        <color rgb="FF000000"/>
        <rFont val="Calibri"/>
        <family val="2"/>
        <charset val="238"/>
        <scheme val="minor"/>
      </rPr>
      <t>)</t>
    </r>
  </si>
  <si>
    <t>L</t>
  </si>
  <si>
    <t>S</t>
  </si>
  <si>
    <t>Soluble biodegradable organics</t>
  </si>
  <si>
    <t>Integrated</t>
  </si>
  <si>
    <r>
      <t>Dissolved nitrogen (N</t>
    </r>
    <r>
      <rPr>
        <vertAlign val="subscript"/>
        <sz val="11"/>
        <color rgb="FF000000"/>
        <rFont val="Calibri"/>
        <family val="2"/>
        <scheme val="minor"/>
      </rPr>
      <t>2</t>
    </r>
    <r>
      <rPr>
        <sz val="11"/>
        <color rgb="FF000000"/>
        <rFont val="Calibri"/>
        <family val="2"/>
        <charset val="238"/>
        <scheme val="minor"/>
      </rPr>
      <t>)</t>
    </r>
  </si>
  <si>
    <t>Orthophosphate (PO4)</t>
  </si>
  <si>
    <t>Soluble undegradable organics</t>
  </si>
  <si>
    <t>Particulate unbiodegradable organics</t>
  </si>
  <si>
    <t>X</t>
  </si>
  <si>
    <t>Particulate biodegradable organics</t>
  </si>
  <si>
    <t>Ordinary heterotrophic organisms (OHO)</t>
  </si>
  <si>
    <t>Storage compound in OHOs</t>
  </si>
  <si>
    <t>Phosphorus accumulating organisms (PAO)</t>
  </si>
  <si>
    <t>Stored polyphosphate (PP)</t>
  </si>
  <si>
    <t>Stored polyhydroxyalkanoates (PHA)</t>
  </si>
  <si>
    <t>Total suspended solids (TSS)</t>
  </si>
  <si>
    <t>OUR</t>
  </si>
  <si>
    <t>Reactive</t>
  </si>
  <si>
    <r>
      <t>X</t>
    </r>
    <r>
      <rPr>
        <vertAlign val="subscript"/>
        <sz val="11"/>
        <rFont val="Calibri"/>
        <family val="2"/>
      </rPr>
      <t>COD</t>
    </r>
  </si>
  <si>
    <t>COD of particulates</t>
  </si>
  <si>
    <r>
      <t>X</t>
    </r>
    <r>
      <rPr>
        <vertAlign val="subscript"/>
        <sz val="11"/>
        <rFont val="Calibri"/>
        <family val="2"/>
      </rPr>
      <t>I</t>
    </r>
    <r>
      <rPr>
        <sz val="11"/>
        <rFont val="Calibri"/>
        <family val="2"/>
      </rP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STO</t>
    </r>
    <r>
      <rPr>
        <sz val="11"/>
        <rFont val="Calibri"/>
        <family val="2"/>
      </rPr>
      <t>+X</t>
    </r>
    <r>
      <rPr>
        <vertAlign val="subscript"/>
        <sz val="11"/>
        <rFont val="Calibri"/>
        <family val="2"/>
      </rPr>
      <t>PAO</t>
    </r>
    <r>
      <rPr>
        <sz val="11"/>
        <rFont val="Calibri"/>
        <family val="2"/>
      </rPr>
      <t>+X</t>
    </r>
    <r>
      <rPr>
        <vertAlign val="subscript"/>
        <sz val="11"/>
        <rFont val="Calibri"/>
        <family val="2"/>
      </rPr>
      <t>PHA</t>
    </r>
    <r>
      <rPr>
        <sz val="11"/>
        <rFont val="Calibri"/>
        <family val="2"/>
      </rPr>
      <t>+X</t>
    </r>
    <r>
      <rPr>
        <vertAlign val="subscript"/>
        <sz val="11"/>
        <rFont val="Calibri"/>
        <family val="2"/>
      </rPr>
      <t>A</t>
    </r>
  </si>
  <si>
    <r>
      <t>X</t>
    </r>
    <r>
      <rPr>
        <vertAlign val="subscript"/>
        <sz val="11"/>
        <rFont val="Calibri"/>
        <family val="2"/>
      </rPr>
      <t>VSS</t>
    </r>
  </si>
  <si>
    <t>Volatile suspended solids (VSS)</t>
  </si>
  <si>
    <r>
      <t>X</t>
    </r>
    <r>
      <rPr>
        <vertAlign val="subscript"/>
        <sz val="11"/>
        <rFont val="Calibri"/>
        <family val="2"/>
      </rPr>
      <t>COD</t>
    </r>
    <r>
      <rPr>
        <sz val="11"/>
        <rFont val="Calibri"/>
        <family val="2"/>
      </rPr>
      <t>/i</t>
    </r>
    <r>
      <rPr>
        <vertAlign val="subscript"/>
        <sz val="11"/>
        <rFont val="Calibri"/>
        <family val="2"/>
      </rPr>
      <t>CV</t>
    </r>
  </si>
  <si>
    <t>Balances per processes</t>
  </si>
  <si>
    <t>Decimals</t>
  </si>
  <si>
    <r>
      <t>Half-saturation coefficient for S</t>
    </r>
    <r>
      <rPr>
        <vertAlign val="subscript"/>
        <sz val="11"/>
        <rFont val="Calibri"/>
        <family val="2"/>
      </rPr>
      <t>PO4</t>
    </r>
    <r>
      <rPr>
        <sz val="11"/>
        <rFont val="Calibri"/>
        <family val="2"/>
      </rPr>
      <t xml:space="preserve"> </t>
    </r>
  </si>
  <si>
    <t>Maximum specific growth rate of PAOs</t>
  </si>
  <si>
    <t>Reduction factor for anoxic growth of PAOs</t>
  </si>
  <si>
    <r>
      <t>Endogenous respiration rate of X</t>
    </r>
    <r>
      <rPr>
        <vertAlign val="subscript"/>
        <sz val="11"/>
        <rFont val="Calibri"/>
        <family val="2"/>
      </rPr>
      <t>PAO</t>
    </r>
  </si>
  <si>
    <r>
      <t>Reduction factor for anoxic endogenous respiration of X</t>
    </r>
    <r>
      <rPr>
        <vertAlign val="subscript"/>
        <sz val="11"/>
        <rFont val="Calibri"/>
        <family val="2"/>
      </rPr>
      <t>PAO</t>
    </r>
  </si>
  <si>
    <r>
      <t>Half-saturation of PO</t>
    </r>
    <r>
      <rPr>
        <vertAlign val="subscript"/>
        <sz val="11"/>
        <color rgb="FF000000"/>
        <rFont val="Calibri"/>
        <family val="2"/>
        <scheme val="minor"/>
      </rPr>
      <t>4</t>
    </r>
    <r>
      <rPr>
        <sz val="11"/>
        <color rgb="FF000000"/>
        <rFont val="Calibri"/>
        <family val="2"/>
        <charset val="238"/>
        <scheme val="minor"/>
      </rPr>
      <t xml:space="preserve"> as nutrient (PAO growth)</t>
    </r>
  </si>
  <si>
    <t>Conversion factor for NO3 reduction to N2</t>
  </si>
  <si>
    <t>Conversion factor for NO3 into COD</t>
  </si>
  <si>
    <t>Conversion factor for N2 into COD</t>
  </si>
  <si>
    <t>Conversion factor for PO4 into charge</t>
  </si>
  <si>
    <r>
      <t>g COD.g VSS</t>
    </r>
    <r>
      <rPr>
        <vertAlign val="superscript"/>
        <sz val="11"/>
        <rFont val="Calibri"/>
        <family val="2"/>
      </rPr>
      <t>-1</t>
    </r>
  </si>
  <si>
    <r>
      <t>k</t>
    </r>
    <r>
      <rPr>
        <vertAlign val="subscript"/>
        <sz val="11"/>
        <rFont val="Calibri"/>
        <family val="2"/>
      </rPr>
      <t>H</t>
    </r>
  </si>
  <si>
    <r>
      <t>k</t>
    </r>
    <r>
      <rPr>
        <vertAlign val="subscript"/>
        <sz val="11"/>
        <rFont val="Calibri"/>
        <family val="2"/>
      </rPr>
      <t>STO</t>
    </r>
  </si>
  <si>
    <r>
      <t>μ</t>
    </r>
    <r>
      <rPr>
        <vertAlign val="subscript"/>
        <sz val="11"/>
        <rFont val="Calibri"/>
        <family val="2"/>
      </rPr>
      <t>H</t>
    </r>
  </si>
  <si>
    <r>
      <t>d</t>
    </r>
    <r>
      <rPr>
        <vertAlign val="superscript"/>
        <sz val="11"/>
        <rFont val="Calibri"/>
        <family val="2"/>
      </rPr>
      <t>-1</t>
    </r>
  </si>
  <si>
    <r>
      <t>b</t>
    </r>
    <r>
      <rPr>
        <vertAlign val="subscript"/>
        <sz val="11"/>
        <rFont val="Calibri"/>
        <family val="2"/>
      </rPr>
      <t>H</t>
    </r>
  </si>
  <si>
    <r>
      <t>b</t>
    </r>
    <r>
      <rPr>
        <vertAlign val="subscript"/>
        <sz val="11"/>
        <rFont val="Calibri"/>
        <family val="2"/>
      </rPr>
      <t>Sto</t>
    </r>
  </si>
  <si>
    <r>
      <t>kmol HCO</t>
    </r>
    <r>
      <rPr>
        <vertAlign val="subscript"/>
        <sz val="11"/>
        <rFont val="Calibri"/>
        <family val="2"/>
      </rPr>
      <t>3</t>
    </r>
    <r>
      <rPr>
        <vertAlign val="superscript"/>
        <sz val="11"/>
        <rFont val="Calibri"/>
        <family val="2"/>
      </rPr>
      <t>-</t>
    </r>
    <r>
      <rPr>
        <sz val="11"/>
        <rFont val="Calibri"/>
        <family val="2"/>
      </rPr>
      <t>.m</t>
    </r>
    <r>
      <rPr>
        <vertAlign val="superscript"/>
        <sz val="11"/>
        <rFont val="Calibri"/>
        <family val="2"/>
      </rPr>
      <t>-3</t>
    </r>
  </si>
  <si>
    <r>
      <t>q</t>
    </r>
    <r>
      <rPr>
        <vertAlign val="subscript"/>
        <sz val="11"/>
        <rFont val="Calibri"/>
        <family val="2"/>
      </rPr>
      <t>PHA</t>
    </r>
  </si>
  <si>
    <r>
      <t>q</t>
    </r>
    <r>
      <rPr>
        <vertAlign val="subscript"/>
        <sz val="11"/>
        <rFont val="Calibri"/>
        <family val="2"/>
      </rPr>
      <t>PP</t>
    </r>
  </si>
  <si>
    <r>
      <t>K</t>
    </r>
    <r>
      <rPr>
        <vertAlign val="subscript"/>
        <sz val="11"/>
        <rFont val="Calibri"/>
        <family val="2"/>
      </rPr>
      <t>PP,PAO</t>
    </r>
  </si>
  <si>
    <r>
      <t>μ</t>
    </r>
    <r>
      <rPr>
        <vertAlign val="subscript"/>
        <sz val="11"/>
        <rFont val="Calibri"/>
        <family val="2"/>
      </rPr>
      <t>PAO</t>
    </r>
  </si>
  <si>
    <r>
      <t>g X</t>
    </r>
    <r>
      <rPr>
        <vertAlign val="subscript"/>
        <sz val="11"/>
        <rFont val="Calibri"/>
        <family val="2"/>
      </rPr>
      <t>Stor</t>
    </r>
    <r>
      <rPr>
        <sz val="11"/>
        <rFont val="Calibri"/>
        <family val="2"/>
      </rPr>
      <t>.g X</t>
    </r>
    <r>
      <rPr>
        <vertAlign val="subscript"/>
        <sz val="11"/>
        <rFont val="Calibri"/>
        <family val="2"/>
      </rPr>
      <t>PAO</t>
    </r>
    <r>
      <rPr>
        <vertAlign val="superscript"/>
        <sz val="11"/>
        <rFont val="Calibri"/>
        <family val="2"/>
      </rPr>
      <t>-1</t>
    </r>
  </si>
  <si>
    <r>
      <t>b</t>
    </r>
    <r>
      <rPr>
        <vertAlign val="subscript"/>
        <sz val="11"/>
        <rFont val="Calibri"/>
        <family val="2"/>
      </rPr>
      <t>PAO</t>
    </r>
  </si>
  <si>
    <r>
      <t>b</t>
    </r>
    <r>
      <rPr>
        <vertAlign val="subscript"/>
        <sz val="11"/>
        <rFont val="Calibri"/>
        <family val="2"/>
      </rPr>
      <t>PP</t>
    </r>
  </si>
  <si>
    <r>
      <t>b</t>
    </r>
    <r>
      <rPr>
        <vertAlign val="subscript"/>
        <sz val="11"/>
        <rFont val="Calibri"/>
        <family val="2"/>
      </rPr>
      <t>PHA</t>
    </r>
  </si>
  <si>
    <r>
      <t>μ</t>
    </r>
    <r>
      <rPr>
        <vertAlign val="subscript"/>
        <sz val="11"/>
        <rFont val="Calibri"/>
        <family val="2"/>
      </rPr>
      <t>A</t>
    </r>
  </si>
  <si>
    <r>
      <t>b</t>
    </r>
    <r>
      <rPr>
        <vertAlign val="subscript"/>
        <sz val="11"/>
        <rFont val="Calibri"/>
        <family val="2"/>
      </rPr>
      <t>A</t>
    </r>
  </si>
  <si>
    <r>
      <t>f</t>
    </r>
    <r>
      <rPr>
        <vertAlign val="subscript"/>
        <sz val="11"/>
        <rFont val="Calibri"/>
        <family val="2"/>
      </rPr>
      <t>SI</t>
    </r>
  </si>
  <si>
    <r>
      <t>Y</t>
    </r>
    <r>
      <rPr>
        <vertAlign val="subscript"/>
        <sz val="11"/>
        <rFont val="Calibri"/>
        <family val="2"/>
      </rPr>
      <t>H,O2</t>
    </r>
  </si>
  <si>
    <r>
      <t>Y</t>
    </r>
    <r>
      <rPr>
        <vertAlign val="subscript"/>
        <sz val="11"/>
        <rFont val="Calibri"/>
        <family val="2"/>
      </rPr>
      <t>STO,O2</t>
    </r>
  </si>
  <si>
    <r>
      <t>f</t>
    </r>
    <r>
      <rPr>
        <vertAlign val="subscript"/>
        <sz val="11"/>
        <rFont val="Calibri"/>
        <family val="2"/>
      </rPr>
      <t>XI</t>
    </r>
  </si>
  <si>
    <r>
      <t>Y</t>
    </r>
    <r>
      <rPr>
        <vertAlign val="subscript"/>
        <sz val="11"/>
        <rFont val="Calibri"/>
        <family val="2"/>
      </rPr>
      <t>PAO,O2</t>
    </r>
  </si>
  <si>
    <r>
      <t>Y</t>
    </r>
    <r>
      <rPr>
        <vertAlign val="subscript"/>
        <sz val="11"/>
        <rFont val="Calibri"/>
        <family val="2"/>
      </rPr>
      <t>PHA</t>
    </r>
  </si>
  <si>
    <r>
      <t>Y</t>
    </r>
    <r>
      <rPr>
        <vertAlign val="subscript"/>
        <sz val="11"/>
        <rFont val="Calibri"/>
        <family val="2"/>
      </rPr>
      <t>PO4</t>
    </r>
  </si>
  <si>
    <r>
      <t>Y</t>
    </r>
    <r>
      <rPr>
        <vertAlign val="subscript"/>
        <sz val="11"/>
        <rFont val="Calibri"/>
        <family val="2"/>
      </rPr>
      <t>AUT</t>
    </r>
  </si>
  <si>
    <r>
      <t>i</t>
    </r>
    <r>
      <rPr>
        <vertAlign val="subscript"/>
        <sz val="11"/>
        <rFont val="Calibri"/>
        <family val="2"/>
      </rPr>
      <t>N,SS</t>
    </r>
  </si>
  <si>
    <r>
      <t>i</t>
    </r>
    <r>
      <rPr>
        <vertAlign val="subscript"/>
        <sz val="11"/>
        <rFont val="Calibri"/>
        <family val="2"/>
      </rPr>
      <t>N,SI</t>
    </r>
  </si>
  <si>
    <r>
      <t>i</t>
    </r>
    <r>
      <rPr>
        <vertAlign val="subscript"/>
        <sz val="11"/>
        <rFont val="Calibri"/>
        <family val="2"/>
      </rPr>
      <t>N,XI</t>
    </r>
  </si>
  <si>
    <r>
      <t>i</t>
    </r>
    <r>
      <rPr>
        <vertAlign val="subscript"/>
        <sz val="11"/>
        <rFont val="Calibri"/>
        <family val="2"/>
      </rPr>
      <t>N,XS</t>
    </r>
  </si>
  <si>
    <r>
      <t>i</t>
    </r>
    <r>
      <rPr>
        <vertAlign val="subscript"/>
        <sz val="11"/>
        <rFont val="Calibri"/>
        <family val="2"/>
      </rPr>
      <t>N,BM</t>
    </r>
  </si>
  <si>
    <r>
      <t>i</t>
    </r>
    <r>
      <rPr>
        <vertAlign val="subscript"/>
        <sz val="11"/>
        <rFont val="Calibri"/>
        <family val="2"/>
      </rPr>
      <t>P,SS</t>
    </r>
  </si>
  <si>
    <r>
      <t>i</t>
    </r>
    <r>
      <rPr>
        <vertAlign val="subscript"/>
        <sz val="11"/>
        <rFont val="Calibri"/>
        <family val="2"/>
      </rPr>
      <t>P,SI</t>
    </r>
  </si>
  <si>
    <r>
      <t>i</t>
    </r>
    <r>
      <rPr>
        <vertAlign val="subscript"/>
        <sz val="11"/>
        <rFont val="Calibri"/>
        <family val="2"/>
      </rPr>
      <t>P,XI</t>
    </r>
  </si>
  <si>
    <r>
      <t>i</t>
    </r>
    <r>
      <rPr>
        <vertAlign val="subscript"/>
        <sz val="11"/>
        <rFont val="Calibri"/>
        <family val="2"/>
      </rPr>
      <t>P,XS</t>
    </r>
  </si>
  <si>
    <r>
      <t>i</t>
    </r>
    <r>
      <rPr>
        <vertAlign val="subscript"/>
        <sz val="11"/>
        <rFont val="Calibri"/>
        <family val="2"/>
      </rPr>
      <t>P,BM</t>
    </r>
  </si>
  <si>
    <r>
      <t>i</t>
    </r>
    <r>
      <rPr>
        <vertAlign val="subscript"/>
        <sz val="11"/>
        <rFont val="Calibri"/>
        <family val="2"/>
      </rPr>
      <t>TSS,XI</t>
    </r>
  </si>
  <si>
    <r>
      <t>i</t>
    </r>
    <r>
      <rPr>
        <vertAlign val="subscript"/>
        <sz val="11"/>
        <rFont val="Calibri"/>
        <family val="2"/>
      </rPr>
      <t>TSS,XS</t>
    </r>
  </si>
  <si>
    <r>
      <t>i</t>
    </r>
    <r>
      <rPr>
        <vertAlign val="subscript"/>
        <sz val="11"/>
        <rFont val="Calibri"/>
        <family val="2"/>
      </rPr>
      <t>TSS,XSTO</t>
    </r>
  </si>
  <si>
    <r>
      <t>i</t>
    </r>
    <r>
      <rPr>
        <vertAlign val="subscript"/>
        <sz val="11"/>
        <rFont val="Calibri"/>
        <family val="2"/>
      </rPr>
      <t>TSS,BM</t>
    </r>
  </si>
  <si>
    <r>
      <t>i</t>
    </r>
    <r>
      <rPr>
        <vertAlign val="subscript"/>
        <sz val="11"/>
        <rFont val="Calibri"/>
        <family val="2"/>
      </rPr>
      <t>TSS,XPP</t>
    </r>
  </si>
  <si>
    <r>
      <t>i</t>
    </r>
    <r>
      <rPr>
        <vertAlign val="subscript"/>
        <sz val="11"/>
        <rFont val="Calibri"/>
        <family val="2"/>
      </rPr>
      <t>NO3,N2</t>
    </r>
  </si>
  <si>
    <r>
      <t>g COD.g N</t>
    </r>
    <r>
      <rPr>
        <vertAlign val="superscript"/>
        <sz val="11"/>
        <rFont val="Calibri"/>
        <family val="2"/>
      </rPr>
      <t>-1</t>
    </r>
  </si>
  <si>
    <r>
      <t>i</t>
    </r>
    <r>
      <rPr>
        <vertAlign val="subscript"/>
        <sz val="11"/>
        <rFont val="Calibri"/>
        <family val="2"/>
      </rPr>
      <t>COD_NO3</t>
    </r>
  </si>
  <si>
    <r>
      <t>i</t>
    </r>
    <r>
      <rPr>
        <vertAlign val="subscript"/>
        <sz val="11"/>
        <rFont val="Calibri"/>
        <family val="2"/>
      </rPr>
      <t>COD_N2</t>
    </r>
  </si>
  <si>
    <r>
      <t>i</t>
    </r>
    <r>
      <rPr>
        <vertAlign val="subscript"/>
        <sz val="11"/>
        <rFont val="Calibri"/>
        <family val="2"/>
      </rPr>
      <t>Charge_SNHx</t>
    </r>
  </si>
  <si>
    <r>
      <t>Charge.g N</t>
    </r>
    <r>
      <rPr>
        <vertAlign val="superscript"/>
        <sz val="11"/>
        <rFont val="Calibri"/>
        <family val="2"/>
      </rPr>
      <t>-1</t>
    </r>
  </si>
  <si>
    <r>
      <t>i</t>
    </r>
    <r>
      <rPr>
        <vertAlign val="subscript"/>
        <sz val="11"/>
        <rFont val="Calibri"/>
        <family val="2"/>
      </rPr>
      <t>Charge_SNOx</t>
    </r>
  </si>
  <si>
    <r>
      <t>i</t>
    </r>
    <r>
      <rPr>
        <vertAlign val="subscript"/>
        <sz val="11"/>
        <rFont val="Calibri"/>
        <family val="2"/>
      </rPr>
      <t>Charge_XPAO,PP</t>
    </r>
  </si>
  <si>
    <r>
      <t>Charge.g P</t>
    </r>
    <r>
      <rPr>
        <vertAlign val="superscript"/>
        <sz val="11"/>
        <rFont val="Calibri"/>
        <family val="2"/>
      </rPr>
      <t>-1</t>
    </r>
  </si>
  <si>
    <r>
      <t>i</t>
    </r>
    <r>
      <rPr>
        <vertAlign val="subscript"/>
        <sz val="11"/>
        <rFont val="Calibri"/>
        <family val="2"/>
      </rPr>
      <t>Charge_SPO4</t>
    </r>
  </si>
  <si>
    <r>
      <t>i</t>
    </r>
    <r>
      <rPr>
        <i/>
        <vertAlign val="subscript"/>
        <sz val="11"/>
        <rFont val="Calibri"/>
        <family val="2"/>
      </rPr>
      <t>CV</t>
    </r>
  </si>
  <si>
    <t>Type(Kinetic)</t>
  </si>
  <si>
    <t>Storage</t>
  </si>
  <si>
    <t>Growth and decay of heterotrophic organisms</t>
  </si>
  <si>
    <t>Growth and decay of phosphorus accumulating organisms</t>
  </si>
  <si>
    <t>Growth and decay of autotrophic nitrifying organisms</t>
  </si>
  <si>
    <t>Yields</t>
  </si>
  <si>
    <t>Type(Stoichiometric)</t>
  </si>
  <si>
    <t>Inert fractions</t>
  </si>
  <si>
    <t>Nitrogen and phosphorus contents</t>
  </si>
  <si>
    <t>Conversion factors - TSS</t>
  </si>
  <si>
    <t>Conversion factors for electron acceptors and charge</t>
  </si>
  <si>
    <t>Calculated variable ratios</t>
  </si>
  <si>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</si>
  <si>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</si>
  <si>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</si>
  <si>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Alkalinity (HCO3</t>
    </r>
    <r>
      <rPr>
        <vertAlign val="superscript"/>
        <sz val="11"/>
        <rFont val="Calibri"/>
        <family val="2"/>
        <scheme val="minor"/>
      </rPr>
      <t>-</t>
    </r>
    <r>
      <rPr>
        <sz val="11"/>
        <rFont val="Calibri"/>
        <family val="2"/>
        <scheme val="minor"/>
      </rPr>
      <t>)</t>
    </r>
  </si>
  <si>
    <r>
      <t>Ammonia (NH4</t>
    </r>
    <r>
      <rPr>
        <vertAlign val="superscript"/>
        <sz val="11"/>
        <color rgb="FF000000"/>
        <rFont val="Calibri"/>
        <family val="2"/>
        <scheme val="minor"/>
      </rPr>
      <t>+</t>
    </r>
    <r>
      <rPr>
        <sz val="11"/>
        <color rgb="FF000000"/>
        <rFont val="Calibri"/>
        <family val="2"/>
        <charset val="238"/>
        <scheme val="minor"/>
      </rPr>
      <t xml:space="preserve"> + NH3)</t>
    </r>
  </si>
  <si>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</si>
  <si>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t>NUR</t>
  </si>
  <si>
    <t>AUR</t>
  </si>
  <si>
    <t>Filtered ultimate biochemical oxygen demand</t>
  </si>
  <si>
    <r>
      <t>S</t>
    </r>
    <r>
      <rPr>
        <vertAlign val="subscript"/>
        <sz val="11"/>
        <rFont val="Calibri"/>
        <family val="2"/>
        <scheme val="minor"/>
      </rPr>
      <t>S</t>
    </r>
  </si>
  <si>
    <r>
      <t>g COD.m</t>
    </r>
    <r>
      <rPr>
        <vertAlign val="superscript"/>
        <sz val="11"/>
        <rFont val="Calibri"/>
        <family val="2"/>
      </rPr>
      <t>-3</t>
    </r>
  </si>
  <si>
    <t>Particulate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</si>
  <si>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</si>
  <si>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</si>
  <si>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</si>
  <si>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</si>
  <si>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Filtered flocculated chemical oxygen demand</t>
  </si>
  <si>
    <r>
      <t>T</t>
    </r>
    <r>
      <rPr>
        <vertAlign val="subscript"/>
        <sz val="11"/>
        <rFont val="Calibri"/>
        <family val="2"/>
      </rPr>
      <t>COD</t>
    </r>
  </si>
  <si>
    <t>Total chemical oxygen demand</t>
  </si>
  <si>
    <r>
      <t>T</t>
    </r>
    <r>
      <rPr>
        <vertAlign val="subscript"/>
        <sz val="11"/>
        <rFont val="Calibri"/>
        <family val="2"/>
      </rPr>
      <t>KN</t>
    </r>
  </si>
  <si>
    <t>Total Kjeldahl nitrogen (TKN)</t>
  </si>
  <si>
    <r>
      <t>g N.m</t>
    </r>
    <r>
      <rPr>
        <vertAlign val="superscript"/>
        <sz val="11"/>
        <rFont val="Calibri"/>
        <family val="2"/>
      </rPr>
      <t>-3</t>
    </r>
  </si>
  <si>
    <r>
      <t>T</t>
    </r>
    <r>
      <rPr>
        <vertAlign val="subscript"/>
        <sz val="11"/>
        <rFont val="Calibri"/>
        <family val="2"/>
      </rPr>
      <t>N</t>
    </r>
  </si>
  <si>
    <t>Total nitrogen</t>
  </si>
  <si>
    <r>
      <t>g.m</t>
    </r>
    <r>
      <rPr>
        <vertAlign val="superscript"/>
        <sz val="11"/>
        <rFont val="Calibri"/>
        <family val="2"/>
      </rPr>
      <t>-3</t>
    </r>
  </si>
  <si>
    <t>Oxygen uptake rate (OUR)</t>
  </si>
  <si>
    <t>Ammonia uptake rate (AUR)</t>
  </si>
  <si>
    <r>
      <t>S</t>
    </r>
    <r>
      <rPr>
        <vertAlign val="subscript"/>
        <sz val="11"/>
        <rFont val="Calibri"/>
        <family val="2"/>
        <scheme val="minor"/>
      </rPr>
      <t>NH4</t>
    </r>
    <r>
      <rPr>
        <sz val="11"/>
        <rFont val="Calibri"/>
        <family val="2"/>
        <scheme val="minor"/>
      </rPr>
      <t xml:space="preserve"> + i</t>
    </r>
    <r>
      <rPr>
        <vertAlign val="subscript"/>
        <sz val="11"/>
        <rFont val="Calibri"/>
        <family val="2"/>
        <scheme val="minor"/>
      </rPr>
      <t>N,SS</t>
    </r>
    <r>
      <rPr>
        <sz val="11"/>
        <rFont val="Calibri"/>
        <family val="2"/>
        <scheme val="minor"/>
      </rPr>
      <t>*S</t>
    </r>
    <r>
      <rPr>
        <vertAlign val="subscript"/>
        <sz val="11"/>
        <rFont val="Calibri"/>
        <family val="2"/>
        <scheme val="minor"/>
      </rPr>
      <t>S</t>
    </r>
    <r>
      <rPr>
        <sz val="11"/>
        <rFont val="Calibri"/>
        <family val="2"/>
        <scheme val="minor"/>
      </rPr>
      <t xml:space="preserve"> + i</t>
    </r>
    <r>
      <rPr>
        <vertAlign val="subscript"/>
        <sz val="11"/>
        <rFont val="Calibri"/>
        <family val="2"/>
        <scheme val="minor"/>
      </rPr>
      <t>N,SI</t>
    </r>
    <r>
      <rPr>
        <sz val="11"/>
        <rFont val="Calibri"/>
        <family val="2"/>
        <scheme val="minor"/>
      </rPr>
      <t>*S</t>
    </r>
    <r>
      <rPr>
        <vertAlign val="subscript"/>
        <sz val="11"/>
        <rFont val="Calibri"/>
        <family val="2"/>
        <scheme val="minor"/>
      </rPr>
      <t>I</t>
    </r>
    <r>
      <rPr>
        <sz val="11"/>
        <rFont val="Calibri"/>
        <family val="2"/>
        <scheme val="minor"/>
      </rPr>
      <t xml:space="preserve"> + i</t>
    </r>
    <r>
      <rPr>
        <vertAlign val="subscript"/>
        <sz val="11"/>
        <rFont val="Calibri"/>
        <family val="2"/>
        <scheme val="minor"/>
      </rPr>
      <t>N,XI</t>
    </r>
    <r>
      <rPr>
        <sz val="11"/>
        <rFont val="Calibri"/>
        <family val="2"/>
        <scheme val="minor"/>
      </rPr>
      <t>*X</t>
    </r>
    <r>
      <rPr>
        <vertAlign val="subscript"/>
        <sz val="11"/>
        <rFont val="Calibri"/>
        <family val="2"/>
        <scheme val="minor"/>
      </rPr>
      <t>I</t>
    </r>
    <r>
      <rPr>
        <sz val="11"/>
        <rFont val="Calibri"/>
        <family val="2"/>
        <scheme val="minor"/>
      </rPr>
      <t xml:space="preserve"> + i</t>
    </r>
    <r>
      <rPr>
        <vertAlign val="subscript"/>
        <sz val="11"/>
        <rFont val="Calibri"/>
        <family val="2"/>
        <scheme val="minor"/>
      </rPr>
      <t>N,XS</t>
    </r>
    <r>
      <rPr>
        <sz val="11"/>
        <rFont val="Calibri"/>
        <family val="2"/>
        <scheme val="minor"/>
      </rPr>
      <t>*X</t>
    </r>
    <r>
      <rPr>
        <vertAlign val="subscript"/>
        <sz val="11"/>
        <rFont val="Calibri"/>
        <family val="2"/>
        <scheme val="minor"/>
      </rPr>
      <t>S</t>
    </r>
    <r>
      <rPr>
        <sz val="11"/>
        <rFont val="Calibri"/>
        <family val="2"/>
        <scheme val="minor"/>
      </rPr>
      <t xml:space="preserve"> + i</t>
    </r>
    <r>
      <rPr>
        <vertAlign val="subscript"/>
        <sz val="11"/>
        <rFont val="Calibri"/>
        <family val="2"/>
        <scheme val="minor"/>
      </rPr>
      <t>N,BM</t>
    </r>
    <r>
      <rPr>
        <sz val="11"/>
        <rFont val="Calibri"/>
        <family val="2"/>
        <scheme val="minor"/>
      </rPr>
      <t>*(X</t>
    </r>
    <r>
      <rPr>
        <vertAlign val="subscript"/>
        <sz val="11"/>
        <rFont val="Calibri"/>
        <family val="2"/>
        <scheme val="minor"/>
      </rPr>
      <t>H</t>
    </r>
    <r>
      <rPr>
        <sz val="11"/>
        <rFont val="Calibri"/>
        <family val="2"/>
        <scheme val="minor"/>
      </rPr>
      <t xml:space="preserve"> + X</t>
    </r>
    <r>
      <rPr>
        <vertAlign val="subscript"/>
        <sz val="11"/>
        <rFont val="Calibri"/>
        <family val="2"/>
        <scheme val="minor"/>
      </rPr>
      <t>A</t>
    </r>
    <r>
      <rPr>
        <sz val="11"/>
        <rFont val="Calibri"/>
        <family val="2"/>
        <scheme val="minor"/>
      </rPr>
      <t xml:space="preserve"> + X</t>
    </r>
    <r>
      <rPr>
        <vertAlign val="subscript"/>
        <sz val="11"/>
        <rFont val="Calibri"/>
        <family val="2"/>
        <scheme val="minor"/>
      </rPr>
      <t>PAO</t>
    </r>
    <r>
      <rPr>
        <sz val="11"/>
        <rFont val="Calibri"/>
        <family val="2"/>
        <scheme val="minor"/>
      </rPr>
      <t>)</t>
    </r>
  </si>
  <si>
    <t>Uptake rates</t>
  </si>
  <si>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</si>
  <si>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</si>
  <si>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</si>
  <si>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</si>
  <si>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</si>
  <si>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</si>
  <si>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</si>
  <si>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</si>
  <si>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</si>
  <si>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</si>
  <si>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</si>
  <si>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</si>
  <si>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</si>
  <si>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</si>
  <si>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</si>
  <si>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</si>
  <si>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</si>
  <si>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</si>
  <si>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</si>
  <si>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</si>
  <si>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</si>
  <si>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</si>
  <si>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</si>
  <si>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</si>
  <si>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</si>
  <si>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</si>
  <si>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</si>
  <si>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</si>
  <si>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</si>
  <si>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</si>
  <si>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</si>
  <si>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</si>
  <si>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</si>
  <si>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</si>
  <si>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</si>
  <si>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</si>
  <si>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</si>
  <si>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</si>
  <si>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</si>
  <si>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</si>
  <si>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</si>
  <si>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</si>
  <si>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</si>
  <si>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</si>
  <si>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</si>
  <si>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</si>
  <si>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</si>
  <si>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</si>
  <si>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</si>
  <si>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</si>
  <si>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</si>
  <si>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</si>
  <si>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</si>
  <si>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</si>
  <si>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</si>
  <si>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</si>
  <si>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</si>
  <si>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</si>
  <si>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</si>
  <si>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</si>
  <si>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</si>
  <si>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</si>
  <si>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</si>
  <si>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</si>
  <si>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</si>
  <si>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</si>
  <si>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</si>
  <si>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</si>
  <si>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</si>
  <si>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</si>
  <si>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</si>
  <si>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</si>
  <si>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</si>
  <si>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</si>
  <si>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</si>
  <si>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</si>
  <si>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</si>
  <si>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</si>
  <si>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</si>
  <si>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</si>
  <si>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</si>
  <si>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</si>
  <si>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</si>
  <si>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</si>
  <si>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</si>
  <si>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</si>
  <si>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</si>
  <si>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</si>
  <si>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</si>
  <si>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</si>
  <si>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</si>
  <si>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</si>
  <si>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</si>
  <si>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</si>
  <si>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</si>
  <si>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</si>
  <si>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</si>
  <si>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</si>
  <si>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</si>
  <si>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</si>
  <si>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</si>
  <si>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</si>
  <si>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</si>
  <si>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</si>
  <si>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</si>
  <si>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</si>
  <si>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</si>
  <si>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</si>
  <si>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</si>
  <si>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</si>
  <si>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</si>
  <si>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</si>
  <si>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</si>
  <si>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</si>
  <si>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</si>
  <si>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</si>
  <si>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</si>
  <si>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</si>
  <si>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</si>
  <si>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</si>
  <si>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</si>
  <si>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</si>
  <si>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</si>
  <si>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</si>
  <si>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</si>
  <si>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</si>
  <si>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</si>
  <si>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</si>
  <si>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</si>
  <si>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</si>
  <si>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</si>
  <si>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</si>
  <si>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</si>
  <si>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</si>
  <si>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</si>
  <si>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</si>
  <si>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</si>
  <si>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</si>
  <si>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</si>
  <si>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</si>
  <si>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</si>
  <si>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</si>
  <si>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</si>
  <si>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</si>
  <si>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</si>
  <si>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</si>
  <si>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</si>
  <si>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</si>
  <si>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</si>
  <si>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</si>
  <si>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</si>
  <si>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</si>
  <si>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</si>
  <si>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</si>
  <si>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</si>
  <si>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</si>
  <si>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</si>
  <si>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</si>
  <si>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</si>
  <si>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</si>
  <si>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</si>
  <si>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</si>
  <si>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</si>
  <si>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</si>
  <si>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</si>
  <si>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</si>
  <si>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</si>
  <si>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</si>
  <si>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</si>
  <si>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</si>
  <si>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</si>
  <si>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</si>
  <si>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</si>
  <si>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</si>
  <si>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</si>
  <si>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</si>
  <si>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</si>
  <si>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</si>
  <si>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</si>
  <si>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</si>
  <si>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</si>
  <si>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</si>
  <si>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</si>
  <si>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</si>
  <si>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</si>
  <si>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</si>
  <si>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</si>
  <si>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</si>
  <si>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</si>
  <si>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</si>
  <si>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</si>
  <si>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</si>
  <si>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</si>
  <si>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</si>
  <si>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</si>
  <si>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</si>
  <si>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</si>
  <si>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</si>
  <si>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</si>
  <si>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</si>
  <si>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</si>
  <si>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</si>
  <si>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</si>
  <si>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</si>
  <si>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</si>
  <si>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</si>
  <si>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</si>
  <si>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</si>
  <si>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</si>
  <si>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</si>
  <si>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</si>
  <si>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</si>
  <si>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</si>
  <si>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</si>
  <si>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</si>
  <si>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</si>
  <si>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</si>
  <si>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</si>
  <si>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</si>
  <si>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</si>
  <si>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</si>
  <si>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</si>
  <si>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</si>
  <si>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</si>
  <si>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</si>
  <si>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</si>
  <si>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</si>
  <si>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</si>
  <si>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</si>
  <si>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</si>
  <si>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</si>
  <si>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</si>
  <si>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</si>
  <si>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</si>
  <si>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</si>
  <si>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</si>
  <si>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</si>
  <si>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</si>
  <si>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</si>
  <si>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</si>
  <si>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</si>
  <si>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</si>
  <si>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</si>
  <si>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</si>
  <si>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</si>
  <si>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</si>
  <si>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</si>
  <si>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</si>
  <si>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</si>
  <si>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</si>
  <si>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</si>
  <si>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</si>
  <si>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</si>
  <si>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</si>
  <si>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</si>
  <si>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</si>
  <si>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</si>
  <si>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</si>
  <si>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</si>
  <si>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</si>
  <si>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</si>
  <si>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</si>
  <si>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</si>
  <si>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</si>
  <si>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</si>
  <si>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</si>
  <si>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</si>
  <si>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</si>
  <si>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</si>
  <si>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</si>
  <si>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</si>
  <si>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</si>
  <si>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</si>
  <si>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</si>
  <si>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</si>
  <si>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</si>
  <si>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</si>
  <si>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</si>
  <si>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</si>
  <si>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</si>
  <si>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</si>
  <si>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</si>
  <si>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</si>
  <si>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</si>
  <si>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</si>
  <si>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</si>
  <si>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</si>
  <si>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</si>
  <si>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</si>
  <si>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</si>
  <si>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</si>
  <si>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</si>
  <si>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</si>
  <si>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</si>
  <si>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</si>
  <si>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</si>
  <si>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</si>
  <si>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</si>
  <si>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</si>
  <si>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</si>
  <si>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</si>
  <si>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</si>
  <si>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</si>
  <si>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</si>
  <si>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</si>
  <si>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</si>
  <si>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</si>
  <si>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</si>
  <si>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</si>
  <si>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</si>
  <si>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</si>
  <si>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</si>
  <si>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</si>
  <si>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</si>
  <si>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</si>
  <si>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</si>
  <si>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</si>
  <si>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</si>
  <si>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</si>
  <si>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</si>
  <si>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</si>
  <si>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</si>
  <si>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</si>
  <si>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</si>
  <si>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</si>
  <si>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</si>
  <si>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</si>
  <si>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</si>
  <si>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</si>
  <si>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</si>
  <si>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</si>
  <si>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</si>
  <si>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</si>
  <si>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</si>
  <si>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</si>
  <si>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</si>
  <si>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</si>
  <si>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</si>
  <si>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</si>
  <si>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</si>
  <si>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</si>
  <si>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</si>
  <si>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</si>
  <si>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</si>
  <si>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</si>
  <si>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</si>
  <si>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</si>
  <si>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</si>
  <si>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</si>
  <si>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</si>
  <si>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</si>
  <si>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</si>
  <si>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</si>
  <si>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</si>
  <si>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</si>
  <si>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</si>
  <si>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</si>
  <si>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</si>
  <si>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</si>
  <si>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</si>
  <si>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</si>
  <si>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</si>
  <si>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</si>
  <si>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</si>
  <si>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</si>
  <si>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</si>
  <si>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</si>
  <si>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</si>
  <si>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</si>
  <si>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</si>
  <si>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</si>
  <si>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</si>
  <si>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</si>
  <si>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</si>
  <si>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</si>
  <si>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r>
      <t>g COD.g COD</t>
    </r>
    <r>
      <rPr>
        <vertAlign val="superscript"/>
        <sz val="11"/>
        <rFont val="Calibri"/>
        <family val="2"/>
      </rPr>
      <t>-1</t>
    </r>
  </si>
  <si>
    <r>
      <t>Half-saturation of X</t>
    </r>
    <r>
      <rPr>
        <vertAlign val="subscript"/>
        <sz val="11"/>
        <color rgb="FF000000"/>
        <rFont val="Calibri"/>
        <family val="2"/>
        <scheme val="minor"/>
      </rPr>
      <t>COD</t>
    </r>
    <r>
      <rPr>
        <sz val="11"/>
        <color rgb="FF000000"/>
        <rFont val="Calibri"/>
        <family val="2"/>
        <charset val="238"/>
        <scheme val="minor"/>
      </rPr>
      <t>/X</t>
    </r>
    <r>
      <rPr>
        <vertAlign val="subscript"/>
        <sz val="11"/>
        <color rgb="FF000000"/>
        <rFont val="Calibri"/>
        <family val="2"/>
        <scheme val="minor"/>
      </rPr>
      <t>H</t>
    </r>
  </si>
  <si>
    <r>
      <t>Rate of S</t>
    </r>
    <r>
      <rPr>
        <vertAlign val="subscript"/>
        <sz val="11"/>
        <color rgb="FF000000"/>
        <rFont val="Calibri"/>
        <family val="2"/>
        <scheme val="minor"/>
      </rPr>
      <t>S</t>
    </r>
    <r>
      <rPr>
        <sz val="11"/>
        <color rgb="FF000000"/>
        <rFont val="Calibri"/>
        <family val="2"/>
        <charset val="238"/>
        <scheme val="minor"/>
      </rPr>
      <t xml:space="preserve"> storage into X</t>
    </r>
    <r>
      <rPr>
        <vertAlign val="subscript"/>
        <sz val="11"/>
        <color rgb="FF000000"/>
        <rFont val="Calibri"/>
        <family val="2"/>
        <scheme val="minor"/>
      </rPr>
      <t>STO</t>
    </r>
  </si>
  <si>
    <r>
      <t>g COD.g COD</t>
    </r>
    <r>
      <rPr>
        <vertAlign val="superscript"/>
        <sz val="11"/>
        <rFont val="Calibri"/>
        <family val="2"/>
      </rPr>
      <t>-1</t>
    </r>
    <r>
      <rPr>
        <sz val="11"/>
        <rFont val="Calibri"/>
        <family val="2"/>
      </rPr>
      <t>.d</t>
    </r>
    <r>
      <rPr>
        <vertAlign val="superscript"/>
        <sz val="11"/>
        <rFont val="Calibri"/>
        <family val="2"/>
      </rPr>
      <t>-1</t>
    </r>
  </si>
  <si>
    <r>
      <t>Endogenous respiration rate of X</t>
    </r>
    <r>
      <rPr>
        <vertAlign val="subscript"/>
        <sz val="11"/>
        <rFont val="Calibri"/>
        <family val="2"/>
      </rPr>
      <t>STO</t>
    </r>
  </si>
  <si>
    <r>
      <t>Half-saturation of X</t>
    </r>
    <r>
      <rPr>
        <vertAlign val="subscript"/>
        <sz val="11"/>
        <color rgb="FF000000"/>
        <rFont val="Calibri"/>
        <family val="2"/>
        <scheme val="minor"/>
      </rPr>
      <t>STO</t>
    </r>
    <r>
      <rPr>
        <sz val="11"/>
        <color rgb="FF000000"/>
        <rFont val="Calibri"/>
        <family val="2"/>
        <charset val="238"/>
        <scheme val="minor"/>
      </rPr>
      <t>/X</t>
    </r>
    <r>
      <rPr>
        <vertAlign val="subscript"/>
        <sz val="11"/>
        <color rgb="FF000000"/>
        <rFont val="Calibri"/>
        <family val="2"/>
        <scheme val="minor"/>
      </rPr>
      <t>H</t>
    </r>
  </si>
  <si>
    <t>Maximum specific growth rate of heterotrophs</t>
  </si>
  <si>
    <t>Reduction factor for anoxic growth of heterotrophs</t>
  </si>
  <si>
    <t>Half-saturation of SS</t>
  </si>
  <si>
    <t>Endogenous respiration rate of heterotrophs</t>
  </si>
  <si>
    <t>Reduction factor for anoxic endogenous respiration of XH</t>
  </si>
  <si>
    <t>Half-saturation of oxygen</t>
  </si>
  <si>
    <t>Half-saturation of nitrate</t>
  </si>
  <si>
    <t>Half-saturation of ammonia</t>
  </si>
  <si>
    <r>
      <t>g O</t>
    </r>
    <r>
      <rPr>
        <vertAlign val="subscript"/>
        <sz val="11"/>
        <rFont val="Calibri"/>
        <family val="2"/>
      </rPr>
      <t>2</t>
    </r>
    <r>
      <rPr>
        <sz val="11"/>
        <rFont val="Calibri"/>
        <family val="2"/>
      </rPr>
      <t>.m</t>
    </r>
    <r>
      <rPr>
        <vertAlign val="superscript"/>
        <sz val="11"/>
        <rFont val="Calibri"/>
        <family val="2"/>
      </rPr>
      <t>-3</t>
    </r>
  </si>
  <si>
    <r>
      <t>g N</t>
    </r>
    <r>
      <rPr>
        <sz val="11"/>
        <rFont val="Calibri"/>
        <family val="2"/>
      </rPr>
      <t>.m</t>
    </r>
    <r>
      <rPr>
        <vertAlign val="superscript"/>
        <sz val="11"/>
        <rFont val="Calibri"/>
        <family val="2"/>
      </rPr>
      <t>-3</t>
    </r>
  </si>
  <si>
    <r>
      <t>g P</t>
    </r>
    <r>
      <rPr>
        <sz val="11"/>
        <rFont val="Calibri"/>
        <family val="2"/>
      </rPr>
      <t>.m</t>
    </r>
    <r>
      <rPr>
        <vertAlign val="superscript"/>
        <sz val="11"/>
        <rFont val="Calibri"/>
        <family val="2"/>
      </rPr>
      <t>-3</t>
    </r>
  </si>
  <si>
    <r>
      <t>g P.g COD</t>
    </r>
    <r>
      <rPr>
        <vertAlign val="superscript"/>
        <sz val="11"/>
        <rFont val="Calibri"/>
        <family val="2"/>
      </rPr>
      <t>-1</t>
    </r>
    <r>
      <rPr>
        <sz val="11"/>
        <rFont val="Calibri"/>
        <family val="2"/>
      </rPr>
      <t>.d</t>
    </r>
    <r>
      <rPr>
        <vertAlign val="superscript"/>
        <sz val="11"/>
        <rFont val="Calibri"/>
        <family val="2"/>
      </rPr>
      <t>-1</t>
    </r>
  </si>
  <si>
    <r>
      <t>g P.g COD</t>
    </r>
    <r>
      <rPr>
        <vertAlign val="superscript"/>
        <sz val="11"/>
        <rFont val="Calibri"/>
        <family val="2"/>
      </rPr>
      <t>-1</t>
    </r>
  </si>
  <si>
    <r>
      <t>Rate constant for S</t>
    </r>
    <r>
      <rPr>
        <vertAlign val="subscript"/>
        <sz val="11"/>
        <rFont val="Calibri"/>
        <family val="2"/>
      </rPr>
      <t>S</t>
    </r>
    <r>
      <rPr>
        <sz val="11"/>
        <rFont val="Calibri"/>
        <family val="2"/>
      </rPr>
      <t xml:space="preserve"> uptake rate (X</t>
    </r>
    <r>
      <rPr>
        <vertAlign val="subscript"/>
        <sz val="11"/>
        <rFont val="Calibri"/>
        <family val="2"/>
      </rPr>
      <t>STO</t>
    </r>
    <r>
      <rPr>
        <sz val="11"/>
        <rFont val="Calibri"/>
        <family val="2"/>
      </rPr>
      <t xml:space="preserve"> storage) </t>
    </r>
  </si>
  <si>
    <t>Rate of PP storage</t>
  </si>
  <si>
    <r>
      <t>Maximum ratio of X</t>
    </r>
    <r>
      <rPr>
        <vertAlign val="subscript"/>
        <sz val="11"/>
        <rFont val="Calibri"/>
        <family val="2"/>
      </rPr>
      <t>PP</t>
    </r>
    <r>
      <rPr>
        <sz val="11"/>
        <rFont val="Calibri"/>
        <family val="2"/>
      </rPr>
      <t>/X</t>
    </r>
    <r>
      <rPr>
        <vertAlign val="subscript"/>
        <sz val="11"/>
        <rFont val="Calibri"/>
        <family val="2"/>
      </rPr>
      <t>PAO</t>
    </r>
  </si>
  <si>
    <r>
      <t>Half-saturation of X</t>
    </r>
    <r>
      <rPr>
        <vertAlign val="subscript"/>
        <sz val="11"/>
        <color rgb="FF000000"/>
        <rFont val="Calibri"/>
        <family val="2"/>
        <scheme val="minor"/>
      </rPr>
      <t>PP</t>
    </r>
    <r>
      <rPr>
        <sz val="11"/>
        <color rgb="FF000000"/>
        <rFont val="Calibri"/>
        <family val="2"/>
        <charset val="238"/>
        <scheme val="minor"/>
      </rPr>
      <t>/X</t>
    </r>
    <r>
      <rPr>
        <vertAlign val="subscript"/>
        <sz val="11"/>
        <color rgb="FF000000"/>
        <rFont val="Calibri"/>
        <family val="2"/>
        <scheme val="minor"/>
      </rPr>
      <t>PAO</t>
    </r>
  </si>
  <si>
    <t>Half-inhibition of XPP/XPAO</t>
  </si>
  <si>
    <r>
      <t>Saturation constant for X</t>
    </r>
    <r>
      <rPr>
        <vertAlign val="subscript"/>
        <sz val="11"/>
        <rFont val="Calibri"/>
        <family val="2"/>
      </rPr>
      <t>STO</t>
    </r>
    <r>
      <rPr>
        <sz val="11"/>
        <rFont val="Calibri"/>
        <family val="2"/>
      </rPr>
      <t>/X</t>
    </r>
    <r>
      <rPr>
        <vertAlign val="subscript"/>
        <sz val="11"/>
        <rFont val="Calibri"/>
        <family val="2"/>
      </rPr>
      <t xml:space="preserve">PAO </t>
    </r>
  </si>
  <si>
    <t>Rate of PP lysis</t>
  </si>
  <si>
    <r>
      <t>Reduction factor for anoxic lysis of X</t>
    </r>
    <r>
      <rPr>
        <vertAlign val="subscript"/>
        <sz val="11"/>
        <rFont val="Calibri"/>
        <family val="2"/>
      </rPr>
      <t>PP</t>
    </r>
  </si>
  <si>
    <r>
      <t>Rate of X</t>
    </r>
    <r>
      <rPr>
        <vertAlign val="subscript"/>
        <sz val="11"/>
        <color rgb="FF000000"/>
        <rFont val="Calibri"/>
        <family val="2"/>
        <scheme val="minor"/>
      </rPr>
      <t>STO</t>
    </r>
    <r>
      <rPr>
        <sz val="11"/>
        <color rgb="FF000000"/>
        <rFont val="Calibri"/>
        <family val="2"/>
        <charset val="238"/>
        <scheme val="minor"/>
      </rPr>
      <t xml:space="preserve"> respiration</t>
    </r>
  </si>
  <si>
    <r>
      <t>Reduction factor for anoxic respiration of X</t>
    </r>
    <r>
      <rPr>
        <vertAlign val="subscript"/>
        <sz val="11"/>
        <rFont val="Calibri"/>
        <family val="2"/>
      </rPr>
      <t>STO</t>
    </r>
  </si>
  <si>
    <r>
      <t>Half-saturation of PO</t>
    </r>
    <r>
      <rPr>
        <vertAlign val="subscript"/>
        <sz val="11"/>
        <color rgb="FF000000"/>
        <rFont val="Calibri"/>
        <family val="2"/>
        <scheme val="minor"/>
      </rPr>
      <t>4</t>
    </r>
    <r>
      <rPr>
        <sz val="11"/>
        <color rgb="FF000000"/>
        <rFont val="Calibri"/>
        <family val="2"/>
        <charset val="238"/>
        <scheme val="minor"/>
      </rPr>
      <t xml:space="preserve"> uptake (PP storage)</t>
    </r>
  </si>
  <si>
    <r>
      <t>g S</t>
    </r>
    <r>
      <rPr>
        <vertAlign val="subscript"/>
        <sz val="11"/>
        <rFont val="Calibri"/>
        <family val="2"/>
      </rPr>
      <t>S</t>
    </r>
    <r>
      <rPr>
        <sz val="11"/>
        <rFont val="Calibri"/>
        <family val="2"/>
      </rPr>
      <t>.m</t>
    </r>
    <r>
      <rPr>
        <vertAlign val="superscript"/>
        <sz val="11"/>
        <rFont val="Calibri"/>
        <family val="2"/>
      </rPr>
      <t>-3</t>
    </r>
  </si>
  <si>
    <t>Maximum specific growth rate of autotrophs</t>
  </si>
  <si>
    <t>Decay rate of autotrophs</t>
  </si>
  <si>
    <r>
      <t>Reduction factor for anoxic endogenous respiration of X</t>
    </r>
    <r>
      <rPr>
        <vertAlign val="subscript"/>
        <sz val="11"/>
        <rFont val="Calibri"/>
        <family val="2"/>
      </rPr>
      <t>A</t>
    </r>
  </si>
  <si>
    <r>
      <t>Yield for X</t>
    </r>
    <r>
      <rPr>
        <vertAlign val="subscript"/>
        <sz val="11"/>
        <rFont val="Calibri"/>
        <family val="2"/>
      </rPr>
      <t>H</t>
    </r>
    <r>
      <rPr>
        <sz val="11"/>
        <rFont val="Calibri"/>
        <family val="2"/>
      </rPr>
      <t xml:space="preserve"> growth per X</t>
    </r>
    <r>
      <rPr>
        <vertAlign val="subscript"/>
        <sz val="11"/>
        <rFont val="Calibri"/>
        <family val="2"/>
      </rPr>
      <t xml:space="preserve">STO </t>
    </r>
    <r>
      <rPr>
        <sz val="11"/>
        <rFont val="Calibri"/>
        <family val="2"/>
      </rPr>
      <t>(Aerobic )</t>
    </r>
  </si>
  <si>
    <r>
      <t>Yield for X</t>
    </r>
    <r>
      <rPr>
        <vertAlign val="subscript"/>
        <sz val="11"/>
        <rFont val="Calibri"/>
        <family val="2"/>
      </rPr>
      <t>H</t>
    </r>
    <r>
      <rPr>
        <sz val="11"/>
        <rFont val="Calibri"/>
        <family val="2"/>
      </rPr>
      <t xml:space="preserve"> growth per X</t>
    </r>
    <r>
      <rPr>
        <vertAlign val="subscript"/>
        <sz val="11"/>
        <rFont val="Calibri"/>
        <family val="2"/>
      </rPr>
      <t xml:space="preserve">STO </t>
    </r>
    <r>
      <rPr>
        <sz val="11"/>
        <rFont val="Calibri"/>
        <family val="2"/>
      </rPr>
      <t>(Anoxic)</t>
    </r>
  </si>
  <si>
    <r>
      <t>Yield for X</t>
    </r>
    <r>
      <rPr>
        <vertAlign val="subscript"/>
        <sz val="11"/>
        <rFont val="Calibri"/>
        <family val="2"/>
      </rPr>
      <t>STO</t>
    </r>
    <r>
      <rPr>
        <sz val="11"/>
        <rFont val="Calibri"/>
        <family val="2"/>
      </rPr>
      <t xml:space="preserve"> formation per S</t>
    </r>
    <r>
      <rPr>
        <vertAlign val="subscript"/>
        <sz val="11"/>
        <rFont val="Calibri"/>
        <family val="2"/>
      </rPr>
      <t xml:space="preserve">S </t>
    </r>
    <r>
      <rPr>
        <sz val="11"/>
        <rFont val="Calibri"/>
        <family val="2"/>
      </rPr>
      <t>(Aerobic )</t>
    </r>
  </si>
  <si>
    <r>
      <t>Yield for X</t>
    </r>
    <r>
      <rPr>
        <vertAlign val="subscript"/>
        <sz val="11"/>
        <rFont val="Calibri"/>
        <family val="2"/>
      </rPr>
      <t>STO</t>
    </r>
    <r>
      <rPr>
        <sz val="11"/>
        <rFont val="Calibri"/>
        <family val="2"/>
      </rPr>
      <t xml:space="preserve"> formation per S</t>
    </r>
    <r>
      <rPr>
        <vertAlign val="subscript"/>
        <sz val="11"/>
        <rFont val="Calibri"/>
        <family val="2"/>
      </rPr>
      <t xml:space="preserve">S </t>
    </r>
    <r>
      <rPr>
        <sz val="11"/>
        <rFont val="Calibri"/>
        <family val="2"/>
      </rPr>
      <t>(Anoxic)</t>
    </r>
  </si>
  <si>
    <r>
      <t>Yield for X</t>
    </r>
    <r>
      <rPr>
        <vertAlign val="subscript"/>
        <sz val="11"/>
        <rFont val="Calibri"/>
        <family val="2"/>
      </rPr>
      <t>PAO</t>
    </r>
    <r>
      <rPr>
        <sz val="11"/>
        <rFont val="Calibri"/>
        <family val="2"/>
      </rPr>
      <t xml:space="preserve"> growth per X</t>
    </r>
    <r>
      <rPr>
        <vertAlign val="subscript"/>
        <sz val="11"/>
        <rFont val="Calibri"/>
        <family val="2"/>
      </rPr>
      <t>STO</t>
    </r>
    <r>
      <rPr>
        <sz val="11"/>
        <rFont val="Calibri"/>
        <family val="2"/>
      </rPr>
      <t xml:space="preserve"> (Aerobic)</t>
    </r>
  </si>
  <si>
    <r>
      <t>Yield for X</t>
    </r>
    <r>
      <rPr>
        <vertAlign val="subscript"/>
        <sz val="11"/>
        <rFont val="Calibri"/>
        <family val="2"/>
      </rPr>
      <t>PAO</t>
    </r>
    <r>
      <rPr>
        <sz val="11"/>
        <rFont val="Calibri"/>
        <family val="2"/>
      </rPr>
      <t xml:space="preserve"> growth per X</t>
    </r>
    <r>
      <rPr>
        <vertAlign val="subscript"/>
        <sz val="11"/>
        <rFont val="Calibri"/>
        <family val="2"/>
      </rPr>
      <t>STO</t>
    </r>
    <r>
      <rPr>
        <sz val="11"/>
        <rFont val="Calibri"/>
        <family val="2"/>
      </rPr>
      <t xml:space="preserve"> (Anoxic)</t>
    </r>
  </si>
  <si>
    <r>
      <t>Yield for X</t>
    </r>
    <r>
      <rPr>
        <vertAlign val="subscript"/>
        <sz val="11"/>
        <rFont val="Calibri"/>
        <family val="2"/>
      </rPr>
      <t>PP</t>
    </r>
    <r>
      <rPr>
        <sz val="11"/>
        <rFont val="Calibri"/>
        <family val="2"/>
      </rPr>
      <t xml:space="preserve"> storage (S</t>
    </r>
    <r>
      <rPr>
        <vertAlign val="subscript"/>
        <sz val="11"/>
        <rFont val="Calibri"/>
        <family val="2"/>
      </rPr>
      <t>PO4</t>
    </r>
    <r>
      <rPr>
        <sz val="11"/>
        <rFont val="Calibri"/>
        <family val="2"/>
      </rPr>
      <t xml:space="preserve"> uptake) per X</t>
    </r>
    <r>
      <rPr>
        <vertAlign val="subscript"/>
        <sz val="11"/>
        <rFont val="Calibri"/>
        <family val="2"/>
      </rPr>
      <t>STO</t>
    </r>
    <r>
      <rPr>
        <sz val="11"/>
        <rFont val="Calibri"/>
        <family val="2"/>
      </rPr>
      <t xml:space="preserve"> utilized</t>
    </r>
  </si>
  <si>
    <r>
      <t>Yield for X</t>
    </r>
    <r>
      <rPr>
        <vertAlign val="subscript"/>
        <sz val="11"/>
        <rFont val="Calibri"/>
        <family val="2"/>
      </rPr>
      <t>PP</t>
    </r>
    <r>
      <rPr>
        <sz val="11"/>
        <rFont val="Calibri"/>
        <family val="2"/>
      </rPr>
      <t xml:space="preserve"> requirement (S</t>
    </r>
    <r>
      <rPr>
        <vertAlign val="subscript"/>
        <sz val="11"/>
        <rFont val="Calibri"/>
        <family val="2"/>
      </rPr>
      <t>PO4</t>
    </r>
    <r>
      <rPr>
        <sz val="11"/>
        <rFont val="Calibri"/>
        <family val="2"/>
      </rPr>
      <t xml:space="preserve"> release) per X</t>
    </r>
    <r>
      <rPr>
        <vertAlign val="subscript"/>
        <sz val="11"/>
        <rFont val="Calibri"/>
        <family val="2"/>
      </rPr>
      <t>STO</t>
    </r>
    <r>
      <rPr>
        <sz val="11"/>
        <rFont val="Calibri"/>
        <family val="2"/>
      </rPr>
      <t xml:space="preserve"> stored (S</t>
    </r>
    <r>
      <rPr>
        <vertAlign val="subscript"/>
        <sz val="11"/>
        <rFont val="Calibri"/>
        <family val="2"/>
      </rPr>
      <t>S</t>
    </r>
    <r>
      <rPr>
        <sz val="11"/>
        <rFont val="Calibri"/>
        <family val="2"/>
      </rPr>
      <t xml:space="preserve"> utilized) </t>
    </r>
  </si>
  <si>
    <r>
      <t>Yield of X</t>
    </r>
    <r>
      <rPr>
        <vertAlign val="subscript"/>
        <sz val="11"/>
        <rFont val="Calibri"/>
        <family val="2"/>
      </rPr>
      <t>A</t>
    </r>
    <r>
      <rPr>
        <sz val="11"/>
        <rFont val="Calibri"/>
        <family val="2"/>
      </rPr>
      <t xml:space="preserve"> growth per S</t>
    </r>
    <r>
      <rPr>
        <vertAlign val="subscript"/>
        <sz val="11"/>
        <rFont val="Calibri"/>
        <family val="2"/>
      </rPr>
      <t>NO</t>
    </r>
  </si>
  <si>
    <r>
      <t>g COD</t>
    </r>
    <r>
      <rPr>
        <vertAlign val="subscript"/>
        <sz val="11"/>
        <rFont val="Calibri"/>
        <family val="2"/>
      </rPr>
      <t>.</t>
    </r>
    <r>
      <rPr>
        <sz val="11"/>
        <rFont val="Calibri"/>
        <family val="2"/>
      </rPr>
      <t>g P</t>
    </r>
    <r>
      <rPr>
        <vertAlign val="superscript"/>
        <sz val="11"/>
        <rFont val="Calibri"/>
        <family val="2"/>
      </rPr>
      <t>-1</t>
    </r>
  </si>
  <si>
    <r>
      <t>g P</t>
    </r>
    <r>
      <rPr>
        <vertAlign val="subscript"/>
        <sz val="11"/>
        <rFont val="Calibri"/>
        <family val="2"/>
      </rPr>
      <t>.</t>
    </r>
    <r>
      <rPr>
        <sz val="11"/>
        <rFont val="Calibri"/>
        <family val="2"/>
      </rPr>
      <t>g COD</t>
    </r>
    <r>
      <rPr>
        <vertAlign val="superscript"/>
        <sz val="11"/>
        <rFont val="Calibri"/>
        <family val="2"/>
      </rPr>
      <t>-1</t>
    </r>
  </si>
  <si>
    <r>
      <t>g COD</t>
    </r>
    <r>
      <rPr>
        <sz val="11"/>
        <rFont val="Calibri"/>
        <family val="2"/>
      </rPr>
      <t>.g N</t>
    </r>
    <r>
      <rPr>
        <vertAlign val="superscript"/>
        <sz val="11"/>
        <rFont val="Calibri"/>
        <family val="2"/>
      </rPr>
      <t>-1</t>
    </r>
  </si>
  <si>
    <r>
      <t>Fraction of X</t>
    </r>
    <r>
      <rPr>
        <vertAlign val="subscript"/>
        <sz val="11"/>
        <rFont val="Calibri"/>
        <family val="2"/>
      </rPr>
      <t>I</t>
    </r>
    <r>
      <rPr>
        <sz val="11"/>
        <rFont val="Calibri"/>
        <family val="2"/>
      </rPr>
      <t xml:space="preserve"> generated in heterotrophic biomass decay</t>
    </r>
  </si>
  <si>
    <r>
      <t>N content of S</t>
    </r>
    <r>
      <rPr>
        <vertAlign val="subscript"/>
        <sz val="11"/>
        <rFont val="Calibri"/>
        <family val="2"/>
      </rPr>
      <t>S</t>
    </r>
  </si>
  <si>
    <r>
      <t>N content of S</t>
    </r>
    <r>
      <rPr>
        <vertAlign val="subscript"/>
        <sz val="11"/>
        <rFont val="Calibri"/>
        <family val="2"/>
      </rPr>
      <t>I</t>
    </r>
  </si>
  <si>
    <r>
      <t>N content of X</t>
    </r>
    <r>
      <rPr>
        <vertAlign val="subscript"/>
        <sz val="11"/>
        <rFont val="Calibri"/>
        <family val="2"/>
      </rPr>
      <t>I</t>
    </r>
  </si>
  <si>
    <r>
      <t>N content of X</t>
    </r>
    <r>
      <rPr>
        <vertAlign val="subscript"/>
        <sz val="11"/>
        <rFont val="Calibri"/>
        <family val="2"/>
      </rPr>
      <t>S</t>
    </r>
  </si>
  <si>
    <t>N content of biomasses</t>
  </si>
  <si>
    <r>
      <t>P content of S</t>
    </r>
    <r>
      <rPr>
        <vertAlign val="subscript"/>
        <sz val="11"/>
        <rFont val="Calibri"/>
        <family val="2"/>
      </rPr>
      <t>S</t>
    </r>
  </si>
  <si>
    <r>
      <t>P content of S</t>
    </r>
    <r>
      <rPr>
        <vertAlign val="subscript"/>
        <sz val="11"/>
        <rFont val="Calibri"/>
        <family val="2"/>
      </rPr>
      <t>I</t>
    </r>
  </si>
  <si>
    <r>
      <t>P content of X</t>
    </r>
    <r>
      <rPr>
        <vertAlign val="subscript"/>
        <sz val="11"/>
        <rFont val="Calibri"/>
        <family val="2"/>
      </rPr>
      <t>I</t>
    </r>
  </si>
  <si>
    <r>
      <t>P content of X</t>
    </r>
    <r>
      <rPr>
        <vertAlign val="subscript"/>
        <sz val="11"/>
        <rFont val="Calibri"/>
        <family val="2"/>
      </rPr>
      <t>S</t>
    </r>
  </si>
  <si>
    <t>P content of biomasses</t>
  </si>
  <si>
    <r>
      <t>g N.g COD</t>
    </r>
    <r>
      <rPr>
        <vertAlign val="superscript"/>
        <sz val="11"/>
        <rFont val="Calibri"/>
        <family val="2"/>
      </rPr>
      <t>-1</t>
    </r>
  </si>
  <si>
    <t>Conversion factor XI into TSS</t>
  </si>
  <si>
    <t>Conversion factor XS into TSS</t>
  </si>
  <si>
    <t>Conversion factor XSTO into TSS</t>
  </si>
  <si>
    <t>Conversion factor XPP into TSS</t>
  </si>
  <si>
    <r>
      <t>g TSS.g COD</t>
    </r>
    <r>
      <rPr>
        <vertAlign val="superscript"/>
        <sz val="11"/>
        <rFont val="Calibri"/>
        <family val="2"/>
      </rPr>
      <t>-1</t>
    </r>
  </si>
  <si>
    <r>
      <t>g TSS.g P</t>
    </r>
    <r>
      <rPr>
        <vertAlign val="superscript"/>
        <sz val="11"/>
        <rFont val="Calibri"/>
        <family val="2"/>
      </rPr>
      <t>-1</t>
    </r>
  </si>
  <si>
    <t>Conversion factor for NH4 into charge</t>
  </si>
  <si>
    <t>Conversion factor for NOX into charge</t>
  </si>
  <si>
    <t>Conversion factor for XPP (K0.33Mg0.33PO3)n into charge</t>
  </si>
  <si>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</si>
  <si>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</si>
  <si>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</si>
  <si>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</si>
  <si>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</si>
  <si>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</si>
  <si>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</si>
  <si>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</si>
  <si>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</si>
  <si>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Particle size</t>
  </si>
  <si>
    <r>
      <t>-g COD.m</t>
    </r>
    <r>
      <rPr>
        <vertAlign val="superscript"/>
        <sz val="11"/>
        <rFont val="Calibri"/>
        <family val="2"/>
        <scheme val="minor"/>
      </rPr>
      <t>-3</t>
    </r>
  </si>
  <si>
    <r>
      <t>g COD.m</t>
    </r>
    <r>
      <rPr>
        <vertAlign val="superscript"/>
        <sz val="11"/>
        <rFont val="Calibri"/>
        <family val="2"/>
        <scheme val="minor"/>
      </rPr>
      <t>-3</t>
    </r>
  </si>
  <si>
    <r>
      <t>S</t>
    </r>
    <r>
      <rPr>
        <vertAlign val="subscript"/>
        <sz val="11"/>
        <rFont val="Calibri"/>
        <family val="2"/>
        <scheme val="minor"/>
      </rPr>
      <t>NH4</t>
    </r>
  </si>
  <si>
    <r>
      <t>g N.m</t>
    </r>
    <r>
      <rPr>
        <vertAlign val="superscript"/>
        <sz val="11"/>
        <rFont val="Calibri"/>
        <family val="2"/>
        <scheme val="minor"/>
      </rPr>
      <t>-3</t>
    </r>
  </si>
  <si>
    <r>
      <t>S</t>
    </r>
    <r>
      <rPr>
        <vertAlign val="subscript"/>
        <sz val="11"/>
        <rFont val="Calibri"/>
        <family val="2"/>
        <scheme val="minor"/>
      </rPr>
      <t>N2</t>
    </r>
  </si>
  <si>
    <r>
      <t>S</t>
    </r>
    <r>
      <rPr>
        <vertAlign val="subscript"/>
        <sz val="11"/>
        <rFont val="Calibri"/>
        <family val="2"/>
        <scheme val="minor"/>
      </rPr>
      <t>PO4</t>
    </r>
  </si>
  <si>
    <r>
      <t>g P.m</t>
    </r>
    <r>
      <rPr>
        <vertAlign val="superscript"/>
        <sz val="11"/>
        <rFont val="Calibri"/>
        <family val="2"/>
        <scheme val="minor"/>
      </rPr>
      <t>-3</t>
    </r>
  </si>
  <si>
    <r>
      <t>S</t>
    </r>
    <r>
      <rPr>
        <vertAlign val="subscript"/>
        <sz val="11"/>
        <rFont val="Calibri"/>
        <family val="2"/>
        <scheme val="minor"/>
      </rPr>
      <t>I</t>
    </r>
  </si>
  <si>
    <r>
      <t>X</t>
    </r>
    <r>
      <rPr>
        <vertAlign val="subscript"/>
        <sz val="11"/>
        <rFont val="Calibri"/>
        <family val="2"/>
        <scheme val="minor"/>
      </rPr>
      <t>I</t>
    </r>
  </si>
  <si>
    <r>
      <t>X</t>
    </r>
    <r>
      <rPr>
        <vertAlign val="subscript"/>
        <sz val="11"/>
        <rFont val="Calibri"/>
        <family val="2"/>
        <scheme val="minor"/>
      </rPr>
      <t>S</t>
    </r>
  </si>
  <si>
    <r>
      <t>X</t>
    </r>
    <r>
      <rPr>
        <vertAlign val="subscript"/>
        <sz val="11"/>
        <rFont val="Calibri"/>
        <family val="2"/>
        <scheme val="minor"/>
      </rPr>
      <t>H</t>
    </r>
  </si>
  <si>
    <r>
      <t>X</t>
    </r>
    <r>
      <rPr>
        <vertAlign val="subscript"/>
        <sz val="11"/>
        <rFont val="Calibri"/>
        <family val="2"/>
        <scheme val="minor"/>
      </rPr>
      <t>STO</t>
    </r>
  </si>
  <si>
    <r>
      <t>X</t>
    </r>
    <r>
      <rPr>
        <vertAlign val="subscript"/>
        <sz val="11"/>
        <rFont val="Calibri"/>
        <family val="2"/>
        <scheme val="minor"/>
      </rPr>
      <t>PAO</t>
    </r>
  </si>
  <si>
    <r>
      <t>X</t>
    </r>
    <r>
      <rPr>
        <vertAlign val="subscript"/>
        <sz val="11"/>
        <rFont val="Calibri"/>
        <family val="2"/>
        <scheme val="minor"/>
      </rPr>
      <t>PP</t>
    </r>
  </si>
  <si>
    <r>
      <t>X</t>
    </r>
    <r>
      <rPr>
        <vertAlign val="subscript"/>
        <sz val="11"/>
        <rFont val="Calibri"/>
        <family val="2"/>
        <scheme val="minor"/>
      </rPr>
      <t>PHA</t>
    </r>
  </si>
  <si>
    <r>
      <t>X</t>
    </r>
    <r>
      <rPr>
        <vertAlign val="subscript"/>
        <sz val="11"/>
        <rFont val="Calibri"/>
        <family val="2"/>
        <scheme val="minor"/>
      </rPr>
      <t>A</t>
    </r>
  </si>
  <si>
    <r>
      <t>X</t>
    </r>
    <r>
      <rPr>
        <vertAlign val="subscript"/>
        <sz val="11"/>
        <rFont val="Calibri"/>
        <family val="2"/>
        <scheme val="minor"/>
      </rPr>
      <t>TSS</t>
    </r>
  </si>
  <si>
    <r>
      <t>g TSS.m</t>
    </r>
    <r>
      <rPr>
        <vertAlign val="superscript"/>
        <sz val="11"/>
        <rFont val="Calibri"/>
        <family val="2"/>
        <scheme val="minor"/>
      </rPr>
      <t>-3</t>
    </r>
  </si>
  <si>
    <t>Default</t>
  </si>
  <si>
    <t>Saturation/inhibition terms</t>
  </si>
  <si>
    <r>
      <t>Msat</t>
    </r>
    <r>
      <rPr>
        <vertAlign val="subscript"/>
        <sz val="11"/>
        <rFont val="Calibri"/>
        <family val="2"/>
        <scheme val="minor"/>
      </rPr>
      <t>SS,KSS,H</t>
    </r>
  </si>
  <si>
    <r>
      <t>S</t>
    </r>
    <r>
      <rPr>
        <vertAlign val="subscript"/>
        <sz val="11"/>
        <rFont val="Calibri"/>
        <family val="2"/>
        <scheme val="minor"/>
      </rPr>
      <t>S</t>
    </r>
    <r>
      <rPr>
        <sz val="11"/>
        <rFont val="Calibri"/>
        <family val="2"/>
        <scheme val="minor"/>
      </rPr>
      <t>/(S</t>
    </r>
    <r>
      <rPr>
        <vertAlign val="subscript"/>
        <sz val="11"/>
        <rFont val="Calibri"/>
        <family val="2"/>
        <scheme val="minor"/>
      </rPr>
      <t>S</t>
    </r>
    <r>
      <rPr>
        <sz val="11"/>
        <rFont val="Calibri"/>
        <family val="2"/>
        <scheme val="minor"/>
      </rPr>
      <t>+K</t>
    </r>
    <r>
      <rPr>
        <vertAlign val="subscript"/>
        <sz val="11"/>
        <rFont val="Calibri"/>
        <family val="2"/>
        <scheme val="minor"/>
      </rPr>
      <t>SS,H</t>
    </r>
    <r>
      <rPr>
        <sz val="11"/>
        <rFont val="Calibri"/>
        <family val="2"/>
        <scheme val="minor"/>
      </rPr>
      <t>)</t>
    </r>
  </si>
  <si>
    <r>
      <t>Msat</t>
    </r>
    <r>
      <rPr>
        <vertAlign val="subscript"/>
        <sz val="11"/>
        <rFont val="Calibri"/>
        <family val="2"/>
        <scheme val="minor"/>
      </rPr>
      <t>SO,KO,H</t>
    </r>
  </si>
  <si>
    <r>
      <t>Msat</t>
    </r>
    <r>
      <rPr>
        <vertAlign val="subscript"/>
        <sz val="11"/>
        <rFont val="Calibri"/>
        <family val="2"/>
        <scheme val="minor"/>
      </rPr>
      <t>SNH4,KNH,H</t>
    </r>
  </si>
  <si>
    <r>
      <t>S</t>
    </r>
    <r>
      <rPr>
        <vertAlign val="subscript"/>
        <sz val="11"/>
        <rFont val="Calibri"/>
        <family val="2"/>
        <scheme val="minor"/>
      </rPr>
      <t>NH4</t>
    </r>
    <r>
      <rPr>
        <sz val="11"/>
        <rFont val="Calibri"/>
        <family val="2"/>
        <scheme val="minor"/>
      </rPr>
      <t>/(K</t>
    </r>
    <r>
      <rPr>
        <vertAlign val="subscript"/>
        <sz val="11"/>
        <rFont val="Calibri"/>
        <family val="2"/>
        <scheme val="minor"/>
      </rPr>
      <t>NH,H</t>
    </r>
    <r>
      <rPr>
        <sz val="11"/>
        <rFont val="Calibri"/>
        <family val="2"/>
        <scheme val="minor"/>
      </rPr>
      <t>+S</t>
    </r>
    <r>
      <rPr>
        <vertAlign val="subscript"/>
        <sz val="11"/>
        <rFont val="Calibri"/>
        <family val="2"/>
        <scheme val="minor"/>
      </rPr>
      <t>NH4</t>
    </r>
    <r>
      <rPr>
        <sz val="11"/>
        <rFont val="Calibri"/>
        <family val="2"/>
        <scheme val="minor"/>
      </rPr>
      <t>)</t>
    </r>
  </si>
  <si>
    <r>
      <t>Msat</t>
    </r>
    <r>
      <rPr>
        <vertAlign val="subscript"/>
        <sz val="11"/>
        <rFont val="Calibri"/>
        <family val="2"/>
        <scheme val="minor"/>
      </rPr>
      <t>SPO4,KPO4,H</t>
    </r>
  </si>
  <si>
    <r>
      <t>S</t>
    </r>
    <r>
      <rPr>
        <vertAlign val="subscript"/>
        <sz val="11"/>
        <rFont val="Calibri"/>
        <family val="2"/>
        <scheme val="minor"/>
      </rPr>
      <t>PO4</t>
    </r>
    <r>
      <rPr>
        <sz val="11"/>
        <rFont val="Calibri"/>
        <family val="2"/>
        <scheme val="minor"/>
      </rPr>
      <t>/(K</t>
    </r>
    <r>
      <rPr>
        <vertAlign val="subscript"/>
        <sz val="11"/>
        <rFont val="Calibri"/>
        <family val="2"/>
        <scheme val="minor"/>
      </rPr>
      <t>PO4,H</t>
    </r>
    <r>
      <rPr>
        <sz val="11"/>
        <rFont val="Calibri"/>
        <family val="2"/>
        <scheme val="minor"/>
      </rPr>
      <t>+S</t>
    </r>
    <r>
      <rPr>
        <vertAlign val="subscript"/>
        <sz val="11"/>
        <rFont val="Calibri"/>
        <family val="2"/>
        <scheme val="minor"/>
      </rPr>
      <t>PO4</t>
    </r>
    <r>
      <rPr>
        <sz val="11"/>
        <rFont val="Calibri"/>
        <family val="2"/>
        <scheme val="minor"/>
      </rPr>
      <t>)</t>
    </r>
  </si>
  <si>
    <r>
      <t>Msat</t>
    </r>
    <r>
      <rPr>
        <vertAlign val="subscript"/>
        <sz val="11"/>
        <rFont val="Calibri"/>
        <family val="2"/>
        <scheme val="minor"/>
      </rPr>
      <t>SO,KO,PAO</t>
    </r>
  </si>
  <si>
    <r>
      <t>Msat</t>
    </r>
    <r>
      <rPr>
        <vertAlign val="subscript"/>
        <sz val="11"/>
        <rFont val="Calibri"/>
        <family val="2"/>
        <scheme val="minor"/>
      </rPr>
      <t>SNH4,KNH,PAO</t>
    </r>
  </si>
  <si>
    <r>
      <t>S</t>
    </r>
    <r>
      <rPr>
        <vertAlign val="subscript"/>
        <sz val="11"/>
        <rFont val="Calibri"/>
        <family val="2"/>
        <scheme val="minor"/>
      </rPr>
      <t>NH4</t>
    </r>
    <r>
      <rPr>
        <sz val="11"/>
        <rFont val="Calibri"/>
        <family val="2"/>
        <scheme val="minor"/>
      </rPr>
      <t>/(K</t>
    </r>
    <r>
      <rPr>
        <vertAlign val="subscript"/>
        <sz val="11"/>
        <rFont val="Calibri"/>
        <family val="2"/>
        <scheme val="minor"/>
      </rPr>
      <t>NH,PAO</t>
    </r>
    <r>
      <rPr>
        <sz val="11"/>
        <rFont val="Calibri"/>
        <family val="2"/>
        <scheme val="minor"/>
      </rPr>
      <t>+S</t>
    </r>
    <r>
      <rPr>
        <vertAlign val="subscript"/>
        <sz val="11"/>
        <rFont val="Calibri"/>
        <family val="2"/>
        <scheme val="minor"/>
      </rPr>
      <t>NH4</t>
    </r>
    <r>
      <rPr>
        <sz val="11"/>
        <rFont val="Calibri"/>
        <family val="2"/>
        <scheme val="minor"/>
      </rPr>
      <t>)</t>
    </r>
  </si>
  <si>
    <r>
      <t>Msat</t>
    </r>
    <r>
      <rPr>
        <vertAlign val="subscript"/>
        <sz val="11"/>
        <rFont val="Calibri"/>
        <family val="2"/>
        <scheme val="minor"/>
      </rPr>
      <t>SPO4,KPO4,PAO</t>
    </r>
  </si>
  <si>
    <r>
      <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+S</t>
    </r>
    <r>
      <rPr>
        <vertAlign val="subscript"/>
        <sz val="11"/>
        <rFont val="Calibri"/>
        <family val="2"/>
        <scheme val="minor"/>
      </rPr>
      <t>PO4</t>
    </r>
    <r>
      <rPr>
        <sz val="11"/>
        <rFont val="Calibri"/>
        <family val="2"/>
        <scheme val="minor"/>
      </rPr>
      <t>)</t>
    </r>
  </si>
  <si>
    <r>
      <t>Msat</t>
    </r>
    <r>
      <rPr>
        <vertAlign val="subscript"/>
        <sz val="11"/>
        <rFont val="Calibri"/>
        <family val="2"/>
        <scheme val="minor"/>
      </rPr>
      <t>SPO4,KPO4,PP</t>
    </r>
  </si>
  <si>
    <r>
      <t>S</t>
    </r>
    <r>
      <rPr>
        <vertAlign val="subscript"/>
        <sz val="11"/>
        <rFont val="Calibri"/>
        <family val="2"/>
        <scheme val="minor"/>
      </rPr>
      <t>PO4</t>
    </r>
    <r>
      <rPr>
        <sz val="11"/>
        <rFont val="Calibri"/>
        <family val="2"/>
        <scheme val="minor"/>
      </rPr>
      <t>/(K</t>
    </r>
    <r>
      <rPr>
        <vertAlign val="subscript"/>
        <sz val="11"/>
        <rFont val="Calibri"/>
        <family val="2"/>
        <scheme val="minor"/>
      </rPr>
      <t>PO4,PP</t>
    </r>
    <r>
      <rPr>
        <sz val="11"/>
        <rFont val="Calibri"/>
        <family val="2"/>
        <scheme val="minor"/>
      </rPr>
      <t>+S</t>
    </r>
    <r>
      <rPr>
        <vertAlign val="subscript"/>
        <sz val="11"/>
        <rFont val="Calibri"/>
        <family val="2"/>
        <scheme val="minor"/>
      </rPr>
      <t>PO4</t>
    </r>
    <r>
      <rPr>
        <sz val="11"/>
        <rFont val="Calibri"/>
        <family val="2"/>
        <scheme val="minor"/>
      </rPr>
      <t>)</t>
    </r>
  </si>
  <si>
    <r>
      <t>Minh</t>
    </r>
    <r>
      <rPr>
        <vertAlign val="subscript"/>
        <sz val="11"/>
        <rFont val="Calibri"/>
        <family val="2"/>
        <scheme val="minor"/>
      </rPr>
      <t>SO,KO,H</t>
    </r>
  </si>
  <si>
    <r>
      <t>Msat</t>
    </r>
    <r>
      <rPr>
        <vertAlign val="subscript"/>
        <sz val="11"/>
        <rFont val="Calibri"/>
        <family val="2"/>
        <scheme val="minor"/>
      </rPr>
      <t>SO,KO,A</t>
    </r>
  </si>
  <si>
    <r>
      <t>Minh</t>
    </r>
    <r>
      <rPr>
        <vertAlign val="subscript"/>
        <sz val="11"/>
        <rFont val="Calibri"/>
        <family val="2"/>
        <scheme val="minor"/>
      </rPr>
      <t>SO,KO,PAO</t>
    </r>
  </si>
  <si>
    <r>
      <t>k</t>
    </r>
    <r>
      <rPr>
        <i/>
        <vertAlign val="subscript"/>
        <sz val="12"/>
        <rFont val="Arial"/>
        <family val="2"/>
      </rPr>
      <t>STO</t>
    </r>
    <r>
      <rPr>
        <i/>
        <sz val="12"/>
        <rFont val="Arial"/>
        <family val="2"/>
      </rPr>
      <t>*Msat</t>
    </r>
    <r>
      <rPr>
        <i/>
        <vertAlign val="subscript"/>
        <sz val="12"/>
        <rFont val="Arial"/>
        <family val="2"/>
      </rPr>
      <t>SO,KO,H</t>
    </r>
    <r>
      <rPr>
        <i/>
        <sz val="12"/>
        <rFont val="Arial"/>
        <family val="2"/>
      </rPr>
      <t>*Msat</t>
    </r>
    <r>
      <rPr>
        <i/>
        <vertAlign val="subscript"/>
        <sz val="12"/>
        <rFont val="Arial"/>
        <family val="2"/>
      </rPr>
      <t>SS,KSS,H</t>
    </r>
    <r>
      <rPr>
        <i/>
        <sz val="12"/>
        <rFont val="Arial"/>
        <family val="2"/>
      </rPr>
      <t>*X</t>
    </r>
    <r>
      <rPr>
        <i/>
        <vertAlign val="subscript"/>
        <sz val="12"/>
        <rFont val="Arial"/>
        <family val="2"/>
      </rPr>
      <t>H</t>
    </r>
  </si>
  <si>
    <r>
      <t>b</t>
    </r>
    <r>
      <rPr>
        <i/>
        <vertAlign val="subscript"/>
        <sz val="12"/>
        <rFont val="Arial"/>
        <family val="2"/>
      </rPr>
      <t>H</t>
    </r>
    <r>
      <rPr>
        <i/>
        <sz val="12"/>
        <rFont val="Arial"/>
        <family val="2"/>
      </rPr>
      <t>*Msat</t>
    </r>
    <r>
      <rPr>
        <i/>
        <vertAlign val="subscript"/>
        <sz val="12"/>
        <rFont val="Arial"/>
        <family val="2"/>
      </rPr>
      <t>SO,KO,H</t>
    </r>
    <r>
      <rPr>
        <i/>
        <sz val="12"/>
        <rFont val="Arial"/>
        <family val="2"/>
      </rPr>
      <t>*X</t>
    </r>
    <r>
      <rPr>
        <i/>
        <vertAlign val="subscript"/>
        <sz val="12"/>
        <rFont val="Arial"/>
        <family val="2"/>
      </rPr>
      <t>H</t>
    </r>
  </si>
  <si>
    <r>
      <t>b</t>
    </r>
    <r>
      <rPr>
        <i/>
        <vertAlign val="subscript"/>
        <sz val="12"/>
        <rFont val="Arial"/>
        <family val="2"/>
      </rPr>
      <t>Sto</t>
    </r>
    <r>
      <rPr>
        <i/>
        <sz val="12"/>
        <rFont val="Arial"/>
        <family val="2"/>
      </rPr>
      <t>*Msat</t>
    </r>
    <r>
      <rPr>
        <i/>
        <vertAlign val="subscript"/>
        <sz val="12"/>
        <rFont val="Arial"/>
        <family val="2"/>
      </rPr>
      <t>SO,KO,H</t>
    </r>
    <r>
      <rPr>
        <i/>
        <sz val="12"/>
        <rFont val="Arial"/>
        <family val="2"/>
      </rPr>
      <t>*X</t>
    </r>
    <r>
      <rPr>
        <i/>
        <vertAlign val="subscript"/>
        <sz val="12"/>
        <rFont val="Arial"/>
        <family val="2"/>
      </rPr>
      <t>STO</t>
    </r>
  </si>
  <si>
    <r>
      <t>b</t>
    </r>
    <r>
      <rPr>
        <i/>
        <vertAlign val="subscript"/>
        <sz val="12"/>
        <rFont val="Arial"/>
        <family val="2"/>
      </rPr>
      <t>A</t>
    </r>
    <r>
      <rPr>
        <i/>
        <sz val="12"/>
        <rFont val="Arial"/>
        <family val="2"/>
      </rPr>
      <t>*Msat</t>
    </r>
    <r>
      <rPr>
        <i/>
        <vertAlign val="subscript"/>
        <sz val="12"/>
        <rFont val="Arial"/>
        <family val="2"/>
      </rPr>
      <t>SO,KO,A</t>
    </r>
    <r>
      <rPr>
        <i/>
        <sz val="12"/>
        <rFont val="Arial"/>
        <family val="2"/>
      </rPr>
      <t>*X</t>
    </r>
    <r>
      <rPr>
        <i/>
        <vertAlign val="subscript"/>
        <sz val="12"/>
        <rFont val="Arial"/>
        <family val="2"/>
      </rPr>
      <t>A</t>
    </r>
  </si>
  <si>
    <r>
      <t>b</t>
    </r>
    <r>
      <rPr>
        <i/>
        <vertAlign val="subscript"/>
        <sz val="12"/>
        <rFont val="Arial"/>
        <family val="2"/>
      </rPr>
      <t>PAO</t>
    </r>
    <r>
      <rPr>
        <i/>
        <sz val="12"/>
        <rFont val="Arial"/>
        <family val="2"/>
      </rPr>
      <t>*Msat</t>
    </r>
    <r>
      <rPr>
        <i/>
        <vertAlign val="subscript"/>
        <sz val="12"/>
        <rFont val="Arial"/>
        <family val="2"/>
      </rPr>
      <t>SO,KO,PAO</t>
    </r>
    <r>
      <rPr>
        <i/>
        <sz val="12"/>
        <rFont val="Arial"/>
        <family val="2"/>
      </rPr>
      <t>*X</t>
    </r>
    <r>
      <rPr>
        <i/>
        <vertAlign val="subscript"/>
        <sz val="12"/>
        <rFont val="Arial"/>
        <family val="2"/>
      </rPr>
      <t>PAO</t>
    </r>
  </si>
  <si>
    <r>
      <t>b</t>
    </r>
    <r>
      <rPr>
        <i/>
        <vertAlign val="subscript"/>
        <sz val="12"/>
        <rFont val="Arial"/>
        <family val="2"/>
      </rPr>
      <t>PP</t>
    </r>
    <r>
      <rPr>
        <i/>
        <sz val="12"/>
        <rFont val="Arial"/>
        <family val="2"/>
      </rPr>
      <t>*Msat</t>
    </r>
    <r>
      <rPr>
        <i/>
        <vertAlign val="subscript"/>
        <sz val="12"/>
        <rFont val="Arial"/>
        <family val="2"/>
      </rPr>
      <t>SO,KO,PAO</t>
    </r>
    <r>
      <rPr>
        <i/>
        <sz val="12"/>
        <rFont val="Arial"/>
        <family val="2"/>
      </rPr>
      <t>*X</t>
    </r>
    <r>
      <rPr>
        <i/>
        <vertAlign val="subscript"/>
        <sz val="12"/>
        <rFont val="Arial"/>
        <family val="2"/>
      </rPr>
      <t>PP</t>
    </r>
  </si>
  <si>
    <r>
      <t>b</t>
    </r>
    <r>
      <rPr>
        <i/>
        <vertAlign val="subscript"/>
        <sz val="12"/>
        <rFont val="Arial"/>
        <family val="2"/>
      </rPr>
      <t>PHA</t>
    </r>
    <r>
      <rPr>
        <i/>
        <sz val="12"/>
        <rFont val="Arial"/>
        <family val="2"/>
      </rPr>
      <t>*Msat</t>
    </r>
    <r>
      <rPr>
        <i/>
        <vertAlign val="subscript"/>
        <sz val="12"/>
        <rFont val="Arial"/>
        <family val="2"/>
      </rPr>
      <t>SO,KO,PAO</t>
    </r>
    <r>
      <rPr>
        <i/>
        <sz val="12"/>
        <rFont val="Arial"/>
        <family val="2"/>
      </rPr>
      <t>*X</t>
    </r>
    <r>
      <rPr>
        <i/>
        <vertAlign val="subscript"/>
        <sz val="12"/>
        <rFont val="Arial"/>
        <family val="2"/>
      </rPr>
      <t>PHA</t>
    </r>
  </si>
  <si>
    <t>Saturation term for soluble biodegradable organics</t>
  </si>
  <si>
    <t>Saturation term for dissolved oxygen (heterotrophs)</t>
  </si>
  <si>
    <t>Saturation term for nitrate and nitrite (heterotrophs)</t>
  </si>
  <si>
    <t>Saturation term for ammonia (heterotrophs)</t>
  </si>
  <si>
    <t>Saturation term for alkalinity (heterotrophs)</t>
  </si>
  <si>
    <t>Saturation term for alkalinity (PAO)</t>
  </si>
  <si>
    <t>Saturation term for dissolved oxygen (PAO)</t>
  </si>
  <si>
    <t>Saturation term for nitrate and nitrite (PAO)</t>
  </si>
  <si>
    <t>Saturation term for ammonia (PAO)</t>
  </si>
  <si>
    <r>
      <t>Saturation term for PO</t>
    </r>
    <r>
      <rPr>
        <vertAlign val="subscript"/>
        <sz val="11"/>
        <color rgb="FF000000"/>
        <rFont val="Calibri"/>
        <family val="2"/>
        <scheme val="minor"/>
      </rPr>
      <t>4</t>
    </r>
    <r>
      <rPr>
        <sz val="11"/>
        <color rgb="FF000000"/>
        <rFont val="Calibri"/>
        <family val="2"/>
        <charset val="238"/>
        <scheme val="minor"/>
      </rPr>
      <t xml:space="preserve"> (as nutrient)</t>
    </r>
  </si>
  <si>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</si>
  <si>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dissolved oxygen (autotrophs)</t>
  </si>
  <si>
    <t>Inhibition term for dissolved oxygen (heterotrophs)</t>
  </si>
  <si>
    <t>Inhibition term for dissolved oxygen (PAO)</t>
  </si>
  <si>
    <r>
      <t>(X</t>
    </r>
    <r>
      <rPr>
        <vertAlign val="subscript"/>
        <sz val="11"/>
        <rFont val="Calibri"/>
        <family val="2"/>
        <scheme val="minor"/>
      </rPr>
      <t>STO</t>
    </r>
    <r>
      <rPr>
        <sz val="11"/>
        <rFont val="Calibri"/>
        <family val="2"/>
        <scheme val="minor"/>
      </rPr>
      <t>/X</t>
    </r>
    <r>
      <rPr>
        <vertAlign val="subscript"/>
        <sz val="11"/>
        <rFont val="Calibri"/>
        <family val="2"/>
        <scheme val="minor"/>
      </rPr>
      <t>H</t>
    </r>
    <r>
      <rPr>
        <sz val="11"/>
        <rFont val="Calibri"/>
        <family val="2"/>
        <scheme val="minor"/>
      </rPr>
      <t>)/(K</t>
    </r>
    <r>
      <rPr>
        <vertAlign val="subscript"/>
        <sz val="11"/>
        <rFont val="Calibri"/>
        <family val="2"/>
        <scheme val="minor"/>
      </rPr>
      <t>STO,H</t>
    </r>
    <r>
      <rPr>
        <sz val="11"/>
        <rFont val="Calibri"/>
        <family val="2"/>
        <scheme val="minor"/>
      </rPr>
      <t>+X</t>
    </r>
    <r>
      <rPr>
        <vertAlign val="subscript"/>
        <sz val="11"/>
        <rFont val="Calibri"/>
        <family val="2"/>
        <scheme val="minor"/>
      </rPr>
      <t>STO</t>
    </r>
    <r>
      <rPr>
        <sz val="11"/>
        <rFont val="Calibri"/>
        <family val="2"/>
        <scheme val="minor"/>
      </rPr>
      <t>/X</t>
    </r>
    <r>
      <rPr>
        <vertAlign val="subscript"/>
        <sz val="11"/>
        <rFont val="Calibri"/>
        <family val="2"/>
        <scheme val="minor"/>
      </rPr>
      <t>H</t>
    </r>
    <r>
      <rPr>
        <sz val="11"/>
        <rFont val="Calibri"/>
        <family val="2"/>
        <scheme val="minor"/>
      </rPr>
      <t>)</t>
    </r>
  </si>
  <si>
    <t>Saturation term for storage compounds (heterotrophs)</t>
  </si>
  <si>
    <r>
      <t>(X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+X</t>
    </r>
    <r>
      <rPr>
        <vertAlign val="subscript"/>
        <sz val="11"/>
        <rFont val="Calibri"/>
        <family val="2"/>
        <scheme val="minor"/>
      </rPr>
      <t>PHA</t>
    </r>
    <r>
      <rPr>
        <sz val="11"/>
        <rFont val="Calibri"/>
        <family val="2"/>
        <scheme val="minor"/>
      </rPr>
      <t>/X</t>
    </r>
    <r>
      <rPr>
        <vertAlign val="subscript"/>
        <sz val="11"/>
        <rFont val="Calibri"/>
        <family val="2"/>
        <scheme val="minor"/>
      </rPr>
      <t>PAO</t>
    </r>
    <r>
      <rPr>
        <sz val="11"/>
        <rFont val="Calibri"/>
        <family val="2"/>
        <scheme val="minor"/>
      </rPr>
      <t>)</t>
    </r>
  </si>
  <si>
    <r>
      <t>MRsat</t>
    </r>
    <r>
      <rPr>
        <vertAlign val="subscript"/>
        <sz val="11"/>
        <rFont val="Calibri"/>
        <family val="2"/>
        <scheme val="minor"/>
      </rPr>
      <t>XPHA,XPAO,KPHA</t>
    </r>
  </si>
  <si>
    <r>
      <t>MRinh</t>
    </r>
    <r>
      <rPr>
        <vertAlign val="subscript"/>
        <sz val="11"/>
        <rFont val="Calibri"/>
        <family val="2"/>
        <scheme val="minor"/>
      </rPr>
      <t>XPP,XPAO,KiPP,PAO</t>
    </r>
  </si>
  <si>
    <r>
      <t>MRsat</t>
    </r>
    <r>
      <rPr>
        <vertAlign val="subscript"/>
        <sz val="11"/>
        <rFont val="Calibri"/>
        <family val="2"/>
        <scheme val="minor"/>
      </rPr>
      <t>XSTO,XH,KSTO,H</t>
    </r>
  </si>
  <si>
    <r>
      <t>(X</t>
    </r>
    <r>
      <rPr>
        <vertAlign val="subscript"/>
        <sz val="11"/>
        <rFont val="Calibri"/>
        <family val="2"/>
        <scheme val="minor"/>
      </rPr>
      <t>S</t>
    </r>
    <r>
      <rPr>
        <sz val="11"/>
        <rFont val="Calibri"/>
        <family val="2"/>
        <scheme val="minor"/>
      </rPr>
      <t>/X</t>
    </r>
    <r>
      <rPr>
        <vertAlign val="subscript"/>
        <sz val="11"/>
        <rFont val="Calibri"/>
        <family val="2"/>
        <scheme val="minor"/>
      </rPr>
      <t>H</t>
    </r>
    <r>
      <rPr>
        <sz val="11"/>
        <rFont val="Calibri"/>
        <family val="2"/>
        <scheme val="minor"/>
      </rPr>
      <t>)/(K</t>
    </r>
    <r>
      <rPr>
        <vertAlign val="subscript"/>
        <sz val="11"/>
        <rFont val="Calibri"/>
        <family val="2"/>
        <scheme val="minor"/>
      </rPr>
      <t>X</t>
    </r>
    <r>
      <rPr>
        <sz val="11"/>
        <rFont val="Calibri"/>
        <family val="2"/>
        <scheme val="minor"/>
      </rPr>
      <t>+X</t>
    </r>
    <r>
      <rPr>
        <vertAlign val="subscript"/>
        <sz val="11"/>
        <rFont val="Calibri"/>
        <family val="2"/>
        <scheme val="minor"/>
      </rPr>
      <t>S</t>
    </r>
    <r>
      <rPr>
        <sz val="11"/>
        <rFont val="Calibri"/>
        <family val="2"/>
        <scheme val="minor"/>
      </rPr>
      <t>/X</t>
    </r>
    <r>
      <rPr>
        <vertAlign val="subscript"/>
        <sz val="11"/>
        <rFont val="Calibri"/>
        <family val="2"/>
        <scheme val="minor"/>
      </rPr>
      <t>H</t>
    </r>
    <r>
      <rPr>
        <sz val="11"/>
        <rFont val="Calibri"/>
        <family val="2"/>
        <scheme val="minor"/>
      </rPr>
      <t>)</t>
    </r>
  </si>
  <si>
    <r>
      <t>MRsat</t>
    </r>
    <r>
      <rPr>
        <vertAlign val="subscript"/>
        <sz val="11"/>
        <rFont val="Calibri"/>
        <family val="2"/>
        <scheme val="minor"/>
      </rPr>
      <t>XS,XH,KX</t>
    </r>
  </si>
  <si>
    <t>Saturation term for particulate biodegradable organics (heterotrophs)</t>
  </si>
  <si>
    <r>
      <t>k</t>
    </r>
    <r>
      <rPr>
        <vertAlign val="subscript"/>
        <sz val="12"/>
        <rFont val="Arial"/>
        <family val="2"/>
      </rPr>
      <t>H</t>
    </r>
    <r>
      <rPr>
        <sz val="12"/>
        <rFont val="Arial"/>
        <family val="2"/>
      </rPr>
      <t>*</t>
    </r>
    <r>
      <rPr>
        <sz val="12"/>
        <rFont val="Arial"/>
        <family val="2"/>
      </rPr>
      <t>MRsat</t>
    </r>
    <r>
      <rPr>
        <vertAlign val="subscript"/>
        <sz val="12"/>
        <rFont val="Arial"/>
        <family val="2"/>
      </rPr>
      <t>XS,XH,KX</t>
    </r>
    <r>
      <rPr>
        <sz val="12"/>
        <rFont val="Arial"/>
        <family val="2"/>
      </rPr>
      <t>*</t>
    </r>
    <r>
      <rPr>
        <i/>
        <sz val="12"/>
        <rFont val="Arial"/>
        <family val="2"/>
      </rPr>
      <t>X</t>
    </r>
    <r>
      <rPr>
        <vertAlign val="subscript"/>
        <sz val="12"/>
        <rFont val="Arial"/>
        <family val="2"/>
      </rPr>
      <t>H</t>
    </r>
  </si>
  <si>
    <r>
      <t>Msat</t>
    </r>
    <r>
      <rPr>
        <vertAlign val="subscript"/>
        <sz val="11"/>
        <rFont val="Calibri"/>
        <family val="2"/>
        <scheme val="minor"/>
      </rPr>
      <t>SNH4,KNH,A</t>
    </r>
  </si>
  <si>
    <t>Saturation term for ammonia (autotrophs)</t>
  </si>
  <si>
    <r>
      <t>S</t>
    </r>
    <r>
      <rPr>
        <vertAlign val="subscript"/>
        <sz val="11"/>
        <rFont val="Calibri"/>
        <family val="2"/>
        <scheme val="minor"/>
      </rPr>
      <t>NH4</t>
    </r>
    <r>
      <rPr>
        <sz val="11"/>
        <rFont val="Calibri"/>
        <family val="2"/>
        <scheme val="minor"/>
      </rPr>
      <t>/(K</t>
    </r>
    <r>
      <rPr>
        <vertAlign val="subscript"/>
        <sz val="11"/>
        <rFont val="Calibri"/>
        <family val="2"/>
        <scheme val="minor"/>
      </rPr>
      <t>NH,A</t>
    </r>
    <r>
      <rPr>
        <sz val="11"/>
        <rFont val="Calibri"/>
        <family val="2"/>
        <scheme val="minor"/>
      </rPr>
      <t>+S</t>
    </r>
    <r>
      <rPr>
        <vertAlign val="subscript"/>
        <sz val="11"/>
        <rFont val="Calibri"/>
        <family val="2"/>
        <scheme val="minor"/>
      </rPr>
      <t>NH4</t>
    </r>
    <r>
      <rPr>
        <sz val="11"/>
        <rFont val="Calibri"/>
        <family val="2"/>
        <scheme val="minor"/>
      </rPr>
      <t>)</t>
    </r>
  </si>
  <si>
    <t>Saturation term for alkalinity (autotrophs)</t>
  </si>
  <si>
    <r>
      <t>Msat</t>
    </r>
    <r>
      <rPr>
        <vertAlign val="subscript"/>
        <sz val="11"/>
        <rFont val="Calibri"/>
        <family val="2"/>
        <scheme val="minor"/>
      </rPr>
      <t>SPO4,KPO4,A</t>
    </r>
  </si>
  <si>
    <r>
      <t>S</t>
    </r>
    <r>
      <rPr>
        <vertAlign val="subscript"/>
        <sz val="11"/>
        <rFont val="Calibri"/>
        <family val="2"/>
        <scheme val="minor"/>
      </rPr>
      <t>PO4</t>
    </r>
    <r>
      <rPr>
        <sz val="11"/>
        <rFont val="Calibri"/>
        <family val="2"/>
        <scheme val="minor"/>
      </rPr>
      <t>/(K</t>
    </r>
    <r>
      <rPr>
        <vertAlign val="subscript"/>
        <sz val="11"/>
        <rFont val="Calibri"/>
        <family val="2"/>
        <scheme val="minor"/>
      </rPr>
      <t>PO4,A</t>
    </r>
    <r>
      <rPr>
        <sz val="11"/>
        <rFont val="Calibri"/>
        <family val="2"/>
        <scheme val="minor"/>
      </rPr>
      <t>+S</t>
    </r>
    <r>
      <rPr>
        <vertAlign val="subscript"/>
        <sz val="11"/>
        <rFont val="Calibri"/>
        <family val="2"/>
        <scheme val="minor"/>
      </rPr>
      <t>PO4</t>
    </r>
    <r>
      <rPr>
        <sz val="11"/>
        <rFont val="Calibri"/>
        <family val="2"/>
        <scheme val="minor"/>
      </rPr>
      <t>)</t>
    </r>
  </si>
  <si>
    <r>
      <t>Minh</t>
    </r>
    <r>
      <rPr>
        <vertAlign val="subscript"/>
        <sz val="11"/>
        <rFont val="Calibri"/>
        <family val="2"/>
        <scheme val="minor"/>
      </rPr>
      <t>SO,KO,A</t>
    </r>
  </si>
  <si>
    <t>Inhibition term for dissolved oxygen (autotrophs)</t>
  </si>
  <si>
    <r>
      <t>Msat</t>
    </r>
    <r>
      <rPr>
        <vertAlign val="subscript"/>
        <sz val="11"/>
        <rFont val="Calibri"/>
        <family val="2"/>
        <scheme val="minor"/>
      </rPr>
      <t>SS,KSS,PAO</t>
    </r>
  </si>
  <si>
    <t>Saturation term for soluble biodegradable organics (PAO)</t>
  </si>
  <si>
    <r>
      <t>S</t>
    </r>
    <r>
      <rPr>
        <vertAlign val="subscript"/>
        <sz val="11"/>
        <rFont val="Calibri"/>
        <family val="2"/>
        <scheme val="minor"/>
      </rPr>
      <t>S</t>
    </r>
    <r>
      <rPr>
        <sz val="11"/>
        <rFont val="Calibri"/>
        <family val="2"/>
        <scheme val="minor"/>
      </rPr>
      <t>/(S</t>
    </r>
    <r>
      <rPr>
        <vertAlign val="subscript"/>
        <sz val="11"/>
        <rFont val="Calibri"/>
        <family val="2"/>
        <scheme val="minor"/>
      </rPr>
      <t>S</t>
    </r>
    <r>
      <rPr>
        <sz val="11"/>
        <rFont val="Calibri"/>
        <family val="2"/>
        <scheme val="minor"/>
      </rPr>
      <t>+K</t>
    </r>
    <r>
      <rPr>
        <vertAlign val="subscript"/>
        <sz val="11"/>
        <rFont val="Calibri"/>
        <family val="2"/>
        <scheme val="minor"/>
      </rPr>
      <t>SS,PAO</t>
    </r>
    <r>
      <rPr>
        <sz val="11"/>
        <rFont val="Calibri"/>
        <family val="2"/>
        <scheme val="minor"/>
      </rPr>
      <t>)</t>
    </r>
  </si>
  <si>
    <r>
      <t>MRsat</t>
    </r>
    <r>
      <rPr>
        <vertAlign val="subscript"/>
        <sz val="11"/>
        <rFont val="Calibri"/>
        <family val="2"/>
        <scheme val="minor"/>
      </rPr>
      <t>XPP,XPAO,KPP,PAO</t>
    </r>
  </si>
  <si>
    <r>
      <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PP,PAO</t>
    </r>
    <r>
      <rPr>
        <sz val="11"/>
        <rFont val="Calibri"/>
        <family val="2"/>
        <scheme val="minor"/>
      </rPr>
      <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t>
    </r>
  </si>
  <si>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</si>
  <si>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</si>
  <si>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</si>
  <si>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</si>
  <si>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</si>
  <si>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</si>
  <si>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</si>
  <si>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</si>
  <si>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</si>
  <si>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</si>
  <si>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</si>
  <si>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</si>
  <si>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</si>
  <si>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</si>
  <si>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</si>
  <si>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</si>
  <si>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</si>
  <si>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</si>
  <si>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</si>
  <si>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</si>
  <si>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</si>
  <si>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</si>
  <si>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</si>
  <si>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</si>
  <si>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</si>
  <si>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</si>
  <si>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</si>
  <si>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</si>
  <si>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</si>
  <si>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</si>
  <si>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</si>
  <si>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</si>
  <si>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</si>
  <si>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</si>
  <si>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</si>
  <si>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</si>
  <si>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</si>
  <si>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</si>
  <si>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</si>
  <si>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</si>
  <si>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</si>
  <si>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</si>
  <si>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</si>
  <si>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</si>
  <si>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</si>
  <si>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</si>
  <si>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</si>
  <si>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</si>
  <si>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</si>
  <si>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</si>
  <si>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</si>
  <si>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</si>
  <si>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</si>
  <si>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</si>
  <si>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</si>
  <si>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</si>
  <si>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</si>
  <si>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</si>
  <si>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</si>
  <si>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</si>
  <si>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</si>
  <si>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</si>
  <si>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</si>
  <si>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</si>
  <si>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</si>
  <si>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</si>
  <si>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</si>
  <si>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</si>
  <si>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</si>
  <si>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</si>
  <si>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</si>
  <si>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</si>
  <si>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</si>
  <si>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</si>
  <si>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</si>
  <si>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</si>
  <si>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</si>
  <si>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</si>
  <si>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</si>
  <si>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</si>
  <si>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</si>
  <si>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</si>
  <si>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</si>
  <si>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</si>
  <si>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</si>
  <si>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</si>
  <si>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</si>
  <si>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</si>
  <si>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</si>
  <si>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</si>
  <si>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</si>
  <si>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</si>
  <si>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</si>
  <si>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</si>
  <si>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</si>
  <si>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</si>
  <si>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</si>
  <si>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</si>
  <si>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</si>
  <si>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</si>
  <si>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</si>
  <si>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</si>
  <si>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</si>
  <si>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</si>
  <si>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</si>
  <si>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</si>
  <si>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</si>
  <si>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</si>
  <si>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</si>
  <si>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</si>
  <si>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</si>
  <si>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</si>
  <si>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</si>
  <si>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</si>
  <si>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</si>
  <si>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</si>
  <si>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</si>
  <si>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</si>
  <si>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</si>
  <si>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unused</t>
  </si>
  <si>
    <r>
      <t>(1-</t>
    </r>
    <r>
      <rPr>
        <i/>
        <sz val="12"/>
        <rFont val="Arial"/>
        <family val="2"/>
      </rPr>
      <t>f</t>
    </r>
    <r>
      <rPr>
        <vertAlign val="subscript"/>
        <sz val="12"/>
        <rFont val="Arial"/>
        <family val="2"/>
      </rPr>
      <t>XI</t>
    </r>
    <r>
      <rPr>
        <sz val="12"/>
        <rFont val="Arial"/>
        <family val="2"/>
      </rPr>
      <t xml:space="preserve">)/( </t>
    </r>
    <r>
      <rPr>
        <i/>
        <sz val="12"/>
        <rFont val="Arial"/>
        <family val="2"/>
      </rPr>
      <t>i</t>
    </r>
    <r>
      <rPr>
        <vertAlign val="subscript"/>
        <sz val="12"/>
        <rFont val="Arial"/>
        <family val="2"/>
      </rPr>
      <t xml:space="preserve">NO3,N2 </t>
    </r>
    <r>
      <rPr>
        <sz val="12"/>
        <rFont val="Arial"/>
        <family val="2"/>
      </rPr>
      <t>)</t>
    </r>
  </si>
  <si>
    <r>
      <t xml:space="preserve">1/( </t>
    </r>
    <r>
      <rPr>
        <i/>
        <sz val="12"/>
        <rFont val="Arial"/>
        <family val="2"/>
      </rPr>
      <t>i</t>
    </r>
    <r>
      <rPr>
        <vertAlign val="subscript"/>
        <sz val="12"/>
        <rFont val="Arial"/>
        <family val="2"/>
      </rPr>
      <t xml:space="preserve">NO3,N2 </t>
    </r>
    <r>
      <rPr>
        <sz val="12"/>
        <rFont val="Arial"/>
        <family val="2"/>
      </rPr>
      <t>)</t>
    </r>
  </si>
  <si>
    <r>
      <t>X</t>
    </r>
    <r>
      <rPr>
        <vertAlign val="subscript"/>
        <sz val="11"/>
        <rFont val="Calibri"/>
        <family val="2"/>
      </rPr>
      <t xml:space="preserve">S </t>
    </r>
    <r>
      <rPr>
        <sz val="11"/>
        <rFont val="Calibri"/>
        <family val="2"/>
      </rPr>
      <t>+ X</t>
    </r>
    <r>
      <rPr>
        <vertAlign val="subscript"/>
        <sz val="11"/>
        <rFont val="Calibri"/>
        <family val="2"/>
      </rPr>
      <t xml:space="preserve">H </t>
    </r>
    <r>
      <rPr>
        <sz val="11"/>
        <rFont val="Calibri"/>
        <family val="2"/>
      </rPr>
      <t>+ X</t>
    </r>
    <r>
      <rPr>
        <vertAlign val="subscript"/>
        <sz val="11"/>
        <rFont val="Calibri"/>
        <family val="2"/>
      </rPr>
      <t xml:space="preserve">STO </t>
    </r>
    <r>
      <rPr>
        <sz val="11"/>
        <rFont val="Calibri"/>
        <family val="2"/>
      </rPr>
      <t>+ X</t>
    </r>
    <r>
      <rPr>
        <vertAlign val="subscript"/>
        <sz val="11"/>
        <rFont val="Calibri"/>
        <family val="2"/>
      </rPr>
      <t>PAO</t>
    </r>
    <r>
      <rPr>
        <sz val="11"/>
        <rFont val="Calibri"/>
        <family val="2"/>
      </rPr>
      <t xml:space="preserve"> + X</t>
    </r>
    <r>
      <rPr>
        <vertAlign val="subscript"/>
        <sz val="11"/>
        <rFont val="Calibri"/>
        <family val="2"/>
      </rPr>
      <t>PHA</t>
    </r>
    <r>
      <rPr>
        <sz val="11"/>
        <rFont val="Calibri"/>
        <family val="2"/>
      </rPr>
      <t xml:space="preserve"> +X</t>
    </r>
    <r>
      <rPr>
        <vertAlign val="subscript"/>
        <sz val="11"/>
        <rFont val="Calibri"/>
        <family val="2"/>
      </rPr>
      <t>A</t>
    </r>
  </si>
  <si>
    <r>
      <t>S</t>
    </r>
    <r>
      <rPr>
        <vertAlign val="subscript"/>
        <sz val="11"/>
        <rFont val="Calibri"/>
        <family val="2"/>
        <scheme val="minor"/>
      </rPr>
      <t>BOD,5</t>
    </r>
    <r>
      <rPr>
        <sz val="11"/>
        <rFont val="Calibri"/>
        <family val="2"/>
        <scheme val="minor"/>
      </rPr>
      <t xml:space="preserve"> +X</t>
    </r>
    <r>
      <rPr>
        <vertAlign val="subscript"/>
        <sz val="11"/>
        <rFont val="Calibri"/>
        <family val="2"/>
        <scheme val="minor"/>
      </rPr>
      <t>BOD,5</t>
    </r>
  </si>
  <si>
    <r>
      <t>S</t>
    </r>
    <r>
      <rPr>
        <vertAlign val="subscript"/>
        <sz val="11"/>
        <rFont val="Calibri"/>
        <family val="2"/>
        <scheme val="minor"/>
      </rPr>
      <t>S</t>
    </r>
    <r>
      <rPr>
        <sz val="11"/>
        <rFont val="Calibri"/>
        <family val="2"/>
        <scheme val="minor"/>
      </rPr>
      <t xml:space="preserve"> +S</t>
    </r>
    <r>
      <rPr>
        <vertAlign val="subscript"/>
        <sz val="11"/>
        <rFont val="Calibri"/>
        <family val="2"/>
        <scheme val="minor"/>
      </rPr>
      <t>I</t>
    </r>
  </si>
  <si>
    <r>
      <t>S</t>
    </r>
    <r>
      <rPr>
        <vertAlign val="subscript"/>
        <sz val="11"/>
        <rFont val="Calibri"/>
        <family val="2"/>
      </rPr>
      <t>COD</t>
    </r>
    <r>
      <rPr>
        <sz val="11"/>
        <rFont val="Calibri"/>
        <family val="2"/>
      </rPr>
      <t xml:space="preserve"> +X</t>
    </r>
    <r>
      <rPr>
        <vertAlign val="subscript"/>
        <sz val="11"/>
        <rFont val="Calibri"/>
        <family val="2"/>
      </rPr>
      <t>COD</t>
    </r>
  </si>
  <si>
    <r>
      <t>(K</t>
    </r>
    <r>
      <rPr>
        <vertAlign val="subscript"/>
        <sz val="11"/>
        <rFont val="Calibri"/>
        <family val="2"/>
      </rPr>
      <t>max,PAO</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))/(K</t>
    </r>
    <r>
      <rPr>
        <vertAlign val="subscript"/>
        <sz val="11"/>
        <rFont val="Calibri"/>
        <family val="2"/>
      </rPr>
      <t>iPP,PAO</t>
    </r>
    <r>
      <rPr>
        <sz val="11"/>
        <rFont val="Calibri"/>
        <family val="2"/>
      </rPr>
      <t>+K</t>
    </r>
    <r>
      <rPr>
        <vertAlign val="subscript"/>
        <sz val="11"/>
        <rFont val="Calibri"/>
        <family val="2"/>
      </rPr>
      <t>max,PAO</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</si>
  <si>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</si>
  <si>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</si>
  <si>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</si>
  <si>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</si>
  <si>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</si>
  <si>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</si>
  <si>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</si>
  <si>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</si>
  <si>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</si>
  <si>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</si>
  <si>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</si>
  <si>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</si>
  <si>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</si>
  <si>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</si>
  <si>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</si>
  <si>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</si>
  <si>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</si>
  <si>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</si>
  <si>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</si>
  <si>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</si>
  <si>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</si>
  <si>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</si>
  <si>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</si>
  <si>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</si>
  <si>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</si>
  <si>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</si>
  <si>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</si>
  <si>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</si>
  <si>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</si>
  <si>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</si>
  <si>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</si>
  <si>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</si>
  <si>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</si>
  <si>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</si>
  <si>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</si>
  <si>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</si>
  <si>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</si>
  <si>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</si>
  <si>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</si>
  <si>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</si>
  <si>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</si>
  <si>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</si>
  <si>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</si>
  <si>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</si>
  <si>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</si>
  <si>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</si>
  <si>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</si>
  <si>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</si>
  <si>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</si>
  <si>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</si>
  <si>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</si>
  <si>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</si>
  <si>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</si>
  <si>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</si>
  <si>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</si>
  <si>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</si>
  <si>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</si>
  <si>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</si>
  <si>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</si>
  <si>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</si>
  <si>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</si>
  <si>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</si>
  <si>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</si>
  <si>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</si>
  <si>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</si>
  <si>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</si>
  <si>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</si>
  <si>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</si>
  <si>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</si>
  <si>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</si>
  <si>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</si>
  <si>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</si>
  <si>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</si>
  <si>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rPr>
      <t>-3</t>
    </r>
    <r>
      <rPr>
        <sz val="11"/>
        <rFont val="Calibri"/>
        <family val="2"/>
      </rPr>
      <t>.d</t>
    </r>
    <r>
      <rPr>
        <vertAlign val="superscript"/>
        <sz val="11"/>
        <rFont val="Calibri"/>
        <family val="2"/>
      </rPr>
      <t>-1</t>
    </r>
  </si>
  <si>
    <r>
      <t>g N.m</t>
    </r>
    <r>
      <rPr>
        <vertAlign val="superscript"/>
        <sz val="11"/>
        <rFont val="Calibri"/>
        <family val="2"/>
      </rPr>
      <t>-3</t>
    </r>
    <r>
      <rPr>
        <sz val="11"/>
        <rFont val="Calibri"/>
        <family val="2"/>
      </rPr>
      <t>.d</t>
    </r>
    <r>
      <rPr>
        <vertAlign val="superscript"/>
        <sz val="11"/>
        <rFont val="Calibri"/>
        <family val="2"/>
      </rPr>
      <t>-1</t>
    </r>
  </si>
  <si>
    <r>
      <t>-(v1_S</t>
    </r>
    <r>
      <rPr>
        <vertAlign val="subscript"/>
        <sz val="11"/>
        <rFont val="Calibri"/>
        <family val="2"/>
      </rPr>
      <t>NH4</t>
    </r>
    <r>
      <rPr>
        <sz val="11"/>
        <rFont val="Calibri"/>
        <family val="2"/>
      </rPr>
      <t>*r1 + v2_S</t>
    </r>
    <r>
      <rPr>
        <vertAlign val="subscript"/>
        <sz val="11"/>
        <rFont val="Calibri"/>
        <family val="2"/>
      </rPr>
      <t>NH4</t>
    </r>
    <r>
      <rPr>
        <sz val="11"/>
        <rFont val="Calibri"/>
        <family val="2"/>
      </rPr>
      <t>*r2 + v3_S</t>
    </r>
    <r>
      <rPr>
        <vertAlign val="subscript"/>
        <sz val="11"/>
        <rFont val="Calibri"/>
        <family val="2"/>
      </rPr>
      <t>NH4</t>
    </r>
    <r>
      <rPr>
        <sz val="11"/>
        <rFont val="Calibri"/>
        <family val="2"/>
      </rPr>
      <t>*r3 + v4_S</t>
    </r>
    <r>
      <rPr>
        <vertAlign val="subscript"/>
        <sz val="11"/>
        <rFont val="Calibri"/>
        <family val="2"/>
      </rPr>
      <t>NH4</t>
    </r>
    <r>
      <rPr>
        <sz val="11"/>
        <rFont val="Calibri"/>
        <family val="2"/>
      </rPr>
      <t>*r4 + v5_S</t>
    </r>
    <r>
      <rPr>
        <vertAlign val="subscript"/>
        <sz val="11"/>
        <rFont val="Calibri"/>
        <family val="2"/>
      </rPr>
      <t>NH4</t>
    </r>
    <r>
      <rPr>
        <sz val="11"/>
        <rFont val="Calibri"/>
        <family val="2"/>
      </rPr>
      <t>*r5 + v6_S</t>
    </r>
    <r>
      <rPr>
        <vertAlign val="subscript"/>
        <sz val="11"/>
        <rFont val="Calibri"/>
        <family val="2"/>
      </rPr>
      <t>NH4</t>
    </r>
    <r>
      <rPr>
        <sz val="11"/>
        <rFont val="Calibri"/>
        <family val="2"/>
      </rPr>
      <t>*r6 + v7_S</t>
    </r>
    <r>
      <rPr>
        <vertAlign val="subscript"/>
        <sz val="11"/>
        <rFont val="Calibri"/>
        <family val="2"/>
      </rPr>
      <t>NH4</t>
    </r>
    <r>
      <rPr>
        <sz val="11"/>
        <rFont val="Calibri"/>
        <family val="2"/>
      </rPr>
      <t>*r7 + v10_S</t>
    </r>
    <r>
      <rPr>
        <vertAlign val="subscript"/>
        <sz val="11"/>
        <rFont val="Calibri"/>
        <family val="2"/>
      </rPr>
      <t>NH4</t>
    </r>
    <r>
      <rPr>
        <sz val="11"/>
        <rFont val="Calibri"/>
        <family val="2"/>
      </rPr>
      <t>*r10 + v11_S</t>
    </r>
    <r>
      <rPr>
        <vertAlign val="subscript"/>
        <sz val="11"/>
        <rFont val="Calibri"/>
        <family val="2"/>
      </rPr>
      <t>NH4</t>
    </r>
    <r>
      <rPr>
        <sz val="11"/>
        <rFont val="Calibri"/>
        <family val="2"/>
      </rPr>
      <t>*r11 + v12_S</t>
    </r>
    <r>
      <rPr>
        <vertAlign val="subscript"/>
        <sz val="11"/>
        <rFont val="Calibri"/>
        <family val="2"/>
      </rPr>
      <t>NH4</t>
    </r>
    <r>
      <rPr>
        <sz val="11"/>
        <rFont val="Calibri"/>
        <family val="2"/>
      </rPr>
      <t>*r12 + v13_SNH4*r13 + v16_SNH4*r16 + v17_SNH4*r17 + v18_SNH4*r18 + v19_SNH4*r19)</t>
    </r>
  </si>
  <si>
    <t>Biofilm</t>
  </si>
  <si>
    <t>Rate</t>
  </si>
  <si>
    <t>Other system parameters</t>
  </si>
  <si>
    <t>NoName</t>
  </si>
  <si>
    <t>Testing Attributes</t>
  </si>
  <si>
    <t>Input</t>
  </si>
  <si>
    <t>TestAttribute</t>
  </si>
  <si>
    <t>pH</t>
  </si>
  <si>
    <r>
      <t>H</t>
    </r>
    <r>
      <rPr>
        <vertAlign val="subscript"/>
        <sz val="11"/>
        <rFont val="Calibri"/>
        <family val="2"/>
        <scheme val="minor"/>
      </rPr>
      <t>null</t>
    </r>
  </si>
  <si>
    <t>Enthalpy of water at 0°C</t>
  </si>
  <si>
    <r>
      <t>EEQ</t>
    </r>
    <r>
      <rPr>
        <vertAlign val="subscript"/>
        <sz val="11"/>
        <rFont val="Calibri"/>
        <family val="2"/>
        <scheme val="minor"/>
      </rPr>
      <t>H2S</t>
    </r>
  </si>
  <si>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</si>
  <si>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</si>
  <si>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</si>
  <si>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</si>
  <si>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</si>
  <si>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</si>
  <si>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</si>
  <si>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</si>
  <si>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</si>
  <si>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kmol HCO</t>
    </r>
    <r>
      <rPr>
        <vertAlign val="subscript"/>
        <sz val="11"/>
        <rFont val="Calibri"/>
        <family val="2"/>
        <scheme val="minor"/>
      </rPr>
      <t>3</t>
    </r>
    <r>
      <rPr>
        <vertAlign val="superscript"/>
        <sz val="11"/>
        <rFont val="Calibri"/>
        <family val="2"/>
        <scheme val="minor"/>
      </rPr>
      <t>-</t>
    </r>
    <r>
      <rPr>
        <sz val="11"/>
        <rFont val="Calibri"/>
        <family val="2"/>
        <scheme val="minor"/>
      </rPr>
      <t>.m</t>
    </r>
    <r>
      <rPr>
        <vertAlign val="superscript"/>
        <sz val="11"/>
        <rFont val="Calibri"/>
        <family val="2"/>
        <scheme val="minor"/>
      </rPr>
      <t>-3</t>
    </r>
  </si>
  <si>
    <r>
      <t>g P.m</t>
    </r>
    <r>
      <rPr>
        <vertAlign val="superscript"/>
        <sz val="11"/>
        <rFont val="Calibri"/>
        <family val="2"/>
      </rPr>
      <t>-3</t>
    </r>
  </si>
  <si>
    <t>NonDetect</t>
  </si>
  <si>
    <t>Zero</t>
  </si>
  <si>
    <t>BigNumber</t>
  </si>
  <si>
    <t>Sidestream</t>
  </si>
  <si>
    <t>Advanced</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</si>
  <si>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</si>
  <si>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</si>
  <si>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</si>
  <si>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</si>
  <si>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</si>
  <si>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Activated sludge</t>
  </si>
  <si>
    <t>-BigNumber</t>
  </si>
  <si>
    <r>
      <t>X</t>
    </r>
    <r>
      <rPr>
        <vertAlign val="subscript"/>
        <sz val="11"/>
        <rFont val="Calibri"/>
        <family val="2"/>
        <scheme val="minor"/>
      </rPr>
      <t>ISS</t>
    </r>
  </si>
  <si>
    <t>Inorganic suspended solids</t>
  </si>
  <si>
    <r>
      <t>X</t>
    </r>
    <r>
      <rPr>
        <vertAlign val="subscript"/>
        <sz val="11"/>
        <rFont val="Calibri"/>
        <family val="2"/>
      </rPr>
      <t>TSS</t>
    </r>
    <r>
      <rPr>
        <sz val="11"/>
        <rFont val="Calibri"/>
        <family val="2"/>
      </rPr>
      <t>-X</t>
    </r>
    <r>
      <rPr>
        <vertAlign val="subscript"/>
        <sz val="11"/>
        <rFont val="Calibri"/>
        <family val="2"/>
      </rPr>
      <t>VSS</t>
    </r>
  </si>
  <si>
    <r>
      <t>X</t>
    </r>
    <r>
      <rPr>
        <vertAlign val="subscript"/>
        <sz val="11"/>
        <rFont val="Calibri"/>
        <family val="2"/>
        <scheme val="minor"/>
      </rPr>
      <t>DM</t>
    </r>
  </si>
  <si>
    <t>Dry matter</t>
  </si>
  <si>
    <r>
      <t>g COD.g VS</t>
    </r>
    <r>
      <rPr>
        <vertAlign val="superscript"/>
        <sz val="11"/>
        <rFont val="Calibri"/>
        <family val="2"/>
        <scheme val="minor"/>
      </rPr>
      <t>-1</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</si>
  <si>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</si>
  <si>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</si>
  <si>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CV,SS</t>
    </r>
  </si>
  <si>
    <r>
      <t>S</t>
    </r>
    <r>
      <rPr>
        <vertAlign val="subscript"/>
        <sz val="11"/>
        <rFont val="Calibri"/>
        <family val="2"/>
        <scheme val="minor"/>
      </rPr>
      <t>S</t>
    </r>
    <r>
      <rPr>
        <sz val="11"/>
        <rFont val="Calibri"/>
        <family val="2"/>
        <scheme val="minor"/>
      </rPr>
      <t xml:space="preserve"> S</t>
    </r>
    <r>
      <rPr>
        <vertAlign val="subscript"/>
        <sz val="11"/>
        <rFont val="Calibri"/>
        <family val="2"/>
        <scheme val="minor"/>
      </rPr>
      <t>COD</t>
    </r>
    <r>
      <rPr>
        <sz val="11"/>
        <rFont val="Calibri"/>
        <family val="2"/>
        <scheme val="minor"/>
      </rPr>
      <t>/VS ratio</t>
    </r>
  </si>
  <si>
    <r>
      <t>g.m</t>
    </r>
    <r>
      <rPr>
        <vertAlign val="superscript"/>
        <sz val="11"/>
        <rFont val="Calibri"/>
        <family val="2"/>
      </rPr>
      <t>-3</t>
    </r>
    <r>
      <rPr>
        <sz val="11"/>
        <rFont val="Calibri"/>
        <family val="2"/>
      </rPr>
      <t>.d</t>
    </r>
    <r>
      <rPr>
        <vertAlign val="superscript"/>
        <sz val="11"/>
        <rFont val="Calibri"/>
        <family val="2"/>
      </rPr>
      <t>-1</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</si>
  <si>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</si>
  <si>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</si>
  <si>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</si>
  <si>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</si>
  <si>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</si>
  <si>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</si>
  <si>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</si>
  <si>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</si>
  <si>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Filtered biochemical oxygen demand (5 days)</t>
  </si>
  <si>
    <t>Particulate biochemical oxygen demand (5 days)</t>
  </si>
  <si>
    <t>MinStateVar</t>
  </si>
  <si>
    <t>MaxStateVar</t>
  </si>
  <si>
    <t>Separators</t>
  </si>
  <si>
    <r>
      <t>S</t>
    </r>
    <r>
      <rPr>
        <b/>
        <vertAlign val="subscript"/>
        <sz val="12"/>
        <rFont val="Arial"/>
        <family val="2"/>
      </rPr>
      <t>O</t>
    </r>
  </si>
  <si>
    <r>
      <t>S</t>
    </r>
    <r>
      <rPr>
        <b/>
        <vertAlign val="subscript"/>
        <sz val="12"/>
        <rFont val="Arial"/>
        <family val="2"/>
      </rPr>
      <t>NO</t>
    </r>
  </si>
  <si>
    <r>
      <t>S</t>
    </r>
    <r>
      <rPr>
        <b/>
        <vertAlign val="subscript"/>
        <sz val="12"/>
        <rFont val="Arial"/>
        <family val="2"/>
      </rPr>
      <t>HCO</t>
    </r>
  </si>
  <si>
    <r>
      <t>S</t>
    </r>
    <r>
      <rPr>
        <vertAlign val="subscript"/>
        <sz val="11"/>
        <rFont val="Calibri"/>
        <family val="2"/>
        <scheme val="minor"/>
      </rPr>
      <t>O</t>
    </r>
  </si>
  <si>
    <r>
      <t>S</t>
    </r>
    <r>
      <rPr>
        <vertAlign val="subscript"/>
        <sz val="11"/>
        <rFont val="Calibri"/>
        <family val="2"/>
        <scheme val="minor"/>
      </rPr>
      <t>NO</t>
    </r>
  </si>
  <si>
    <r>
      <t>S</t>
    </r>
    <r>
      <rPr>
        <vertAlign val="subscript"/>
        <sz val="11"/>
        <rFont val="Calibri"/>
        <family val="2"/>
        <scheme val="minor"/>
      </rPr>
      <t>HCO</t>
    </r>
  </si>
  <si>
    <r>
      <t>-(v2_S</t>
    </r>
    <r>
      <rPr>
        <vertAlign val="subscript"/>
        <sz val="11"/>
        <rFont val="Calibri"/>
        <family val="2"/>
      </rPr>
      <t>O</t>
    </r>
    <r>
      <rPr>
        <sz val="11"/>
        <rFont val="Calibri"/>
        <family val="2"/>
      </rPr>
      <t>*r2+v4_S</t>
    </r>
    <r>
      <rPr>
        <vertAlign val="subscript"/>
        <sz val="11"/>
        <rFont val="Calibri"/>
        <family val="2"/>
      </rPr>
      <t>O</t>
    </r>
    <r>
      <rPr>
        <sz val="11"/>
        <rFont val="Calibri"/>
        <family val="2"/>
      </rPr>
      <t>*r4+v6_S</t>
    </r>
    <r>
      <rPr>
        <vertAlign val="subscript"/>
        <sz val="11"/>
        <rFont val="Calibri"/>
        <family val="2"/>
      </rPr>
      <t>O</t>
    </r>
    <r>
      <rPr>
        <sz val="11"/>
        <rFont val="Calibri"/>
        <family val="2"/>
      </rPr>
      <t>*r6+v8_S</t>
    </r>
    <r>
      <rPr>
        <vertAlign val="subscript"/>
        <sz val="11"/>
        <rFont val="Calibri"/>
        <family val="2"/>
      </rPr>
      <t>O</t>
    </r>
    <r>
      <rPr>
        <sz val="11"/>
        <rFont val="Calibri"/>
        <family val="2"/>
      </rPr>
      <t>*r8+v10_S</t>
    </r>
    <r>
      <rPr>
        <vertAlign val="subscript"/>
        <sz val="11"/>
        <rFont val="Calibri"/>
        <family val="2"/>
      </rPr>
      <t>O</t>
    </r>
    <r>
      <rPr>
        <sz val="11"/>
        <rFont val="Calibri"/>
        <family val="2"/>
      </rPr>
      <t>*r10+v11_S</t>
    </r>
    <r>
      <rPr>
        <vertAlign val="subscript"/>
        <sz val="11"/>
        <rFont val="Calibri"/>
        <family val="2"/>
      </rPr>
      <t>O</t>
    </r>
    <r>
      <rPr>
        <sz val="11"/>
        <rFont val="Calibri"/>
        <family val="2"/>
      </rPr>
      <t>*r11+v14_S</t>
    </r>
    <r>
      <rPr>
        <vertAlign val="subscript"/>
        <sz val="11"/>
        <rFont val="Calibri"/>
        <family val="2"/>
      </rPr>
      <t>O</t>
    </r>
    <r>
      <rPr>
        <sz val="11"/>
        <rFont val="Calibri"/>
        <family val="2"/>
      </rPr>
      <t>*r14+v16_S</t>
    </r>
    <r>
      <rPr>
        <vertAlign val="subscript"/>
        <sz val="11"/>
        <rFont val="Calibri"/>
        <family val="2"/>
      </rPr>
      <t>O</t>
    </r>
    <r>
      <rPr>
        <sz val="11"/>
        <rFont val="Calibri"/>
        <family val="2"/>
      </rPr>
      <t>*r16+v18_S</t>
    </r>
    <r>
      <rPr>
        <vertAlign val="subscript"/>
        <sz val="11"/>
        <rFont val="Calibri"/>
        <family val="2"/>
      </rPr>
      <t>O</t>
    </r>
    <r>
      <rPr>
        <sz val="11"/>
        <rFont val="Calibri"/>
        <family val="2"/>
      </rPr>
      <t>*r18+v22_S</t>
    </r>
    <r>
      <rPr>
        <vertAlign val="subscript"/>
        <sz val="11"/>
        <rFont val="Calibri"/>
        <family val="2"/>
      </rPr>
      <t>O</t>
    </r>
    <r>
      <rPr>
        <sz val="11"/>
        <rFont val="Calibri"/>
        <family val="2"/>
      </rPr>
      <t>*r22)</t>
    </r>
  </si>
  <si>
    <r>
      <t>-(v3_S</t>
    </r>
    <r>
      <rPr>
        <vertAlign val="subscript"/>
        <sz val="11"/>
        <rFont val="Calibri"/>
        <family val="2"/>
      </rPr>
      <t>NO</t>
    </r>
    <r>
      <rPr>
        <sz val="11"/>
        <rFont val="Calibri"/>
        <family val="2"/>
      </rPr>
      <t>*r3 + v5_S</t>
    </r>
    <r>
      <rPr>
        <vertAlign val="subscript"/>
        <sz val="11"/>
        <rFont val="Calibri"/>
        <family val="2"/>
      </rPr>
      <t>NO</t>
    </r>
    <r>
      <rPr>
        <sz val="11"/>
        <rFont val="Calibri"/>
        <family val="2"/>
      </rPr>
      <t>*r5 + v7_S</t>
    </r>
    <r>
      <rPr>
        <vertAlign val="subscript"/>
        <sz val="11"/>
        <rFont val="Calibri"/>
        <family val="2"/>
      </rPr>
      <t>NO</t>
    </r>
    <r>
      <rPr>
        <sz val="11"/>
        <rFont val="Calibri"/>
        <family val="2"/>
      </rPr>
      <t>*r7 + v9_S</t>
    </r>
    <r>
      <rPr>
        <vertAlign val="subscript"/>
        <sz val="11"/>
        <rFont val="Calibri"/>
        <family val="2"/>
      </rPr>
      <t>NO</t>
    </r>
    <r>
      <rPr>
        <sz val="11"/>
        <rFont val="Calibri"/>
        <family val="2"/>
      </rPr>
      <t>*r9 + v10_S</t>
    </r>
    <r>
      <rPr>
        <vertAlign val="subscript"/>
        <sz val="11"/>
        <rFont val="Calibri"/>
        <family val="2"/>
      </rPr>
      <t>NO</t>
    </r>
    <r>
      <rPr>
        <sz val="11"/>
        <rFont val="Calibri"/>
        <family val="2"/>
      </rPr>
      <t>*r10 + v12_S</t>
    </r>
    <r>
      <rPr>
        <vertAlign val="subscript"/>
        <sz val="11"/>
        <rFont val="Calibri"/>
        <family val="2"/>
      </rPr>
      <t>NO</t>
    </r>
    <r>
      <rPr>
        <sz val="11"/>
        <rFont val="Calibri"/>
        <family val="2"/>
      </rPr>
      <t>*r12 + v15_S</t>
    </r>
    <r>
      <rPr>
        <vertAlign val="subscript"/>
        <sz val="11"/>
        <rFont val="Calibri"/>
        <family val="2"/>
      </rPr>
      <t>NO</t>
    </r>
    <r>
      <rPr>
        <sz val="11"/>
        <rFont val="Calibri"/>
        <family val="2"/>
      </rPr>
      <t>*r15 + v17_S</t>
    </r>
    <r>
      <rPr>
        <vertAlign val="subscript"/>
        <sz val="11"/>
        <rFont val="Calibri"/>
        <family val="2"/>
      </rPr>
      <t>NO</t>
    </r>
    <r>
      <rPr>
        <sz val="11"/>
        <rFont val="Calibri"/>
        <family val="2"/>
      </rPr>
      <t>*r17 + v19_S</t>
    </r>
    <r>
      <rPr>
        <vertAlign val="subscript"/>
        <sz val="11"/>
        <rFont val="Calibri"/>
        <family val="2"/>
      </rPr>
      <t>NO</t>
    </r>
    <r>
      <rPr>
        <sz val="11"/>
        <rFont val="Calibri"/>
        <family val="2"/>
      </rPr>
      <t>*r19 + v23_S</t>
    </r>
    <r>
      <rPr>
        <vertAlign val="subscript"/>
        <sz val="11"/>
        <rFont val="Calibri"/>
        <family val="2"/>
      </rPr>
      <t>NO</t>
    </r>
    <r>
      <rPr>
        <sz val="11"/>
        <rFont val="Calibri"/>
        <family val="2"/>
      </rPr>
      <t>*r23)</t>
    </r>
  </si>
  <si>
    <r>
      <t>S</t>
    </r>
    <r>
      <rPr>
        <vertAlign val="subscript"/>
        <sz val="11"/>
        <rFont val="Calibri"/>
        <family val="2"/>
        <scheme val="minor"/>
      </rPr>
      <t>O</t>
    </r>
    <r>
      <rPr>
        <sz val="11"/>
        <rFont val="Calibri"/>
        <family val="2"/>
        <scheme val="minor"/>
      </rPr>
      <t>/(K</t>
    </r>
    <r>
      <rPr>
        <vertAlign val="subscript"/>
        <sz val="11"/>
        <rFont val="Calibri"/>
        <family val="2"/>
        <scheme val="minor"/>
      </rPr>
      <t>O,H</t>
    </r>
    <r>
      <rPr>
        <sz val="11"/>
        <rFont val="Calibri"/>
        <family val="2"/>
        <scheme val="minor"/>
      </rPr>
      <t>+S</t>
    </r>
    <r>
      <rPr>
        <vertAlign val="subscript"/>
        <sz val="11"/>
        <rFont val="Calibri"/>
        <family val="2"/>
        <scheme val="minor"/>
      </rPr>
      <t>O</t>
    </r>
    <r>
      <rPr>
        <sz val="11"/>
        <rFont val="Calibri"/>
        <family val="2"/>
        <scheme val="minor"/>
      </rPr>
      <t>)</t>
    </r>
  </si>
  <si>
    <r>
      <t>S</t>
    </r>
    <r>
      <rPr>
        <vertAlign val="subscript"/>
        <sz val="11"/>
        <rFont val="Calibri"/>
        <family val="2"/>
        <scheme val="minor"/>
      </rPr>
      <t>O</t>
    </r>
    <r>
      <rPr>
        <sz val="11"/>
        <rFont val="Calibri"/>
        <family val="2"/>
        <scheme val="minor"/>
      </rPr>
      <t>/(K</t>
    </r>
    <r>
      <rPr>
        <vertAlign val="subscript"/>
        <sz val="11"/>
        <rFont val="Calibri"/>
        <family val="2"/>
        <scheme val="minor"/>
      </rPr>
      <t>O,PAO</t>
    </r>
    <r>
      <rPr>
        <sz val="11"/>
        <rFont val="Calibri"/>
        <family val="2"/>
        <scheme val="minor"/>
      </rPr>
      <t>+S</t>
    </r>
    <r>
      <rPr>
        <vertAlign val="subscript"/>
        <sz val="11"/>
        <rFont val="Calibri"/>
        <family val="2"/>
        <scheme val="minor"/>
      </rPr>
      <t>O</t>
    </r>
    <r>
      <rPr>
        <sz val="11"/>
        <rFont val="Calibri"/>
        <family val="2"/>
        <scheme val="minor"/>
      </rPr>
      <t>)</t>
    </r>
  </si>
  <si>
    <r>
      <t>S</t>
    </r>
    <r>
      <rPr>
        <vertAlign val="subscript"/>
        <sz val="11"/>
        <rFont val="Calibri"/>
        <family val="2"/>
        <scheme val="minor"/>
      </rPr>
      <t>O</t>
    </r>
    <r>
      <rPr>
        <sz val="11"/>
        <rFont val="Calibri"/>
        <family val="2"/>
        <scheme val="minor"/>
      </rPr>
      <t>/(K</t>
    </r>
    <r>
      <rPr>
        <vertAlign val="subscript"/>
        <sz val="11"/>
        <rFont val="Calibri"/>
        <family val="2"/>
        <scheme val="minor"/>
      </rPr>
      <t>O,A</t>
    </r>
    <r>
      <rPr>
        <sz val="11"/>
        <rFont val="Calibri"/>
        <family val="2"/>
        <scheme val="minor"/>
      </rPr>
      <t>+S</t>
    </r>
    <r>
      <rPr>
        <vertAlign val="subscript"/>
        <sz val="11"/>
        <rFont val="Calibri"/>
        <family val="2"/>
        <scheme val="minor"/>
      </rPr>
      <t>O</t>
    </r>
    <r>
      <rPr>
        <sz val="11"/>
        <rFont val="Calibri"/>
        <family val="2"/>
        <scheme val="minor"/>
      </rPr>
      <t>)</t>
    </r>
  </si>
  <si>
    <r>
      <t>K</t>
    </r>
    <r>
      <rPr>
        <vertAlign val="subscript"/>
        <sz val="11"/>
        <rFont val="Calibri"/>
        <family val="2"/>
        <scheme val="minor"/>
      </rPr>
      <t>O,H</t>
    </r>
    <r>
      <rPr>
        <sz val="11"/>
        <rFont val="Calibri"/>
        <family val="2"/>
        <scheme val="minor"/>
      </rPr>
      <t>/(K</t>
    </r>
    <r>
      <rPr>
        <vertAlign val="subscript"/>
        <sz val="11"/>
        <rFont val="Calibri"/>
        <family val="2"/>
        <scheme val="minor"/>
      </rPr>
      <t>O,H</t>
    </r>
    <r>
      <rPr>
        <sz val="11"/>
        <rFont val="Calibri"/>
        <family val="2"/>
        <scheme val="minor"/>
      </rPr>
      <t>+S</t>
    </r>
    <r>
      <rPr>
        <vertAlign val="subscript"/>
        <sz val="11"/>
        <rFont val="Calibri"/>
        <family val="2"/>
        <scheme val="minor"/>
      </rPr>
      <t>O</t>
    </r>
    <r>
      <rPr>
        <sz val="11"/>
        <rFont val="Calibri"/>
        <family val="2"/>
        <scheme val="minor"/>
      </rPr>
      <t>)</t>
    </r>
  </si>
  <si>
    <r>
      <t>K</t>
    </r>
    <r>
      <rPr>
        <vertAlign val="subscript"/>
        <sz val="11"/>
        <rFont val="Calibri"/>
        <family val="2"/>
        <scheme val="minor"/>
      </rPr>
      <t>O,A</t>
    </r>
    <r>
      <rPr>
        <sz val="11"/>
        <rFont val="Calibri"/>
        <family val="2"/>
        <scheme val="minor"/>
      </rPr>
      <t>/(K</t>
    </r>
    <r>
      <rPr>
        <vertAlign val="subscript"/>
        <sz val="11"/>
        <rFont val="Calibri"/>
        <family val="2"/>
        <scheme val="minor"/>
      </rPr>
      <t>O,A</t>
    </r>
    <r>
      <rPr>
        <sz val="11"/>
        <rFont val="Calibri"/>
        <family val="2"/>
        <scheme val="minor"/>
      </rPr>
      <t>+S</t>
    </r>
    <r>
      <rPr>
        <vertAlign val="subscript"/>
        <sz val="11"/>
        <rFont val="Calibri"/>
        <family val="2"/>
        <scheme val="minor"/>
      </rPr>
      <t>O</t>
    </r>
    <r>
      <rPr>
        <sz val="11"/>
        <rFont val="Calibri"/>
        <family val="2"/>
        <scheme val="minor"/>
      </rPr>
      <t>)</t>
    </r>
  </si>
  <si>
    <r>
      <t>K</t>
    </r>
    <r>
      <rPr>
        <vertAlign val="subscript"/>
        <sz val="11"/>
        <rFont val="Calibri"/>
        <family val="2"/>
        <scheme val="minor"/>
      </rPr>
      <t>O,PAO</t>
    </r>
    <r>
      <rPr>
        <sz val="11"/>
        <rFont val="Calibri"/>
        <family val="2"/>
        <scheme val="minor"/>
      </rPr>
      <t>/(K</t>
    </r>
    <r>
      <rPr>
        <vertAlign val="subscript"/>
        <sz val="11"/>
        <rFont val="Calibri"/>
        <family val="2"/>
        <scheme val="minor"/>
      </rPr>
      <t>O,PAO</t>
    </r>
    <r>
      <rPr>
        <sz val="11"/>
        <rFont val="Calibri"/>
        <family val="2"/>
        <scheme val="minor"/>
      </rPr>
      <t>+S</t>
    </r>
    <r>
      <rPr>
        <vertAlign val="subscript"/>
        <sz val="11"/>
        <rFont val="Calibri"/>
        <family val="2"/>
        <scheme val="minor"/>
      </rPr>
      <t>O</t>
    </r>
    <r>
      <rPr>
        <sz val="11"/>
        <rFont val="Calibri"/>
        <family val="2"/>
        <scheme val="minor"/>
      </rPr>
      <t>)</t>
    </r>
  </si>
  <si>
    <r>
      <t>Msat</t>
    </r>
    <r>
      <rPr>
        <vertAlign val="subscript"/>
        <sz val="11"/>
        <rFont val="Calibri"/>
        <family val="2"/>
        <scheme val="minor"/>
      </rPr>
      <t>SNO,KNO,H</t>
    </r>
  </si>
  <si>
    <r>
      <t>S</t>
    </r>
    <r>
      <rPr>
        <vertAlign val="subscript"/>
        <sz val="11"/>
        <rFont val="Calibri"/>
        <family val="2"/>
        <scheme val="minor"/>
      </rPr>
      <t>NO</t>
    </r>
    <r>
      <rPr>
        <sz val="11"/>
        <rFont val="Calibri"/>
        <family val="2"/>
        <scheme val="minor"/>
      </rPr>
      <t>/(K</t>
    </r>
    <r>
      <rPr>
        <vertAlign val="subscript"/>
        <sz val="11"/>
        <rFont val="Calibri"/>
        <family val="2"/>
        <scheme val="minor"/>
      </rPr>
      <t>NO,H</t>
    </r>
    <r>
      <rPr>
        <sz val="11"/>
        <rFont val="Calibri"/>
        <family val="2"/>
        <scheme val="minor"/>
      </rPr>
      <t>+S</t>
    </r>
    <r>
      <rPr>
        <vertAlign val="subscript"/>
        <sz val="11"/>
        <rFont val="Calibri"/>
        <family val="2"/>
        <scheme val="minor"/>
      </rPr>
      <t>NO</t>
    </r>
    <r>
      <rPr>
        <sz val="11"/>
        <rFont val="Calibri"/>
        <family val="2"/>
        <scheme val="minor"/>
      </rPr>
      <t>)</t>
    </r>
  </si>
  <si>
    <r>
      <t>Msat</t>
    </r>
    <r>
      <rPr>
        <vertAlign val="subscript"/>
        <sz val="11"/>
        <rFont val="Calibri"/>
        <family val="2"/>
        <scheme val="minor"/>
      </rPr>
      <t>SNO,KNO,PAO</t>
    </r>
  </si>
  <si>
    <r>
      <t>S</t>
    </r>
    <r>
      <rPr>
        <vertAlign val="subscript"/>
        <sz val="11"/>
        <rFont val="Calibri"/>
        <family val="2"/>
        <scheme val="minor"/>
      </rPr>
      <t>NO</t>
    </r>
    <r>
      <rPr>
        <sz val="11"/>
        <rFont val="Calibri"/>
        <family val="2"/>
        <scheme val="minor"/>
      </rPr>
      <t>/(K</t>
    </r>
    <r>
      <rPr>
        <vertAlign val="subscript"/>
        <sz val="11"/>
        <rFont val="Calibri"/>
        <family val="2"/>
        <scheme val="minor"/>
      </rPr>
      <t>NO,PAO</t>
    </r>
    <r>
      <rPr>
        <sz val="11"/>
        <rFont val="Calibri"/>
        <family val="2"/>
        <scheme val="minor"/>
      </rPr>
      <t>+S</t>
    </r>
    <r>
      <rPr>
        <vertAlign val="subscript"/>
        <sz val="11"/>
        <rFont val="Calibri"/>
        <family val="2"/>
        <scheme val="minor"/>
      </rPr>
      <t>NO</t>
    </r>
    <r>
      <rPr>
        <sz val="11"/>
        <rFont val="Calibri"/>
        <family val="2"/>
        <scheme val="minor"/>
      </rPr>
      <t>)</t>
    </r>
  </si>
  <si>
    <r>
      <t>T</t>
    </r>
    <r>
      <rPr>
        <vertAlign val="subscript"/>
        <sz val="11"/>
        <rFont val="Calibri"/>
        <family val="2"/>
      </rPr>
      <t>KN</t>
    </r>
    <r>
      <rPr>
        <sz val="11"/>
        <rFont val="Calibri"/>
        <family val="2"/>
      </rPr>
      <t xml:space="preserve"> +S</t>
    </r>
    <r>
      <rPr>
        <vertAlign val="subscript"/>
        <sz val="11"/>
        <rFont val="Calibri"/>
        <family val="2"/>
      </rPr>
      <t>NO</t>
    </r>
  </si>
  <si>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S</t>
    </r>
    <r>
      <rPr>
        <sz val="11"/>
        <rFont val="Calibri"/>
        <family val="2"/>
        <scheme val="minor"/>
      </rPr>
      <t>/i</t>
    </r>
    <r>
      <rPr>
        <vertAlign val="subscript"/>
        <sz val="11"/>
        <rFont val="Calibri"/>
        <family val="2"/>
        <scheme val="minor"/>
      </rPr>
      <t>CV,SS</t>
    </r>
    <r>
      <rPr>
        <sz val="11"/>
        <rFont val="Calibri"/>
        <family val="2"/>
        <scheme val="minor"/>
      </rPr>
      <t>+S</t>
    </r>
    <r>
      <rPr>
        <vertAlign val="subscript"/>
        <sz val="11"/>
        <rFont val="Calibri"/>
        <family val="2"/>
        <scheme val="minor"/>
      </rPr>
      <t>NH4</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</si>
  <si>
    <r>
      <t>η</t>
    </r>
    <r>
      <rPr>
        <vertAlign val="subscript"/>
        <sz val="11"/>
        <rFont val="Calibri"/>
        <family val="2"/>
      </rPr>
      <t>NO,H</t>
    </r>
  </si>
  <si>
    <r>
      <t>η</t>
    </r>
    <r>
      <rPr>
        <vertAlign val="subscript"/>
        <sz val="11"/>
        <rFont val="Calibri"/>
        <family val="2"/>
      </rPr>
      <t>NO,end,H</t>
    </r>
  </si>
  <si>
    <r>
      <t>η</t>
    </r>
    <r>
      <rPr>
        <vertAlign val="subscript"/>
        <sz val="11"/>
        <rFont val="Calibri"/>
        <family val="2"/>
      </rPr>
      <t>NO,PAO</t>
    </r>
  </si>
  <si>
    <r>
      <t>η</t>
    </r>
    <r>
      <rPr>
        <vertAlign val="subscript"/>
        <sz val="11"/>
        <rFont val="Calibri"/>
        <family val="2"/>
      </rPr>
      <t>NO,end,PAO</t>
    </r>
  </si>
  <si>
    <r>
      <t>η</t>
    </r>
    <r>
      <rPr>
        <vertAlign val="subscript"/>
        <sz val="11"/>
        <rFont val="Calibri"/>
        <family val="2"/>
      </rPr>
      <t>NO,lys,PP</t>
    </r>
  </si>
  <si>
    <r>
      <t>η</t>
    </r>
    <r>
      <rPr>
        <vertAlign val="subscript"/>
        <sz val="11"/>
        <rFont val="Calibri"/>
        <family val="2"/>
      </rPr>
      <t>NO,resp,PHA</t>
    </r>
  </si>
  <si>
    <r>
      <t>η</t>
    </r>
    <r>
      <rPr>
        <vertAlign val="subscript"/>
        <sz val="11"/>
        <rFont val="Calibri"/>
        <family val="2"/>
      </rPr>
      <t>NO,end,A</t>
    </r>
  </si>
  <si>
    <r>
      <t>Y</t>
    </r>
    <r>
      <rPr>
        <vertAlign val="subscript"/>
        <sz val="11"/>
        <rFont val="Calibri"/>
        <family val="2"/>
      </rPr>
      <t>H,NO</t>
    </r>
  </si>
  <si>
    <r>
      <t>Y</t>
    </r>
    <r>
      <rPr>
        <vertAlign val="subscript"/>
        <sz val="11"/>
        <rFont val="Calibri"/>
        <family val="2"/>
      </rPr>
      <t>STO,NO</t>
    </r>
  </si>
  <si>
    <r>
      <t>Y</t>
    </r>
    <r>
      <rPr>
        <vertAlign val="subscript"/>
        <sz val="11"/>
        <rFont val="Calibri"/>
        <family val="2"/>
      </rPr>
      <t>PAO,NO</t>
    </r>
  </si>
  <si>
    <t>Half-saturation of alkalinity</t>
  </si>
  <si>
    <r>
      <t>S</t>
    </r>
    <r>
      <rPr>
        <vertAlign val="subscript"/>
        <sz val="11"/>
        <rFont val="Calibri"/>
        <family val="2"/>
        <scheme val="minor"/>
      </rPr>
      <t>HCO</t>
    </r>
    <r>
      <rPr>
        <sz val="11"/>
        <rFont val="Calibri"/>
        <family val="2"/>
        <scheme val="minor"/>
      </rPr>
      <t>/(K</t>
    </r>
    <r>
      <rPr>
        <vertAlign val="subscript"/>
        <sz val="11"/>
        <rFont val="Calibri"/>
        <family val="2"/>
        <scheme val="minor"/>
      </rPr>
      <t>HCO,H</t>
    </r>
    <r>
      <rPr>
        <sz val="11"/>
        <rFont val="Calibri"/>
        <family val="2"/>
        <scheme val="minor"/>
      </rPr>
      <t>+S</t>
    </r>
    <r>
      <rPr>
        <vertAlign val="subscript"/>
        <sz val="11"/>
        <rFont val="Calibri"/>
        <family val="2"/>
        <scheme val="minor"/>
      </rPr>
      <t>HCO</t>
    </r>
    <r>
      <rPr>
        <sz val="11"/>
        <rFont val="Calibri"/>
        <family val="2"/>
        <scheme val="minor"/>
      </rPr>
      <t>)</t>
    </r>
  </si>
  <si>
    <r>
      <t>S</t>
    </r>
    <r>
      <rPr>
        <vertAlign val="subscript"/>
        <sz val="11"/>
        <rFont val="Calibri"/>
        <family val="2"/>
        <scheme val="minor"/>
      </rPr>
      <t>HCO</t>
    </r>
    <r>
      <rPr>
        <sz val="11"/>
        <rFont val="Calibri"/>
        <family val="2"/>
        <scheme val="minor"/>
      </rPr>
      <t>/(K</t>
    </r>
    <r>
      <rPr>
        <vertAlign val="subscript"/>
        <sz val="11"/>
        <rFont val="Calibri"/>
        <family val="2"/>
        <scheme val="minor"/>
      </rPr>
      <t>HCO,A</t>
    </r>
    <r>
      <rPr>
        <sz val="11"/>
        <rFont val="Calibri"/>
        <family val="2"/>
        <scheme val="minor"/>
      </rPr>
      <t>+S</t>
    </r>
    <r>
      <rPr>
        <vertAlign val="subscript"/>
        <sz val="11"/>
        <rFont val="Calibri"/>
        <family val="2"/>
        <scheme val="minor"/>
      </rPr>
      <t>HCO</t>
    </r>
    <r>
      <rPr>
        <sz val="11"/>
        <rFont val="Calibri"/>
        <family val="2"/>
        <scheme val="minor"/>
      </rPr>
      <t>)</t>
    </r>
  </si>
  <si>
    <r>
      <t>Msat</t>
    </r>
    <r>
      <rPr>
        <vertAlign val="subscript"/>
        <sz val="11"/>
        <rFont val="Calibri"/>
        <family val="2"/>
        <scheme val="minor"/>
      </rPr>
      <t>SHCO,KHCO,PAO</t>
    </r>
  </si>
  <si>
    <r>
      <t>S</t>
    </r>
    <r>
      <rPr>
        <vertAlign val="subscript"/>
        <sz val="11"/>
        <rFont val="Calibri"/>
        <family val="2"/>
        <scheme val="minor"/>
      </rPr>
      <t>HCO</t>
    </r>
    <r>
      <rPr>
        <sz val="11"/>
        <rFont val="Calibri"/>
        <family val="2"/>
        <scheme val="minor"/>
      </rPr>
      <t>/(K</t>
    </r>
    <r>
      <rPr>
        <vertAlign val="subscript"/>
        <sz val="11"/>
        <rFont val="Calibri"/>
        <family val="2"/>
        <scheme val="minor"/>
      </rPr>
      <t>HCO,PAO</t>
    </r>
    <r>
      <rPr>
        <sz val="11"/>
        <rFont val="Calibri"/>
        <family val="2"/>
        <scheme val="minor"/>
      </rPr>
      <t>+S</t>
    </r>
    <r>
      <rPr>
        <vertAlign val="subscript"/>
        <sz val="11"/>
        <rFont val="Calibri"/>
        <family val="2"/>
        <scheme val="minor"/>
      </rPr>
      <t>HCO</t>
    </r>
    <r>
      <rPr>
        <sz val="11"/>
        <rFont val="Calibri"/>
        <family val="2"/>
        <scheme val="minor"/>
      </rPr>
      <t>)</t>
    </r>
  </si>
  <si>
    <r>
      <t>μ</t>
    </r>
    <r>
      <rPr>
        <i/>
        <vertAlign val="subscript"/>
        <sz val="12"/>
        <rFont val="Arial"/>
        <family val="2"/>
      </rPr>
      <t>H</t>
    </r>
    <r>
      <rPr>
        <i/>
        <sz val="12"/>
        <rFont val="Arial"/>
        <family val="2"/>
      </rPr>
      <t>*Msat</t>
    </r>
    <r>
      <rPr>
        <i/>
        <vertAlign val="subscript"/>
        <sz val="12"/>
        <rFont val="Arial"/>
        <family val="2"/>
      </rPr>
      <t>SO,KO,H</t>
    </r>
    <r>
      <rPr>
        <i/>
        <sz val="12"/>
        <rFont val="Arial"/>
        <family val="2"/>
      </rPr>
      <t>*Msat</t>
    </r>
    <r>
      <rPr>
        <i/>
        <vertAlign val="subscript"/>
        <sz val="12"/>
        <rFont val="Arial"/>
        <family val="2"/>
      </rPr>
      <t>SNH4,KNH,H</t>
    </r>
    <r>
      <rPr>
        <i/>
        <sz val="12"/>
        <rFont val="Arial"/>
        <family val="2"/>
      </rPr>
      <t>*Msat</t>
    </r>
    <r>
      <rPr>
        <i/>
        <vertAlign val="subscript"/>
        <sz val="12"/>
        <rFont val="Arial"/>
        <family val="2"/>
      </rPr>
      <t>SHCO,KHCO,H</t>
    </r>
    <r>
      <rPr>
        <i/>
        <sz val="12"/>
        <rFont val="Arial"/>
        <family val="2"/>
      </rPr>
      <t>*Msat</t>
    </r>
    <r>
      <rPr>
        <i/>
        <vertAlign val="subscript"/>
        <sz val="12"/>
        <rFont val="Arial"/>
        <family val="2"/>
      </rPr>
      <t>SPO4,KPO4,H</t>
    </r>
    <r>
      <rPr>
        <i/>
        <sz val="12"/>
        <rFont val="Arial"/>
        <family val="2"/>
      </rPr>
      <t>*MRsat</t>
    </r>
    <r>
      <rPr>
        <i/>
        <vertAlign val="subscript"/>
        <sz val="12"/>
        <rFont val="Arial"/>
        <family val="2"/>
      </rPr>
      <t>XSTO,XH,KSTO,H</t>
    </r>
    <r>
      <rPr>
        <i/>
        <sz val="12"/>
        <rFont val="Arial"/>
        <family val="2"/>
      </rPr>
      <t>*X</t>
    </r>
    <r>
      <rPr>
        <i/>
        <vertAlign val="subscript"/>
        <sz val="12"/>
        <rFont val="Arial"/>
        <family val="2"/>
      </rPr>
      <t>H</t>
    </r>
  </si>
  <si>
    <r>
      <t>μ</t>
    </r>
    <r>
      <rPr>
        <i/>
        <vertAlign val="subscript"/>
        <sz val="12"/>
        <rFont val="Arial"/>
        <family val="2"/>
      </rPr>
      <t>A</t>
    </r>
    <r>
      <rPr>
        <i/>
        <sz val="12"/>
        <rFont val="Arial"/>
        <family val="2"/>
      </rPr>
      <t>*Msat</t>
    </r>
    <r>
      <rPr>
        <i/>
        <vertAlign val="subscript"/>
        <sz val="12"/>
        <rFont val="Arial"/>
        <family val="2"/>
      </rPr>
      <t>SO,KO,A</t>
    </r>
    <r>
      <rPr>
        <i/>
        <sz val="12"/>
        <rFont val="Arial"/>
        <family val="2"/>
      </rPr>
      <t>*Msat</t>
    </r>
    <r>
      <rPr>
        <i/>
        <vertAlign val="subscript"/>
        <sz val="12"/>
        <rFont val="Arial"/>
        <family val="2"/>
      </rPr>
      <t>SNH4,KNH,A</t>
    </r>
    <r>
      <rPr>
        <i/>
        <sz val="12"/>
        <rFont val="Arial"/>
        <family val="2"/>
      </rPr>
      <t>*Msat</t>
    </r>
    <r>
      <rPr>
        <i/>
        <vertAlign val="subscript"/>
        <sz val="12"/>
        <rFont val="Arial"/>
        <family val="2"/>
      </rPr>
      <t>SHCO,KHCO,A</t>
    </r>
    <r>
      <rPr>
        <i/>
        <sz val="12"/>
        <rFont val="Arial"/>
        <family val="2"/>
      </rPr>
      <t>*Msat</t>
    </r>
    <r>
      <rPr>
        <i/>
        <vertAlign val="subscript"/>
        <sz val="12"/>
        <rFont val="Arial"/>
        <family val="2"/>
      </rPr>
      <t>SPO4,KPO4,A</t>
    </r>
    <r>
      <rPr>
        <i/>
        <sz val="12"/>
        <rFont val="Arial"/>
        <family val="2"/>
      </rPr>
      <t>*X</t>
    </r>
    <r>
      <rPr>
        <i/>
        <vertAlign val="subscript"/>
        <sz val="12"/>
        <rFont val="Arial"/>
        <family val="2"/>
      </rPr>
      <t>A</t>
    </r>
  </si>
  <si>
    <r>
      <t>q</t>
    </r>
    <r>
      <rPr>
        <i/>
        <vertAlign val="subscript"/>
        <sz val="12"/>
        <rFont val="Arial"/>
        <family val="2"/>
      </rPr>
      <t>PHA</t>
    </r>
    <r>
      <rPr>
        <i/>
        <sz val="12"/>
        <rFont val="Arial"/>
        <family val="2"/>
      </rPr>
      <t>*Msat</t>
    </r>
    <r>
      <rPr>
        <i/>
        <vertAlign val="subscript"/>
        <sz val="12"/>
        <rFont val="Arial"/>
        <family val="2"/>
      </rPr>
      <t>SS,KSS,PAO</t>
    </r>
    <r>
      <rPr>
        <i/>
        <sz val="12"/>
        <rFont val="Arial"/>
        <family val="2"/>
      </rPr>
      <t>*Msat</t>
    </r>
    <r>
      <rPr>
        <i/>
        <vertAlign val="subscript"/>
        <sz val="12"/>
        <rFont val="Arial"/>
        <family val="2"/>
      </rPr>
      <t>SHCO,KHCO,PAO</t>
    </r>
    <r>
      <rPr>
        <i/>
        <sz val="12"/>
        <rFont val="Arial"/>
        <family val="2"/>
      </rPr>
      <t>*MRsat</t>
    </r>
    <r>
      <rPr>
        <i/>
        <vertAlign val="subscript"/>
        <sz val="12"/>
        <rFont val="Arial"/>
        <family val="2"/>
      </rPr>
      <t>XPP,XPAO,KPP,PAO</t>
    </r>
    <r>
      <rPr>
        <i/>
        <sz val="12"/>
        <rFont val="Arial"/>
        <family val="2"/>
      </rPr>
      <t>*X</t>
    </r>
    <r>
      <rPr>
        <i/>
        <vertAlign val="subscript"/>
        <sz val="12"/>
        <rFont val="Arial"/>
        <family val="2"/>
      </rPr>
      <t>PAO</t>
    </r>
  </si>
  <si>
    <r>
      <t>q</t>
    </r>
    <r>
      <rPr>
        <i/>
        <vertAlign val="subscript"/>
        <sz val="12"/>
        <rFont val="Arial"/>
        <family val="2"/>
      </rPr>
      <t>PP</t>
    </r>
    <r>
      <rPr>
        <i/>
        <sz val="12"/>
        <rFont val="Arial"/>
        <family val="2"/>
      </rPr>
      <t>*Msat</t>
    </r>
    <r>
      <rPr>
        <i/>
        <vertAlign val="subscript"/>
        <sz val="12"/>
        <rFont val="Arial"/>
        <family val="2"/>
      </rPr>
      <t>SO,KO,PAO</t>
    </r>
    <r>
      <rPr>
        <i/>
        <sz val="12"/>
        <rFont val="Arial"/>
        <family val="2"/>
      </rPr>
      <t>*Msat</t>
    </r>
    <r>
      <rPr>
        <i/>
        <vertAlign val="subscript"/>
        <sz val="12"/>
        <rFont val="Arial"/>
        <family val="2"/>
      </rPr>
      <t>SPO4,KPO4,PP</t>
    </r>
    <r>
      <rPr>
        <i/>
        <sz val="12"/>
        <rFont val="Arial"/>
        <family val="2"/>
      </rPr>
      <t>*Msat</t>
    </r>
    <r>
      <rPr>
        <i/>
        <vertAlign val="subscript"/>
        <sz val="12"/>
        <rFont val="Arial"/>
        <family val="2"/>
      </rPr>
      <t>SHCO,KHCO,PAO</t>
    </r>
    <r>
      <rPr>
        <i/>
        <sz val="12"/>
        <rFont val="Arial"/>
        <family val="2"/>
      </rPr>
      <t>*MRsat</t>
    </r>
    <r>
      <rPr>
        <i/>
        <vertAlign val="subscript"/>
        <sz val="12"/>
        <rFont val="Arial"/>
        <family val="2"/>
      </rPr>
      <t>XPHA,XPAO,KPHA</t>
    </r>
    <r>
      <rPr>
        <i/>
        <sz val="12"/>
        <rFont val="Arial"/>
        <family val="2"/>
      </rPr>
      <t>*MRinh</t>
    </r>
    <r>
      <rPr>
        <i/>
        <vertAlign val="subscript"/>
        <sz val="12"/>
        <rFont val="Arial"/>
        <family val="2"/>
      </rPr>
      <t>XPP,XPAO,KiPP,PAO</t>
    </r>
    <r>
      <rPr>
        <i/>
        <sz val="12"/>
        <rFont val="Arial"/>
        <family val="2"/>
      </rPr>
      <t>*X</t>
    </r>
    <r>
      <rPr>
        <i/>
        <vertAlign val="subscript"/>
        <sz val="12"/>
        <rFont val="Arial"/>
        <family val="2"/>
      </rPr>
      <t>PAO</t>
    </r>
  </si>
  <si>
    <r>
      <t>μ</t>
    </r>
    <r>
      <rPr>
        <i/>
        <vertAlign val="subscript"/>
        <sz val="12"/>
        <rFont val="Arial"/>
        <family val="2"/>
      </rPr>
      <t>PAO</t>
    </r>
    <r>
      <rPr>
        <i/>
        <sz val="12"/>
        <rFont val="Arial"/>
        <family val="2"/>
      </rPr>
      <t>*Msat</t>
    </r>
    <r>
      <rPr>
        <i/>
        <vertAlign val="subscript"/>
        <sz val="12"/>
        <rFont val="Arial"/>
        <family val="2"/>
      </rPr>
      <t>SO,KO,PAO</t>
    </r>
    <r>
      <rPr>
        <i/>
        <sz val="12"/>
        <rFont val="Arial"/>
        <family val="2"/>
      </rPr>
      <t>*Msat</t>
    </r>
    <r>
      <rPr>
        <i/>
        <vertAlign val="subscript"/>
        <sz val="12"/>
        <rFont val="Arial"/>
        <family val="2"/>
      </rPr>
      <t>SNH4,KNH,PAO</t>
    </r>
    <r>
      <rPr>
        <i/>
        <sz val="12"/>
        <rFont val="Arial"/>
        <family val="2"/>
      </rPr>
      <t>*Msat</t>
    </r>
    <r>
      <rPr>
        <i/>
        <vertAlign val="subscript"/>
        <sz val="12"/>
        <rFont val="Arial"/>
        <family val="2"/>
      </rPr>
      <t>SPO4,KPO4,PAO</t>
    </r>
    <r>
      <rPr>
        <i/>
        <sz val="12"/>
        <rFont val="Arial"/>
        <family val="2"/>
      </rPr>
      <t>*Msat</t>
    </r>
    <r>
      <rPr>
        <i/>
        <vertAlign val="subscript"/>
        <sz val="12"/>
        <rFont val="Arial"/>
        <family val="2"/>
      </rPr>
      <t>SHCO,KHCO,PAO</t>
    </r>
    <r>
      <rPr>
        <i/>
        <sz val="12"/>
        <rFont val="Arial"/>
        <family val="2"/>
      </rPr>
      <t>*MRsat</t>
    </r>
    <r>
      <rPr>
        <i/>
        <vertAlign val="subscript"/>
        <sz val="12"/>
        <rFont val="Arial"/>
        <family val="2"/>
      </rPr>
      <t>XPHA,XPAO,KPHA</t>
    </r>
    <r>
      <rPr>
        <i/>
        <sz val="12"/>
        <rFont val="Arial"/>
        <family val="2"/>
      </rPr>
      <t>*X</t>
    </r>
    <r>
      <rPr>
        <i/>
        <vertAlign val="subscript"/>
        <sz val="12"/>
        <rFont val="Arial"/>
        <family val="2"/>
      </rPr>
      <t>PAO</t>
    </r>
  </si>
  <si>
    <r>
      <t>-(1-</t>
    </r>
    <r>
      <rPr>
        <i/>
        <sz val="12"/>
        <rFont val="Arial"/>
        <family val="2"/>
      </rPr>
      <t>Y</t>
    </r>
    <r>
      <rPr>
        <vertAlign val="subscript"/>
        <sz val="12"/>
        <rFont val="Arial"/>
        <family val="2"/>
      </rPr>
      <t>STO,NO</t>
    </r>
    <r>
      <rPr>
        <sz val="12"/>
        <rFont val="Arial"/>
        <family val="2"/>
      </rPr>
      <t>)/</t>
    </r>
    <r>
      <rPr>
        <i/>
        <sz val="12"/>
        <rFont val="Arial"/>
        <family val="2"/>
      </rPr>
      <t>i</t>
    </r>
    <r>
      <rPr>
        <vertAlign val="subscript"/>
        <sz val="12"/>
        <rFont val="Arial"/>
        <family val="2"/>
      </rPr>
      <t>NO3,N2</t>
    </r>
  </si>
  <si>
    <r>
      <t>(1-</t>
    </r>
    <r>
      <rPr>
        <i/>
        <sz val="12"/>
        <rFont val="Arial"/>
        <family val="2"/>
      </rPr>
      <t>Y</t>
    </r>
    <r>
      <rPr>
        <vertAlign val="subscript"/>
        <sz val="12"/>
        <rFont val="Arial"/>
        <family val="2"/>
      </rPr>
      <t>STO,NO</t>
    </r>
    <r>
      <rPr>
        <sz val="12"/>
        <rFont val="Arial"/>
        <family val="2"/>
      </rPr>
      <t xml:space="preserve">)/( </t>
    </r>
    <r>
      <rPr>
        <i/>
        <sz val="12"/>
        <rFont val="Arial"/>
        <family val="2"/>
      </rPr>
      <t>i</t>
    </r>
    <r>
      <rPr>
        <vertAlign val="subscript"/>
        <sz val="12"/>
        <rFont val="Arial"/>
        <family val="2"/>
      </rPr>
      <t xml:space="preserve">NO3,N2 </t>
    </r>
    <r>
      <rPr>
        <sz val="12"/>
        <rFont val="Arial"/>
        <family val="2"/>
      </rPr>
      <t>)</t>
    </r>
  </si>
  <si>
    <r>
      <t>-(1-</t>
    </r>
    <r>
      <rPr>
        <i/>
        <sz val="12"/>
        <rFont val="Arial"/>
        <family val="2"/>
      </rPr>
      <t>Y</t>
    </r>
    <r>
      <rPr>
        <vertAlign val="subscript"/>
        <sz val="12"/>
        <rFont val="Arial"/>
        <family val="2"/>
      </rPr>
      <t>H,NO</t>
    </r>
    <r>
      <rPr>
        <sz val="12"/>
        <rFont val="Arial"/>
        <family val="2"/>
      </rPr>
      <t>)/</t>
    </r>
    <r>
      <rPr>
        <i/>
        <sz val="12"/>
        <rFont val="Arial"/>
        <family val="2"/>
      </rPr>
      <t>Y</t>
    </r>
    <r>
      <rPr>
        <vertAlign val="subscript"/>
        <sz val="12"/>
        <rFont val="Arial"/>
        <family val="2"/>
      </rPr>
      <t>H,NO</t>
    </r>
    <r>
      <rPr>
        <sz val="12"/>
        <rFont val="Arial"/>
        <family val="2"/>
      </rPr>
      <t>*(1/</t>
    </r>
    <r>
      <rPr>
        <i/>
        <sz val="12"/>
        <rFont val="Arial"/>
        <family val="2"/>
      </rPr>
      <t>i</t>
    </r>
    <r>
      <rPr>
        <vertAlign val="subscript"/>
        <sz val="12"/>
        <rFont val="Arial"/>
        <family val="2"/>
      </rPr>
      <t>NO3,N2</t>
    </r>
    <r>
      <rPr>
        <sz val="12"/>
        <rFont val="Arial"/>
        <family val="2"/>
      </rPr>
      <t>)</t>
    </r>
  </si>
  <si>
    <r>
      <t>(1-</t>
    </r>
    <r>
      <rPr>
        <i/>
        <sz val="12"/>
        <rFont val="Arial"/>
        <family val="2"/>
      </rPr>
      <t>Y</t>
    </r>
    <r>
      <rPr>
        <vertAlign val="subscript"/>
        <sz val="12"/>
        <rFont val="Arial"/>
        <family val="2"/>
      </rPr>
      <t>H,NO</t>
    </r>
    <r>
      <rPr>
        <sz val="12"/>
        <rFont val="Arial"/>
        <family val="2"/>
      </rPr>
      <t>)/</t>
    </r>
    <r>
      <rPr>
        <i/>
        <sz val="12"/>
        <rFont val="Arial"/>
        <family val="2"/>
      </rPr>
      <t>Y</t>
    </r>
    <r>
      <rPr>
        <vertAlign val="subscript"/>
        <sz val="12"/>
        <rFont val="Arial"/>
        <family val="2"/>
      </rPr>
      <t>H,NO</t>
    </r>
    <r>
      <rPr>
        <sz val="12"/>
        <rFont val="Arial"/>
        <family val="2"/>
      </rPr>
      <t>*(1/</t>
    </r>
    <r>
      <rPr>
        <i/>
        <sz val="12"/>
        <rFont val="Arial"/>
        <family val="2"/>
      </rPr>
      <t>i</t>
    </r>
    <r>
      <rPr>
        <vertAlign val="subscript"/>
        <sz val="12"/>
        <rFont val="Arial"/>
        <family val="2"/>
      </rPr>
      <t>NO3,N2</t>
    </r>
    <r>
      <rPr>
        <sz val="12"/>
        <rFont val="Arial"/>
        <family val="2"/>
      </rPr>
      <t>)</t>
    </r>
  </si>
  <si>
    <r>
      <t>Y</t>
    </r>
    <r>
      <rPr>
        <vertAlign val="subscript"/>
        <sz val="12"/>
        <rFont val="Arial"/>
        <family val="2"/>
      </rPr>
      <t>STO,NO</t>
    </r>
  </si>
  <si>
    <r>
      <t>Y</t>
    </r>
    <r>
      <rPr>
        <vertAlign val="subscript"/>
        <sz val="12"/>
        <rFont val="Arial"/>
        <family val="2"/>
      </rPr>
      <t>STO,NO</t>
    </r>
    <r>
      <rPr>
        <sz val="12"/>
        <rFont val="Arial"/>
        <family val="2"/>
      </rPr>
      <t>*</t>
    </r>
    <r>
      <rPr>
        <i/>
        <sz val="12"/>
        <rFont val="Arial"/>
        <family val="2"/>
      </rPr>
      <t>i</t>
    </r>
    <r>
      <rPr>
        <vertAlign val="subscript"/>
        <sz val="12"/>
        <rFont val="Arial"/>
        <family val="2"/>
      </rPr>
      <t>TSS,XSTO</t>
    </r>
  </si>
  <si>
    <r>
      <t>v</t>
    </r>
    <r>
      <rPr>
        <vertAlign val="subscript"/>
        <sz val="12"/>
        <rFont val="Arial"/>
        <family val="2"/>
      </rPr>
      <t>3_SNH4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3_SNO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3_SPO4</t>
    </r>
    <r>
      <rPr>
        <sz val="12"/>
        <rFont val="Arial"/>
        <family val="2"/>
      </rPr>
      <t>*</t>
    </r>
    <r>
      <rPr>
        <i/>
        <sz val="12"/>
        <rFont val="Arial"/>
        <family val="2"/>
      </rPr>
      <t>i</t>
    </r>
    <r>
      <rPr>
        <vertAlign val="subscript"/>
        <sz val="12"/>
        <rFont val="Arial"/>
        <family val="2"/>
      </rPr>
      <t>Charge_SPO4</t>
    </r>
  </si>
  <si>
    <r>
      <t>v</t>
    </r>
    <r>
      <rPr>
        <vertAlign val="subscript"/>
        <sz val="12"/>
        <rFont val="Arial"/>
        <family val="2"/>
      </rPr>
      <t>5_SNH4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5_SNO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5_SPO4</t>
    </r>
    <r>
      <rPr>
        <sz val="12"/>
        <rFont val="Arial"/>
        <family val="2"/>
      </rPr>
      <t>*</t>
    </r>
    <r>
      <rPr>
        <i/>
        <sz val="12"/>
        <rFont val="Arial"/>
        <family val="2"/>
      </rPr>
      <t>i</t>
    </r>
    <r>
      <rPr>
        <vertAlign val="subscript"/>
        <sz val="12"/>
        <rFont val="Arial"/>
        <family val="2"/>
      </rPr>
      <t>Charge_SPO4</t>
    </r>
  </si>
  <si>
    <r>
      <t>v</t>
    </r>
    <r>
      <rPr>
        <vertAlign val="subscript"/>
        <sz val="12"/>
        <rFont val="Arial"/>
        <family val="2"/>
      </rPr>
      <t>7_SNO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7_SNH4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7_SPO4</t>
    </r>
    <r>
      <rPr>
        <sz val="12"/>
        <rFont val="Arial"/>
        <family val="2"/>
      </rPr>
      <t>*</t>
    </r>
    <r>
      <rPr>
        <i/>
        <sz val="12"/>
        <rFont val="Arial"/>
        <family val="2"/>
      </rPr>
      <t>i</t>
    </r>
    <r>
      <rPr>
        <vertAlign val="subscript"/>
        <sz val="12"/>
        <rFont val="Arial"/>
        <family val="2"/>
      </rPr>
      <t>Charge_SPO4</t>
    </r>
  </si>
  <si>
    <r>
      <t>k</t>
    </r>
    <r>
      <rPr>
        <i/>
        <vertAlign val="subscript"/>
        <sz val="12"/>
        <rFont val="Arial"/>
        <family val="2"/>
      </rPr>
      <t>STO</t>
    </r>
    <r>
      <rPr>
        <i/>
        <sz val="12"/>
        <rFont val="Arial"/>
        <family val="2"/>
      </rPr>
      <t>*η</t>
    </r>
    <r>
      <rPr>
        <i/>
        <vertAlign val="subscript"/>
        <sz val="12"/>
        <rFont val="Arial"/>
        <family val="2"/>
      </rPr>
      <t>NO,H</t>
    </r>
    <r>
      <rPr>
        <i/>
        <sz val="12"/>
        <rFont val="Arial"/>
        <family val="2"/>
      </rPr>
      <t>*Minh</t>
    </r>
    <r>
      <rPr>
        <i/>
        <vertAlign val="subscript"/>
        <sz val="12"/>
        <rFont val="Arial"/>
        <family val="2"/>
      </rPr>
      <t>SO,KO,H</t>
    </r>
    <r>
      <rPr>
        <i/>
        <sz val="12"/>
        <rFont val="Arial"/>
        <family val="2"/>
      </rPr>
      <t>*Msat</t>
    </r>
    <r>
      <rPr>
        <i/>
        <vertAlign val="subscript"/>
        <sz val="12"/>
        <rFont val="Arial"/>
        <family val="2"/>
      </rPr>
      <t>SNO,KNO,H</t>
    </r>
    <r>
      <rPr>
        <i/>
        <sz val="12"/>
        <rFont val="Arial"/>
        <family val="2"/>
      </rPr>
      <t>*Msat</t>
    </r>
    <r>
      <rPr>
        <i/>
        <vertAlign val="subscript"/>
        <sz val="12"/>
        <rFont val="Arial"/>
        <family val="2"/>
      </rPr>
      <t>SS,KSS,H</t>
    </r>
    <r>
      <rPr>
        <i/>
        <sz val="12"/>
        <rFont val="Arial"/>
        <family val="2"/>
      </rPr>
      <t>*X</t>
    </r>
    <r>
      <rPr>
        <i/>
        <vertAlign val="subscript"/>
        <sz val="12"/>
        <rFont val="Arial"/>
        <family val="2"/>
      </rPr>
      <t>H</t>
    </r>
  </si>
  <si>
    <r>
      <t>-1/</t>
    </r>
    <r>
      <rPr>
        <i/>
        <sz val="12"/>
        <rFont val="Arial"/>
        <family val="2"/>
      </rPr>
      <t>Y</t>
    </r>
    <r>
      <rPr>
        <vertAlign val="subscript"/>
        <sz val="12"/>
        <rFont val="Arial"/>
        <family val="2"/>
      </rPr>
      <t>H,NO</t>
    </r>
  </si>
  <si>
    <r>
      <t>(-1/</t>
    </r>
    <r>
      <rPr>
        <i/>
        <sz val="12"/>
        <rFont val="Arial"/>
        <family val="2"/>
      </rPr>
      <t>Y</t>
    </r>
    <r>
      <rPr>
        <vertAlign val="subscript"/>
        <sz val="12"/>
        <rFont val="Arial"/>
        <family val="2"/>
      </rPr>
      <t>H,NO</t>
    </r>
    <r>
      <rPr>
        <sz val="12"/>
        <rFont val="Arial"/>
        <family val="2"/>
      </rPr>
      <t>)*</t>
    </r>
    <r>
      <rPr>
        <i/>
        <sz val="12"/>
        <rFont val="Arial"/>
        <family val="2"/>
      </rPr>
      <t>i</t>
    </r>
    <r>
      <rPr>
        <vertAlign val="subscript"/>
        <sz val="12"/>
        <rFont val="Arial"/>
        <family val="2"/>
      </rPr>
      <t>TSS,XSTO</t>
    </r>
    <r>
      <rPr>
        <sz val="12"/>
        <rFont val="Arial"/>
        <family val="2"/>
      </rPr>
      <t>+</t>
    </r>
    <r>
      <rPr>
        <i/>
        <sz val="12"/>
        <rFont val="Arial"/>
        <family val="2"/>
      </rPr>
      <t>i</t>
    </r>
    <r>
      <rPr>
        <vertAlign val="subscript"/>
        <sz val="12"/>
        <rFont val="Arial"/>
        <family val="2"/>
      </rPr>
      <t>TSS,BM</t>
    </r>
  </si>
  <si>
    <r>
      <t>μ</t>
    </r>
    <r>
      <rPr>
        <i/>
        <vertAlign val="subscript"/>
        <sz val="12"/>
        <rFont val="Arial"/>
        <family val="2"/>
      </rPr>
      <t>H</t>
    </r>
    <r>
      <rPr>
        <i/>
        <sz val="12"/>
        <rFont val="Arial"/>
        <family val="2"/>
      </rPr>
      <t>*η</t>
    </r>
    <r>
      <rPr>
        <i/>
        <vertAlign val="subscript"/>
        <sz val="12"/>
        <rFont val="Arial"/>
        <family val="2"/>
      </rPr>
      <t>NO,H</t>
    </r>
    <r>
      <rPr>
        <i/>
        <sz val="12"/>
        <rFont val="Arial"/>
        <family val="2"/>
      </rPr>
      <t>*Minh</t>
    </r>
    <r>
      <rPr>
        <i/>
        <vertAlign val="subscript"/>
        <sz val="12"/>
        <rFont val="Arial"/>
        <family val="2"/>
      </rPr>
      <t>SO,KO,H</t>
    </r>
    <r>
      <rPr>
        <i/>
        <sz val="12"/>
        <rFont val="Arial"/>
        <family val="2"/>
      </rPr>
      <t>*Msat</t>
    </r>
    <r>
      <rPr>
        <i/>
        <vertAlign val="subscript"/>
        <sz val="12"/>
        <rFont val="Arial"/>
        <family val="2"/>
      </rPr>
      <t>SNO,KNO,H</t>
    </r>
    <r>
      <rPr>
        <i/>
        <sz val="12"/>
        <rFont val="Arial"/>
        <family val="2"/>
      </rPr>
      <t>*Msat</t>
    </r>
    <r>
      <rPr>
        <i/>
        <vertAlign val="subscript"/>
        <sz val="12"/>
        <rFont val="Arial"/>
        <family val="2"/>
      </rPr>
      <t>SNH4,KNH,H</t>
    </r>
    <r>
      <rPr>
        <i/>
        <sz val="12"/>
        <rFont val="Arial"/>
        <family val="2"/>
      </rPr>
      <t>*Msat</t>
    </r>
    <r>
      <rPr>
        <i/>
        <vertAlign val="subscript"/>
        <sz val="12"/>
        <rFont val="Arial"/>
        <family val="2"/>
      </rPr>
      <t>SHCO,KHCO,H</t>
    </r>
    <r>
      <rPr>
        <i/>
        <sz val="12"/>
        <rFont val="Arial"/>
        <family val="2"/>
      </rPr>
      <t>*Msat</t>
    </r>
    <r>
      <rPr>
        <i/>
        <vertAlign val="subscript"/>
        <sz val="12"/>
        <rFont val="Arial"/>
        <family val="2"/>
      </rPr>
      <t>SPO4,KPO4,H</t>
    </r>
    <r>
      <rPr>
        <i/>
        <sz val="12"/>
        <rFont val="Arial"/>
        <family val="2"/>
      </rPr>
      <t>*MRsat</t>
    </r>
    <r>
      <rPr>
        <i/>
        <vertAlign val="subscript"/>
        <sz val="12"/>
        <rFont val="Arial"/>
        <family val="2"/>
      </rPr>
      <t>XSTO,XH,KSTO,H</t>
    </r>
    <r>
      <rPr>
        <i/>
        <sz val="12"/>
        <rFont val="Arial"/>
        <family val="2"/>
      </rPr>
      <t>*X</t>
    </r>
    <r>
      <rPr>
        <i/>
        <vertAlign val="subscript"/>
        <sz val="12"/>
        <rFont val="Arial"/>
        <family val="2"/>
      </rPr>
      <t>H</t>
    </r>
  </si>
  <si>
    <r>
      <t>b</t>
    </r>
    <r>
      <rPr>
        <i/>
        <vertAlign val="subscript"/>
        <sz val="12"/>
        <rFont val="Arial"/>
        <family val="2"/>
      </rPr>
      <t>H</t>
    </r>
    <r>
      <rPr>
        <i/>
        <sz val="12"/>
        <rFont val="Arial"/>
        <family val="2"/>
      </rPr>
      <t>*η</t>
    </r>
    <r>
      <rPr>
        <i/>
        <vertAlign val="subscript"/>
        <sz val="12"/>
        <rFont val="Arial"/>
        <family val="2"/>
      </rPr>
      <t>NO,end,H</t>
    </r>
    <r>
      <rPr>
        <i/>
        <sz val="12"/>
        <rFont val="Arial"/>
        <family val="2"/>
      </rPr>
      <t>*Minh</t>
    </r>
    <r>
      <rPr>
        <i/>
        <vertAlign val="subscript"/>
        <sz val="12"/>
        <rFont val="Arial"/>
        <family val="2"/>
      </rPr>
      <t>SO,KO,H</t>
    </r>
    <r>
      <rPr>
        <i/>
        <sz val="12"/>
        <rFont val="Arial"/>
        <family val="2"/>
      </rPr>
      <t>*Msat</t>
    </r>
    <r>
      <rPr>
        <i/>
        <vertAlign val="subscript"/>
        <sz val="12"/>
        <rFont val="Arial"/>
        <family val="2"/>
      </rPr>
      <t>SNO,KNO,H</t>
    </r>
    <r>
      <rPr>
        <i/>
        <sz val="12"/>
        <rFont val="Arial"/>
        <family val="2"/>
      </rPr>
      <t>*X</t>
    </r>
    <r>
      <rPr>
        <i/>
        <vertAlign val="subscript"/>
        <sz val="12"/>
        <rFont val="Arial"/>
        <family val="2"/>
      </rPr>
      <t>H</t>
    </r>
  </si>
  <si>
    <r>
      <t>v</t>
    </r>
    <r>
      <rPr>
        <vertAlign val="subscript"/>
        <sz val="12"/>
        <rFont val="Arial"/>
        <family val="2"/>
      </rPr>
      <t>9_SNO</t>
    </r>
    <r>
      <rPr>
        <sz val="12"/>
        <rFont val="Arial"/>
        <family val="2"/>
      </rPr>
      <t>*</t>
    </r>
    <r>
      <rPr>
        <i/>
        <sz val="12"/>
        <rFont val="Arial"/>
        <family val="2"/>
      </rPr>
      <t>i</t>
    </r>
    <r>
      <rPr>
        <vertAlign val="subscript"/>
        <sz val="12"/>
        <rFont val="Arial"/>
        <family val="2"/>
      </rPr>
      <t>Charge_SNOx</t>
    </r>
  </si>
  <si>
    <r>
      <t>b</t>
    </r>
    <r>
      <rPr>
        <i/>
        <vertAlign val="subscript"/>
        <sz val="12"/>
        <rFont val="Arial"/>
        <family val="2"/>
      </rPr>
      <t>Sto</t>
    </r>
    <r>
      <rPr>
        <i/>
        <sz val="12"/>
        <rFont val="Arial"/>
        <family val="2"/>
      </rPr>
      <t>*η</t>
    </r>
    <r>
      <rPr>
        <i/>
        <vertAlign val="subscript"/>
        <sz val="12"/>
        <rFont val="Arial"/>
        <family val="2"/>
      </rPr>
      <t>NO,end,H</t>
    </r>
    <r>
      <rPr>
        <i/>
        <sz val="12"/>
        <rFont val="Arial"/>
        <family val="2"/>
      </rPr>
      <t>*Minh</t>
    </r>
    <r>
      <rPr>
        <i/>
        <vertAlign val="subscript"/>
        <sz val="12"/>
        <rFont val="Arial"/>
        <family val="2"/>
      </rPr>
      <t>SO,KO,H</t>
    </r>
    <r>
      <rPr>
        <i/>
        <sz val="12"/>
        <rFont val="Arial"/>
        <family val="2"/>
      </rPr>
      <t>*Msat</t>
    </r>
    <r>
      <rPr>
        <i/>
        <vertAlign val="subscript"/>
        <sz val="12"/>
        <rFont val="Arial"/>
        <family val="2"/>
      </rPr>
      <t>SNO,KNO,H</t>
    </r>
    <r>
      <rPr>
        <i/>
        <sz val="12"/>
        <rFont val="Arial"/>
        <family val="2"/>
      </rPr>
      <t>*X</t>
    </r>
    <r>
      <rPr>
        <i/>
        <vertAlign val="subscript"/>
        <sz val="12"/>
        <rFont val="Arial"/>
        <family val="2"/>
      </rPr>
      <t>STO</t>
    </r>
  </si>
  <si>
    <r>
      <t>b</t>
    </r>
    <r>
      <rPr>
        <i/>
        <vertAlign val="subscript"/>
        <sz val="12"/>
        <rFont val="Arial"/>
        <family val="2"/>
      </rPr>
      <t>A</t>
    </r>
    <r>
      <rPr>
        <i/>
        <sz val="12"/>
        <rFont val="Arial"/>
        <family val="2"/>
      </rPr>
      <t>*η</t>
    </r>
    <r>
      <rPr>
        <i/>
        <vertAlign val="subscript"/>
        <sz val="12"/>
        <rFont val="Arial"/>
        <family val="2"/>
      </rPr>
      <t>NO,end,A</t>
    </r>
    <r>
      <rPr>
        <i/>
        <sz val="12"/>
        <rFont val="Arial"/>
        <family val="2"/>
      </rPr>
      <t>*Minh</t>
    </r>
    <r>
      <rPr>
        <i/>
        <vertAlign val="subscript"/>
        <sz val="12"/>
        <rFont val="Arial"/>
        <family val="2"/>
      </rPr>
      <t>SO,KO,A</t>
    </r>
    <r>
      <rPr>
        <i/>
        <sz val="12"/>
        <rFont val="Arial"/>
        <family val="2"/>
      </rPr>
      <t>*Msat</t>
    </r>
    <r>
      <rPr>
        <i/>
        <vertAlign val="subscript"/>
        <sz val="12"/>
        <rFont val="Arial"/>
        <family val="2"/>
      </rPr>
      <t>SNO,KNO,H</t>
    </r>
    <r>
      <rPr>
        <i/>
        <sz val="12"/>
        <rFont val="Arial"/>
        <family val="2"/>
      </rPr>
      <t>*X</t>
    </r>
    <r>
      <rPr>
        <i/>
        <vertAlign val="subscript"/>
        <sz val="12"/>
        <rFont val="Arial"/>
        <family val="2"/>
      </rPr>
      <t>A</t>
    </r>
  </si>
  <si>
    <r>
      <t>q</t>
    </r>
    <r>
      <rPr>
        <i/>
        <vertAlign val="subscript"/>
        <sz val="12"/>
        <rFont val="Arial"/>
        <family val="2"/>
      </rPr>
      <t>PP</t>
    </r>
    <r>
      <rPr>
        <i/>
        <sz val="12"/>
        <rFont val="Arial"/>
        <family val="2"/>
      </rPr>
      <t>*η</t>
    </r>
    <r>
      <rPr>
        <i/>
        <vertAlign val="subscript"/>
        <sz val="12"/>
        <rFont val="Arial"/>
        <family val="2"/>
      </rPr>
      <t>NO,PAO</t>
    </r>
    <r>
      <rPr>
        <i/>
        <sz val="12"/>
        <rFont val="Arial"/>
        <family val="2"/>
      </rPr>
      <t>*Minh</t>
    </r>
    <r>
      <rPr>
        <i/>
        <vertAlign val="subscript"/>
        <sz val="12"/>
        <rFont val="Arial"/>
        <family val="2"/>
      </rPr>
      <t>SO,KO,PAO</t>
    </r>
    <r>
      <rPr>
        <i/>
        <sz val="12"/>
        <rFont val="Arial"/>
        <family val="2"/>
      </rPr>
      <t>*Msat</t>
    </r>
    <r>
      <rPr>
        <i/>
        <vertAlign val="subscript"/>
        <sz val="12"/>
        <rFont val="Arial"/>
        <family val="2"/>
      </rPr>
      <t>SNO,KNO,PAO</t>
    </r>
    <r>
      <rPr>
        <i/>
        <sz val="12"/>
        <rFont val="Arial"/>
        <family val="2"/>
      </rPr>
      <t>*Msat</t>
    </r>
    <r>
      <rPr>
        <i/>
        <vertAlign val="subscript"/>
        <sz val="12"/>
        <rFont val="Arial"/>
        <family val="2"/>
      </rPr>
      <t>SPO4,KPO4,PP</t>
    </r>
    <r>
      <rPr>
        <i/>
        <sz val="12"/>
        <rFont val="Arial"/>
        <family val="2"/>
      </rPr>
      <t>*Msat</t>
    </r>
    <r>
      <rPr>
        <i/>
        <vertAlign val="subscript"/>
        <sz val="12"/>
        <rFont val="Arial"/>
        <family val="2"/>
      </rPr>
      <t>SHCO,KHCO,PAO</t>
    </r>
    <r>
      <rPr>
        <i/>
        <sz val="12"/>
        <rFont val="Arial"/>
        <family val="2"/>
      </rPr>
      <t>*MRsat</t>
    </r>
    <r>
      <rPr>
        <i/>
        <vertAlign val="subscript"/>
        <sz val="12"/>
        <rFont val="Arial"/>
        <family val="2"/>
      </rPr>
      <t>XPHA,XPAO,KPHA</t>
    </r>
    <r>
      <rPr>
        <i/>
        <sz val="12"/>
        <rFont val="Arial"/>
        <family val="2"/>
      </rPr>
      <t>*MRinh</t>
    </r>
    <r>
      <rPr>
        <i/>
        <vertAlign val="subscript"/>
        <sz val="12"/>
        <rFont val="Arial"/>
        <family val="2"/>
      </rPr>
      <t>XPP,XPAO,KiPP,PAO</t>
    </r>
    <r>
      <rPr>
        <i/>
        <sz val="12"/>
        <rFont val="Arial"/>
        <family val="2"/>
      </rPr>
      <t>*X</t>
    </r>
    <r>
      <rPr>
        <i/>
        <vertAlign val="subscript"/>
        <sz val="12"/>
        <rFont val="Arial"/>
        <family val="2"/>
      </rPr>
      <t>PAO</t>
    </r>
  </si>
  <si>
    <r>
      <t>-(1-</t>
    </r>
    <r>
      <rPr>
        <i/>
        <sz val="12"/>
        <rFont val="Arial"/>
        <family val="2"/>
      </rPr>
      <t>Y</t>
    </r>
    <r>
      <rPr>
        <vertAlign val="subscript"/>
        <sz val="12"/>
        <rFont val="Arial"/>
        <family val="2"/>
      </rPr>
      <t>PAO,NO</t>
    </r>
    <r>
      <rPr>
        <sz val="12"/>
        <rFont val="Arial"/>
        <family val="2"/>
      </rPr>
      <t>)/</t>
    </r>
    <r>
      <rPr>
        <i/>
        <sz val="12"/>
        <rFont val="Arial"/>
        <family val="2"/>
      </rPr>
      <t>Y</t>
    </r>
    <r>
      <rPr>
        <vertAlign val="subscript"/>
        <sz val="12"/>
        <rFont val="Arial"/>
        <family val="2"/>
      </rPr>
      <t>PAO,NO</t>
    </r>
    <r>
      <rPr>
        <sz val="12"/>
        <rFont val="Arial"/>
        <family val="2"/>
      </rPr>
      <t>*(1/</t>
    </r>
    <r>
      <rPr>
        <i/>
        <sz val="12"/>
        <rFont val="Arial"/>
        <family val="2"/>
      </rPr>
      <t>i</t>
    </r>
    <r>
      <rPr>
        <vertAlign val="subscript"/>
        <sz val="12"/>
        <rFont val="Arial"/>
        <family val="2"/>
      </rPr>
      <t>NO3,N2</t>
    </r>
    <r>
      <rPr>
        <sz val="12"/>
        <rFont val="Arial"/>
        <family val="2"/>
      </rPr>
      <t>)</t>
    </r>
  </si>
  <si>
    <r>
      <t>(1-</t>
    </r>
    <r>
      <rPr>
        <i/>
        <sz val="12"/>
        <rFont val="Arial"/>
        <family val="2"/>
      </rPr>
      <t>Y</t>
    </r>
    <r>
      <rPr>
        <vertAlign val="subscript"/>
        <sz val="12"/>
        <rFont val="Arial"/>
        <family val="2"/>
      </rPr>
      <t>PAO,NO</t>
    </r>
    <r>
      <rPr>
        <sz val="12"/>
        <rFont val="Arial"/>
        <family val="2"/>
      </rPr>
      <t>)/</t>
    </r>
    <r>
      <rPr>
        <i/>
        <sz val="12"/>
        <rFont val="Arial"/>
        <family val="2"/>
      </rPr>
      <t>Y</t>
    </r>
    <r>
      <rPr>
        <vertAlign val="subscript"/>
        <sz val="12"/>
        <rFont val="Arial"/>
        <family val="2"/>
      </rPr>
      <t>PAO,NO</t>
    </r>
    <r>
      <rPr>
        <sz val="12"/>
        <rFont val="Arial"/>
        <family val="2"/>
      </rPr>
      <t>*(1/</t>
    </r>
    <r>
      <rPr>
        <i/>
        <sz val="12"/>
        <rFont val="Arial"/>
        <family val="2"/>
      </rPr>
      <t>i</t>
    </r>
    <r>
      <rPr>
        <vertAlign val="subscript"/>
        <sz val="12"/>
        <rFont val="Arial"/>
        <family val="2"/>
      </rPr>
      <t>NO3,N2</t>
    </r>
    <r>
      <rPr>
        <sz val="12"/>
        <rFont val="Arial"/>
        <family val="2"/>
      </rPr>
      <t>)</t>
    </r>
  </si>
  <si>
    <r>
      <t>-1/</t>
    </r>
    <r>
      <rPr>
        <i/>
        <sz val="12"/>
        <rFont val="Arial"/>
        <family val="2"/>
      </rPr>
      <t>Y</t>
    </r>
    <r>
      <rPr>
        <vertAlign val="subscript"/>
        <sz val="12"/>
        <rFont val="Arial"/>
        <family val="2"/>
      </rPr>
      <t>PAO,NO</t>
    </r>
  </si>
  <si>
    <r>
      <t>-(1/</t>
    </r>
    <r>
      <rPr>
        <i/>
        <sz val="12"/>
        <rFont val="Arial"/>
        <family val="2"/>
      </rPr>
      <t>Y</t>
    </r>
    <r>
      <rPr>
        <vertAlign val="subscript"/>
        <sz val="12"/>
        <rFont val="Arial"/>
        <family val="2"/>
      </rPr>
      <t>PAO,NO</t>
    </r>
    <r>
      <rPr>
        <sz val="12"/>
        <rFont val="Arial"/>
        <family val="2"/>
      </rPr>
      <t>)*</t>
    </r>
    <r>
      <rPr>
        <i/>
        <sz val="12"/>
        <rFont val="Arial"/>
        <family val="2"/>
      </rPr>
      <t>i</t>
    </r>
    <r>
      <rPr>
        <vertAlign val="subscript"/>
        <sz val="12"/>
        <rFont val="Arial"/>
        <family val="2"/>
      </rPr>
      <t>TSS,XSTO</t>
    </r>
    <r>
      <rPr>
        <sz val="12"/>
        <rFont val="Arial"/>
        <family val="2"/>
      </rPr>
      <t>+</t>
    </r>
    <r>
      <rPr>
        <i/>
        <sz val="12"/>
        <rFont val="Arial"/>
        <family val="2"/>
      </rPr>
      <t>i</t>
    </r>
    <r>
      <rPr>
        <vertAlign val="subscript"/>
        <sz val="12"/>
        <rFont val="Arial"/>
        <family val="2"/>
      </rPr>
      <t>TSS,BM</t>
    </r>
  </si>
  <si>
    <r>
      <t>μ</t>
    </r>
    <r>
      <rPr>
        <i/>
        <vertAlign val="subscript"/>
        <sz val="12"/>
        <rFont val="Arial"/>
        <family val="2"/>
      </rPr>
      <t>PAO</t>
    </r>
    <r>
      <rPr>
        <i/>
        <sz val="12"/>
        <rFont val="Arial"/>
        <family val="2"/>
      </rPr>
      <t>*η</t>
    </r>
    <r>
      <rPr>
        <i/>
        <vertAlign val="subscript"/>
        <sz val="12"/>
        <rFont val="Arial"/>
        <family val="2"/>
      </rPr>
      <t>NO,PAO</t>
    </r>
    <r>
      <rPr>
        <i/>
        <sz val="12"/>
        <rFont val="Arial"/>
        <family val="2"/>
      </rPr>
      <t>*Minh</t>
    </r>
    <r>
      <rPr>
        <i/>
        <vertAlign val="subscript"/>
        <sz val="12"/>
        <rFont val="Arial"/>
        <family val="2"/>
      </rPr>
      <t>SO,KO,PAO</t>
    </r>
    <r>
      <rPr>
        <i/>
        <sz val="12"/>
        <rFont val="Arial"/>
        <family val="2"/>
      </rPr>
      <t>*Msat</t>
    </r>
    <r>
      <rPr>
        <i/>
        <vertAlign val="subscript"/>
        <sz val="12"/>
        <rFont val="Arial"/>
        <family val="2"/>
      </rPr>
      <t>SNO,KNO,PAO</t>
    </r>
    <r>
      <rPr>
        <i/>
        <sz val="12"/>
        <rFont val="Arial"/>
        <family val="2"/>
      </rPr>
      <t>*Msat</t>
    </r>
    <r>
      <rPr>
        <i/>
        <vertAlign val="subscript"/>
        <sz val="12"/>
        <rFont val="Arial"/>
        <family val="2"/>
      </rPr>
      <t>SNH4,KNH,PAO</t>
    </r>
    <r>
      <rPr>
        <i/>
        <sz val="12"/>
        <rFont val="Arial"/>
        <family val="2"/>
      </rPr>
      <t>*Msat</t>
    </r>
    <r>
      <rPr>
        <i/>
        <vertAlign val="subscript"/>
        <sz val="12"/>
        <rFont val="Arial"/>
        <family val="2"/>
      </rPr>
      <t>SPO4,KPO4,PAO</t>
    </r>
    <r>
      <rPr>
        <i/>
        <sz val="12"/>
        <rFont val="Arial"/>
        <family val="2"/>
      </rPr>
      <t>*Msat</t>
    </r>
    <r>
      <rPr>
        <i/>
        <vertAlign val="subscript"/>
        <sz val="12"/>
        <rFont val="Arial"/>
        <family val="2"/>
      </rPr>
      <t>SHCO,KHCO,PAO</t>
    </r>
    <r>
      <rPr>
        <i/>
        <sz val="12"/>
        <rFont val="Arial"/>
        <family val="2"/>
      </rPr>
      <t>*MRsat</t>
    </r>
    <r>
      <rPr>
        <i/>
        <vertAlign val="subscript"/>
        <sz val="12"/>
        <rFont val="Arial"/>
        <family val="2"/>
      </rPr>
      <t>XPHA,XPAO,KPHA</t>
    </r>
    <r>
      <rPr>
        <i/>
        <sz val="12"/>
        <rFont val="Arial"/>
        <family val="2"/>
      </rPr>
      <t>*X</t>
    </r>
    <r>
      <rPr>
        <i/>
        <vertAlign val="subscript"/>
        <sz val="12"/>
        <rFont val="Arial"/>
        <family val="2"/>
      </rPr>
      <t>PAO</t>
    </r>
  </si>
  <si>
    <r>
      <t>b</t>
    </r>
    <r>
      <rPr>
        <i/>
        <vertAlign val="subscript"/>
        <sz val="12"/>
        <rFont val="Arial"/>
        <family val="2"/>
      </rPr>
      <t>PAO</t>
    </r>
    <r>
      <rPr>
        <i/>
        <sz val="12"/>
        <rFont val="Arial"/>
        <family val="2"/>
      </rPr>
      <t>*η</t>
    </r>
    <r>
      <rPr>
        <i/>
        <vertAlign val="subscript"/>
        <sz val="12"/>
        <rFont val="Arial"/>
        <family val="2"/>
      </rPr>
      <t>NO,end,PAO*</t>
    </r>
    <r>
      <rPr>
        <i/>
        <sz val="12"/>
        <rFont val="Arial"/>
        <family val="2"/>
      </rPr>
      <t>Minh</t>
    </r>
    <r>
      <rPr>
        <i/>
        <vertAlign val="subscript"/>
        <sz val="12"/>
        <rFont val="Arial"/>
        <family val="2"/>
      </rPr>
      <t>SO,KO,PAO</t>
    </r>
    <r>
      <rPr>
        <i/>
        <sz val="12"/>
        <rFont val="Arial"/>
        <family val="2"/>
      </rPr>
      <t>*Msat</t>
    </r>
    <r>
      <rPr>
        <i/>
        <vertAlign val="subscript"/>
        <sz val="12"/>
        <rFont val="Arial"/>
        <family val="2"/>
      </rPr>
      <t>SNO,KNO,PAO</t>
    </r>
    <r>
      <rPr>
        <i/>
        <sz val="12"/>
        <rFont val="Arial"/>
        <family val="2"/>
      </rPr>
      <t>*X</t>
    </r>
    <r>
      <rPr>
        <i/>
        <vertAlign val="subscript"/>
        <sz val="12"/>
        <rFont val="Arial"/>
        <family val="2"/>
      </rPr>
      <t>PAO</t>
    </r>
  </si>
  <si>
    <r>
      <t>b</t>
    </r>
    <r>
      <rPr>
        <i/>
        <vertAlign val="subscript"/>
        <sz val="12"/>
        <rFont val="Arial"/>
        <family val="2"/>
      </rPr>
      <t>PP</t>
    </r>
    <r>
      <rPr>
        <i/>
        <sz val="12"/>
        <rFont val="Arial"/>
        <family val="2"/>
      </rPr>
      <t>*η</t>
    </r>
    <r>
      <rPr>
        <i/>
        <vertAlign val="subscript"/>
        <sz val="12"/>
        <rFont val="Arial"/>
        <family val="2"/>
      </rPr>
      <t>NO,lys,PP</t>
    </r>
    <r>
      <rPr>
        <i/>
        <sz val="12"/>
        <rFont val="Arial"/>
        <family val="2"/>
      </rPr>
      <t>*Minh</t>
    </r>
    <r>
      <rPr>
        <i/>
        <vertAlign val="subscript"/>
        <sz val="12"/>
        <rFont val="Arial"/>
        <family val="2"/>
      </rPr>
      <t>SO,KO,PAO</t>
    </r>
    <r>
      <rPr>
        <i/>
        <sz val="12"/>
        <rFont val="Arial"/>
        <family val="2"/>
      </rPr>
      <t>*Msat</t>
    </r>
    <r>
      <rPr>
        <i/>
        <vertAlign val="subscript"/>
        <sz val="12"/>
        <rFont val="Arial"/>
        <family val="2"/>
      </rPr>
      <t>SNO,KNO,PAO</t>
    </r>
    <r>
      <rPr>
        <i/>
        <sz val="12"/>
        <rFont val="Arial"/>
        <family val="2"/>
      </rPr>
      <t>*X</t>
    </r>
    <r>
      <rPr>
        <i/>
        <vertAlign val="subscript"/>
        <sz val="12"/>
        <rFont val="Arial"/>
        <family val="2"/>
      </rPr>
      <t>PP</t>
    </r>
  </si>
  <si>
    <r>
      <t>v</t>
    </r>
    <r>
      <rPr>
        <vertAlign val="subscript"/>
        <sz val="12"/>
        <rFont val="Arial"/>
        <family val="2"/>
      </rPr>
      <t>23_SNO</t>
    </r>
    <r>
      <rPr>
        <sz val="12"/>
        <rFont val="Arial"/>
        <family val="2"/>
      </rPr>
      <t>*</t>
    </r>
    <r>
      <rPr>
        <i/>
        <sz val="12"/>
        <rFont val="Arial"/>
        <family val="2"/>
      </rPr>
      <t>i</t>
    </r>
    <r>
      <rPr>
        <vertAlign val="subscript"/>
        <sz val="12"/>
        <rFont val="Arial"/>
        <family val="2"/>
      </rPr>
      <t>Charge_SNOx</t>
    </r>
  </si>
  <si>
    <r>
      <t>b</t>
    </r>
    <r>
      <rPr>
        <i/>
        <vertAlign val="subscript"/>
        <sz val="12"/>
        <rFont val="Arial"/>
        <family val="2"/>
      </rPr>
      <t>PHA</t>
    </r>
    <r>
      <rPr>
        <i/>
        <sz val="12"/>
        <rFont val="Arial"/>
        <family val="2"/>
      </rPr>
      <t>*η</t>
    </r>
    <r>
      <rPr>
        <i/>
        <vertAlign val="subscript"/>
        <sz val="12"/>
        <rFont val="Arial"/>
        <family val="2"/>
      </rPr>
      <t>NO,resp,PHA</t>
    </r>
    <r>
      <rPr>
        <i/>
        <sz val="12"/>
        <rFont val="Arial"/>
        <family val="2"/>
      </rPr>
      <t>*Minh</t>
    </r>
    <r>
      <rPr>
        <i/>
        <vertAlign val="subscript"/>
        <sz val="12"/>
        <rFont val="Arial"/>
        <family val="2"/>
      </rPr>
      <t>SO,KO,PAO</t>
    </r>
    <r>
      <rPr>
        <i/>
        <sz val="12"/>
        <rFont val="Arial"/>
        <family val="2"/>
      </rPr>
      <t>*Msat</t>
    </r>
    <r>
      <rPr>
        <i/>
        <vertAlign val="subscript"/>
        <sz val="12"/>
        <rFont val="Arial"/>
        <family val="2"/>
      </rPr>
      <t>SNO,KNO,PAO</t>
    </r>
    <r>
      <rPr>
        <i/>
        <sz val="12"/>
        <rFont val="Arial"/>
        <family val="2"/>
      </rPr>
      <t>*X</t>
    </r>
    <r>
      <rPr>
        <i/>
        <vertAlign val="subscript"/>
        <sz val="12"/>
        <rFont val="Arial"/>
        <family val="2"/>
      </rPr>
      <t>PHA</t>
    </r>
  </si>
  <si>
    <r>
      <t>v</t>
    </r>
    <r>
      <rPr>
        <vertAlign val="subscript"/>
        <sz val="12"/>
        <rFont val="Arial"/>
        <family val="2"/>
      </rPr>
      <t>10_SNH4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10_SNO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10_SPO4</t>
    </r>
    <r>
      <rPr>
        <sz val="12"/>
        <rFont val="Arial"/>
        <family val="2"/>
      </rPr>
      <t>*</t>
    </r>
    <r>
      <rPr>
        <i/>
        <sz val="12"/>
        <rFont val="Arial"/>
        <family val="2"/>
      </rPr>
      <t>i</t>
    </r>
    <r>
      <rPr>
        <vertAlign val="subscript"/>
        <sz val="12"/>
        <rFont val="Arial"/>
        <family val="2"/>
      </rPr>
      <t>Charge_SPO4</t>
    </r>
  </si>
  <si>
    <r>
      <t>v</t>
    </r>
    <r>
      <rPr>
        <vertAlign val="subscript"/>
        <sz val="12"/>
        <rFont val="Arial"/>
        <family val="2"/>
      </rPr>
      <t>12_SNH4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12_SNO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12_SPO4</t>
    </r>
    <r>
      <rPr>
        <sz val="12"/>
        <rFont val="Arial"/>
        <family val="2"/>
      </rPr>
      <t>*</t>
    </r>
    <r>
      <rPr>
        <i/>
        <sz val="12"/>
        <rFont val="Arial"/>
        <family val="2"/>
      </rPr>
      <t>i</t>
    </r>
    <r>
      <rPr>
        <vertAlign val="subscript"/>
        <sz val="12"/>
        <rFont val="Arial"/>
        <family val="2"/>
      </rPr>
      <t>Charge_SPO4</t>
    </r>
  </si>
  <si>
    <r>
      <t>v</t>
    </r>
    <r>
      <rPr>
        <vertAlign val="subscript"/>
        <sz val="12"/>
        <rFont val="Arial"/>
        <family val="2"/>
      </rPr>
      <t>15_SNO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15_SPO4</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15_XPP</t>
    </r>
    <r>
      <rPr>
        <sz val="12"/>
        <rFont val="Arial"/>
        <family val="2"/>
      </rPr>
      <t>*</t>
    </r>
    <r>
      <rPr>
        <i/>
        <sz val="12"/>
        <rFont val="Arial"/>
        <family val="2"/>
      </rPr>
      <t>i</t>
    </r>
    <r>
      <rPr>
        <vertAlign val="subscript"/>
        <sz val="12"/>
        <rFont val="Arial"/>
        <family val="2"/>
      </rPr>
      <t>Charge_XPAO,PP</t>
    </r>
  </si>
  <si>
    <r>
      <t>v</t>
    </r>
    <r>
      <rPr>
        <i/>
        <vertAlign val="subscript"/>
        <sz val="12"/>
        <rFont val="Arial"/>
        <family val="2"/>
      </rPr>
      <t>17</t>
    </r>
    <r>
      <rPr>
        <vertAlign val="subscript"/>
        <sz val="12"/>
        <rFont val="Arial"/>
        <family val="2"/>
      </rPr>
      <t>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17_SNO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17_SPO4</t>
    </r>
    <r>
      <rPr>
        <sz val="12"/>
        <rFont val="Arial"/>
        <family val="2"/>
      </rPr>
      <t>*</t>
    </r>
    <r>
      <rPr>
        <i/>
        <sz val="12"/>
        <rFont val="Arial"/>
        <family val="2"/>
      </rPr>
      <t>i</t>
    </r>
    <r>
      <rPr>
        <vertAlign val="subscript"/>
        <sz val="12"/>
        <rFont val="Arial"/>
        <family val="2"/>
      </rPr>
      <t>Charge_SPO4</t>
    </r>
  </si>
  <si>
    <r>
      <t>v</t>
    </r>
    <r>
      <rPr>
        <vertAlign val="subscript"/>
        <sz val="12"/>
        <rFont val="Arial"/>
        <family val="2"/>
      </rPr>
      <t>19_SNH4</t>
    </r>
    <r>
      <rPr>
        <sz val="12"/>
        <rFont val="Arial"/>
        <family val="2"/>
      </rPr>
      <t>*</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19_SNO</t>
    </r>
    <r>
      <rPr>
        <sz val="12"/>
        <rFont val="Arial"/>
        <family val="2"/>
      </rPr>
      <t>*</t>
    </r>
    <r>
      <rPr>
        <i/>
        <sz val="12"/>
        <rFont val="Arial"/>
        <family val="2"/>
      </rPr>
      <t>i</t>
    </r>
    <r>
      <rPr>
        <vertAlign val="subscript"/>
        <sz val="12"/>
        <rFont val="Arial"/>
        <family val="2"/>
      </rPr>
      <t>Charge_SNOx</t>
    </r>
    <r>
      <rPr>
        <sz val="12"/>
        <rFont val="Arial"/>
        <family val="2"/>
      </rPr>
      <t>+</t>
    </r>
    <r>
      <rPr>
        <i/>
        <sz val="12"/>
        <rFont val="Arial"/>
        <family val="2"/>
      </rPr>
      <t>v</t>
    </r>
    <r>
      <rPr>
        <vertAlign val="subscript"/>
        <sz val="12"/>
        <rFont val="Arial"/>
        <family val="2"/>
      </rPr>
      <t>19_SPO4</t>
    </r>
    <r>
      <rPr>
        <sz val="12"/>
        <rFont val="Arial"/>
        <family val="2"/>
      </rPr>
      <t>*</t>
    </r>
    <r>
      <rPr>
        <i/>
        <sz val="12"/>
        <rFont val="Arial"/>
        <family val="2"/>
      </rPr>
      <t>i</t>
    </r>
    <r>
      <rPr>
        <vertAlign val="subscript"/>
        <sz val="12"/>
        <rFont val="Arial"/>
        <family val="2"/>
      </rPr>
      <t>Charge_SPO4</t>
    </r>
  </si>
  <si>
    <r>
      <t>Msat</t>
    </r>
    <r>
      <rPr>
        <vertAlign val="subscript"/>
        <sz val="11"/>
        <rFont val="Calibri"/>
        <family val="2"/>
        <scheme val="minor"/>
      </rPr>
      <t>SHCO,KHCO,A</t>
    </r>
  </si>
  <si>
    <r>
      <t>Msat</t>
    </r>
    <r>
      <rPr>
        <vertAlign val="subscript"/>
        <sz val="11"/>
        <rFont val="Calibri"/>
        <family val="2"/>
        <scheme val="minor"/>
      </rPr>
      <t>SHCO,KHCO,H</t>
    </r>
  </si>
  <si>
    <t>Calculated variables</t>
  </si>
  <si>
    <t>Total biochemical oxygen demand (5 days)</t>
  </si>
  <si>
    <t>Total ultimate biochemical oxygen demand</t>
  </si>
  <si>
    <t>Nitrate uptake rate (NUR)</t>
  </si>
  <si>
    <r>
      <t>K</t>
    </r>
    <r>
      <rPr>
        <vertAlign val="subscript"/>
        <sz val="11"/>
        <rFont val="Calibri"/>
        <family val="2"/>
      </rPr>
      <t>X</t>
    </r>
  </si>
  <si>
    <r>
      <t>K</t>
    </r>
    <r>
      <rPr>
        <vertAlign val="subscript"/>
        <sz val="11"/>
        <rFont val="Calibri"/>
        <family val="2"/>
      </rPr>
      <t>STO,H</t>
    </r>
  </si>
  <si>
    <r>
      <t>K</t>
    </r>
    <r>
      <rPr>
        <vertAlign val="subscript"/>
        <sz val="11"/>
        <rFont val="Calibri"/>
        <family val="2"/>
      </rPr>
      <t>SS,H</t>
    </r>
  </si>
  <si>
    <r>
      <t>K</t>
    </r>
    <r>
      <rPr>
        <vertAlign val="subscript"/>
        <sz val="11"/>
        <rFont val="Calibri"/>
        <family val="2"/>
      </rPr>
      <t>O,H</t>
    </r>
  </si>
  <si>
    <r>
      <t>K</t>
    </r>
    <r>
      <rPr>
        <vertAlign val="subscript"/>
        <sz val="11"/>
        <rFont val="Calibri"/>
        <family val="2"/>
      </rPr>
      <t>NO,H</t>
    </r>
  </si>
  <si>
    <r>
      <t>K</t>
    </r>
    <r>
      <rPr>
        <vertAlign val="subscript"/>
        <sz val="11"/>
        <rFont val="Calibri"/>
        <family val="2"/>
      </rPr>
      <t>NH,H</t>
    </r>
  </si>
  <si>
    <r>
      <t>K</t>
    </r>
    <r>
      <rPr>
        <vertAlign val="subscript"/>
        <sz val="11"/>
        <rFont val="Calibri"/>
        <family val="2"/>
      </rPr>
      <t>PO4,H</t>
    </r>
  </si>
  <si>
    <r>
      <t>K</t>
    </r>
    <r>
      <rPr>
        <vertAlign val="subscript"/>
        <sz val="11"/>
        <rFont val="Calibri"/>
        <family val="2"/>
      </rPr>
      <t>HCO,H</t>
    </r>
  </si>
  <si>
    <r>
      <t>K</t>
    </r>
    <r>
      <rPr>
        <vertAlign val="subscript"/>
        <sz val="11"/>
        <rFont val="Calibri"/>
        <family val="2"/>
      </rPr>
      <t>max,PAO</t>
    </r>
  </si>
  <si>
    <r>
      <t>K</t>
    </r>
    <r>
      <rPr>
        <vertAlign val="subscript"/>
        <sz val="11"/>
        <rFont val="Calibri"/>
        <family val="2"/>
      </rPr>
      <t>iPP,PAO</t>
    </r>
  </si>
  <si>
    <r>
      <t>K</t>
    </r>
    <r>
      <rPr>
        <vertAlign val="subscript"/>
        <sz val="11"/>
        <rFont val="Calibri"/>
        <family val="2"/>
      </rPr>
      <t>PHA</t>
    </r>
  </si>
  <si>
    <r>
      <t>K</t>
    </r>
    <r>
      <rPr>
        <vertAlign val="subscript"/>
        <sz val="11"/>
        <rFont val="Calibri"/>
        <family val="2"/>
      </rPr>
      <t>SS,PAO</t>
    </r>
  </si>
  <si>
    <r>
      <t>K</t>
    </r>
    <r>
      <rPr>
        <vertAlign val="subscript"/>
        <sz val="11"/>
        <rFont val="Calibri"/>
        <family val="2"/>
      </rPr>
      <t>O,PAO</t>
    </r>
  </si>
  <si>
    <r>
      <t>K</t>
    </r>
    <r>
      <rPr>
        <vertAlign val="subscript"/>
        <sz val="11"/>
        <rFont val="Calibri"/>
        <family val="2"/>
      </rPr>
      <t>NO,PAO</t>
    </r>
  </si>
  <si>
    <r>
      <t>K</t>
    </r>
    <r>
      <rPr>
        <vertAlign val="subscript"/>
        <sz val="11"/>
        <rFont val="Calibri"/>
        <family val="2"/>
      </rPr>
      <t>NH,PAO</t>
    </r>
  </si>
  <si>
    <r>
      <t>K</t>
    </r>
    <r>
      <rPr>
        <vertAlign val="subscript"/>
        <sz val="11"/>
        <rFont val="Calibri"/>
        <family val="2"/>
      </rPr>
      <t>PO4,PP</t>
    </r>
  </si>
  <si>
    <r>
      <t>K</t>
    </r>
    <r>
      <rPr>
        <vertAlign val="subscript"/>
        <sz val="11"/>
        <rFont val="Calibri"/>
        <family val="2"/>
      </rPr>
      <t>PO4,PAO</t>
    </r>
  </si>
  <si>
    <r>
      <t>K</t>
    </r>
    <r>
      <rPr>
        <i/>
        <vertAlign val="subscript"/>
        <sz val="11"/>
        <rFont val="Calibri"/>
        <family val="2"/>
      </rPr>
      <t>HCO</t>
    </r>
    <r>
      <rPr>
        <vertAlign val="subscript"/>
        <sz val="11"/>
        <rFont val="Calibri"/>
        <family val="2"/>
      </rPr>
      <t>,PAO</t>
    </r>
  </si>
  <si>
    <r>
      <t>K</t>
    </r>
    <r>
      <rPr>
        <vertAlign val="subscript"/>
        <sz val="11"/>
        <rFont val="Calibri"/>
        <family val="2"/>
      </rPr>
      <t>O,A</t>
    </r>
  </si>
  <si>
    <r>
      <t>K</t>
    </r>
    <r>
      <rPr>
        <vertAlign val="subscript"/>
        <sz val="11"/>
        <rFont val="Calibri"/>
        <family val="2"/>
      </rPr>
      <t>NH,A</t>
    </r>
  </si>
  <si>
    <r>
      <t>K</t>
    </r>
    <r>
      <rPr>
        <vertAlign val="subscript"/>
        <sz val="11"/>
        <rFont val="Calibri"/>
        <family val="2"/>
      </rPr>
      <t>PO4,A</t>
    </r>
  </si>
  <si>
    <r>
      <t>K</t>
    </r>
    <r>
      <rPr>
        <vertAlign val="subscript"/>
        <sz val="11"/>
        <rFont val="Calibri"/>
        <family val="2"/>
      </rPr>
      <t>HCO,A</t>
    </r>
  </si>
  <si>
    <t>Depreciated constants from next Sumo version</t>
  </si>
  <si>
    <t>Deprecated, do not use it in new code. Will be removed after Sumo18.</t>
  </si>
  <si>
    <r>
      <t>J.m</t>
    </r>
    <r>
      <rPr>
        <vertAlign val="superscript"/>
        <sz val="11"/>
        <rFont val="Calibri"/>
        <family val="2"/>
        <scheme val="minor"/>
      </rPr>
      <t>-3</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</si>
  <si>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</si>
  <si>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</si>
  <si>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</si>
  <si>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</si>
  <si>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</si>
  <si>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</si>
  <si>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</si>
  <si>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</si>
  <si>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</si>
  <si>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</si>
  <si>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</si>
  <si>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</si>
  <si>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</si>
  <si>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</si>
  <si>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</si>
  <si>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</si>
  <si>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</si>
  <si>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</si>
  <si>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</si>
  <si>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</si>
  <si>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</si>
  <si>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Diffusion coefficient of N</t>
    </r>
    <r>
      <rPr>
        <vertAlign val="subscript"/>
        <sz val="11"/>
        <rFont val="Calibri"/>
        <family val="2"/>
      </rPr>
      <t>2</t>
    </r>
    <r>
      <rPr>
        <sz val="11"/>
        <rFont val="Calibri"/>
        <family val="2"/>
      </rPr>
      <t>O in water @ 25°C</t>
    </r>
  </si>
  <si>
    <r>
      <t>D</t>
    </r>
    <r>
      <rPr>
        <vertAlign val="subscript"/>
        <sz val="11"/>
        <rFont val="Calibri"/>
        <family val="2"/>
        <scheme val="minor"/>
      </rPr>
      <t>GH2S,25</t>
    </r>
  </si>
  <si>
    <t>Diffusion coefficient of hydrogen sulfide in water @ 25°C</t>
  </si>
  <si>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</si>
  <si>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</si>
  <si>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</si>
  <si>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</si>
  <si>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r>
      <t>η</t>
    </r>
    <r>
      <rPr>
        <vertAlign val="subscript"/>
        <sz val="11"/>
        <rFont val="Calibri"/>
        <family val="2"/>
        <scheme val="minor"/>
      </rPr>
      <t>H2O</t>
    </r>
  </si>
  <si>
    <t>Dynamic viscosity of water</t>
  </si>
  <si>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</si>
  <si>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</si>
  <si>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</si>
  <si>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</si>
  <si>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</si>
  <si>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</si>
  <si>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</si>
  <si>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</si>
  <si>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</si>
  <si>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</si>
  <si>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</si>
  <si>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</si>
  <si>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</si>
  <si>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</si>
  <si>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</si>
  <si>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</si>
  <si>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</si>
  <si>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</si>
  <si>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</si>
  <si>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</si>
  <si>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</si>
  <si>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</si>
  <si>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</si>
  <si>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</si>
  <si>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</si>
  <si>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</si>
  <si>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</si>
  <si>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</si>
  <si>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</si>
  <si>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</si>
  <si>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</si>
  <si>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</si>
  <si>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κ</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</si>
  <si>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</si>
  <si>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</si>
  <si>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</si>
  <si>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</si>
  <si>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</si>
  <si>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</si>
  <si>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</si>
  <si>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</si>
  <si>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</si>
  <si>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</si>
  <si>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</si>
  <si>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</si>
  <si>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</si>
  <si>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</si>
  <si>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</si>
  <si>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</si>
  <si>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</si>
  <si>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t>Molar mass of ammonium ion</t>
  </si>
  <si>
    <t>Molar mass of nitrite ion</t>
  </si>
  <si>
    <t>Molar mass of nitrate ion</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</si>
  <si>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</si>
  <si>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</si>
  <si>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</si>
  <si>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</si>
  <si>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</si>
  <si>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</si>
  <si>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</si>
  <si>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</si>
  <si>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</si>
  <si>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</si>
  <si>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</si>
  <si>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</si>
  <si>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</si>
  <si>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</si>
  <si>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</si>
  <si>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</si>
  <si>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</si>
  <si>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</si>
  <si>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</si>
  <si>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</si>
  <si>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</si>
  <si>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</si>
  <si>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</si>
  <si>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</si>
  <si>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</si>
  <si>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</si>
  <si>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</si>
  <si>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</si>
  <si>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</si>
  <si>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</si>
  <si>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</si>
  <si>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</si>
  <si>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</si>
  <si>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</si>
  <si>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</si>
  <si>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</si>
  <si>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MgOH2</t>
    </r>
  </si>
  <si>
    <t>Molecular mass of Mg(OH)2</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</si>
  <si>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</si>
  <si>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</si>
  <si>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</si>
  <si>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</si>
  <si>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</si>
  <si>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</si>
  <si>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</si>
  <si>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</si>
  <si>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</si>
  <si>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</si>
  <si>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</si>
  <si>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</si>
  <si>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</si>
  <si>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</si>
  <si>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</si>
  <si>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</si>
  <si>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</si>
  <si>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</si>
  <si>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</si>
  <si>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</si>
  <si>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</si>
  <si>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</si>
  <si>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</si>
  <si>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</si>
  <si>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</si>
  <si>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</si>
  <si>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</si>
  <si>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</si>
  <si>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</si>
  <si>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</si>
  <si>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</si>
  <si>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</si>
  <si>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</si>
  <si>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</si>
  <si>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</si>
  <si>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</si>
  <si>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</si>
  <si>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</si>
  <si>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</si>
  <si>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</si>
  <si>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</si>
  <si>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</si>
  <si>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</si>
  <si>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</si>
  <si>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</si>
  <si>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</si>
  <si>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</si>
  <si>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</si>
  <si>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</si>
  <si>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</si>
  <si>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</si>
  <si>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</si>
  <si>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</si>
  <si>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</si>
  <si>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</si>
  <si>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r>
      <t>K</t>
    </r>
    <r>
      <rPr>
        <vertAlign val="subscript"/>
        <sz val="11"/>
        <rFont val="Calibri"/>
        <family val="2"/>
        <scheme val="minor"/>
      </rPr>
      <t>S1,param</t>
    </r>
  </si>
  <si>
    <t>Dissociation constant of hydrogen sulfide</t>
  </si>
  <si>
    <t>NIST  (Minteq V4) 25°C</t>
  </si>
  <si>
    <r>
      <t>K</t>
    </r>
    <r>
      <rPr>
        <vertAlign val="subscript"/>
        <sz val="11"/>
        <rFont val="Calibri"/>
        <family val="2"/>
        <scheme val="minor"/>
      </rPr>
      <t>S2,param</t>
    </r>
  </si>
  <si>
    <t>Dissociation constant of bisulfide ion</t>
  </si>
  <si>
    <r>
      <t>K</t>
    </r>
    <r>
      <rPr>
        <vertAlign val="subscript"/>
        <sz val="11"/>
        <rFont val="Calibri"/>
        <family val="2"/>
        <scheme val="minor"/>
      </rPr>
      <t>SO41,param</t>
    </r>
  </si>
  <si>
    <t>Dissociation constant of sulfuric acid</t>
  </si>
  <si>
    <t>Hvitved-Jacobsen 2013</t>
  </si>
  <si>
    <r>
      <t>K</t>
    </r>
    <r>
      <rPr>
        <vertAlign val="subscript"/>
        <sz val="11"/>
        <rFont val="Calibri"/>
        <family val="2"/>
        <scheme val="minor"/>
      </rPr>
      <t>SO42,param</t>
    </r>
  </si>
  <si>
    <t>Dissociation constant of bisulfate</t>
  </si>
  <si>
    <t>NIST (Minteq V4) 25°C</t>
  </si>
  <si>
    <r>
      <t>K</t>
    </r>
    <r>
      <rPr>
        <vertAlign val="subscript"/>
        <sz val="11"/>
        <rFont val="Calibri"/>
        <family val="2"/>
        <charset val="238"/>
        <scheme val="minor"/>
      </rPr>
      <t>H2S,param</t>
    </r>
  </si>
  <si>
    <t>Precipitation constants</t>
  </si>
  <si>
    <r>
      <t>K</t>
    </r>
    <r>
      <rPr>
        <vertAlign val="subscript"/>
        <sz val="11"/>
        <rFont val="Calibri"/>
        <family val="2"/>
        <scheme val="minor"/>
      </rPr>
      <t>sp,CaCO3,param</t>
    </r>
  </si>
  <si>
    <t>Solubility  constant of CaCO3</t>
  </si>
  <si>
    <r>
      <t>K</t>
    </r>
    <r>
      <rPr>
        <vertAlign val="subscript"/>
        <sz val="11"/>
        <rFont val="Calibri"/>
        <family val="2"/>
        <scheme val="minor"/>
      </rPr>
      <t>sp,STR,param</t>
    </r>
  </si>
  <si>
    <t>Solubility  constant of struvite</t>
  </si>
  <si>
    <r>
      <t>K</t>
    </r>
    <r>
      <rPr>
        <vertAlign val="subscript"/>
        <sz val="11"/>
        <rFont val="Calibri"/>
        <family val="2"/>
        <scheme val="minor"/>
      </rPr>
      <t>sp,ACP,param</t>
    </r>
  </si>
  <si>
    <t>Solubility constant of ACP</t>
  </si>
  <si>
    <t>Musvoto et al. (2000) =10^(-25.46)</t>
  </si>
  <si>
    <r>
      <t>K</t>
    </r>
    <r>
      <rPr>
        <vertAlign val="subscript"/>
        <sz val="11"/>
        <rFont val="Calibri"/>
        <family val="2"/>
        <scheme val="minor"/>
      </rPr>
      <t>sp,Vivi,param</t>
    </r>
  </si>
  <si>
    <t>Solubility constant of vivianite</t>
  </si>
  <si>
    <t>Nriagu (1972); Al-Borno and Tomson (1994): 35.755 at 25°C DeltaH°: 5.05 kJ.mol-1 (small temperature dependency)</t>
  </si>
  <si>
    <r>
      <t>K</t>
    </r>
    <r>
      <rPr>
        <vertAlign val="subscript"/>
        <sz val="11"/>
        <rFont val="Calibri"/>
        <family val="2"/>
        <scheme val="minor"/>
      </rPr>
      <t>sp,FeS,param</t>
    </r>
  </si>
  <si>
    <t>Solubility constant of FeS</t>
  </si>
  <si>
    <r>
      <t>K</t>
    </r>
    <r>
      <rPr>
        <vertAlign val="subscript"/>
        <sz val="11"/>
        <rFont val="Calibri"/>
        <family val="2"/>
        <scheme val="minor"/>
      </rPr>
      <t>sp,HDP,param</t>
    </r>
  </si>
  <si>
    <t>Solubility constant of HDP</t>
  </si>
  <si>
    <r>
      <t>K</t>
    </r>
    <r>
      <rPr>
        <vertAlign val="subscript"/>
        <sz val="11"/>
        <rFont val="Calibri"/>
        <family val="2"/>
        <scheme val="minor"/>
      </rPr>
      <t>sp,MKP,param</t>
    </r>
  </si>
  <si>
    <t>Solubility constant of MKP</t>
  </si>
  <si>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</si>
  <si>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</si>
  <si>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</si>
  <si>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</si>
  <si>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</si>
  <si>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</si>
  <si>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</si>
  <si>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</si>
  <si>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</si>
  <si>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</si>
  <si>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</si>
  <si>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</si>
  <si>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</si>
  <si>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</si>
  <si>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</si>
  <si>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</si>
  <si>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</si>
  <si>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</si>
  <si>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</si>
  <si>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</si>
  <si>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</si>
  <si>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</si>
  <si>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</si>
  <si>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</si>
  <si>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</si>
  <si>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</si>
  <si>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</si>
  <si>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</si>
  <si>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</si>
  <si>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</si>
  <si>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</si>
  <si>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</si>
  <si>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</si>
  <si>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</si>
  <si>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</si>
  <si>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</si>
  <si>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</si>
  <si>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</si>
  <si>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</si>
  <si>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</si>
  <si>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</si>
  <si>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</si>
  <si>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</si>
  <si>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</si>
  <si>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r>
      <t>Pa.Hgmm</t>
    </r>
    <r>
      <rPr>
        <vertAlign val="superscript"/>
        <sz val="11"/>
        <rFont val="Calibri"/>
        <family val="2"/>
        <scheme val="minor"/>
      </rPr>
      <t>-1</t>
    </r>
  </si>
  <si>
    <t>Conversion coefficient between pascal and bar</t>
  </si>
  <si>
    <r>
      <t>Pa.bar</t>
    </r>
    <r>
      <rPr>
        <vertAlign val="superscript"/>
        <sz val="11"/>
        <rFont val="Calibri"/>
        <family val="2"/>
        <scheme val="minor"/>
      </rPr>
      <t>-1</t>
    </r>
  </si>
  <si>
    <r>
      <t>c</t>
    </r>
    <r>
      <rPr>
        <vertAlign val="subscript"/>
        <sz val="11"/>
        <rFont val="Calibri"/>
        <family val="2"/>
        <scheme val="minor"/>
      </rPr>
      <t>cm,m</t>
    </r>
  </si>
  <si>
    <t>Conversion coefficient between centimeters and meters</t>
  </si>
  <si>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</si>
  <si>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</si>
  <si>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</si>
  <si>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</si>
  <si>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</si>
  <si>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</si>
  <si>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</si>
  <si>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</si>
  <si>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</si>
  <si>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</si>
  <si>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</si>
  <si>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</si>
  <si>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</si>
  <si>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</si>
  <si>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</si>
  <si>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</si>
  <si>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</si>
  <si>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</si>
  <si>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</si>
  <si>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</si>
  <si>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</si>
  <si>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</si>
  <si>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</si>
  <si>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t>Standard enthalpy of Magnesium ion</t>
  </si>
  <si>
    <r>
      <t>H</t>
    </r>
    <r>
      <rPr>
        <vertAlign val="subscript"/>
        <sz val="11"/>
        <rFont val="Calibri"/>
        <family val="2"/>
        <scheme val="minor"/>
      </rPr>
      <t>Nap</t>
    </r>
  </si>
  <si>
    <t>Standard enthalpy of sodium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</si>
  <si>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</si>
  <si>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</si>
  <si>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</si>
  <si>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</si>
  <si>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</si>
  <si>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</si>
  <si>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</si>
  <si>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</si>
  <si>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</si>
  <si>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</si>
  <si>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</si>
  <si>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</si>
  <si>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</si>
  <si>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</si>
  <si>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</si>
  <si>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</si>
  <si>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</si>
  <si>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</si>
  <si>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</si>
  <si>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</si>
  <si>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</si>
  <si>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</si>
  <si>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</si>
  <si>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</si>
  <si>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</si>
  <si>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</si>
  <si>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</si>
  <si>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</si>
  <si>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</si>
  <si>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</si>
  <si>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</si>
  <si>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</si>
  <si>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</si>
  <si>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</si>
  <si>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</si>
  <si>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</si>
  <si>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</si>
  <si>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</si>
  <si>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</si>
  <si>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</si>
  <si>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</si>
  <si>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</si>
  <si>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</si>
  <si>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</si>
  <si>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</si>
  <si>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</si>
  <si>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</si>
  <si>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</si>
  <si>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</si>
  <si>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</si>
  <si>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</si>
  <si>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</si>
  <si>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</si>
  <si>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</si>
  <si>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</si>
  <si>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</si>
  <si>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</si>
  <si>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</si>
  <si>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</si>
  <si>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</si>
  <si>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</si>
  <si>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</si>
  <si>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</si>
  <si>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</si>
  <si>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</si>
  <si>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</si>
  <si>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</si>
  <si>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</si>
  <si>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</si>
  <si>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</si>
  <si>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</si>
  <si>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</si>
  <si>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</si>
  <si>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</si>
  <si>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</si>
  <si>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</si>
  <si>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</si>
  <si>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</si>
  <si>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</si>
  <si>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</si>
  <si>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</si>
  <si>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</si>
  <si>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</si>
  <si>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</si>
  <si>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</si>
  <si>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</si>
  <si>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</si>
  <si>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</si>
  <si>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</si>
  <si>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</si>
  <si>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</si>
  <si>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</si>
  <si>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</si>
  <si>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</si>
  <si>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</si>
  <si>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</si>
  <si>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</si>
  <si>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</si>
  <si>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</si>
  <si>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</si>
  <si>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</si>
  <si>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</si>
  <si>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</si>
  <si>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</si>
  <si>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</si>
  <si>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</si>
  <si>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</si>
  <si>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</si>
  <si>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</si>
  <si>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</si>
  <si>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</si>
  <si>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</si>
  <si>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</si>
  <si>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</si>
  <si>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</si>
  <si>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</si>
  <si>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</si>
  <si>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</si>
  <si>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</si>
  <si>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</si>
  <si>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</si>
  <si>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</si>
  <si>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</si>
  <si>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</si>
  <si>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</si>
  <si>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</si>
  <si>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</si>
  <si>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</si>
  <si>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</si>
  <si>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</si>
  <si>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</si>
  <si>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</si>
  <si>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</si>
  <si>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</si>
  <si>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</si>
  <si>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</si>
  <si>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</si>
  <si>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</si>
  <si>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</si>
  <si>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</si>
  <si>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</si>
  <si>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</si>
  <si>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</si>
  <si>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</si>
  <si>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</si>
  <si>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</si>
  <si>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</si>
  <si>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</si>
  <si>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</si>
  <si>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</si>
  <si>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</si>
  <si>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</si>
  <si>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</si>
  <si>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</si>
  <si>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</si>
  <si>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</si>
  <si>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www.dynamita.com</t>
  </si>
  <si>
    <t>Rieger L., Koch G., Kühni M., Gujer W. and Siegrist H. (2001) The eawag bio-P module for activated sludge model No.3. Wat. Res., 35 (16), 3887-3903.</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</si>
  <si>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</si>
  <si>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</si>
  <si>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</si>
  <si>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</si>
  <si>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</si>
  <si>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</si>
  <si>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</si>
  <si>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</si>
  <si>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</si>
  <si>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</si>
  <si>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</si>
  <si>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</si>
  <si>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</si>
  <si>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</si>
  <si>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</si>
  <si>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</si>
  <si>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</si>
  <si>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</si>
  <si>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O2</t>
  </si>
  <si>
    <t>TSS</t>
  </si>
  <si>
    <t>TIC</t>
  </si>
  <si>
    <t>Biomass</t>
  </si>
  <si>
    <t>Saturation term for PHA storage (PAO)</t>
  </si>
  <si>
    <t>Saturation term for PP storage (PAO)</t>
  </si>
  <si>
    <t>Inhibition term for PP storage compound (PAO)</t>
  </si>
  <si>
    <t xml:space="preserve">Saturation term for soluble inorganic phosphorus (autotrphic MO) </t>
  </si>
  <si>
    <t xml:space="preserve">Saturation term for soluble inorganic phosphorus (heterotrphic MO)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</si>
</sst>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00"/>
    <numFmt numFmtId="166" formatCode="0.0000"/>
    <numFmt numFmtId="167" formatCode="0.000"/>
  </numFmts>
  <fonts count="78"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b/>
      <sz val="11"/>
      <color indexed="9"/>
      <name val="Calibri"/>
      <family val="2"/>
      <charset val="238"/>
    </font>
    <font>
      <sz val="11"/>
      <color indexed="10"/>
      <name val="Calibri"/>
      <family val="2"/>
      <charset val="238"/>
    </font>
    <font>
      <sz val="11"/>
      <color indexed="52"/>
      <name val="Calibri"/>
      <family val="2"/>
      <charset val="238"/>
    </font>
    <font>
      <sz val="10"/>
      <name val="Arial"/>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1"/>
      <color indexed="20"/>
      <name val="Calibri"/>
      <family val="2"/>
      <charset val="238"/>
    </font>
    <font>
      <sz val="11"/>
      <color indexed="60"/>
      <name val="Calibri"/>
      <family val="2"/>
      <charset val="238"/>
    </font>
    <font>
      <b/>
      <sz val="11"/>
      <color indexed="52"/>
      <name val="Calibri"/>
      <family val="2"/>
      <charset val="238"/>
    </font>
    <font>
      <b/>
      <i/>
      <sz val="12"/>
      <name val="Arial"/>
      <family val="2"/>
    </font>
    <font>
      <vertAlign val="subscript"/>
      <sz val="12"/>
      <name val="Arial"/>
      <family val="2"/>
    </font>
    <font>
      <i/>
      <sz val="12"/>
      <name val="Arial"/>
      <family val="2"/>
    </font>
    <font>
      <b/>
      <vertAlign val="subscript"/>
      <sz val="12"/>
      <name val="Arial"/>
      <family val="2"/>
    </font>
    <font>
      <b/>
      <sz val="11"/>
      <name val="Arial"/>
      <family val="2"/>
    </font>
    <font>
      <sz val="12"/>
      <name val="Arial"/>
      <family val="2"/>
    </font>
    <font>
      <sz val="11"/>
      <name val="Arial"/>
      <family val="2"/>
    </font>
    <font>
      <b/>
      <vertAlign val="subscript"/>
      <sz val="11"/>
      <name val="Arial"/>
      <family val="2"/>
    </font>
    <font>
      <i/>
      <vertAlign val="subscript"/>
      <sz val="12"/>
      <name val="Arial"/>
      <family val="2"/>
    </font>
    <font>
      <b/>
      <sz val="11"/>
      <name val="Calibri"/>
      <family val="2"/>
      <charset val="238"/>
    </font>
    <font>
      <b/>
      <i/>
      <sz val="11"/>
      <name val="Calibri"/>
      <family val="2"/>
      <charset val="238"/>
    </font>
    <font>
      <vertAlign val="subscript"/>
      <sz val="11"/>
      <name val="Calibri"/>
      <family val="2"/>
    </font>
    <font>
      <vertAlign val="superscript"/>
      <sz val="11"/>
      <name val="Calibri"/>
      <family val="2"/>
    </font>
    <font>
      <i/>
      <sz val="11"/>
      <name val="Calibri"/>
      <family val="2"/>
    </font>
    <font>
      <i/>
      <vertAlign val="subscript"/>
      <sz val="11"/>
      <name val="Calibri"/>
      <family val="2"/>
    </font>
    <font>
      <b/>
      <sz val="11"/>
      <color indexed="8"/>
      <name val="Calibri"/>
      <family val="2"/>
      <scheme val="minor"/>
    </font>
    <font>
      <i/>
      <sz val="11"/>
      <name val="Calibri"/>
      <family val="2"/>
      <scheme val="minor"/>
    </font>
    <font>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scheme val="minor"/>
    </font>
    <font>
      <b/>
      <i/>
      <sz val="11"/>
      <name val="Calibri"/>
      <family val="2"/>
      <scheme val="minor"/>
    </font>
    <font>
      <vertAlign val="subscript"/>
      <sz val="11"/>
      <name val="Calibri"/>
      <family val="2"/>
      <charset val="238"/>
    </font>
    <font>
      <vertAlign val="subscript"/>
      <sz val="11"/>
      <name val="Calibri"/>
      <family val="2"/>
      <charset val="238"/>
      <scheme val="minor"/>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b/>
      <sz val="11"/>
      <color indexed="9"/>
      <name val="Calibri"/>
      <family val="2"/>
      <scheme val="minor"/>
    </font>
    <font>
      <vertAlign val="superscript"/>
      <sz val="11"/>
      <name val="Calibri"/>
      <family val="2"/>
      <charset val="238"/>
      <scheme val="minor"/>
    </font>
    <font>
      <sz val="11"/>
      <color rgb="FF0082C8"/>
      <name val="Calibri"/>
      <family val="2"/>
      <scheme val="minor"/>
    </font>
    <font>
      <u/>
      <sz val="11"/>
      <color theme="10"/>
      <name val="Calibri"/>
      <family val="2"/>
    </font>
  </fonts>
  <fills count="37">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43"/>
      </patternFill>
    </fill>
    <fill>
      <patternFill patternType="solid">
        <fgColor indexed="13"/>
        <bgColor indexed="64"/>
      </patternFill>
    </fill>
    <fill>
      <patternFill patternType="solid">
        <fgColor rgb="FFFFFFFF"/>
        <bgColor indexed="64"/>
      </patternFill>
    </fill>
    <fill>
      <patternFill patternType="solid">
        <fgColor indexed="11"/>
        <bgColor indexed="64"/>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rgb="FFC00000"/>
        <bgColor indexed="64"/>
      </patternFill>
    </fill>
    <fill>
      <patternFill patternType="solid">
        <fgColor rgb="FF2B8DD5"/>
        <bgColor indexed="64"/>
      </patternFill>
    </fill>
  </fills>
  <borders count="84">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s>
  <cellStyleXfs count="65">
    <xf numFmtId="0" fontId="0" fillId="0" borderId="0"/>
    <xf numFmtId="0" fontId="8" fillId="0" borderId="0"/>
    <xf numFmtId="0" fontId="26" fillId="0" borderId="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6" borderId="0" applyNumberFormat="0" applyBorder="0" applyAlignment="0" applyProtection="0"/>
    <xf numFmtId="0" fontId="31" fillId="17"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2" fillId="12" borderId="38" applyNumberFormat="0" applyAlignment="0" applyProtection="0"/>
    <xf numFmtId="0" fontId="33" fillId="0" borderId="0" applyNumberFormat="0" applyFill="0" applyBorder="0" applyAlignment="0" applyProtection="0"/>
    <xf numFmtId="0" fontId="34" fillId="0" borderId="40" applyNumberFormat="0" applyFill="0" applyAlignment="0" applyProtection="0"/>
    <xf numFmtId="0" fontId="35" fillId="0" borderId="41" applyNumberFormat="0" applyFill="0" applyAlignment="0" applyProtection="0"/>
    <xf numFmtId="0" fontId="36" fillId="0" borderId="42" applyNumberFormat="0" applyFill="0" applyAlignment="0" applyProtection="0"/>
    <xf numFmtId="0" fontId="36" fillId="0" borderId="0" applyNumberFormat="0" applyFill="0" applyBorder="0" applyAlignment="0" applyProtection="0"/>
    <xf numFmtId="0" fontId="37" fillId="27" borderId="44" applyNumberFormat="0" applyAlignment="0" applyProtection="0"/>
    <xf numFmtId="0" fontId="38" fillId="0" borderId="0" applyNumberFormat="0" applyFill="0" applyBorder="0" applyAlignment="0" applyProtection="0"/>
    <xf numFmtId="0" fontId="39" fillId="0" borderId="39" applyNumberFormat="0" applyFill="0" applyAlignment="0" applyProtection="0"/>
    <xf numFmtId="0" fontId="40" fillId="26" borderId="43" applyNumberFormat="0" applyFont="0" applyAlignment="0" applyProtection="0"/>
    <xf numFmtId="0" fontId="3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4" borderId="0" applyNumberFormat="0" applyBorder="0" applyAlignment="0" applyProtection="0"/>
    <xf numFmtId="0" fontId="41" fillId="9" borderId="0" applyNumberFormat="0" applyBorder="0" applyAlignment="0" applyProtection="0"/>
    <xf numFmtId="0" fontId="42" fillId="25" borderId="45" applyNumberFormat="0" applyAlignment="0" applyProtection="0"/>
    <xf numFmtId="0" fontId="43" fillId="0" borderId="0" applyNumberFormat="0" applyFill="0" applyBorder="0" applyAlignment="0" applyProtection="0"/>
    <xf numFmtId="0" fontId="18" fillId="0" borderId="46" applyNumberFormat="0" applyFill="0" applyAlignment="0" applyProtection="0"/>
    <xf numFmtId="0" fontId="44" fillId="8" borderId="0" applyNumberFormat="0" applyBorder="0" applyAlignment="0" applyProtection="0"/>
    <xf numFmtId="0" fontId="45" fillId="28" borderId="0" applyNumberFormat="0" applyBorder="0" applyAlignment="0" applyProtection="0"/>
    <xf numFmtId="0" fontId="46" fillId="25" borderId="38" applyNumberFormat="0" applyAlignment="0" applyProtection="0"/>
    <xf numFmtId="0" fontId="26" fillId="0" borderId="0"/>
    <xf numFmtId="0" fontId="26" fillId="0" borderId="0"/>
    <xf numFmtId="0" fontId="26" fillId="0" borderId="0"/>
    <xf numFmtId="0" fontId="7" fillId="0" borderId="0"/>
    <xf numFmtId="0" fontId="6" fillId="0" borderId="0"/>
    <xf numFmtId="0" fontId="6" fillId="0" borderId="0"/>
    <xf numFmtId="0" fontId="2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4" fillId="0" borderId="0"/>
    <xf numFmtId="0" fontId="4" fillId="0" borderId="0"/>
    <xf numFmtId="0" fontId="4" fillId="0" borderId="0"/>
    <xf numFmtId="0" fontId="2" fillId="0" borderId="0"/>
    <xf numFmtId="0" fontId="77" fillId="0" borderId="0" applyNumberFormat="0" applyFill="0" applyBorder="0" applyAlignment="0" applyProtection="0"/>
  </cellStyleXfs>
  <cellXfs count="460">
    <xf numFmtId="0" fontId="0" fillId="0" borderId="0" xfId="0"/>
    <xf numFmtId="0" fontId="10" fillId="0" borderId="0" xfId="0" applyFont="1"/>
    <xf numFmtId="0" fontId="10"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0" fillId="0" borderId="7" xfId="0" applyBorder="1"/>
    <xf numFmtId="0" fontId="0" fillId="0" borderId="0" xfId="0" applyAlignment="1">
      <alignment vertical="top"/>
    </xf>
    <xf numFmtId="0" fontId="0" fillId="2" borderId="0" xfId="0" applyFill="1"/>
    <xf numFmtId="0" fontId="15" fillId="3" borderId="19" xfId="0" applyFont="1" applyFill="1" applyBorder="1"/>
    <xf numFmtId="0" fontId="15" fillId="3" borderId="20" xfId="0" applyFont="1" applyFill="1" applyBorder="1"/>
    <xf numFmtId="0" fontId="15" fillId="3" borderId="21" xfId="0" applyFont="1" applyFill="1" applyBorder="1"/>
    <xf numFmtId="0" fontId="16" fillId="0" borderId="0" xfId="0" applyFont="1" applyAlignment="1">
      <alignment horizontal="left" vertical="center"/>
    </xf>
    <xf numFmtId="0" fontId="10" fillId="0" borderId="0" xfId="0" applyFont="1" applyAlignment="1">
      <alignment horizontal="center" vertical="center"/>
    </xf>
    <xf numFmtId="0" fontId="10" fillId="0" borderId="0" xfId="0" applyFont="1" applyAlignment="1">
      <alignment horizontal="center" vertical="center" wrapText="1"/>
    </xf>
    <xf numFmtId="0" fontId="16" fillId="0" borderId="31" xfId="0" applyFont="1" applyBorder="1" applyAlignment="1">
      <alignment horizontal="left" vertical="center"/>
    </xf>
    <xf numFmtId="0" fontId="16" fillId="0" borderId="4" xfId="0" applyFont="1" applyBorder="1" applyAlignment="1">
      <alignment horizontal="left" vertical="center"/>
    </xf>
    <xf numFmtId="0" fontId="16" fillId="0" borderId="20" xfId="0" applyFont="1" applyBorder="1" applyAlignment="1">
      <alignment horizontal="left" vertical="center"/>
    </xf>
    <xf numFmtId="0" fontId="16" fillId="0" borderId="30" xfId="0" applyFont="1" applyBorder="1" applyAlignment="1">
      <alignment horizontal="left" vertical="center"/>
    </xf>
    <xf numFmtId="0" fontId="16" fillId="0" borderId="29" xfId="0" applyFont="1" applyBorder="1" applyAlignment="1">
      <alignment horizontal="left" vertical="center"/>
    </xf>
    <xf numFmtId="0" fontId="16" fillId="0" borderId="0" xfId="1" applyFont="1"/>
    <xf numFmtId="0" fontId="8" fillId="0" borderId="0" xfId="1"/>
    <xf numFmtId="0" fontId="25" fillId="4" borderId="2" xfId="1" applyFont="1" applyFill="1" applyBorder="1"/>
    <xf numFmtId="0" fontId="16" fillId="4" borderId="13" xfId="1" applyFont="1" applyFill="1" applyBorder="1" applyAlignment="1">
      <alignment horizontal="center" vertical="center"/>
    </xf>
    <xf numFmtId="0" fontId="16" fillId="4" borderId="3" xfId="1" applyFont="1" applyFill="1" applyBorder="1" applyAlignment="1">
      <alignment horizontal="center" vertical="center"/>
    </xf>
    <xf numFmtId="0" fontId="16" fillId="4" borderId="2" xfId="1" applyFont="1" applyFill="1" applyBorder="1"/>
    <xf numFmtId="0" fontId="8" fillId="4" borderId="13" xfId="1" applyFill="1" applyBorder="1" applyAlignment="1">
      <alignment horizontal="center" vertical="center"/>
    </xf>
    <xf numFmtId="0" fontId="8" fillId="4" borderId="3" xfId="1" applyFill="1" applyBorder="1" applyAlignment="1">
      <alignment horizontal="center" vertical="center"/>
    </xf>
    <xf numFmtId="0" fontId="8" fillId="0" borderId="0" xfId="1" applyAlignment="1">
      <alignment horizontal="center" vertical="center"/>
    </xf>
    <xf numFmtId="0" fontId="16" fillId="4" borderId="32" xfId="1" applyFont="1" applyFill="1" applyBorder="1"/>
    <xf numFmtId="0" fontId="8" fillId="4" borderId="0" xfId="1" applyFill="1" applyAlignment="1">
      <alignment horizontal="center" vertical="center"/>
    </xf>
    <xf numFmtId="0" fontId="8" fillId="4" borderId="23" xfId="1" applyFill="1" applyBorder="1" applyAlignment="1">
      <alignment horizontal="center" vertical="center"/>
    </xf>
    <xf numFmtId="0" fontId="16" fillId="4" borderId="33" xfId="1" applyFont="1" applyFill="1" applyBorder="1"/>
    <xf numFmtId="0" fontId="8" fillId="4" borderId="25" xfId="1" applyFill="1" applyBorder="1" applyAlignment="1">
      <alignment horizontal="center" vertical="center"/>
    </xf>
    <xf numFmtId="0" fontId="8" fillId="4" borderId="26" xfId="1" applyFill="1" applyBorder="1" applyAlignment="1">
      <alignment horizontal="center" vertical="center"/>
    </xf>
    <xf numFmtId="0" fontId="8" fillId="4" borderId="4" xfId="1" applyFill="1" applyBorder="1" applyAlignment="1">
      <alignment horizontal="center" vertical="center"/>
    </xf>
    <xf numFmtId="0" fontId="8" fillId="4" borderId="33" xfId="1" applyFill="1" applyBorder="1" applyAlignment="1">
      <alignment horizontal="center" vertical="center"/>
    </xf>
    <xf numFmtId="0" fontId="16" fillId="4" borderId="4" xfId="1" applyFont="1" applyFill="1" applyBorder="1"/>
    <xf numFmtId="0" fontId="8" fillId="4" borderId="29" xfId="1" applyFill="1" applyBorder="1" applyAlignment="1">
      <alignment horizontal="center" vertical="center"/>
    </xf>
    <xf numFmtId="11" fontId="8" fillId="4" borderId="25" xfId="1" applyNumberFormat="1" applyFill="1" applyBorder="1" applyAlignment="1">
      <alignment horizontal="center" vertical="center"/>
    </xf>
    <xf numFmtId="0" fontId="8" fillId="4" borderId="35" xfId="1" applyFill="1" applyBorder="1" applyAlignment="1">
      <alignment horizontal="center" vertical="center"/>
    </xf>
    <xf numFmtId="0" fontId="28" fillId="0" borderId="17" xfId="2" applyFont="1" applyBorder="1" applyAlignment="1">
      <alignment horizontal="left" vertical="center" wrapText="1"/>
    </xf>
    <xf numFmtId="0" fontId="28" fillId="0" borderId="17" xfId="2" applyFont="1" applyBorder="1" applyAlignment="1">
      <alignment horizontal="center" vertical="center" wrapText="1"/>
    </xf>
    <xf numFmtId="0" fontId="0" fillId="0" borderId="17" xfId="0" applyBorder="1" applyAlignment="1">
      <alignment horizontal="center" vertical="center" wrapText="1"/>
    </xf>
    <xf numFmtId="0" fontId="24" fillId="0" borderId="17" xfId="0" applyFont="1" applyBorder="1" applyAlignment="1">
      <alignment horizontal="center" vertical="center"/>
    </xf>
    <xf numFmtId="0" fontId="30" fillId="0" borderId="0" xfId="0" applyFont="1" applyAlignment="1">
      <alignment vertical="center"/>
    </xf>
    <xf numFmtId="0" fontId="30" fillId="0" borderId="0" xfId="0" applyFont="1"/>
    <xf numFmtId="0" fontId="0" fillId="5" borderId="0" xfId="0" applyFill="1"/>
    <xf numFmtId="0" fontId="14" fillId="5" borderId="0" xfId="0" applyFont="1" applyFill="1" applyAlignment="1">
      <alignment horizontal="center" vertical="center" wrapText="1"/>
    </xf>
    <xf numFmtId="0" fontId="20" fillId="5" borderId="0" xfId="0" applyFont="1" applyFill="1" applyAlignment="1">
      <alignment horizontal="center" vertical="center" wrapText="1"/>
    </xf>
    <xf numFmtId="0" fontId="21" fillId="6" borderId="0" xfId="0" applyFont="1" applyFill="1"/>
    <xf numFmtId="0" fontId="0" fillId="6" borderId="0" xfId="0" applyFill="1"/>
    <xf numFmtId="0" fontId="10" fillId="6" borderId="1" xfId="0" applyFont="1" applyFill="1" applyBorder="1" applyAlignment="1">
      <alignment horizontal="center" vertical="center" wrapText="1"/>
    </xf>
    <xf numFmtId="0" fontId="10" fillId="6" borderId="4" xfId="0" applyFont="1" applyFill="1" applyBorder="1" applyAlignment="1">
      <alignment horizontal="center" vertical="center"/>
    </xf>
    <xf numFmtId="0" fontId="16" fillId="6" borderId="31" xfId="0" applyFont="1" applyFill="1" applyBorder="1" applyAlignment="1">
      <alignment horizontal="left" vertical="center"/>
    </xf>
    <xf numFmtId="0" fontId="16" fillId="6" borderId="4" xfId="0" applyFont="1" applyFill="1" applyBorder="1" applyAlignment="1">
      <alignment horizontal="left" vertical="center"/>
    </xf>
    <xf numFmtId="0" fontId="16" fillId="6" borderId="20" xfId="0" applyFont="1" applyFill="1" applyBorder="1" applyAlignment="1">
      <alignment horizontal="left" vertical="center"/>
    </xf>
    <xf numFmtId="0" fontId="16" fillId="6" borderId="30" xfId="0" applyFont="1" applyFill="1" applyBorder="1" applyAlignment="1">
      <alignment horizontal="left" vertical="center"/>
    </xf>
    <xf numFmtId="0" fontId="16" fillId="6" borderId="29" xfId="0" applyFont="1" applyFill="1" applyBorder="1" applyAlignment="1">
      <alignment horizontal="left" vertical="center"/>
    </xf>
    <xf numFmtId="0" fontId="16" fillId="6" borderId="27" xfId="0" applyFont="1" applyFill="1" applyBorder="1" applyAlignment="1">
      <alignment horizontal="left" vertical="center" wrapText="1"/>
    </xf>
    <xf numFmtId="0" fontId="16" fillId="6" borderId="0" xfId="0" applyFont="1" applyFill="1" applyAlignment="1">
      <alignment horizontal="left" vertical="center"/>
    </xf>
    <xf numFmtId="0" fontId="10" fillId="6" borderId="5" xfId="0" applyFont="1" applyFill="1" applyBorder="1" applyAlignment="1">
      <alignment vertical="top" wrapText="1"/>
    </xf>
    <xf numFmtId="0" fontId="10" fillId="6" borderId="6" xfId="0" applyFont="1" applyFill="1" applyBorder="1" applyAlignment="1">
      <alignment horizontal="center" vertical="center" wrapText="1"/>
    </xf>
    <xf numFmtId="0" fontId="16" fillId="6" borderId="28" xfId="0" applyFont="1" applyFill="1" applyBorder="1" applyAlignment="1">
      <alignment horizontal="left" vertical="center"/>
    </xf>
    <xf numFmtId="0" fontId="16" fillId="6" borderId="2" xfId="0" applyFont="1" applyFill="1" applyBorder="1" applyAlignment="1">
      <alignment horizontal="left" vertical="center"/>
    </xf>
    <xf numFmtId="0" fontId="16" fillId="6" borderId="3" xfId="0" applyFont="1" applyFill="1" applyBorder="1" applyAlignment="1">
      <alignment horizontal="left" vertical="center"/>
    </xf>
    <xf numFmtId="0" fontId="16" fillId="6" borderId="13" xfId="0" applyFont="1" applyFill="1" applyBorder="1" applyAlignment="1">
      <alignment horizontal="left" vertical="center"/>
    </xf>
    <xf numFmtId="0" fontId="16" fillId="6" borderId="18" xfId="0" applyFont="1" applyFill="1" applyBorder="1" applyAlignment="1">
      <alignment horizontal="left" vertical="center"/>
    </xf>
    <xf numFmtId="0" fontId="0" fillId="0" borderId="0" xfId="0" applyAlignment="1">
      <alignment horizontal="left"/>
    </xf>
    <xf numFmtId="164" fontId="27" fillId="0" borderId="0" xfId="0" quotePrefix="1" applyNumberFormat="1" applyFont="1" applyAlignment="1">
      <alignment horizontal="center" vertical="center"/>
    </xf>
    <xf numFmtId="164" fontId="10" fillId="0" borderId="0" xfId="0" applyNumberFormat="1" applyFont="1" applyAlignment="1">
      <alignment horizontal="center" vertical="center"/>
    </xf>
    <xf numFmtId="0" fontId="29" fillId="0" borderId="17" xfId="0" applyFont="1" applyBorder="1"/>
    <xf numFmtId="0" fontId="29" fillId="0" borderId="7" xfId="0" applyFont="1" applyBorder="1"/>
    <xf numFmtId="0" fontId="29" fillId="0" borderId="11" xfId="0" applyFont="1" applyBorder="1"/>
    <xf numFmtId="0" fontId="27" fillId="0" borderId="17" xfId="0" applyFont="1" applyBorder="1"/>
    <xf numFmtId="0" fontId="27" fillId="0" borderId="7" xfId="0" applyFont="1" applyBorder="1"/>
    <xf numFmtId="2" fontId="52" fillId="0" borderId="7" xfId="45" applyNumberFormat="1" applyFont="1" applyBorder="1" applyAlignment="1">
      <alignment horizontal="center" vertical="center" wrapText="1"/>
    </xf>
    <xf numFmtId="1" fontId="52" fillId="0" borderId="7" xfId="45" applyNumberFormat="1" applyFont="1" applyBorder="1" applyAlignment="1">
      <alignment horizontal="center" vertical="center" wrapText="1"/>
    </xf>
    <xf numFmtId="2" fontId="49" fillId="0" borderId="7" xfId="45" applyNumberFormat="1" applyFont="1" applyBorder="1" applyAlignment="1">
      <alignment horizontal="center" vertical="center" wrapText="1"/>
    </xf>
    <xf numFmtId="165" fontId="49" fillId="0" borderId="7" xfId="45" applyNumberFormat="1" applyFont="1" applyBorder="1" applyAlignment="1">
      <alignment horizontal="center" vertical="center" wrapText="1"/>
    </xf>
    <xf numFmtId="49" fontId="53" fillId="0" borderId="9" xfId="45" applyNumberFormat="1" applyFont="1" applyBorder="1" applyAlignment="1">
      <alignment vertical="center" wrapText="1"/>
    </xf>
    <xf numFmtId="2" fontId="52" fillId="0" borderId="7" xfId="45" quotePrefix="1" applyNumberFormat="1" applyFont="1" applyBorder="1" applyAlignment="1">
      <alignment horizontal="center" vertical="center" wrapText="1"/>
    </xf>
    <xf numFmtId="166" fontId="49" fillId="0" borderId="7" xfId="0" applyNumberFormat="1" applyFont="1" applyBorder="1" applyAlignment="1">
      <alignment horizontal="center" vertical="center" wrapText="1"/>
    </xf>
    <xf numFmtId="167" fontId="49" fillId="0" borderId="7" xfId="44" applyNumberFormat="1" applyFont="1" applyBorder="1" applyAlignment="1">
      <alignment horizontal="center" vertical="center" wrapText="1"/>
    </xf>
    <xf numFmtId="2" fontId="52" fillId="0" borderId="7" xfId="44" applyNumberFormat="1" applyFont="1" applyBorder="1" applyAlignment="1">
      <alignment horizontal="center" vertical="center" wrapText="1"/>
    </xf>
    <xf numFmtId="167" fontId="52" fillId="0" borderId="7" xfId="44" quotePrefix="1" applyNumberFormat="1" applyFont="1" applyBorder="1" applyAlignment="1">
      <alignment horizontal="center" vertical="center" wrapText="1"/>
    </xf>
    <xf numFmtId="167" fontId="52" fillId="0" borderId="7" xfId="44" applyNumberFormat="1" applyFont="1" applyBorder="1" applyAlignment="1">
      <alignment horizontal="center" vertical="center" wrapText="1"/>
    </xf>
    <xf numFmtId="166" fontId="52" fillId="0" borderId="7" xfId="0" applyNumberFormat="1" applyFont="1" applyBorder="1" applyAlignment="1">
      <alignment horizontal="center" vertical="center" wrapText="1"/>
    </xf>
    <xf numFmtId="164" fontId="27" fillId="0" borderId="7" xfId="0" applyNumberFormat="1" applyFont="1" applyBorder="1" applyAlignment="1">
      <alignment horizontal="center" vertical="center"/>
    </xf>
    <xf numFmtId="0" fontId="51" fillId="0" borderId="8" xfId="44" applyFont="1" applyBorder="1" applyAlignment="1">
      <alignment horizontal="center" vertical="center" wrapText="1"/>
    </xf>
    <xf numFmtId="166" fontId="49" fillId="0" borderId="7" xfId="44" applyNumberFormat="1" applyFont="1" applyBorder="1" applyAlignment="1">
      <alignment horizontal="center" vertical="center" wrapText="1"/>
    </xf>
    <xf numFmtId="166" fontId="52" fillId="0" borderId="7" xfId="44" applyNumberFormat="1" applyFont="1" applyBorder="1" applyAlignment="1">
      <alignment horizontal="center" vertical="center" wrapText="1"/>
    </xf>
    <xf numFmtId="165" fontId="49" fillId="0" borderId="7" xfId="44" applyNumberFormat="1" applyFont="1" applyBorder="1" applyAlignment="1">
      <alignment horizontal="center" vertical="center" wrapText="1"/>
    </xf>
    <xf numFmtId="0" fontId="51" fillId="0" borderId="10" xfId="44" applyFont="1" applyBorder="1" applyAlignment="1">
      <alignment horizontal="center" vertical="center" wrapText="1"/>
    </xf>
    <xf numFmtId="0" fontId="49" fillId="0" borderId="11" xfId="44" applyFont="1" applyBorder="1" applyAlignment="1">
      <alignment horizontal="center" vertical="center" wrapText="1"/>
    </xf>
    <xf numFmtId="0" fontId="27" fillId="0" borderId="17" xfId="0" applyFont="1" applyBorder="1" applyAlignment="1">
      <alignment horizontal="center" vertical="center"/>
    </xf>
    <xf numFmtId="0" fontId="27" fillId="0" borderId="7" xfId="0" applyFont="1" applyBorder="1" applyAlignment="1">
      <alignment horizontal="center" vertical="center"/>
    </xf>
    <xf numFmtId="0" fontId="27" fillId="0" borderId="11" xfId="0" applyFont="1" applyBorder="1" applyAlignment="1">
      <alignment horizontal="center" vertical="center"/>
    </xf>
    <xf numFmtId="49" fontId="51" fillId="0" borderId="8" xfId="44" applyNumberFormat="1" applyFont="1" applyBorder="1" applyAlignment="1">
      <alignment horizontal="center" vertical="center"/>
    </xf>
    <xf numFmtId="49" fontId="51" fillId="0" borderId="7" xfId="44" applyNumberFormat="1" applyFont="1" applyBorder="1" applyAlignment="1">
      <alignment horizontal="center" vertical="center"/>
    </xf>
    <xf numFmtId="49" fontId="51" fillId="0" borderId="7" xfId="45" applyNumberFormat="1" applyFont="1" applyBorder="1" applyAlignment="1">
      <alignment horizontal="center" vertical="center" wrapText="1"/>
    </xf>
    <xf numFmtId="0" fontId="52" fillId="0" borderId="7" xfId="44" applyFont="1" applyBorder="1" applyAlignment="1">
      <alignment horizontal="center" vertical="center" wrapText="1"/>
    </xf>
    <xf numFmtId="0" fontId="49" fillId="0" borderId="7" xfId="44" applyFont="1" applyBorder="1" applyAlignment="1">
      <alignment horizontal="center" vertical="center" wrapText="1"/>
    </xf>
    <xf numFmtId="0" fontId="52" fillId="0" borderId="7" xfId="44" quotePrefix="1" applyFont="1" applyBorder="1" applyAlignment="1">
      <alignment horizontal="center" vertical="center" wrapText="1"/>
    </xf>
    <xf numFmtId="49" fontId="51" fillId="0" borderId="11" xfId="44" applyNumberFormat="1" applyFont="1" applyBorder="1" applyAlignment="1">
      <alignment horizontal="center" vertical="center"/>
    </xf>
    <xf numFmtId="0" fontId="52" fillId="0" borderId="11" xfId="44" applyFont="1" applyBorder="1" applyAlignment="1">
      <alignment horizontal="center" vertical="center" wrapText="1"/>
    </xf>
    <xf numFmtId="0" fontId="0" fillId="31" borderId="7" xfId="0" applyFill="1" applyBorder="1"/>
    <xf numFmtId="0" fontId="10" fillId="5" borderId="0" xfId="0" applyFont="1" applyFill="1" applyAlignment="1">
      <alignment horizontal="center" wrapText="1"/>
    </xf>
    <xf numFmtId="0" fontId="0" fillId="5" borderId="0" xfId="0" applyFill="1" applyAlignment="1">
      <alignment horizontal="left" vertical="center"/>
    </xf>
    <xf numFmtId="0" fontId="0" fillId="0" borderId="0" xfId="0" applyAlignment="1">
      <alignment vertical="center"/>
    </xf>
    <xf numFmtId="0" fontId="10" fillId="6" borderId="34" xfId="0" applyFont="1" applyFill="1" applyBorder="1" applyAlignment="1">
      <alignment vertical="center" wrapText="1"/>
    </xf>
    <xf numFmtId="0" fontId="27" fillId="0" borderId="17" xfId="0" applyFont="1" applyBorder="1" applyAlignment="1">
      <alignment vertical="center"/>
    </xf>
    <xf numFmtId="0" fontId="27" fillId="0" borderId="7" xfId="0" applyFont="1" applyBorder="1" applyAlignment="1">
      <alignment vertical="center"/>
    </xf>
    <xf numFmtId="0" fontId="27" fillId="0" borderId="11" xfId="0" applyFont="1" applyBorder="1" applyAlignment="1">
      <alignment vertical="center"/>
    </xf>
    <xf numFmtId="0" fontId="0" fillId="0" borderId="0" xfId="0" applyAlignment="1">
      <alignment horizontal="left" vertical="center" wrapText="1"/>
    </xf>
    <xf numFmtId="0" fontId="0" fillId="0" borderId="0" xfId="0" applyAlignment="1">
      <alignment horizontal="center" vertical="center" wrapText="1"/>
    </xf>
    <xf numFmtId="0" fontId="27" fillId="0" borderId="7" xfId="0" applyFont="1" applyBorder="1" applyAlignment="1">
      <alignment horizontal="left" vertical="center"/>
    </xf>
    <xf numFmtId="0" fontId="60" fillId="0" borderId="47" xfId="46" applyFont="1" applyBorder="1" applyAlignment="1">
      <alignment horizontal="center" vertical="center"/>
    </xf>
    <xf numFmtId="0" fontId="27" fillId="0" borderId="17" xfId="46" applyFont="1" applyBorder="1" applyAlignment="1">
      <alignment horizontal="center" vertical="center"/>
    </xf>
    <xf numFmtId="0" fontId="60" fillId="0" borderId="8" xfId="46" applyFont="1" applyBorder="1" applyAlignment="1">
      <alignment horizontal="center" vertical="center"/>
    </xf>
    <xf numFmtId="0" fontId="27" fillId="0" borderId="7" xfId="46" applyFont="1" applyBorder="1" applyAlignment="1">
      <alignment horizontal="center" vertical="center"/>
    </xf>
    <xf numFmtId="0" fontId="60" fillId="0" borderId="10" xfId="46" applyFont="1" applyBorder="1" applyAlignment="1">
      <alignment horizontal="center" vertical="center"/>
    </xf>
    <xf numFmtId="0" fontId="27" fillId="0" borderId="11" xfId="46" applyFont="1" applyBorder="1" applyAlignment="1">
      <alignment horizontal="center" vertical="center"/>
    </xf>
    <xf numFmtId="2" fontId="27" fillId="0" borderId="7" xfId="46" applyNumberFormat="1" applyFont="1" applyBorder="1" applyAlignment="1">
      <alignment horizontal="center" vertical="center"/>
    </xf>
    <xf numFmtId="0" fontId="27" fillId="0" borderId="11" xfId="0" applyFont="1" applyBorder="1" applyAlignment="1">
      <alignment horizontal="left" vertical="center"/>
    </xf>
    <xf numFmtId="2" fontId="27" fillId="0" borderId="11" xfId="46" applyNumberFormat="1" applyFont="1" applyBorder="1" applyAlignment="1">
      <alignment horizontal="center" vertical="center"/>
    </xf>
    <xf numFmtId="0" fontId="29" fillId="32" borderId="36" xfId="0" applyFont="1" applyFill="1" applyBorder="1" applyAlignment="1">
      <alignment vertical="center"/>
    </xf>
    <xf numFmtId="0" fontId="29" fillId="32" borderId="18" xfId="0" applyFont="1" applyFill="1" applyBorder="1" applyAlignment="1">
      <alignment vertical="center" wrapText="1"/>
    </xf>
    <xf numFmtId="0" fontId="29" fillId="32" borderId="18" xfId="0" applyFont="1" applyFill="1" applyBorder="1" applyAlignment="1">
      <alignment horizontal="center" vertical="center" wrapText="1"/>
    </xf>
    <xf numFmtId="0" fontId="29" fillId="32" borderId="37" xfId="0" applyFont="1" applyFill="1" applyBorder="1"/>
    <xf numFmtId="0" fontId="29" fillId="0" borderId="48" xfId="0" applyFont="1" applyBorder="1"/>
    <xf numFmtId="0" fontId="29" fillId="0" borderId="9" xfId="0" applyFont="1" applyBorder="1"/>
    <xf numFmtId="0" fontId="29" fillId="0" borderId="12" xfId="0" applyFont="1" applyBorder="1"/>
    <xf numFmtId="0" fontId="60" fillId="0" borderId="0" xfId="46" applyFont="1" applyAlignment="1">
      <alignment horizontal="center" vertical="center"/>
    </xf>
    <xf numFmtId="0" fontId="27" fillId="0" borderId="0" xfId="0" applyFont="1" applyAlignment="1">
      <alignment vertical="center"/>
    </xf>
    <xf numFmtId="0" fontId="27" fillId="0" borderId="0" xfId="46" applyFont="1" applyAlignment="1">
      <alignment horizontal="center" vertical="center"/>
    </xf>
    <xf numFmtId="0" fontId="29" fillId="0" borderId="0" xfId="0" applyFont="1" applyAlignment="1">
      <alignment vertical="center" wrapText="1"/>
    </xf>
    <xf numFmtId="0" fontId="29" fillId="0" borderId="0" xfId="0" applyFont="1"/>
    <xf numFmtId="0" fontId="27" fillId="0" borderId="0" xfId="0" applyFont="1" applyAlignment="1">
      <alignment horizontal="center" vertical="center"/>
    </xf>
    <xf numFmtId="0" fontId="27" fillId="0" borderId="17" xfId="0" applyFont="1" applyBorder="1" applyAlignment="1">
      <alignment horizontal="left" vertical="center"/>
    </xf>
    <xf numFmtId="0" fontId="62" fillId="0" borderId="0" xfId="0" applyFont="1"/>
    <xf numFmtId="0" fontId="63" fillId="0" borderId="0" xfId="0" applyFont="1" applyAlignment="1">
      <alignment horizontal="center" vertical="center"/>
    </xf>
    <xf numFmtId="0" fontId="30" fillId="0" borderId="0" xfId="0" applyFont="1" applyAlignment="1">
      <alignment horizontal="left" vertical="center"/>
    </xf>
    <xf numFmtId="0" fontId="30" fillId="0" borderId="0" xfId="0" applyFont="1" applyAlignment="1">
      <alignment horizontal="center" vertical="center"/>
    </xf>
    <xf numFmtId="0" fontId="64" fillId="0" borderId="0" xfId="0" applyFont="1" applyAlignment="1">
      <alignment vertical="center"/>
    </xf>
    <xf numFmtId="0" fontId="62" fillId="6" borderId="34" xfId="0" applyFont="1" applyFill="1" applyBorder="1" applyAlignment="1">
      <alignment vertical="center" wrapText="1"/>
    </xf>
    <xf numFmtId="0" fontId="65" fillId="32" borderId="36" xfId="0" applyFont="1" applyFill="1" applyBorder="1" applyAlignment="1">
      <alignment vertical="center"/>
    </xf>
    <xf numFmtId="0" fontId="65" fillId="32" borderId="18" xfId="0" applyFont="1" applyFill="1" applyBorder="1" applyAlignment="1">
      <alignment vertical="center" wrapText="1"/>
    </xf>
    <xf numFmtId="0" fontId="65" fillId="32" borderId="18" xfId="0" applyFont="1" applyFill="1" applyBorder="1" applyAlignment="1">
      <alignment horizontal="center" vertical="center" wrapText="1"/>
    </xf>
    <xf numFmtId="0" fontId="65" fillId="32" borderId="37" xfId="0" applyFont="1" applyFill="1" applyBorder="1"/>
    <xf numFmtId="0" fontId="64" fillId="0" borderId="0" xfId="0" applyFont="1"/>
    <xf numFmtId="0" fontId="30" fillId="0" borderId="10" xfId="0" applyFont="1" applyBorder="1" applyAlignment="1">
      <alignment horizontal="center" vertical="center"/>
    </xf>
    <xf numFmtId="0" fontId="30" fillId="0" borderId="11" xfId="0" applyFont="1" applyBorder="1" applyAlignment="1">
      <alignment vertical="center" wrapText="1"/>
    </xf>
    <xf numFmtId="0" fontId="30" fillId="0" borderId="11" xfId="0" applyFont="1" applyBorder="1" applyAlignment="1">
      <alignment horizontal="center" vertical="center" wrapText="1"/>
    </xf>
    <xf numFmtId="0" fontId="30" fillId="0" borderId="12" xfId="0" applyFont="1" applyBorder="1"/>
    <xf numFmtId="0" fontId="27" fillId="0" borderId="11" xfId="0" applyFont="1" applyBorder="1"/>
    <xf numFmtId="2" fontId="27" fillId="0" borderId="17" xfId="46" applyNumberFormat="1" applyFont="1" applyBorder="1" applyAlignment="1">
      <alignment horizontal="center" vertical="center"/>
    </xf>
    <xf numFmtId="0" fontId="60" fillId="0" borderId="47" xfId="0" applyFont="1" applyBorder="1" applyAlignment="1">
      <alignment horizontal="center" vertical="center"/>
    </xf>
    <xf numFmtId="0" fontId="68" fillId="32" borderId="36" xfId="0" applyFont="1" applyFill="1" applyBorder="1" applyAlignment="1">
      <alignment horizontal="center" vertical="center" wrapText="1"/>
    </xf>
    <xf numFmtId="0" fontId="68" fillId="32" borderId="18" xfId="0" applyFont="1" applyFill="1" applyBorder="1" applyAlignment="1">
      <alignment horizontal="center" vertical="center" wrapText="1"/>
    </xf>
    <xf numFmtId="0" fontId="65" fillId="32" borderId="18" xfId="0" applyFont="1" applyFill="1" applyBorder="1" applyAlignment="1">
      <alignment horizontal="center" vertical="center"/>
    </xf>
    <xf numFmtId="0" fontId="68" fillId="32" borderId="37" xfId="0" applyFont="1" applyFill="1" applyBorder="1" applyAlignment="1">
      <alignment horizontal="center" vertical="center" wrapText="1"/>
    </xf>
    <xf numFmtId="0" fontId="30" fillId="0" borderId="7" xfId="0" applyFont="1" applyBorder="1" applyAlignment="1">
      <alignment vertical="center"/>
    </xf>
    <xf numFmtId="0" fontId="65" fillId="0" borderId="0" xfId="0" applyFont="1" applyAlignment="1">
      <alignment horizontal="left" vertical="center"/>
    </xf>
    <xf numFmtId="164" fontId="27" fillId="0" borderId="11" xfId="0" applyNumberFormat="1" applyFont="1" applyBorder="1" applyAlignment="1">
      <alignment horizontal="center" vertical="center"/>
    </xf>
    <xf numFmtId="0" fontId="65" fillId="0" borderId="9" xfId="0" applyFont="1" applyBorder="1" applyAlignment="1">
      <alignment horizontal="center" vertical="center"/>
    </xf>
    <xf numFmtId="164" fontId="27" fillId="0" borderId="17" xfId="0" applyNumberFormat="1" applyFont="1" applyBorder="1" applyAlignment="1">
      <alignment horizontal="center" vertical="center"/>
    </xf>
    <xf numFmtId="0" fontId="6" fillId="0" borderId="0" xfId="51"/>
    <xf numFmtId="0" fontId="65" fillId="32" borderId="4" xfId="51" applyFont="1" applyFill="1" applyBorder="1"/>
    <xf numFmtId="0" fontId="64" fillId="0" borderId="0" xfId="0" applyFont="1" applyAlignment="1">
      <alignment horizontal="center" vertical="center"/>
    </xf>
    <xf numFmtId="0" fontId="62" fillId="6" borderId="4" xfId="0" applyFont="1" applyFill="1" applyBorder="1" applyAlignment="1">
      <alignment horizontal="center" vertical="center" wrapText="1"/>
    </xf>
    <xf numFmtId="0" fontId="13" fillId="0" borderId="52" xfId="0" applyFont="1" applyBorder="1" applyAlignment="1">
      <alignment horizontal="center" vertical="center"/>
    </xf>
    <xf numFmtId="0" fontId="56" fillId="32" borderId="36" xfId="0" applyFont="1" applyFill="1" applyBorder="1" applyAlignment="1">
      <alignment horizontal="center" vertical="center"/>
    </xf>
    <xf numFmtId="0" fontId="56" fillId="32" borderId="18" xfId="0" applyFont="1" applyFill="1" applyBorder="1" applyAlignment="1">
      <alignment horizontal="center" vertical="center"/>
    </xf>
    <xf numFmtId="0" fontId="47" fillId="32" borderId="18" xfId="44" applyFont="1" applyFill="1" applyBorder="1" applyAlignment="1">
      <alignment horizontal="center" vertical="center"/>
    </xf>
    <xf numFmtId="0" fontId="57" fillId="32" borderId="18" xfId="0" applyFont="1" applyFill="1" applyBorder="1" applyAlignment="1">
      <alignment horizontal="center" vertical="center" wrapText="1"/>
    </xf>
    <xf numFmtId="0" fontId="57" fillId="32" borderId="37" xfId="0" applyFont="1" applyFill="1" applyBorder="1" applyAlignment="1">
      <alignment horizontal="center" vertical="center" wrapText="1"/>
    </xf>
    <xf numFmtId="0" fontId="30" fillId="0" borderId="48" xfId="0" applyFont="1" applyBorder="1" applyAlignment="1">
      <alignment horizontal="center" vertical="center"/>
    </xf>
    <xf numFmtId="0" fontId="30" fillId="0" borderId="9" xfId="0" applyFont="1" applyBorder="1" applyAlignment="1">
      <alignment horizontal="center" vertical="center"/>
    </xf>
    <xf numFmtId="0" fontId="30" fillId="0" borderId="11" xfId="0" applyFont="1" applyBorder="1" applyAlignment="1">
      <alignment horizontal="left" vertical="center"/>
    </xf>
    <xf numFmtId="0" fontId="30" fillId="0" borderId="11" xfId="0" applyFont="1" applyBorder="1" applyAlignment="1">
      <alignment horizontal="center" vertical="center"/>
    </xf>
    <xf numFmtId="0" fontId="65" fillId="6" borderId="18" xfId="0" applyFont="1" applyFill="1" applyBorder="1" applyAlignment="1">
      <alignment horizontal="center" vertical="center" wrapText="1"/>
    </xf>
    <xf numFmtId="0" fontId="65" fillId="6" borderId="18" xfId="0" applyFont="1" applyFill="1" applyBorder="1" applyAlignment="1">
      <alignment vertical="center" wrapText="1"/>
    </xf>
    <xf numFmtId="164" fontId="27" fillId="0" borderId="0" xfId="0" applyNumberFormat="1" applyFont="1" applyAlignment="1">
      <alignment horizontal="center" vertical="center"/>
    </xf>
    <xf numFmtId="0" fontId="16" fillId="0" borderId="0" xfId="0" applyFont="1" applyAlignment="1">
      <alignment horizontal="center" vertical="center"/>
    </xf>
    <xf numFmtId="0" fontId="30" fillId="0" borderId="17" xfId="0" applyFont="1" applyBorder="1"/>
    <xf numFmtId="49" fontId="49" fillId="0" borderId="7" xfId="45" applyNumberFormat="1" applyFont="1" applyBorder="1" applyAlignment="1">
      <alignment horizontal="left" vertical="center" wrapText="1"/>
    </xf>
    <xf numFmtId="0" fontId="27" fillId="0" borderId="49" xfId="0" applyFont="1" applyBorder="1" applyAlignment="1">
      <alignment horizontal="center" vertical="center"/>
    </xf>
    <xf numFmtId="0" fontId="29" fillId="6" borderId="4" xfId="0" applyFont="1" applyFill="1" applyBorder="1" applyAlignment="1">
      <alignment horizontal="center" vertical="top" wrapText="1"/>
    </xf>
    <xf numFmtId="0" fontId="10" fillId="0" borderId="0" xfId="0" applyFont="1" applyAlignment="1">
      <alignment horizontal="left" vertical="center" wrapText="1"/>
    </xf>
    <xf numFmtId="0" fontId="30" fillId="0" borderId="47" xfId="0" applyFont="1" applyBorder="1" applyAlignment="1">
      <alignment vertical="center"/>
    </xf>
    <xf numFmtId="0" fontId="30" fillId="0" borderId="17" xfId="0" applyFont="1" applyBorder="1" applyAlignment="1">
      <alignment wrapText="1"/>
    </xf>
    <xf numFmtId="0" fontId="30" fillId="0" borderId="48" xfId="0" applyFont="1" applyBorder="1"/>
    <xf numFmtId="0" fontId="30" fillId="0" borderId="7" xfId="0" applyFont="1" applyBorder="1" applyAlignment="1">
      <alignment wrapText="1"/>
    </xf>
    <xf numFmtId="0" fontId="30" fillId="0" borderId="8" xfId="0" applyFont="1" applyBorder="1" applyAlignment="1">
      <alignment vertical="center"/>
    </xf>
    <xf numFmtId="0" fontId="30" fillId="0" borderId="7" xfId="0" applyFont="1" applyBorder="1"/>
    <xf numFmtId="0" fontId="30" fillId="0" borderId="9" xfId="0" applyFont="1" applyBorder="1"/>
    <xf numFmtId="0" fontId="30" fillId="0" borderId="7" xfId="0" applyFont="1" applyBorder="1" applyAlignment="1">
      <alignment horizontal="left" vertical="center"/>
    </xf>
    <xf numFmtId="0" fontId="16" fillId="33" borderId="0" xfId="0" applyFont="1" applyFill="1" applyAlignment="1">
      <alignment horizontal="left" vertical="center"/>
    </xf>
    <xf numFmtId="0" fontId="30" fillId="0" borderId="11" xfId="0" applyFont="1" applyBorder="1"/>
    <xf numFmtId="0" fontId="30" fillId="0" borderId="7" xfId="0" applyFont="1" applyBorder="1" applyAlignment="1">
      <alignment horizontal="center" vertical="center"/>
    </xf>
    <xf numFmtId="0" fontId="7" fillId="0" borderId="0" xfId="47"/>
    <xf numFmtId="0" fontId="27" fillId="0" borderId="47" xfId="47" applyFont="1" applyBorder="1"/>
    <xf numFmtId="0" fontId="27" fillId="0" borderId="17" xfId="47" applyFont="1" applyBorder="1"/>
    <xf numFmtId="0" fontId="27" fillId="0" borderId="48" xfId="47" applyFont="1" applyBorder="1"/>
    <xf numFmtId="0" fontId="65" fillId="32" borderId="57" xfId="0" applyFont="1" applyFill="1" applyBorder="1" applyAlignment="1">
      <alignment horizontal="center" vertical="center"/>
    </xf>
    <xf numFmtId="0" fontId="65" fillId="32" borderId="58" xfId="0" applyFont="1" applyFill="1" applyBorder="1" applyAlignment="1">
      <alignment horizontal="center" vertical="center"/>
    </xf>
    <xf numFmtId="0" fontId="30" fillId="0" borderId="12" xfId="0" applyFont="1" applyBorder="1" applyAlignment="1">
      <alignment horizontal="center" vertical="center"/>
    </xf>
    <xf numFmtId="0" fontId="30" fillId="0" borderId="17" xfId="0" applyFont="1" applyBorder="1" applyAlignment="1">
      <alignment horizontal="center" vertical="center"/>
    </xf>
    <xf numFmtId="0" fontId="21" fillId="0" borderId="0" xfId="0" applyFont="1"/>
    <xf numFmtId="0" fontId="0" fillId="0" borderId="0" xfId="0" quotePrefix="1" applyAlignment="1">
      <alignment horizontal="right"/>
    </xf>
    <xf numFmtId="0" fontId="22" fillId="0" borderId="0" xfId="0" quotePrefix="1" applyFont="1"/>
    <xf numFmtId="0" fontId="0" fillId="0" borderId="14" xfId="0" applyBorder="1"/>
    <xf numFmtId="0" fontId="0" fillId="0" borderId="15" xfId="0" applyBorder="1"/>
    <xf numFmtId="0" fontId="0" fillId="0" borderId="16" xfId="0" applyBorder="1"/>
    <xf numFmtId="0" fontId="0" fillId="34" borderId="8" xfId="0" applyFill="1" applyBorder="1"/>
    <xf numFmtId="0" fontId="0" fillId="34" borderId="7" xfId="0" applyFill="1" applyBorder="1"/>
    <xf numFmtId="2" fontId="0" fillId="34" borderId="9" xfId="0" applyNumberFormat="1" applyFill="1" applyBorder="1"/>
    <xf numFmtId="0" fontId="0" fillId="34" borderId="10" xfId="0" applyFill="1" applyBorder="1"/>
    <xf numFmtId="0" fontId="0" fillId="34" borderId="11" xfId="0" applyFill="1" applyBorder="1"/>
    <xf numFmtId="2" fontId="0" fillId="34" borderId="12" xfId="0" applyNumberFormat="1" applyFill="1" applyBorder="1"/>
    <xf numFmtId="0" fontId="0" fillId="0" borderId="17" xfId="0" applyBorder="1"/>
    <xf numFmtId="0" fontId="18" fillId="0" borderId="0" xfId="0" applyFont="1"/>
    <xf numFmtId="0" fontId="15" fillId="0" borderId="0" xfId="0" applyFont="1"/>
    <xf numFmtId="0" fontId="19" fillId="0" borderId="0" xfId="0" applyFont="1"/>
    <xf numFmtId="0" fontId="29" fillId="6" borderId="56" xfId="0" applyFont="1" applyFill="1" applyBorder="1" applyAlignment="1">
      <alignment horizontal="center" vertical="center"/>
    </xf>
    <xf numFmtId="0" fontId="29" fillId="6" borderId="57" xfId="0" applyFont="1" applyFill="1" applyBorder="1" applyAlignment="1">
      <alignment horizontal="center" vertical="center"/>
    </xf>
    <xf numFmtId="0" fontId="29" fillId="6" borderId="57" xfId="0" applyFont="1" applyFill="1" applyBorder="1" applyAlignment="1">
      <alignment horizontal="center" vertical="center" wrapText="1"/>
    </xf>
    <xf numFmtId="0" fontId="29" fillId="6" borderId="58" xfId="0" applyFont="1" applyFill="1" applyBorder="1" applyAlignment="1">
      <alignment horizontal="center" vertical="center" wrapText="1"/>
    </xf>
    <xf numFmtId="0" fontId="30" fillId="0" borderId="8" xfId="59" applyFont="1" applyBorder="1" applyAlignment="1">
      <alignment vertical="center"/>
    </xf>
    <xf numFmtId="0" fontId="30" fillId="0" borderId="7" xfId="59" applyFont="1" applyBorder="1"/>
    <xf numFmtId="0" fontId="30" fillId="0" borderId="9" xfId="59" applyFont="1" applyBorder="1"/>
    <xf numFmtId="0" fontId="30" fillId="0" borderId="10" xfId="0" applyFont="1" applyBorder="1" applyAlignment="1">
      <alignment vertical="center"/>
    </xf>
    <xf numFmtId="0" fontId="30" fillId="0" borderId="11" xfId="0" applyFont="1" applyBorder="1" applyAlignment="1">
      <alignment wrapText="1"/>
    </xf>
    <xf numFmtId="0" fontId="65" fillId="32" borderId="56" xfId="51" applyFont="1" applyFill="1" applyBorder="1" applyAlignment="1">
      <alignment horizontal="center"/>
    </xf>
    <xf numFmtId="0" fontId="65" fillId="32" borderId="57" xfId="51" applyFont="1" applyFill="1" applyBorder="1" applyAlignment="1">
      <alignment horizontal="center" vertical="top" wrapText="1"/>
    </xf>
    <xf numFmtId="0" fontId="65" fillId="32" borderId="57" xfId="51" applyFont="1" applyFill="1" applyBorder="1" applyAlignment="1">
      <alignment horizontal="center" vertical="center" wrapText="1"/>
    </xf>
    <xf numFmtId="0" fontId="65" fillId="32" borderId="58" xfId="51" applyFont="1" applyFill="1" applyBorder="1" applyAlignment="1">
      <alignment horizontal="center" vertical="top" wrapText="1"/>
    </xf>
    <xf numFmtId="0" fontId="30" fillId="0" borderId="0" xfId="0" applyFont="1" applyAlignment="1">
      <alignment horizontal="left"/>
    </xf>
    <xf numFmtId="0" fontId="30" fillId="0" borderId="0" xfId="0" applyFont="1" applyAlignment="1">
      <alignment horizontal="center"/>
    </xf>
    <xf numFmtId="0" fontId="30" fillId="0" borderId="0" xfId="0" quotePrefix="1" applyFont="1" applyAlignment="1">
      <alignment horizontal="center"/>
    </xf>
    <xf numFmtId="11" fontId="30" fillId="0" borderId="0" xfId="0" applyNumberFormat="1" applyFont="1" applyAlignment="1">
      <alignment horizontal="center"/>
    </xf>
    <xf numFmtId="0" fontId="27" fillId="0" borderId="0" xfId="50" applyFont="1"/>
    <xf numFmtId="0" fontId="27" fillId="0" borderId="50" xfId="47" applyFont="1" applyBorder="1"/>
    <xf numFmtId="0" fontId="27" fillId="0" borderId="49" xfId="47" applyFont="1" applyBorder="1"/>
    <xf numFmtId="0" fontId="27" fillId="0" borderId="49" xfId="47" applyFont="1" applyBorder="1" applyAlignment="1">
      <alignment horizontal="center"/>
    </xf>
    <xf numFmtId="0" fontId="27" fillId="0" borderId="51" xfId="47" applyFont="1" applyBorder="1"/>
    <xf numFmtId="0" fontId="3" fillId="0" borderId="0" xfId="51" applyFont="1"/>
    <xf numFmtId="0" fontId="27" fillId="0" borderId="8" xfId="47" applyFont="1" applyBorder="1"/>
    <xf numFmtId="0" fontId="27" fillId="0" borderId="7" xfId="47" applyFont="1" applyBorder="1"/>
    <xf numFmtId="0" fontId="27" fillId="0" borderId="9" xfId="47" applyFont="1" applyBorder="1"/>
    <xf numFmtId="0" fontId="27" fillId="0" borderId="10" xfId="47" applyFont="1" applyBorder="1"/>
    <xf numFmtId="0" fontId="27" fillId="0" borderId="11" xfId="47" applyFont="1" applyBorder="1"/>
    <xf numFmtId="0" fontId="27" fillId="0" borderId="12" xfId="47" applyFont="1" applyBorder="1"/>
    <xf numFmtId="0" fontId="65" fillId="32" borderId="63" xfId="0" applyFont="1" applyFill="1" applyBorder="1" applyAlignment="1">
      <alignment horizontal="center" vertical="center" wrapText="1"/>
    </xf>
    <xf numFmtId="0" fontId="62" fillId="0" borderId="0" xfId="0" applyFont="1" applyAlignment="1">
      <alignment horizontal="center" vertical="center"/>
    </xf>
    <xf numFmtId="0" fontId="65" fillId="32" borderId="63" xfId="0" applyFont="1" applyFill="1" applyBorder="1" applyAlignment="1">
      <alignment horizontal="center" vertical="center"/>
    </xf>
    <xf numFmtId="0" fontId="65" fillId="32" borderId="64" xfId="0" applyFont="1" applyFill="1" applyBorder="1" applyAlignment="1">
      <alignment horizontal="left" vertical="center"/>
    </xf>
    <xf numFmtId="0" fontId="29" fillId="32" borderId="62" xfId="0" applyFont="1" applyFill="1" applyBorder="1" applyAlignment="1">
      <alignment vertical="center"/>
    </xf>
    <xf numFmtId="0" fontId="29" fillId="32" borderId="63" xfId="0" applyFont="1" applyFill="1" applyBorder="1" applyAlignment="1">
      <alignment vertical="center" wrapText="1"/>
    </xf>
    <xf numFmtId="0" fontId="29" fillId="32" borderId="63" xfId="0" applyFont="1" applyFill="1" applyBorder="1" applyAlignment="1">
      <alignment horizontal="center" vertical="center" wrapText="1"/>
    </xf>
    <xf numFmtId="0" fontId="29" fillId="32" borderId="64" xfId="0" applyFont="1" applyFill="1" applyBorder="1"/>
    <xf numFmtId="0" fontId="65" fillId="32" borderId="63" xfId="0" applyFont="1" applyFill="1" applyBorder="1" applyAlignment="1">
      <alignment vertical="center" wrapText="1"/>
    </xf>
    <xf numFmtId="164" fontId="65" fillId="32" borderId="63" xfId="0" applyNumberFormat="1" applyFont="1" applyFill="1" applyBorder="1" applyAlignment="1">
      <alignment horizontal="center" vertical="center"/>
    </xf>
    <xf numFmtId="164" fontId="16" fillId="0" borderId="0" xfId="0" applyNumberFormat="1" applyFont="1" applyAlignment="1">
      <alignment horizontal="center" vertical="center"/>
    </xf>
    <xf numFmtId="0" fontId="65" fillId="32" borderId="62" xfId="0" applyFont="1" applyFill="1" applyBorder="1" applyAlignment="1">
      <alignment vertical="center"/>
    </xf>
    <xf numFmtId="0" fontId="65" fillId="32" borderId="56" xfId="0" applyFont="1" applyFill="1" applyBorder="1" applyAlignment="1">
      <alignment vertical="center"/>
    </xf>
    <xf numFmtId="0" fontId="65" fillId="32" borderId="63" xfId="0" applyFont="1" applyFill="1" applyBorder="1" applyAlignment="1">
      <alignment vertical="center"/>
    </xf>
    <xf numFmtId="0" fontId="65" fillId="32" borderId="57" xfId="0" applyFont="1" applyFill="1" applyBorder="1" applyAlignment="1">
      <alignment vertical="center"/>
    </xf>
    <xf numFmtId="0" fontId="30" fillId="0" borderId="17" xfId="0" applyFont="1" applyBorder="1" applyAlignment="1">
      <alignment vertical="center"/>
    </xf>
    <xf numFmtId="0" fontId="30" fillId="0" borderId="11" xfId="0" applyFont="1" applyBorder="1" applyAlignment="1">
      <alignment vertical="center"/>
    </xf>
    <xf numFmtId="0" fontId="64" fillId="0" borderId="0" xfId="0" applyFont="1" applyAlignment="1">
      <alignment horizontal="center"/>
    </xf>
    <xf numFmtId="0" fontId="64" fillId="0" borderId="0" xfId="0" applyFont="1" applyAlignment="1">
      <alignment horizontal="left" vertical="center" wrapText="1"/>
    </xf>
    <xf numFmtId="0" fontId="64" fillId="0" borderId="0" xfId="0" applyFont="1" applyAlignment="1">
      <alignment horizontal="center" vertical="center" wrapText="1"/>
    </xf>
    <xf numFmtId="164" fontId="64" fillId="0" borderId="0" xfId="0" applyNumberFormat="1" applyFont="1" applyAlignment="1">
      <alignment horizontal="center" vertical="center" wrapText="1"/>
    </xf>
    <xf numFmtId="0" fontId="65" fillId="32" borderId="65" xfId="0" applyFont="1" applyFill="1" applyBorder="1" applyAlignment="1">
      <alignment horizontal="center" vertical="center"/>
    </xf>
    <xf numFmtId="0" fontId="65" fillId="32" borderId="65" xfId="0" applyFont="1" applyFill="1" applyBorder="1" applyAlignment="1">
      <alignment horizontal="center"/>
    </xf>
    <xf numFmtId="0" fontId="30" fillId="32" borderId="65" xfId="0" applyFont="1" applyFill="1" applyBorder="1" applyAlignment="1">
      <alignment horizontal="left" vertical="center" wrapText="1"/>
    </xf>
    <xf numFmtId="164" fontId="30" fillId="32" borderId="65" xfId="0" applyNumberFormat="1" applyFont="1" applyFill="1" applyBorder="1" applyAlignment="1">
      <alignment horizontal="center" vertical="center" wrapText="1"/>
    </xf>
    <xf numFmtId="0" fontId="30" fillId="32" borderId="65" xfId="0" applyFont="1" applyFill="1" applyBorder="1" applyAlignment="1">
      <alignment horizontal="center" vertical="center" wrapText="1"/>
    </xf>
    <xf numFmtId="0" fontId="65" fillId="0" borderId="0" xfId="0" applyFont="1" applyAlignment="1">
      <alignment horizontal="center" vertical="center"/>
    </xf>
    <xf numFmtId="0" fontId="65" fillId="0" borderId="0" xfId="0" applyFont="1" applyAlignment="1">
      <alignment horizontal="center"/>
    </xf>
    <xf numFmtId="0" fontId="30" fillId="0" borderId="0" xfId="0" applyFont="1" applyAlignment="1">
      <alignment horizontal="left" vertical="center" wrapText="1"/>
    </xf>
    <xf numFmtId="164" fontId="30" fillId="0" borderId="0" xfId="0" applyNumberFormat="1" applyFont="1" applyAlignment="1">
      <alignment horizontal="center" vertical="center" wrapText="1"/>
    </xf>
    <xf numFmtId="0" fontId="30" fillId="0" borderId="0" xfId="0" applyFont="1" applyAlignment="1">
      <alignment horizontal="center" vertical="center" wrapText="1"/>
    </xf>
    <xf numFmtId="0" fontId="60" fillId="0" borderId="67" xfId="46" applyFont="1" applyBorder="1" applyAlignment="1">
      <alignment horizontal="center" vertical="center"/>
    </xf>
    <xf numFmtId="0" fontId="27" fillId="0" borderId="68" xfId="0" applyFont="1" applyBorder="1" applyAlignment="1">
      <alignment vertical="center"/>
    </xf>
    <xf numFmtId="0" fontId="27" fillId="0" borderId="68" xfId="46" applyFont="1" applyBorder="1" applyAlignment="1">
      <alignment horizontal="center" vertical="center"/>
    </xf>
    <xf numFmtId="0" fontId="27" fillId="0" borderId="68" xfId="0" applyFont="1" applyBorder="1"/>
    <xf numFmtId="0" fontId="27" fillId="0" borderId="68" xfId="0" applyFont="1" applyBorder="1" applyAlignment="1">
      <alignment horizontal="center" vertical="center"/>
    </xf>
    <xf numFmtId="0" fontId="29" fillId="0" borderId="69" xfId="0" applyFont="1" applyBorder="1"/>
    <xf numFmtId="0" fontId="27" fillId="0" borderId="17"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68" xfId="0" applyFont="1" applyBorder="1" applyAlignment="1">
      <alignment horizontal="center" vertical="center" wrapText="1"/>
    </xf>
    <xf numFmtId="0" fontId="27" fillId="0" borderId="7" xfId="0" quotePrefix="1" applyFont="1" applyBorder="1" applyAlignment="1">
      <alignment horizontal="center" vertical="center" wrapText="1"/>
    </xf>
    <xf numFmtId="0" fontId="27" fillId="0" borderId="68" xfId="0" applyFont="1" applyBorder="1" applyAlignment="1">
      <alignment horizontal="left" vertical="center"/>
    </xf>
    <xf numFmtId="2" fontId="27" fillId="0" borderId="68" xfId="46" applyNumberFormat="1" applyFont="1" applyBorder="1" applyAlignment="1">
      <alignment horizontal="center" vertical="center"/>
    </xf>
    <xf numFmtId="0" fontId="27" fillId="0" borderId="11" xfId="0" quotePrefix="1" applyFont="1" applyBorder="1" applyAlignment="1">
      <alignment horizontal="center" vertical="center" wrapText="1"/>
    </xf>
    <xf numFmtId="0" fontId="30" fillId="0" borderId="10" xfId="0" applyFont="1" applyBorder="1" applyAlignment="1">
      <alignment horizontal="left" vertical="center"/>
    </xf>
    <xf numFmtId="0" fontId="30" fillId="0" borderId="11" xfId="0" applyFont="1" applyBorder="1" applyAlignment="1">
      <alignment horizontal="left" vertical="center" wrapText="1"/>
    </xf>
    <xf numFmtId="164" fontId="30" fillId="0" borderId="11" xfId="0" applyNumberFormat="1" applyFont="1" applyBorder="1" applyAlignment="1">
      <alignment horizontal="center" vertical="center"/>
    </xf>
    <xf numFmtId="0" fontId="30" fillId="0" borderId="17" xfId="0" applyFont="1" applyBorder="1" applyAlignment="1">
      <alignment horizontal="left" vertical="center"/>
    </xf>
    <xf numFmtId="0" fontId="30" fillId="0" borderId="8" xfId="0" applyFont="1" applyBorder="1" applyAlignment="1">
      <alignment horizontal="center" vertical="center" wrapText="1"/>
    </xf>
    <xf numFmtId="0" fontId="30" fillId="0" borderId="7" xfId="0" applyFont="1" applyBorder="1" applyAlignment="1">
      <alignment horizontal="left" vertical="center" wrapText="1"/>
    </xf>
    <xf numFmtId="2" fontId="30" fillId="0" borderId="7" xfId="0" applyNumberFormat="1" applyFont="1" applyBorder="1" applyAlignment="1">
      <alignment horizontal="center" vertical="center" wrapText="1"/>
    </xf>
    <xf numFmtId="0" fontId="30" fillId="0" borderId="7" xfId="0" applyFont="1" applyBorder="1" applyAlignment="1">
      <alignment horizontal="center" vertical="center" wrapText="1"/>
    </xf>
    <xf numFmtId="0" fontId="57" fillId="32" borderId="70" xfId="0" applyFont="1" applyFill="1" applyBorder="1" applyAlignment="1">
      <alignment horizontal="center" vertical="center" wrapText="1"/>
    </xf>
    <xf numFmtId="49" fontId="51" fillId="0" borderId="67" xfId="44" applyNumberFormat="1" applyFont="1" applyBorder="1" applyAlignment="1">
      <alignment horizontal="center" vertical="center"/>
    </xf>
    <xf numFmtId="49" fontId="51" fillId="0" borderId="68" xfId="44" applyNumberFormat="1" applyFont="1" applyBorder="1" applyAlignment="1">
      <alignment horizontal="center" vertical="center"/>
    </xf>
    <xf numFmtId="0" fontId="51" fillId="0" borderId="68" xfId="45" applyFont="1" applyBorder="1" applyAlignment="1">
      <alignment horizontal="center" vertical="center" wrapText="1"/>
    </xf>
    <xf numFmtId="0" fontId="52" fillId="0" borderId="68" xfId="45" applyFont="1" applyBorder="1" applyAlignment="1">
      <alignment horizontal="center" vertical="center" wrapText="1"/>
    </xf>
    <xf numFmtId="0" fontId="52" fillId="0" borderId="68" xfId="45" quotePrefix="1" applyFont="1" applyBorder="1" applyAlignment="1">
      <alignment horizontal="center" vertical="center" wrapText="1"/>
    </xf>
    <xf numFmtId="165" fontId="49" fillId="0" borderId="68" xfId="45" applyNumberFormat="1" applyFont="1" applyBorder="1" applyAlignment="1">
      <alignment horizontal="center" vertical="center" wrapText="1"/>
    </xf>
    <xf numFmtId="0" fontId="49" fillId="0" borderId="68" xfId="45" applyFont="1" applyBorder="1" applyAlignment="1">
      <alignment horizontal="center" vertical="center" wrapText="1"/>
    </xf>
    <xf numFmtId="2" fontId="52" fillId="0" borderId="68" xfId="45" applyNumberFormat="1" applyFont="1" applyBorder="1" applyAlignment="1">
      <alignment horizontal="center" vertical="center" wrapText="1"/>
    </xf>
    <xf numFmtId="49" fontId="49" fillId="0" borderId="68" xfId="45" applyNumberFormat="1" applyFont="1" applyBorder="1" applyAlignment="1">
      <alignment horizontal="left" vertical="center" wrapText="1"/>
    </xf>
    <xf numFmtId="49" fontId="53" fillId="0" borderId="69" xfId="45" applyNumberFormat="1" applyFont="1" applyBorder="1" applyAlignment="1">
      <alignment vertical="center" wrapText="1"/>
    </xf>
    <xf numFmtId="0" fontId="51" fillId="0" borderId="67" xfId="44" applyFont="1" applyBorder="1" applyAlignment="1">
      <alignment horizontal="center" vertical="center" wrapText="1"/>
    </xf>
    <xf numFmtId="0" fontId="52" fillId="0" borderId="68" xfId="44" applyFont="1" applyBorder="1" applyAlignment="1">
      <alignment horizontal="center" vertical="center" wrapText="1"/>
    </xf>
    <xf numFmtId="2" fontId="49" fillId="0" borderId="68" xfId="44" quotePrefix="1" applyNumberFormat="1" applyFont="1" applyBorder="1" applyAlignment="1">
      <alignment horizontal="center" vertical="center" wrapText="1"/>
    </xf>
    <xf numFmtId="0" fontId="0" fillId="5" borderId="0" xfId="0" applyFill="1" applyAlignment="1">
      <alignment horizontal="left"/>
    </xf>
    <xf numFmtId="0" fontId="65" fillId="6" borderId="66" xfId="0" applyFont="1" applyFill="1" applyBorder="1" applyAlignment="1">
      <alignment horizontal="left" vertical="center" wrapText="1"/>
    </xf>
    <xf numFmtId="0" fontId="14" fillId="5" borderId="0" xfId="0" applyFont="1" applyFill="1" applyAlignment="1">
      <alignment horizontal="left" vertical="center"/>
    </xf>
    <xf numFmtId="0" fontId="13" fillId="5" borderId="0" xfId="0" applyFont="1" applyFill="1" applyAlignment="1">
      <alignment horizontal="left" vertical="center"/>
    </xf>
    <xf numFmtId="0" fontId="10" fillId="6" borderId="4" xfId="0" applyFont="1" applyFill="1" applyBorder="1" applyAlignment="1">
      <alignment horizontal="left" vertical="center"/>
    </xf>
    <xf numFmtId="0" fontId="14" fillId="0" borderId="0" xfId="0" applyFont="1" applyAlignment="1">
      <alignment horizontal="left" vertical="center"/>
    </xf>
    <xf numFmtId="0" fontId="68" fillId="32" borderId="36" xfId="0" applyFont="1" applyFill="1" applyBorder="1" applyAlignment="1">
      <alignment horizontal="left" vertical="center" wrapText="1"/>
    </xf>
    <xf numFmtId="0" fontId="68" fillId="32" borderId="18" xfId="0" applyFont="1" applyFill="1" applyBorder="1" applyAlignment="1">
      <alignment horizontal="left" vertical="center" wrapText="1"/>
    </xf>
    <xf numFmtId="0" fontId="68" fillId="32" borderId="18" xfId="0" applyFont="1" applyFill="1" applyBorder="1" applyAlignment="1">
      <alignment horizontal="left" vertical="center"/>
    </xf>
    <xf numFmtId="0" fontId="68" fillId="32" borderId="53" xfId="0" applyFont="1" applyFill="1" applyBorder="1" applyAlignment="1">
      <alignment horizontal="left" vertical="center" wrapText="1"/>
    </xf>
    <xf numFmtId="0" fontId="68" fillId="32" borderId="37" xfId="0" applyFont="1" applyFill="1" applyBorder="1" applyAlignment="1">
      <alignment horizontal="left" vertical="center" wrapText="1"/>
    </xf>
    <xf numFmtId="0" fontId="63" fillId="0" borderId="47" xfId="44" applyFont="1" applyBorder="1" applyAlignment="1">
      <alignment horizontal="left" vertical="center"/>
    </xf>
    <xf numFmtId="0" fontId="30" fillId="0" borderId="17" xfId="0" applyFont="1" applyBorder="1" applyAlignment="1">
      <alignment horizontal="left" vertical="center" wrapText="1"/>
    </xf>
    <xf numFmtId="0" fontId="30" fillId="0" borderId="17" xfId="0" quotePrefix="1" applyFont="1" applyBorder="1" applyAlignment="1">
      <alignment horizontal="left" vertical="center"/>
    </xf>
    <xf numFmtId="0" fontId="30" fillId="0" borderId="54" xfId="0" applyFont="1" applyBorder="1" applyAlignment="1">
      <alignment horizontal="left" vertical="center" wrapText="1"/>
    </xf>
    <xf numFmtId="0" fontId="30" fillId="0" borderId="48" xfId="0" applyFont="1" applyBorder="1" applyAlignment="1">
      <alignment horizontal="left" vertical="center"/>
    </xf>
    <xf numFmtId="0" fontId="63" fillId="0" borderId="8" xfId="44" applyFont="1" applyBorder="1" applyAlignment="1">
      <alignment horizontal="left" vertical="center"/>
    </xf>
    <xf numFmtId="0" fontId="30" fillId="0" borderId="15" xfId="0" applyFont="1" applyBorder="1" applyAlignment="1">
      <alignment horizontal="left" vertical="center" wrapText="1"/>
    </xf>
    <xf numFmtId="0" fontId="30" fillId="0" borderId="9" xfId="0" applyFont="1" applyBorder="1" applyAlignment="1">
      <alignment horizontal="left" vertical="center"/>
    </xf>
    <xf numFmtId="0" fontId="30" fillId="0" borderId="55" xfId="0" applyFont="1" applyBorder="1" applyAlignment="1">
      <alignment horizontal="left" vertical="center" wrapText="1"/>
    </xf>
    <xf numFmtId="0" fontId="30" fillId="0" borderId="17" xfId="45" applyFont="1" applyBorder="1" applyAlignment="1">
      <alignment horizontal="left" vertical="center"/>
    </xf>
    <xf numFmtId="0" fontId="63" fillId="0" borderId="10" xfId="44" applyFont="1" applyBorder="1" applyAlignment="1">
      <alignment horizontal="left" vertical="center"/>
    </xf>
    <xf numFmtId="0" fontId="30" fillId="0" borderId="12" xfId="0" applyFont="1" applyBorder="1" applyAlignment="1">
      <alignment horizontal="left" vertical="center"/>
    </xf>
    <xf numFmtId="49" fontId="51" fillId="0" borderId="10" xfId="44" applyNumberFormat="1" applyFont="1" applyBorder="1" applyAlignment="1">
      <alignment horizontal="center" vertical="center"/>
    </xf>
    <xf numFmtId="0" fontId="52" fillId="0" borderId="11" xfId="44" quotePrefix="1" applyFont="1" applyBorder="1" applyAlignment="1">
      <alignment horizontal="center" vertical="center" wrapText="1"/>
    </xf>
    <xf numFmtId="166" fontId="49" fillId="0" borderId="11" xfId="0" applyNumberFormat="1" applyFont="1" applyBorder="1" applyAlignment="1">
      <alignment horizontal="center" vertical="center" wrapText="1"/>
    </xf>
    <xf numFmtId="49" fontId="49" fillId="0" borderId="11" xfId="45" applyNumberFormat="1" applyFont="1" applyBorder="1" applyAlignment="1">
      <alignment horizontal="left" vertical="center" wrapText="1"/>
    </xf>
    <xf numFmtId="49" fontId="53" fillId="0" borderId="12" xfId="45" applyNumberFormat="1" applyFont="1" applyBorder="1" applyAlignment="1">
      <alignment vertical="center" wrapText="1"/>
    </xf>
    <xf numFmtId="0" fontId="65" fillId="32" borderId="59" xfId="0" applyFont="1" applyFill="1" applyBorder="1" applyAlignment="1">
      <alignment vertical="center"/>
    </xf>
    <xf numFmtId="0" fontId="65" fillId="32" borderId="60" xfId="0" applyFont="1" applyFill="1" applyBorder="1" applyAlignment="1">
      <alignment vertical="center"/>
    </xf>
    <xf numFmtId="164" fontId="65" fillId="32" borderId="60" xfId="0" applyNumberFormat="1" applyFont="1" applyFill="1" applyBorder="1" applyAlignment="1">
      <alignment horizontal="center" vertical="center"/>
    </xf>
    <xf numFmtId="0" fontId="65" fillId="32" borderId="60" xfId="0" applyFont="1" applyFill="1" applyBorder="1" applyAlignment="1">
      <alignment horizontal="center" vertical="center"/>
    </xf>
    <xf numFmtId="0" fontId="65" fillId="32" borderId="61" xfId="0" applyFont="1" applyFill="1" applyBorder="1" applyAlignment="1">
      <alignment horizontal="left" vertical="center"/>
    </xf>
    <xf numFmtId="0" fontId="30" fillId="0" borderId="67" xfId="0" applyFont="1" applyBorder="1" applyAlignment="1">
      <alignment vertical="center"/>
    </xf>
    <xf numFmtId="0" fontId="30" fillId="0" borderId="68" xfId="0" applyFont="1" applyBorder="1" applyAlignment="1">
      <alignment vertical="center"/>
    </xf>
    <xf numFmtId="0" fontId="65" fillId="0" borderId="69" xfId="0" applyFont="1" applyBorder="1" applyAlignment="1">
      <alignment horizontal="center" vertical="center"/>
    </xf>
    <xf numFmtId="0" fontId="27" fillId="0" borderId="8" xfId="0" applyFont="1" applyBorder="1" applyAlignment="1">
      <alignment vertical="center"/>
    </xf>
    <xf numFmtId="0" fontId="30" fillId="0" borderId="8" xfId="0" applyFont="1" applyBorder="1" applyAlignment="1">
      <alignment horizontal="left" vertical="center"/>
    </xf>
    <xf numFmtId="0" fontId="62" fillId="6" borderId="34" xfId="0" applyFont="1" applyFill="1" applyBorder="1" applyAlignment="1">
      <alignment horizontal="left" vertical="center" wrapText="1"/>
    </xf>
    <xf numFmtId="0" fontId="2" fillId="0" borderId="0" xfId="63" applyAlignment="1">
      <alignment horizontal="left" vertical="center"/>
    </xf>
    <xf numFmtId="0" fontId="74" fillId="35" borderId="71" xfId="63" applyFont="1" applyFill="1" applyBorder="1" applyAlignment="1">
      <alignment horizontal="left" vertical="center"/>
    </xf>
    <xf numFmtId="0" fontId="74" fillId="35" borderId="72" xfId="63" applyFont="1" applyFill="1" applyBorder="1" applyAlignment="1">
      <alignment horizontal="left" vertical="center"/>
    </xf>
    <xf numFmtId="0" fontId="74" fillId="35" borderId="73" xfId="63" applyFont="1" applyFill="1" applyBorder="1" applyAlignment="1">
      <alignment horizontal="left" vertical="center"/>
    </xf>
    <xf numFmtId="0" fontId="74" fillId="35" borderId="74" xfId="63" applyFont="1" applyFill="1" applyBorder="1" applyAlignment="1">
      <alignment horizontal="left" vertical="center"/>
    </xf>
    <xf numFmtId="0" fontId="74" fillId="35" borderId="75" xfId="63" applyFont="1" applyFill="1" applyBorder="1" applyAlignment="1">
      <alignment horizontal="left" vertical="center"/>
    </xf>
    <xf numFmtId="0" fontId="27" fillId="0" borderId="76" xfId="0" applyFont="1" applyBorder="1" applyAlignment="1">
      <alignment horizontal="left" vertical="center"/>
    </xf>
    <xf numFmtId="0" fontId="30" fillId="0" borderId="76" xfId="0" applyFont="1" applyBorder="1" applyAlignment="1">
      <alignment horizontal="left" vertical="center"/>
    </xf>
    <xf numFmtId="0" fontId="30" fillId="0" borderId="76" xfId="0" applyFont="1" applyBorder="1" applyAlignment="1">
      <alignment horizontal="left"/>
    </xf>
    <xf numFmtId="0" fontId="30" fillId="0" borderId="76" xfId="0" applyFont="1" applyBorder="1" applyAlignment="1">
      <alignment horizontal="center" vertical="center"/>
    </xf>
    <xf numFmtId="0" fontId="74" fillId="36" borderId="71" xfId="63" applyFont="1" applyFill="1" applyBorder="1" applyAlignment="1">
      <alignment horizontal="left" vertical="center"/>
    </xf>
    <xf numFmtId="0" fontId="74" fillId="36" borderId="72" xfId="63" applyFont="1" applyFill="1" applyBorder="1" applyAlignment="1">
      <alignment horizontal="left" vertical="center"/>
    </xf>
    <xf numFmtId="0" fontId="74" fillId="36" borderId="73" xfId="63" applyFont="1" applyFill="1" applyBorder="1" applyAlignment="1">
      <alignment horizontal="left" vertical="center"/>
    </xf>
    <xf numFmtId="0" fontId="74" fillId="36" borderId="74" xfId="63" applyFont="1" applyFill="1" applyBorder="1" applyAlignment="1">
      <alignment horizontal="left" vertical="center"/>
    </xf>
    <xf numFmtId="0" fontId="74" fillId="36" borderId="75" xfId="63" applyFont="1" applyFill="1" applyBorder="1" applyAlignment="1">
      <alignment horizontal="left" vertical="center"/>
    </xf>
    <xf numFmtId="0" fontId="30" fillId="0" borderId="38" xfId="63" applyFont="1" applyBorder="1" applyAlignment="1">
      <alignment horizontal="left" vertical="center"/>
    </xf>
    <xf numFmtId="0" fontId="11" fillId="0" borderId="0" xfId="0" applyFont="1" applyAlignment="1">
      <alignment horizontal="right"/>
    </xf>
    <xf numFmtId="0" fontId="0" fillId="34" borderId="67" xfId="0" applyFill="1" applyBorder="1"/>
    <xf numFmtId="0" fontId="0" fillId="34" borderId="68" xfId="0" applyFill="1" applyBorder="1"/>
    <xf numFmtId="2" fontId="0" fillId="34" borderId="69" xfId="0" applyNumberFormat="1" applyFill="1" applyBorder="1"/>
    <xf numFmtId="0" fontId="65" fillId="6" borderId="62" xfId="0" applyFont="1" applyFill="1" applyBorder="1" applyAlignment="1">
      <alignment horizontal="left" vertical="center"/>
    </xf>
    <xf numFmtId="0" fontId="30" fillId="0" borderId="47" xfId="0" applyFont="1" applyBorder="1" applyAlignment="1">
      <alignment horizontal="left" vertical="center"/>
    </xf>
    <xf numFmtId="0" fontId="65" fillId="6" borderId="59" xfId="0" applyFont="1" applyFill="1" applyBorder="1" applyAlignment="1">
      <alignment horizontal="left" vertical="center"/>
    </xf>
    <xf numFmtId="0" fontId="65" fillId="6" borderId="60" xfId="0" applyFont="1" applyFill="1" applyBorder="1" applyAlignment="1">
      <alignment horizontal="left" vertical="center" wrapText="1"/>
    </xf>
    <xf numFmtId="0" fontId="65" fillId="6" borderId="61" xfId="0" applyFont="1" applyFill="1" applyBorder="1" applyAlignment="1">
      <alignment vertical="center" wrapText="1"/>
    </xf>
    <xf numFmtId="0" fontId="30" fillId="0" borderId="68" xfId="0" applyFont="1" applyBorder="1"/>
    <xf numFmtId="0" fontId="30" fillId="0" borderId="69" xfId="0" applyFont="1" applyBorder="1"/>
    <xf numFmtId="0" fontId="30" fillId="0" borderId="9" xfId="0" applyFont="1" applyBorder="1" applyAlignment="1">
      <alignment vertical="center"/>
    </xf>
    <xf numFmtId="0" fontId="30" fillId="0" borderId="12" xfId="0" applyFont="1" applyBorder="1" applyAlignment="1">
      <alignment vertical="center"/>
    </xf>
    <xf numFmtId="0" fontId="77" fillId="0" borderId="0" xfId="64" applyAlignment="1" applyProtection="1"/>
    <xf numFmtId="0" fontId="29" fillId="6" borderId="66" xfId="0" applyFont="1" applyFill="1" applyBorder="1" applyAlignment="1">
      <alignment horizontal="center" vertical="center" wrapText="1"/>
    </xf>
    <xf numFmtId="0" fontId="10" fillId="0" borderId="0" xfId="0" applyFont="1" applyAlignment="1">
      <alignment vertical="center" wrapText="1"/>
    </xf>
    <xf numFmtId="0" fontId="65" fillId="32" borderId="60" xfId="0" applyFont="1" applyFill="1" applyBorder="1" applyAlignment="1">
      <alignment vertical="center" wrapText="1"/>
    </xf>
    <xf numFmtId="0" fontId="30" fillId="0" borderId="68" xfId="0" applyFont="1" applyBorder="1" applyAlignment="1">
      <alignment vertical="center" wrapText="1"/>
    </xf>
    <xf numFmtId="0" fontId="30" fillId="0" borderId="7" xfId="0" applyFont="1" applyBorder="1" applyAlignment="1">
      <alignment vertical="center" wrapText="1"/>
    </xf>
    <xf numFmtId="0" fontId="27" fillId="0" borderId="7" xfId="0" applyFont="1" applyBorder="1" applyAlignment="1">
      <alignment horizontal="left" vertical="center" wrapText="1"/>
    </xf>
    <xf numFmtId="0" fontId="16" fillId="0" borderId="0" xfId="0" applyFont="1" applyAlignment="1">
      <alignment vertical="center" wrapText="1"/>
    </xf>
    <xf numFmtId="0" fontId="65" fillId="32" borderId="57" xfId="0" applyFont="1" applyFill="1" applyBorder="1" applyAlignment="1">
      <alignment vertical="center" wrapText="1"/>
    </xf>
    <xf numFmtId="0" fontId="30" fillId="0" borderId="17" xfId="0" applyFont="1" applyBorder="1" applyAlignment="1">
      <alignment vertical="center" wrapText="1"/>
    </xf>
    <xf numFmtId="0" fontId="30" fillId="0" borderId="0" xfId="0" applyFont="1" applyAlignment="1">
      <alignment vertical="center" wrapText="1"/>
    </xf>
    <xf numFmtId="0" fontId="0" fillId="5" borderId="0" xfId="0" applyFill="1" applyAlignment="1">
      <alignment vertical="center"/>
    </xf>
    <xf numFmtId="0" fontId="0" fillId="5" borderId="0" xfId="0" applyFill="1" applyAlignment="1">
      <alignmen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27" fillId="0" borderId="7" xfId="0" applyFont="1" applyBorder="1" applyAlignment="1">
      <alignment vertical="center" wrapText="1"/>
    </xf>
    <xf numFmtId="0" fontId="27" fillId="0" borderId="9" xfId="0" applyFont="1" applyBorder="1" applyAlignment="1">
      <alignment vertical="center"/>
    </xf>
    <xf numFmtId="0" fontId="0" fillId="0" borderId="0" xfId="0" applyAlignment="1">
      <alignment vertical="center" wrapText="1"/>
    </xf>
    <xf numFmtId="164" fontId="0" fillId="0" borderId="0" xfId="0" applyNumberFormat="1" applyAlignment="1">
      <alignment horizontal="center" vertical="center"/>
    </xf>
    <xf numFmtId="0" fontId="27" fillId="0" borderId="47" xfId="0" applyFont="1" applyBorder="1" applyAlignment="1">
      <alignment vertical="center"/>
    </xf>
    <xf numFmtId="0" fontId="27" fillId="0" borderId="17" xfId="0" quotePrefix="1" applyFont="1" applyBorder="1" applyAlignment="1">
      <alignment vertical="center" wrapText="1"/>
    </xf>
    <xf numFmtId="0" fontId="27" fillId="0" borderId="48" xfId="0" applyFont="1" applyBorder="1" applyAlignment="1">
      <alignment vertical="center"/>
    </xf>
    <xf numFmtId="0" fontId="27" fillId="0" borderId="7" xfId="0" quotePrefix="1" applyFont="1" applyBorder="1" applyAlignment="1">
      <alignment vertical="center" wrapText="1"/>
    </xf>
    <xf numFmtId="0" fontId="27" fillId="0" borderId="10" xfId="0" applyFont="1" applyBorder="1" applyAlignment="1">
      <alignment vertical="center"/>
    </xf>
    <xf numFmtId="0" fontId="27" fillId="0" borderId="11" xfId="0" quotePrefix="1" applyFont="1" applyBorder="1" applyAlignment="1">
      <alignment vertical="center" wrapText="1"/>
    </xf>
    <xf numFmtId="0" fontId="27" fillId="0" borderId="12" xfId="0" applyFont="1" applyBorder="1" applyAlignment="1">
      <alignment vertical="center"/>
    </xf>
    <xf numFmtId="0" fontId="27" fillId="0" borderId="0" xfId="0" quotePrefix="1" applyFont="1" applyAlignment="1">
      <alignment vertical="center" wrapText="1"/>
    </xf>
    <xf numFmtId="0" fontId="52" fillId="0" borderId="68" xfId="45" applyNumberFormat="1" applyFont="1" applyBorder="1" applyAlignment="1">
      <alignment horizontal="center" vertical="center" wrapText="1"/>
    </xf>
    <xf numFmtId="0" fontId="52" fillId="0" borderId="7" xfId="45" applyNumberFormat="1" applyFont="1" applyBorder="1" applyAlignment="1">
      <alignment horizontal="center" vertical="center" wrapText="1"/>
    </xf>
    <xf numFmtId="0" fontId="52" fillId="0" borderId="7" xfId="45" quotePrefix="1" applyNumberFormat="1" applyFont="1" applyBorder="1" applyAlignment="1">
      <alignment horizontal="center" vertical="center" wrapText="1"/>
    </xf>
    <xf numFmtId="0" fontId="52" fillId="0" borderId="7" xfId="44" applyNumberFormat="1" applyFont="1" applyBorder="1" applyAlignment="1">
      <alignment horizontal="center" vertical="center" wrapText="1"/>
    </xf>
    <xf numFmtId="0" fontId="52" fillId="0" borderId="7" xfId="44" quotePrefix="1" applyNumberFormat="1" applyFont="1" applyBorder="1" applyAlignment="1">
      <alignment horizontal="center" vertical="center" wrapText="1"/>
    </xf>
    <xf numFmtId="0" fontId="52" fillId="0" borderId="11" xfId="44" applyNumberFormat="1" applyFont="1" applyBorder="1" applyAlignment="1">
      <alignment horizontal="center" vertical="center" wrapText="1"/>
    </xf>
    <xf numFmtId="0" fontId="49" fillId="0" borderId="7" xfId="45" applyNumberFormat="1" applyFont="1" applyBorder="1" applyAlignment="1">
      <alignment horizontal="center" vertical="center" wrapText="1"/>
    </xf>
    <xf numFmtId="0" fontId="49" fillId="0" borderId="7" xfId="44" applyNumberFormat="1" applyFont="1" applyBorder="1" applyAlignment="1">
      <alignment horizontal="center" vertical="center" wrapText="1"/>
    </xf>
    <xf numFmtId="0" fontId="52" fillId="0" borderId="11" xfId="44" quotePrefix="1" applyNumberFormat="1" applyFont="1" applyBorder="1" applyAlignment="1">
      <alignment horizontal="center" vertical="center" wrapText="1"/>
    </xf>
    <xf numFmtId="0" fontId="52" fillId="0" borderId="68" xfId="45" quotePrefix="1" applyNumberFormat="1" applyFont="1" applyBorder="1" applyAlignment="1">
      <alignment horizontal="center" vertical="center" wrapText="1"/>
    </xf>
    <xf numFmtId="0" fontId="49" fillId="0" borderId="68" xfId="45" applyNumberFormat="1" applyFont="1" applyBorder="1" applyAlignment="1">
      <alignment horizontal="center" vertical="center" wrapText="1"/>
    </xf>
    <xf numFmtId="0" fontId="49" fillId="0" borderId="7" xfId="0" applyNumberFormat="1" applyFont="1" applyBorder="1" applyAlignment="1">
      <alignment horizontal="center" vertical="center" wrapText="1"/>
    </xf>
    <xf numFmtId="0" fontId="52" fillId="0" borderId="7" xfId="0" applyNumberFormat="1" applyFont="1" applyBorder="1" applyAlignment="1">
      <alignment horizontal="center" vertical="center" wrapText="1"/>
    </xf>
    <xf numFmtId="0" fontId="49" fillId="0" borderId="11" xfId="0" applyNumberFormat="1" applyFont="1" applyBorder="1" applyAlignment="1">
      <alignment horizontal="center" vertical="center" wrapText="1"/>
    </xf>
    <xf numFmtId="0" fontId="52" fillId="29" borderId="68" xfId="45" applyNumberFormat="1" applyFont="1" applyFill="1" applyBorder="1" applyAlignment="1">
      <alignment horizontal="center" vertical="center" wrapText="1"/>
    </xf>
    <xf numFmtId="0" fontId="52" fillId="29" borderId="7" xfId="45" applyNumberFormat="1" applyFont="1" applyFill="1" applyBorder="1" applyAlignment="1">
      <alignment horizontal="center" vertical="center" wrapText="1"/>
    </xf>
    <xf numFmtId="0" fontId="49" fillId="29" borderId="7" xfId="44" applyNumberFormat="1" applyFont="1" applyFill="1" applyBorder="1" applyAlignment="1">
      <alignment horizontal="center" vertical="center" wrapText="1"/>
    </xf>
    <xf numFmtId="0" fontId="52" fillId="29" borderId="7" xfId="44" applyNumberFormat="1" applyFont="1" applyFill="1" applyBorder="1" applyAlignment="1">
      <alignment horizontal="center" vertical="center" wrapText="1"/>
    </xf>
    <xf numFmtId="0" fontId="52" fillId="29" borderId="7" xfId="44" quotePrefix="1" applyNumberFormat="1" applyFont="1" applyFill="1" applyBorder="1" applyAlignment="1">
      <alignment horizontal="center" vertical="center" wrapText="1"/>
    </xf>
    <xf numFmtId="0" fontId="49" fillId="29" borderId="7" xfId="0" applyNumberFormat="1" applyFont="1" applyFill="1" applyBorder="1" applyAlignment="1">
      <alignment horizontal="center" vertical="center" wrapText="1"/>
    </xf>
    <xf numFmtId="0" fontId="52" fillId="29" borderId="11" xfId="44" applyNumberFormat="1" applyFont="1" applyFill="1" applyBorder="1" applyAlignment="1">
      <alignment horizontal="center" vertical="center" wrapText="1"/>
    </xf>
    <xf numFmtId="0" fontId="49" fillId="30" borderId="68" xfId="45" quotePrefix="1" applyNumberFormat="1" applyFont="1" applyFill="1" applyBorder="1" applyAlignment="1">
      <alignment horizontal="left" vertical="center" wrapText="1"/>
    </xf>
    <xf numFmtId="0" fontId="49" fillId="30" borderId="7" xfId="45" quotePrefix="1" applyNumberFormat="1" applyFont="1" applyFill="1" applyBorder="1" applyAlignment="1">
      <alignment horizontal="left" vertical="center" wrapText="1"/>
    </xf>
    <xf numFmtId="0" fontId="49" fillId="30" borderId="11" xfId="45" quotePrefix="1" applyNumberFormat="1" applyFont="1" applyFill="1" applyBorder="1" applyAlignment="1">
      <alignment horizontal="left" vertical="center" wrapText="1"/>
    </xf>
    <xf numFmtId="0" fontId="51" fillId="0" borderId="0" xfId="44" applyFont="1" applyBorder="1" applyAlignment="1">
      <alignment horizontal="center" vertical="center" wrapText="1"/>
    </xf>
    <xf numFmtId="0" fontId="30" fillId="0" borderId="55" xfId="0" applyFont="1" applyBorder="1" applyAlignment="1">
      <alignment horizontal="left" vertical="center"/>
    </xf>
    <xf numFmtId="0" fontId="30" fillId="0" borderId="82" xfId="0" applyFont="1" applyBorder="1" applyAlignment="1">
      <alignment horizontal="left" vertical="center"/>
    </xf>
    <xf numFmtId="0" fontId="30" fillId="0" borderId="83" xfId="0" applyFont="1" applyBorder="1" applyAlignment="1">
      <alignment horizontal="left" vertical="center"/>
    </xf>
    <xf numFmtId="0" fontId="30" fillId="0" borderId="15" xfId="0" applyFont="1" applyBorder="1" applyAlignment="1">
      <alignment horizontal="left" vertical="center"/>
    </xf>
    <xf numFmtId="0" fontId="30" fillId="0" borderId="80" xfId="0" applyFont="1" applyBorder="1" applyAlignment="1">
      <alignment horizontal="left" vertical="center"/>
    </xf>
    <xf numFmtId="0" fontId="30" fillId="0" borderId="81" xfId="0" applyFont="1" applyBorder="1" applyAlignment="1">
      <alignment horizontal="left" vertical="center"/>
    </xf>
    <xf numFmtId="0" fontId="65" fillId="6" borderId="70" xfId="0" applyFont="1" applyFill="1" applyBorder="1" applyAlignment="1">
      <alignment horizontal="left" vertical="center" wrapText="1"/>
    </xf>
    <xf numFmtId="0" fontId="65" fillId="6" borderId="65" xfId="0" applyFont="1" applyFill="1" applyBorder="1" applyAlignment="1">
      <alignment horizontal="left" vertical="center" wrapText="1"/>
    </xf>
    <xf numFmtId="0" fontId="65" fillId="6" borderId="3" xfId="0" applyFont="1" applyFill="1" applyBorder="1" applyAlignment="1">
      <alignment horizontal="left" vertical="center" wrapText="1"/>
    </xf>
    <xf numFmtId="0" fontId="30" fillId="0" borderId="77" xfId="0" applyFont="1" applyBorder="1" applyAlignment="1">
      <alignment horizontal="left" vertical="center"/>
    </xf>
    <xf numFmtId="0" fontId="30" fillId="0" borderId="78" xfId="0" applyFont="1" applyBorder="1" applyAlignment="1">
      <alignment horizontal="left" vertical="center"/>
    </xf>
    <xf numFmtId="0" fontId="30" fillId="0" borderId="79" xfId="0" applyFont="1" applyBorder="1" applyAlignment="1">
      <alignment horizontal="left" vertical="center"/>
    </xf>
    <xf numFmtId="0" fontId="0" fillId="0" borderId="0" xfId="0" applyAlignment="1">
      <alignment horizontal="left" wrapText="1"/>
    </xf>
    <xf numFmtId="0" fontId="23" fillId="3" borderId="22" xfId="0" applyFont="1" applyFill="1" applyBorder="1" applyAlignment="1">
      <alignment horizontal="center" vertical="top" wrapText="1"/>
    </xf>
    <xf numFmtId="0" fontId="23" fillId="3" borderId="0" xfId="0" applyFont="1" applyFill="1" applyAlignment="1">
      <alignment horizontal="center" vertical="top" wrapText="1"/>
    </xf>
    <xf numFmtId="0" fontId="23" fillId="3" borderId="23" xfId="0" applyFont="1" applyFill="1" applyBorder="1" applyAlignment="1">
      <alignment horizontal="center" vertical="top" wrapText="1"/>
    </xf>
    <xf numFmtId="0" fontId="23" fillId="3" borderId="24" xfId="0" applyFont="1" applyFill="1" applyBorder="1" applyAlignment="1">
      <alignment wrapText="1"/>
    </xf>
    <xf numFmtId="0" fontId="23" fillId="3" borderId="25" xfId="0" applyFont="1" applyFill="1" applyBorder="1" applyAlignment="1">
      <alignment wrapText="1"/>
    </xf>
    <xf numFmtId="0" fontId="23" fillId="3" borderId="26" xfId="0" applyFont="1" applyFill="1" applyBorder="1" applyAlignment="1">
      <alignment wrapText="1"/>
    </xf>
    <xf numFmtId="0" fontId="0" fillId="2" borderId="0" xfId="0" applyFill="1" applyAlignment="1">
      <alignment wrapText="1"/>
    </xf>
  </cellXfs>
  <cellStyles count="65">
    <cellStyle name="20% - 1. jelölőszín" xfId="3"/>
    <cellStyle name="20% - 2. jelölőszín" xfId="4"/>
    <cellStyle name="20% - 3. jelölőszín" xfId="5"/>
    <cellStyle name="20% - 4. jelölőszín" xfId="6"/>
    <cellStyle name="20% - 5. jelölőszín" xfId="7"/>
    <cellStyle name="20% - 6. jelölőszín" xfId="8"/>
    <cellStyle name="40% - 1. jelölőszín" xfId="9"/>
    <cellStyle name="40% - 2. jelölőszín" xfId="10"/>
    <cellStyle name="40% - 3. jelölőszín" xfId="11"/>
    <cellStyle name="40% - 4. jelölőszín" xfId="12"/>
    <cellStyle name="40% - 5. jelölőszín" xfId="13"/>
    <cellStyle name="40% - 6. jelölőszín" xfId="14"/>
    <cellStyle name="60% - 1. jelölőszín" xfId="15"/>
    <cellStyle name="60% - 2. jelölőszín" xfId="16"/>
    <cellStyle name="60% - 3. jelölőszín" xfId="17"/>
    <cellStyle name="60% - 4. jelölőszín" xfId="18"/>
    <cellStyle name="60% - 5. jelölőszín" xfId="19"/>
    <cellStyle name="60% - 6. jelölőszín" xfId="20"/>
    <cellStyle name="Bevitel" xfId="21"/>
    <cellStyle name="Cím" xfId="22"/>
    <cellStyle name="Címsor 1" xfId="23"/>
    <cellStyle name="Címsor 2" xfId="24"/>
    <cellStyle name="Címsor 3" xfId="25"/>
    <cellStyle name="Címsor 4" xfId="26"/>
    <cellStyle name="Ellenőrzőcella" xfId="27"/>
    <cellStyle name="Figyelmeztetés" xfId="28"/>
    <cellStyle name="Hivatkozás" xfId="64" builtinId="8"/>
    <cellStyle name="Hivatkozott cella" xfId="29"/>
    <cellStyle name="Jegyzet" xfId="30"/>
    <cellStyle name="Jelölőszín (1)" xfId="31"/>
    <cellStyle name="Jelölőszín (2)" xfId="32"/>
    <cellStyle name="Jelölőszín (3)" xfId="33"/>
    <cellStyle name="Jelölőszín (4)" xfId="34"/>
    <cellStyle name="Jelölőszín (5)" xfId="35"/>
    <cellStyle name="Jelölőszín (6)" xfId="36"/>
    <cellStyle name="Jó" xfId="37"/>
    <cellStyle name="Kimenet" xfId="38"/>
    <cellStyle name="Magyarázó szöveg" xfId="39"/>
    <cellStyle name="Normál" xfId="0" builtinId="0"/>
    <cellStyle name="Normal 10" xfId="59"/>
    <cellStyle name="Normal 11 2" xfId="60"/>
    <cellStyle name="Normal 11 2 2" xfId="63"/>
    <cellStyle name="Normal 2" xfId="1"/>
    <cellStyle name="Normál 2" xfId="52"/>
    <cellStyle name="Normal 2 2" xfId="47"/>
    <cellStyle name="Normal 2 3" xfId="50"/>
    <cellStyle name="Normal 3" xfId="48"/>
    <cellStyle name="Normal 3 2" xfId="53"/>
    <cellStyle name="Normal 3 5" xfId="61"/>
    <cellStyle name="Normal 4" xfId="49"/>
    <cellStyle name="Normal 4 2" xfId="54"/>
    <cellStyle name="Normal 4 3" xfId="55"/>
    <cellStyle name="Normal 4 6" xfId="62"/>
    <cellStyle name="Normal 5" xfId="56"/>
    <cellStyle name="Normal 6" xfId="57"/>
    <cellStyle name="Normal 7" xfId="58"/>
    <cellStyle name="Normal 8" xfId="51"/>
    <cellStyle name="Normal_ASM3_EAWAG_EBPR_Modul_engl_HS" xfId="44"/>
    <cellStyle name="Normal_Exercise_Gujer_matrix_solution" xfId="45"/>
    <cellStyle name="Normal_Kinetic matrix" xfId="2"/>
    <cellStyle name="Normal_Parameters" xfId="46"/>
    <cellStyle name="Összesen" xfId="40"/>
    <cellStyle name="Rossz" xfId="41"/>
    <cellStyle name="Semleges" xfId="42"/>
    <cellStyle name="Számítás" xfId="43"/>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57150</xdr:colOff>
      <xdr:row>0</xdr:row>
      <xdr:rowOff>114300</xdr:rowOff>
    </xdr:from>
    <xdr:to>
      <xdr:col>4</xdr:col>
      <xdr:colOff>1057275</xdr:colOff>
      <xdr:row>0</xdr:row>
      <xdr:rowOff>514350</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09775" y="114300"/>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4" name="Picture 2">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30483</xdr:rowOff>
    </xdr:to>
    <xdr:pic>
      <xdr:nvPicPr>
        <xdr:cNvPr id="3" name="Kép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67525"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130969</xdr:colOff>
      <xdr:row>0</xdr:row>
      <xdr:rowOff>35719</xdr:rowOff>
    </xdr:from>
    <xdr:to>
      <xdr:col>2</xdr:col>
      <xdr:colOff>394494</xdr:colOff>
      <xdr:row>0</xdr:row>
      <xdr:rowOff>567532</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702469" y="35719"/>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341577</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15875</xdr:colOff>
      <xdr:row>0</xdr:row>
      <xdr:rowOff>47625</xdr:rowOff>
    </xdr:from>
    <xdr:to>
      <xdr:col>3</xdr:col>
      <xdr:colOff>1453357</xdr:colOff>
      <xdr:row>0</xdr:row>
      <xdr:rowOff>579438</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1952625" y="47625"/>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606812</xdr:colOff>
      <xdr:row>0</xdr:row>
      <xdr:rowOff>523875</xdr:rowOff>
    </xdr:to>
    <xdr:sp macro="[0]!bt_crkinma_click" textlink="">
      <xdr:nvSpPr>
        <xdr:cNvPr id="2" name="bt_crkinma">
          <a:extLst>
            <a:ext uri="{FF2B5EF4-FFF2-40B4-BE49-F238E27FC236}">
              <a16:creationId xmlns:a16="http://schemas.microsoft.com/office/drawing/2014/main" id="{00000000-0008-0000-05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1</xdr:col>
      <xdr:colOff>761303</xdr:colOff>
      <xdr:row>0</xdr:row>
      <xdr:rowOff>95250</xdr:rowOff>
    </xdr:from>
    <xdr:to>
      <xdr:col>2</xdr:col>
      <xdr:colOff>1616230</xdr:colOff>
      <xdr:row>0</xdr:row>
      <xdr:rowOff>523875</xdr:rowOff>
    </xdr:to>
    <xdr:sp macro="[0]!bt_chkst_click" textlink="">
      <xdr:nvSpPr>
        <xdr:cNvPr id="3" name="bt_chkst">
          <a:extLst>
            <a:ext uri="{FF2B5EF4-FFF2-40B4-BE49-F238E27FC236}">
              <a16:creationId xmlns:a16="http://schemas.microsoft.com/office/drawing/2014/main" id="{00000000-0008-0000-05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6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8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210609</xdr:colOff>
      <xdr:row>0</xdr:row>
      <xdr:rowOff>552450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228600</xdr:colOff>
      <xdr:row>0</xdr:row>
      <xdr:rowOff>0</xdr:rowOff>
    </xdr:from>
    <xdr:to>
      <xdr:col>5</xdr:col>
      <xdr:colOff>613549</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3048000" y="0"/>
          <a:ext cx="1604149"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8.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9.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42578125" customWidth="1"/>
    <col min="6" max="6" width="25.85546875" customWidth="1"/>
    <col min="7" max="7" width="13.28515625" customWidth="1"/>
    <col min="14" max="14" width="5.140625" customWidth="1"/>
  </cols>
  <sheetData>
    <row r="1" spans="1:10" s="46" customFormat="1" ht="47.25" customHeight="1" x14ac:dyDescent="0.25"/>
    <row r="3" spans="1:10" ht="15" customHeight="1" x14ac:dyDescent="0.25">
      <c r="B3" s="49" t="s">
        <v>152</v>
      </c>
      <c r="C3" t="s">
        <v>213</v>
      </c>
      <c r="D3" s="452" t="s">
        <v>1844</v>
      </c>
      <c r="E3" s="452"/>
      <c r="F3" s="452"/>
    </row>
    <row r="4" spans="1:10" x14ac:dyDescent="0.25">
      <c r="D4" s="452"/>
      <c r="E4" s="452"/>
      <c r="F4" s="452"/>
    </row>
    <row r="5" spans="1:10" x14ac:dyDescent="0.25">
      <c r="D5" s="452"/>
      <c r="E5" s="452"/>
      <c r="F5" s="452"/>
      <c r="I5" s="67"/>
    </row>
    <row r="11" spans="1:10" x14ac:dyDescent="0.25">
      <c r="H11" s="388" t="s">
        <v>1843</v>
      </c>
    </row>
    <row r="13" spans="1:10" x14ac:dyDescent="0.25">
      <c r="B13" s="49" t="s">
        <v>26</v>
      </c>
      <c r="C13" s="50"/>
      <c r="H13" s="49" t="s">
        <v>211</v>
      </c>
      <c r="I13" s="50"/>
      <c r="J13" s="50"/>
    </row>
    <row r="14" spans="1:10" x14ac:dyDescent="0.25">
      <c r="A14" s="208" t="s">
        <v>1170</v>
      </c>
      <c r="H14">
        <v>1</v>
      </c>
      <c r="I14" t="s">
        <v>212</v>
      </c>
    </row>
    <row r="15" spans="1:10" x14ac:dyDescent="0.25">
      <c r="A15">
        <v>1</v>
      </c>
      <c r="B15" t="s">
        <v>1171</v>
      </c>
      <c r="H15">
        <v>2</v>
      </c>
      <c r="I15" t="s">
        <v>1845</v>
      </c>
    </row>
    <row r="16" spans="1:10" x14ac:dyDescent="0.25">
      <c r="A16">
        <v>2</v>
      </c>
      <c r="B16" t="s">
        <v>1172</v>
      </c>
    </row>
    <row r="17" spans="1:5" x14ac:dyDescent="0.25">
      <c r="B17">
        <v>1</v>
      </c>
      <c r="C17" t="s">
        <v>1173</v>
      </c>
    </row>
    <row r="18" spans="1:5" x14ac:dyDescent="0.25">
      <c r="B18">
        <v>2</v>
      </c>
      <c r="C18" t="s">
        <v>1174</v>
      </c>
    </row>
    <row r="19" spans="1:5" x14ac:dyDescent="0.25">
      <c r="B19">
        <v>3</v>
      </c>
      <c r="C19" t="s">
        <v>1175</v>
      </c>
    </row>
    <row r="20" spans="1:5" x14ac:dyDescent="0.25">
      <c r="B20">
        <v>4</v>
      </c>
      <c r="C20" t="s">
        <v>1176</v>
      </c>
    </row>
    <row r="21" spans="1:5" x14ac:dyDescent="0.25">
      <c r="B21">
        <v>5</v>
      </c>
      <c r="C21" t="s">
        <v>1177</v>
      </c>
    </row>
    <row r="22" spans="1:5" x14ac:dyDescent="0.25">
      <c r="A22">
        <v>3</v>
      </c>
      <c r="B22" t="s">
        <v>1178</v>
      </c>
    </row>
    <row r="23" spans="1:5" x14ac:dyDescent="0.25">
      <c r="C23" t="s">
        <v>1179</v>
      </c>
    </row>
    <row r="25" spans="1:5" x14ac:dyDescent="0.25">
      <c r="A25" s="1" t="s">
        <v>27</v>
      </c>
      <c r="B25" s="1" t="s">
        <v>28</v>
      </c>
    </row>
    <row r="26" spans="1:5" x14ac:dyDescent="0.25">
      <c r="B26">
        <v>1</v>
      </c>
      <c r="C26" t="s">
        <v>954</v>
      </c>
    </row>
    <row r="27" spans="1:5" x14ac:dyDescent="0.25">
      <c r="D27" t="s">
        <v>29</v>
      </c>
    </row>
    <row r="28" spans="1:5" x14ac:dyDescent="0.25">
      <c r="D28">
        <v>1</v>
      </c>
      <c r="E28" t="s">
        <v>30</v>
      </c>
    </row>
    <row r="29" spans="1:5" x14ac:dyDescent="0.25">
      <c r="D29">
        <v>2</v>
      </c>
      <c r="E29" t="s">
        <v>100</v>
      </c>
    </row>
    <row r="30" spans="1:5" x14ac:dyDescent="0.25">
      <c r="D30">
        <v>3</v>
      </c>
      <c r="E30" t="s">
        <v>153</v>
      </c>
    </row>
    <row r="31" spans="1:5" x14ac:dyDescent="0.25">
      <c r="D31">
        <v>4</v>
      </c>
      <c r="E31" t="s">
        <v>32</v>
      </c>
    </row>
    <row r="32" spans="1:5" x14ac:dyDescent="0.25">
      <c r="B32">
        <v>2</v>
      </c>
      <c r="C32" t="s">
        <v>955</v>
      </c>
    </row>
    <row r="33" spans="2:5" x14ac:dyDescent="0.25">
      <c r="D33">
        <v>1</v>
      </c>
      <c r="E33" t="s">
        <v>33</v>
      </c>
    </row>
    <row r="34" spans="2:5" x14ac:dyDescent="0.25">
      <c r="D34">
        <v>2</v>
      </c>
      <c r="E34" t="s">
        <v>154</v>
      </c>
    </row>
    <row r="35" spans="2:5" x14ac:dyDescent="0.25">
      <c r="D35">
        <v>3</v>
      </c>
      <c r="E35" t="s">
        <v>155</v>
      </c>
    </row>
    <row r="36" spans="2:5" x14ac:dyDescent="0.25">
      <c r="D36">
        <v>3</v>
      </c>
      <c r="E36" t="s">
        <v>156</v>
      </c>
    </row>
    <row r="37" spans="2:5" x14ac:dyDescent="0.25">
      <c r="D37">
        <v>4</v>
      </c>
      <c r="E37" t="s">
        <v>157</v>
      </c>
    </row>
    <row r="38" spans="2:5" x14ac:dyDescent="0.25">
      <c r="D38" s="209" t="s">
        <v>158</v>
      </c>
      <c r="E38" t="s">
        <v>35</v>
      </c>
    </row>
    <row r="39" spans="2:5" x14ac:dyDescent="0.25">
      <c r="D39">
        <v>6</v>
      </c>
      <c r="E39" t="s">
        <v>36</v>
      </c>
    </row>
    <row r="40" spans="2:5" x14ac:dyDescent="0.25">
      <c r="B40">
        <v>3</v>
      </c>
      <c r="C40" t="s">
        <v>37</v>
      </c>
    </row>
    <row r="41" spans="2:5" x14ac:dyDescent="0.25">
      <c r="D41">
        <v>1</v>
      </c>
      <c r="E41" t="s">
        <v>38</v>
      </c>
    </row>
    <row r="42" spans="2:5" x14ac:dyDescent="0.25">
      <c r="D42">
        <v>2</v>
      </c>
      <c r="E42" t="s">
        <v>39</v>
      </c>
    </row>
    <row r="43" spans="2:5" x14ac:dyDescent="0.25">
      <c r="D43">
        <v>3</v>
      </c>
      <c r="E43" t="s">
        <v>40</v>
      </c>
    </row>
    <row r="44" spans="2:5" x14ac:dyDescent="0.25">
      <c r="B44">
        <v>4</v>
      </c>
      <c r="C44" t="s">
        <v>159</v>
      </c>
    </row>
    <row r="45" spans="2:5" x14ac:dyDescent="0.25">
      <c r="D45">
        <v>1</v>
      </c>
      <c r="E45" t="s">
        <v>160</v>
      </c>
    </row>
    <row r="46" spans="2:5" x14ac:dyDescent="0.25">
      <c r="B46">
        <v>5</v>
      </c>
      <c r="C46" t="s">
        <v>955</v>
      </c>
    </row>
    <row r="47" spans="2:5" x14ac:dyDescent="0.25">
      <c r="D47">
        <v>1</v>
      </c>
      <c r="E47" t="s">
        <v>41</v>
      </c>
    </row>
    <row r="48" spans="2:5" x14ac:dyDescent="0.25">
      <c r="D48">
        <v>2</v>
      </c>
      <c r="E48" t="s">
        <v>98</v>
      </c>
    </row>
    <row r="49" spans="2:10" x14ac:dyDescent="0.25">
      <c r="D49">
        <v>3</v>
      </c>
      <c r="E49" t="s">
        <v>42</v>
      </c>
    </row>
    <row r="50" spans="2:10" x14ac:dyDescent="0.25">
      <c r="B50">
        <v>6</v>
      </c>
      <c r="C50" t="s">
        <v>1846</v>
      </c>
      <c r="J50" s="210"/>
    </row>
    <row r="51" spans="2:10" x14ac:dyDescent="0.25">
      <c r="D51">
        <v>1</v>
      </c>
      <c r="E51" t="s">
        <v>1847</v>
      </c>
    </row>
    <row r="52" spans="2:10" x14ac:dyDescent="0.25">
      <c r="D52">
        <v>2</v>
      </c>
      <c r="E52" t="s">
        <v>1848</v>
      </c>
    </row>
    <row r="53" spans="2:10" x14ac:dyDescent="0.25">
      <c r="D53">
        <v>3</v>
      </c>
      <c r="E53" t="s">
        <v>1849</v>
      </c>
    </row>
    <row r="54" spans="2:10" x14ac:dyDescent="0.25">
      <c r="D54">
        <v>4</v>
      </c>
      <c r="E54" t="s">
        <v>1850</v>
      </c>
    </row>
    <row r="56" spans="2:10" x14ac:dyDescent="0.25">
      <c r="B56" s="1" t="s">
        <v>956</v>
      </c>
    </row>
    <row r="57" spans="2:10" x14ac:dyDescent="0.25">
      <c r="B57">
        <v>1</v>
      </c>
      <c r="C57" t="s">
        <v>957</v>
      </c>
    </row>
    <row r="58" spans="2:10" x14ac:dyDescent="0.25">
      <c r="D58" t="s">
        <v>43</v>
      </c>
    </row>
    <row r="59" spans="2:10" x14ac:dyDescent="0.25">
      <c r="D59">
        <v>1</v>
      </c>
      <c r="E59" t="s">
        <v>44</v>
      </c>
    </row>
    <row r="60" spans="2:10" x14ac:dyDescent="0.25">
      <c r="D60">
        <v>2</v>
      </c>
      <c r="E60" t="s">
        <v>45</v>
      </c>
    </row>
    <row r="61" spans="2:10" x14ac:dyDescent="0.25">
      <c r="D61">
        <v>3</v>
      </c>
      <c r="E61" t="s">
        <v>118</v>
      </c>
    </row>
    <row r="62" spans="2:10" x14ac:dyDescent="0.25">
      <c r="D62">
        <v>4</v>
      </c>
      <c r="E62" t="s">
        <v>1851</v>
      </c>
    </row>
    <row r="63" spans="2:10" x14ac:dyDescent="0.25">
      <c r="B63">
        <v>2</v>
      </c>
      <c r="C63" t="s">
        <v>958</v>
      </c>
    </row>
    <row r="64" spans="2:10" x14ac:dyDescent="0.25">
      <c r="D64">
        <v>1</v>
      </c>
      <c r="E64" t="s">
        <v>161</v>
      </c>
    </row>
    <row r="65" spans="1:5" x14ac:dyDescent="0.25">
      <c r="D65">
        <v>2</v>
      </c>
      <c r="E65" t="s">
        <v>162</v>
      </c>
    </row>
    <row r="66" spans="1:5" x14ac:dyDescent="0.25">
      <c r="B66">
        <v>3</v>
      </c>
      <c r="C66" t="s">
        <v>1852</v>
      </c>
    </row>
    <row r="67" spans="1:5" x14ac:dyDescent="0.25">
      <c r="D67">
        <v>1</v>
      </c>
      <c r="E67" t="s">
        <v>1853</v>
      </c>
    </row>
    <row r="68" spans="1:5" x14ac:dyDescent="0.25">
      <c r="B68">
        <v>4</v>
      </c>
      <c r="C68" t="s">
        <v>1854</v>
      </c>
    </row>
    <row r="69" spans="1:5" x14ac:dyDescent="0.25">
      <c r="D69">
        <v>1</v>
      </c>
      <c r="E69" t="s">
        <v>1855</v>
      </c>
    </row>
    <row r="70" spans="1:5" x14ac:dyDescent="0.25">
      <c r="D70">
        <v>2</v>
      </c>
      <c r="E70" t="s">
        <v>1856</v>
      </c>
    </row>
    <row r="71" spans="1:5" x14ac:dyDescent="0.25">
      <c r="D71">
        <v>3</v>
      </c>
      <c r="E71" t="s">
        <v>1857</v>
      </c>
    </row>
    <row r="73" spans="1:5" x14ac:dyDescent="0.25">
      <c r="B73">
        <v>5</v>
      </c>
      <c r="C73" t="s">
        <v>958</v>
      </c>
    </row>
    <row r="74" spans="1:5" x14ac:dyDescent="0.25">
      <c r="D74">
        <v>1</v>
      </c>
      <c r="E74" t="s">
        <v>46</v>
      </c>
    </row>
    <row r="75" spans="1:5" x14ac:dyDescent="0.25">
      <c r="D75">
        <v>2</v>
      </c>
      <c r="E75" t="s">
        <v>163</v>
      </c>
    </row>
    <row r="77" spans="1:5" x14ac:dyDescent="0.25">
      <c r="A77" s="1" t="s">
        <v>47</v>
      </c>
      <c r="B77" s="1" t="s">
        <v>48</v>
      </c>
    </row>
    <row r="78" spans="1:5" x14ac:dyDescent="0.25">
      <c r="B78">
        <v>1</v>
      </c>
      <c r="C78" t="s">
        <v>954</v>
      </c>
    </row>
    <row r="79" spans="1:5" x14ac:dyDescent="0.25">
      <c r="D79" t="s">
        <v>29</v>
      </c>
    </row>
    <row r="80" spans="1:5" x14ac:dyDescent="0.25">
      <c r="D80">
        <v>1</v>
      </c>
      <c r="E80" t="s">
        <v>49</v>
      </c>
    </row>
    <row r="81" spans="2:6" x14ac:dyDescent="0.25">
      <c r="D81">
        <v>2</v>
      </c>
      <c r="E81" t="s">
        <v>101</v>
      </c>
    </row>
    <row r="82" spans="2:6" x14ac:dyDescent="0.25">
      <c r="D82">
        <v>3</v>
      </c>
      <c r="E82" t="s">
        <v>31</v>
      </c>
    </row>
    <row r="83" spans="2:6" x14ac:dyDescent="0.25">
      <c r="E83" s="375" t="s">
        <v>50</v>
      </c>
      <c r="F83" t="s">
        <v>51</v>
      </c>
    </row>
    <row r="84" spans="2:6" x14ac:dyDescent="0.25">
      <c r="E84" s="375" t="s">
        <v>52</v>
      </c>
      <c r="F84" t="s">
        <v>1858</v>
      </c>
    </row>
    <row r="85" spans="2:6" x14ac:dyDescent="0.25">
      <c r="F85" t="s">
        <v>53</v>
      </c>
    </row>
    <row r="86" spans="2:6" x14ac:dyDescent="0.25">
      <c r="B86">
        <v>2</v>
      </c>
      <c r="C86" t="s">
        <v>955</v>
      </c>
    </row>
    <row r="87" spans="2:6" x14ac:dyDescent="0.25">
      <c r="D87">
        <v>1</v>
      </c>
      <c r="E87" t="s">
        <v>54</v>
      </c>
    </row>
    <row r="88" spans="2:6" x14ac:dyDescent="0.25">
      <c r="D88">
        <v>2</v>
      </c>
      <c r="E88" t="s">
        <v>154</v>
      </c>
    </row>
    <row r="89" spans="2:6" x14ac:dyDescent="0.25">
      <c r="D89" s="209" t="s">
        <v>34</v>
      </c>
      <c r="E89" t="s">
        <v>35</v>
      </c>
    </row>
    <row r="90" spans="2:6" x14ac:dyDescent="0.25">
      <c r="D90">
        <v>4</v>
      </c>
      <c r="E90" t="s">
        <v>55</v>
      </c>
    </row>
    <row r="91" spans="2:6" x14ac:dyDescent="0.25">
      <c r="B91">
        <v>3</v>
      </c>
      <c r="C91" t="s">
        <v>37</v>
      </c>
    </row>
    <row r="92" spans="2:6" x14ac:dyDescent="0.25">
      <c r="D92">
        <v>1</v>
      </c>
      <c r="E92" t="s">
        <v>56</v>
      </c>
    </row>
    <row r="93" spans="2:6" x14ac:dyDescent="0.25">
      <c r="D93">
        <v>2</v>
      </c>
      <c r="E93" t="s">
        <v>39</v>
      </c>
    </row>
    <row r="94" spans="2:6" x14ac:dyDescent="0.25">
      <c r="D94">
        <v>3</v>
      </c>
      <c r="E94" t="s">
        <v>40</v>
      </c>
    </row>
    <row r="95" spans="2:6" x14ac:dyDescent="0.25">
      <c r="B95">
        <v>4</v>
      </c>
      <c r="C95" t="s">
        <v>159</v>
      </c>
    </row>
    <row r="96" spans="2:6" x14ac:dyDescent="0.25">
      <c r="D96">
        <v>1</v>
      </c>
      <c r="E96" t="s">
        <v>160</v>
      </c>
    </row>
    <row r="97" spans="2:10" x14ac:dyDescent="0.25">
      <c r="B97">
        <v>5</v>
      </c>
      <c r="C97" t="s">
        <v>955</v>
      </c>
    </row>
    <row r="98" spans="2:10" x14ac:dyDescent="0.25">
      <c r="D98">
        <v>1</v>
      </c>
      <c r="E98" t="s">
        <v>41</v>
      </c>
    </row>
    <row r="99" spans="2:10" x14ac:dyDescent="0.25">
      <c r="D99">
        <v>2</v>
      </c>
      <c r="E99" t="s">
        <v>98</v>
      </c>
    </row>
    <row r="100" spans="2:10" x14ac:dyDescent="0.25">
      <c r="D100">
        <v>3</v>
      </c>
      <c r="E100" t="s">
        <v>42</v>
      </c>
      <c r="J100" s="210"/>
    </row>
    <row r="101" spans="2:10" x14ac:dyDescent="0.25">
      <c r="B101">
        <v>6</v>
      </c>
      <c r="C101" t="s">
        <v>1846</v>
      </c>
    </row>
    <row r="102" spans="2:10" x14ac:dyDescent="0.25">
      <c r="D102">
        <v>1</v>
      </c>
      <c r="E102" t="s">
        <v>1847</v>
      </c>
    </row>
    <row r="103" spans="2:10" x14ac:dyDescent="0.25">
      <c r="D103">
        <v>2</v>
      </c>
      <c r="E103" t="s">
        <v>1848</v>
      </c>
    </row>
    <row r="104" spans="2:10" x14ac:dyDescent="0.25">
      <c r="D104">
        <v>3</v>
      </c>
      <c r="E104" t="s">
        <v>1849</v>
      </c>
    </row>
    <row r="105" spans="2:10" x14ac:dyDescent="0.25">
      <c r="D105">
        <v>4</v>
      </c>
      <c r="E105" t="s">
        <v>1850</v>
      </c>
    </row>
    <row r="106" spans="2:10" x14ac:dyDescent="0.25">
      <c r="B106" s="1" t="s">
        <v>57</v>
      </c>
    </row>
    <row r="107" spans="2:10" x14ac:dyDescent="0.25">
      <c r="B107">
        <v>1</v>
      </c>
      <c r="C107" t="s">
        <v>957</v>
      </c>
    </row>
    <row r="108" spans="2:10" x14ac:dyDescent="0.25">
      <c r="D108" t="s">
        <v>43</v>
      </c>
    </row>
    <row r="109" spans="2:10" x14ac:dyDescent="0.25">
      <c r="D109">
        <v>1</v>
      </c>
      <c r="E109" t="s">
        <v>58</v>
      </c>
    </row>
    <row r="110" spans="2:10" x14ac:dyDescent="0.25">
      <c r="D110">
        <v>2</v>
      </c>
      <c r="E110" t="s">
        <v>45</v>
      </c>
    </row>
    <row r="111" spans="2:10" x14ac:dyDescent="0.25">
      <c r="E111" s="375" t="s">
        <v>50</v>
      </c>
      <c r="F111" t="s">
        <v>59</v>
      </c>
    </row>
    <row r="112" spans="2:10" x14ac:dyDescent="0.25">
      <c r="E112" s="375" t="s">
        <v>52</v>
      </c>
      <c r="F112" t="s">
        <v>60</v>
      </c>
    </row>
    <row r="113" spans="2:6" x14ac:dyDescent="0.25">
      <c r="F113" t="s">
        <v>61</v>
      </c>
    </row>
    <row r="114" spans="2:6" x14ac:dyDescent="0.25">
      <c r="D114">
        <v>3</v>
      </c>
      <c r="E114" t="s">
        <v>1851</v>
      </c>
    </row>
    <row r="115" spans="2:6" x14ac:dyDescent="0.25">
      <c r="B115">
        <v>2</v>
      </c>
      <c r="C115" t="s">
        <v>958</v>
      </c>
    </row>
    <row r="116" spans="2:6" x14ac:dyDescent="0.25">
      <c r="D116">
        <v>1</v>
      </c>
      <c r="E116" t="s">
        <v>62</v>
      </c>
    </row>
    <row r="117" spans="2:6" x14ac:dyDescent="0.25">
      <c r="D117">
        <v>2</v>
      </c>
      <c r="E117" t="s">
        <v>162</v>
      </c>
    </row>
    <row r="118" spans="2:6" x14ac:dyDescent="0.25">
      <c r="E118" t="s">
        <v>1859</v>
      </c>
    </row>
    <row r="119" spans="2:6" x14ac:dyDescent="0.25">
      <c r="B119">
        <v>3</v>
      </c>
      <c r="C119" t="s">
        <v>1852</v>
      </c>
    </row>
    <row r="120" spans="2:6" x14ac:dyDescent="0.25">
      <c r="D120">
        <v>1</v>
      </c>
      <c r="E120" t="s">
        <v>1853</v>
      </c>
    </row>
    <row r="121" spans="2:6" x14ac:dyDescent="0.25">
      <c r="B121">
        <v>4</v>
      </c>
      <c r="C121" t="s">
        <v>1854</v>
      </c>
    </row>
    <row r="122" spans="2:6" x14ac:dyDescent="0.25">
      <c r="D122">
        <v>1</v>
      </c>
      <c r="E122" t="s">
        <v>1855</v>
      </c>
    </row>
    <row r="123" spans="2:6" x14ac:dyDescent="0.25">
      <c r="D123">
        <v>2</v>
      </c>
      <c r="E123" t="s">
        <v>1856</v>
      </c>
    </row>
    <row r="124" spans="2:6" x14ac:dyDescent="0.25">
      <c r="D124">
        <v>3</v>
      </c>
      <c r="E124" t="s">
        <v>1860</v>
      </c>
    </row>
    <row r="125" spans="2:6" x14ac:dyDescent="0.25">
      <c r="D125">
        <v>4</v>
      </c>
      <c r="E125" t="s">
        <v>1857</v>
      </c>
    </row>
    <row r="126" spans="2:6" x14ac:dyDescent="0.25">
      <c r="B126">
        <v>5</v>
      </c>
      <c r="C126" t="s">
        <v>958</v>
      </c>
    </row>
    <row r="127" spans="2:6" x14ac:dyDescent="0.25">
      <c r="D127">
        <v>1</v>
      </c>
      <c r="E127" t="s">
        <v>46</v>
      </c>
    </row>
    <row r="132" spans="2:7" x14ac:dyDescent="0.25">
      <c r="B132" s="49" t="s">
        <v>63</v>
      </c>
      <c r="C132" s="49"/>
      <c r="D132" s="49"/>
    </row>
    <row r="134" spans="2:7" x14ac:dyDescent="0.25">
      <c r="B134" s="1" t="s">
        <v>64</v>
      </c>
      <c r="C134" t="s">
        <v>65</v>
      </c>
    </row>
    <row r="135" spans="2:7" x14ac:dyDescent="0.25">
      <c r="C135" t="s">
        <v>66</v>
      </c>
    </row>
    <row r="136" spans="2:7" x14ac:dyDescent="0.25">
      <c r="C136" t="s">
        <v>124</v>
      </c>
    </row>
    <row r="137" spans="2:7" ht="15.75" thickBot="1" x14ac:dyDescent="0.3">
      <c r="C137" s="5"/>
      <c r="D137" s="211"/>
      <c r="E137" s="211"/>
      <c r="F137" s="211"/>
      <c r="G137" s="5"/>
    </row>
    <row r="138" spans="2:7" x14ac:dyDescent="0.25">
      <c r="C138" s="212"/>
      <c r="D138" s="376" t="s">
        <v>25</v>
      </c>
      <c r="E138" s="377"/>
      <c r="F138" s="378">
        <v>3.52</v>
      </c>
      <c r="G138" s="213"/>
    </row>
    <row r="139" spans="2:7" x14ac:dyDescent="0.25">
      <c r="C139" s="212"/>
      <c r="D139" s="214" t="s">
        <v>67</v>
      </c>
      <c r="E139" s="215"/>
      <c r="F139" s="216">
        <v>1.23</v>
      </c>
      <c r="G139" s="213"/>
    </row>
    <row r="140" spans="2:7" x14ac:dyDescent="0.25">
      <c r="C140" s="212"/>
      <c r="D140" s="214" t="s">
        <v>68</v>
      </c>
      <c r="E140" s="215"/>
      <c r="F140" s="216">
        <v>0.02</v>
      </c>
      <c r="G140" s="213"/>
    </row>
    <row r="141" spans="2:7" ht="15.75" thickBot="1" x14ac:dyDescent="0.3">
      <c r="C141" s="212"/>
      <c r="D141" s="217" t="s">
        <v>69</v>
      </c>
      <c r="E141" s="218"/>
      <c r="F141" s="219">
        <v>4.21</v>
      </c>
      <c r="G141" s="213"/>
    </row>
    <row r="142" spans="2:7" x14ac:dyDescent="0.25">
      <c r="C142" s="5"/>
      <c r="D142" s="220"/>
      <c r="E142" s="220"/>
      <c r="F142" s="220"/>
      <c r="G142" s="5"/>
    </row>
    <row r="150" spans="2:4" x14ac:dyDescent="0.25">
      <c r="B150" s="1" t="s">
        <v>954</v>
      </c>
    </row>
    <row r="151" spans="2:4" x14ac:dyDescent="0.25">
      <c r="C151" s="221" t="s">
        <v>70</v>
      </c>
    </row>
    <row r="152" spans="2:4" x14ac:dyDescent="0.25">
      <c r="C152" t="s">
        <v>71</v>
      </c>
    </row>
    <row r="153" spans="2:4" x14ac:dyDescent="0.25">
      <c r="C153" t="s">
        <v>72</v>
      </c>
    </row>
    <row r="154" spans="2:4" x14ac:dyDescent="0.25">
      <c r="C154" t="s">
        <v>73</v>
      </c>
    </row>
    <row r="156" spans="2:4" x14ac:dyDescent="0.25">
      <c r="C156" s="221" t="s">
        <v>74</v>
      </c>
    </row>
    <row r="157" spans="2:4" x14ac:dyDescent="0.25">
      <c r="C157" t="s">
        <v>75</v>
      </c>
    </row>
    <row r="158" spans="2:4" x14ac:dyDescent="0.25">
      <c r="D158" t="s">
        <v>15</v>
      </c>
    </row>
    <row r="159" spans="2:4" x14ac:dyDescent="0.25">
      <c r="C159" t="s">
        <v>102</v>
      </c>
    </row>
    <row r="161" spans="2:5" x14ac:dyDescent="0.25">
      <c r="B161" s="1" t="s">
        <v>957</v>
      </c>
    </row>
    <row r="162" spans="2:5" x14ac:dyDescent="0.25">
      <c r="C162" s="221" t="s">
        <v>76</v>
      </c>
    </row>
    <row r="163" spans="2:5" x14ac:dyDescent="0.25">
      <c r="C163" t="s">
        <v>77</v>
      </c>
    </row>
    <row r="164" spans="2:5" x14ac:dyDescent="0.25">
      <c r="C164" t="s">
        <v>72</v>
      </c>
    </row>
    <row r="166" spans="2:5" x14ac:dyDescent="0.25">
      <c r="C166" s="221" t="s">
        <v>78</v>
      </c>
    </row>
    <row r="167" spans="2:5" x14ac:dyDescent="0.25">
      <c r="C167" s="223" t="s">
        <v>16</v>
      </c>
    </row>
    <row r="168" spans="2:5" x14ac:dyDescent="0.25">
      <c r="C168" s="223"/>
      <c r="D168" t="s">
        <v>15</v>
      </c>
    </row>
    <row r="169" spans="2:5" x14ac:dyDescent="0.25">
      <c r="C169" s="223"/>
    </row>
    <row r="170" spans="2:5" x14ac:dyDescent="0.25">
      <c r="B170" s="1" t="s">
        <v>955</v>
      </c>
      <c r="C170" s="223"/>
    </row>
    <row r="171" spans="2:5" x14ac:dyDescent="0.25">
      <c r="C171" s="221" t="s">
        <v>103</v>
      </c>
    </row>
    <row r="172" spans="2:5" x14ac:dyDescent="0.25">
      <c r="C172" t="s">
        <v>104</v>
      </c>
    </row>
    <row r="173" spans="2:5" x14ac:dyDescent="0.25">
      <c r="D173" t="s">
        <v>79</v>
      </c>
    </row>
    <row r="174" spans="2:5" x14ac:dyDescent="0.25">
      <c r="E174" t="s">
        <v>80</v>
      </c>
    </row>
    <row r="175" spans="2:5" x14ac:dyDescent="0.25">
      <c r="E175" t="s">
        <v>81</v>
      </c>
    </row>
    <row r="176" spans="2:5" x14ac:dyDescent="0.25">
      <c r="D176" t="s">
        <v>17</v>
      </c>
    </row>
    <row r="177" spans="3:12" x14ac:dyDescent="0.25">
      <c r="E177" t="s">
        <v>18</v>
      </c>
    </row>
    <row r="178" spans="3:12" x14ac:dyDescent="0.25">
      <c r="E178" t="s">
        <v>11</v>
      </c>
    </row>
    <row r="179" spans="3:12" x14ac:dyDescent="0.25">
      <c r="E179" t="s">
        <v>82</v>
      </c>
    </row>
    <row r="180" spans="3:12" x14ac:dyDescent="0.25">
      <c r="D180" t="s">
        <v>83</v>
      </c>
    </row>
    <row r="181" spans="3:12" x14ac:dyDescent="0.25">
      <c r="D181" t="s">
        <v>99</v>
      </c>
    </row>
    <row r="182" spans="3:12" x14ac:dyDescent="0.25">
      <c r="D182" t="s">
        <v>19</v>
      </c>
    </row>
    <row r="183" spans="3:12" x14ac:dyDescent="0.25">
      <c r="C183" t="s">
        <v>105</v>
      </c>
    </row>
    <row r="185" spans="3:12" x14ac:dyDescent="0.25">
      <c r="D185" t="s">
        <v>959</v>
      </c>
    </row>
    <row r="186" spans="3:12" ht="15.75" thickBot="1" x14ac:dyDescent="0.3"/>
    <row r="187" spans="3:12" ht="15.75" thickBot="1" x14ac:dyDescent="0.3">
      <c r="E187" s="379" t="s">
        <v>0</v>
      </c>
      <c r="F187" s="321" t="s">
        <v>1</v>
      </c>
      <c r="G187" s="446" t="s">
        <v>4</v>
      </c>
      <c r="H187" s="447"/>
      <c r="I187" s="447"/>
      <c r="J187" s="447"/>
      <c r="K187" s="447"/>
      <c r="L187" s="448"/>
    </row>
    <row r="188" spans="3:12" x14ac:dyDescent="0.25">
      <c r="E188" s="380" t="s">
        <v>164</v>
      </c>
      <c r="F188" s="301" t="s">
        <v>165</v>
      </c>
      <c r="G188" s="449" t="s">
        <v>166</v>
      </c>
      <c r="H188" s="450"/>
      <c r="I188" s="450"/>
      <c r="J188" s="450"/>
      <c r="K188" s="450"/>
      <c r="L188" s="451"/>
    </row>
    <row r="189" spans="3:12" x14ac:dyDescent="0.25">
      <c r="E189" s="357" t="s">
        <v>167</v>
      </c>
      <c r="F189" s="196" t="s">
        <v>168</v>
      </c>
      <c r="G189" s="443" t="s">
        <v>169</v>
      </c>
      <c r="H189" s="444"/>
      <c r="I189" s="444"/>
      <c r="J189" s="444"/>
      <c r="K189" s="444"/>
      <c r="L189" s="445"/>
    </row>
    <row r="190" spans="3:12" x14ac:dyDescent="0.25">
      <c r="E190" s="357" t="s">
        <v>170</v>
      </c>
      <c r="F190" s="196" t="s">
        <v>171</v>
      </c>
      <c r="G190" s="443" t="s">
        <v>172</v>
      </c>
      <c r="H190" s="444"/>
      <c r="I190" s="444"/>
      <c r="J190" s="444"/>
      <c r="K190" s="444"/>
      <c r="L190" s="445"/>
    </row>
    <row r="191" spans="3:12" x14ac:dyDescent="0.25">
      <c r="E191" s="357" t="s">
        <v>173</v>
      </c>
      <c r="F191" s="196" t="s">
        <v>174</v>
      </c>
      <c r="G191" s="443" t="s">
        <v>175</v>
      </c>
      <c r="H191" s="444"/>
      <c r="I191" s="444"/>
      <c r="J191" s="444"/>
      <c r="K191" s="444"/>
      <c r="L191" s="445"/>
    </row>
    <row r="192" spans="3:12" x14ac:dyDescent="0.25">
      <c r="E192" s="357" t="s">
        <v>176</v>
      </c>
      <c r="F192" s="196" t="s">
        <v>177</v>
      </c>
      <c r="G192" s="443" t="s">
        <v>178</v>
      </c>
      <c r="H192" s="444"/>
      <c r="I192" s="444"/>
      <c r="J192" s="444"/>
      <c r="K192" s="444"/>
      <c r="L192" s="445"/>
    </row>
    <row r="193" spans="4:12" x14ac:dyDescent="0.25">
      <c r="E193" s="357" t="s">
        <v>179</v>
      </c>
      <c r="F193" s="196" t="s">
        <v>180</v>
      </c>
      <c r="G193" s="443" t="s">
        <v>181</v>
      </c>
      <c r="H193" s="444"/>
      <c r="I193" s="444"/>
      <c r="J193" s="444"/>
      <c r="K193" s="444"/>
      <c r="L193" s="445"/>
    </row>
    <row r="194" spans="4:12" x14ac:dyDescent="0.25">
      <c r="E194" s="357" t="s">
        <v>182</v>
      </c>
      <c r="F194" s="196" t="s">
        <v>183</v>
      </c>
      <c r="G194" s="443" t="s">
        <v>184</v>
      </c>
      <c r="H194" s="444"/>
      <c r="I194" s="444"/>
      <c r="J194" s="444"/>
      <c r="K194" s="444"/>
      <c r="L194" s="445"/>
    </row>
    <row r="195" spans="4:12" x14ac:dyDescent="0.25">
      <c r="E195" s="357" t="s">
        <v>150</v>
      </c>
      <c r="F195" s="196" t="s">
        <v>148</v>
      </c>
      <c r="G195" s="443" t="s">
        <v>149</v>
      </c>
      <c r="H195" s="444"/>
      <c r="I195" s="444"/>
      <c r="J195" s="444"/>
      <c r="K195" s="444"/>
      <c r="L195" s="445"/>
    </row>
    <row r="196" spans="4:12" ht="15.75" thickBot="1" x14ac:dyDescent="0.3">
      <c r="E196" s="298" t="s">
        <v>185</v>
      </c>
      <c r="F196" s="178" t="s">
        <v>186</v>
      </c>
      <c r="G196" s="440" t="s">
        <v>187</v>
      </c>
      <c r="H196" s="441"/>
      <c r="I196" s="441"/>
      <c r="J196" s="441"/>
      <c r="K196" s="441"/>
      <c r="L196" s="442"/>
    </row>
    <row r="197" spans="4:12" x14ac:dyDescent="0.25">
      <c r="E197" s="44"/>
      <c r="F197" s="45"/>
      <c r="G197" s="45"/>
    </row>
    <row r="198" spans="4:12" ht="15.75" thickBot="1" x14ac:dyDescent="0.3">
      <c r="D198" t="s">
        <v>188</v>
      </c>
    </row>
    <row r="199" spans="4:12" ht="15.75" thickBot="1" x14ac:dyDescent="0.3">
      <c r="E199" s="381" t="s">
        <v>0</v>
      </c>
      <c r="F199" s="382" t="s">
        <v>1</v>
      </c>
      <c r="G199" s="383" t="s">
        <v>4</v>
      </c>
    </row>
    <row r="200" spans="4:12" x14ac:dyDescent="0.25">
      <c r="E200" s="353" t="s">
        <v>189</v>
      </c>
      <c r="F200" s="384" t="s">
        <v>190</v>
      </c>
      <c r="G200" s="385" t="s">
        <v>191</v>
      </c>
    </row>
    <row r="201" spans="4:12" x14ac:dyDescent="0.25">
      <c r="E201" s="193" t="s">
        <v>192</v>
      </c>
      <c r="F201" s="194" t="s">
        <v>193</v>
      </c>
      <c r="G201" s="195" t="s">
        <v>194</v>
      </c>
    </row>
    <row r="202" spans="4:12" x14ac:dyDescent="0.25">
      <c r="E202" s="193" t="s">
        <v>195</v>
      </c>
      <c r="F202" s="161" t="s">
        <v>196</v>
      </c>
      <c r="G202" s="386" t="s">
        <v>197</v>
      </c>
    </row>
    <row r="203" spans="4:12" x14ac:dyDescent="0.25">
      <c r="E203" s="193" t="s">
        <v>198</v>
      </c>
      <c r="F203" s="161" t="s">
        <v>199</v>
      </c>
      <c r="G203" s="386" t="s">
        <v>200</v>
      </c>
    </row>
    <row r="204" spans="4:12" x14ac:dyDescent="0.25">
      <c r="E204" s="193" t="s">
        <v>201</v>
      </c>
      <c r="F204" s="161" t="s">
        <v>202</v>
      </c>
      <c r="G204" s="386" t="s">
        <v>203</v>
      </c>
    </row>
    <row r="205" spans="4:12" ht="15.75" thickBot="1" x14ac:dyDescent="0.3">
      <c r="E205" s="231" t="s">
        <v>204</v>
      </c>
      <c r="F205" s="269" t="s">
        <v>205</v>
      </c>
      <c r="G205" s="387" t="s">
        <v>206</v>
      </c>
    </row>
    <row r="207" spans="4:12" x14ac:dyDescent="0.25">
      <c r="D207" t="s">
        <v>207</v>
      </c>
    </row>
    <row r="209" spans="2:7" x14ac:dyDescent="0.25">
      <c r="C209" t="s">
        <v>1861</v>
      </c>
    </row>
    <row r="210" spans="2:7" x14ac:dyDescent="0.25">
      <c r="C210" t="s">
        <v>110</v>
      </c>
    </row>
    <row r="211" spans="2:7" x14ac:dyDescent="0.25">
      <c r="D211" t="s">
        <v>113</v>
      </c>
    </row>
    <row r="212" spans="2:7" x14ac:dyDescent="0.25">
      <c r="C212" t="s">
        <v>111</v>
      </c>
    </row>
    <row r="213" spans="2:7" x14ac:dyDescent="0.25">
      <c r="C213" t="s">
        <v>208</v>
      </c>
    </row>
    <row r="216" spans="2:7" x14ac:dyDescent="0.25">
      <c r="B216" s="1" t="s">
        <v>958</v>
      </c>
    </row>
    <row r="217" spans="2:7" x14ac:dyDescent="0.25">
      <c r="C217" s="221" t="s">
        <v>84</v>
      </c>
    </row>
    <row r="218" spans="2:7" x14ac:dyDescent="0.25">
      <c r="C218" t="s">
        <v>85</v>
      </c>
    </row>
    <row r="219" spans="2:7" x14ac:dyDescent="0.25">
      <c r="D219" t="s">
        <v>86</v>
      </c>
      <c r="F219" s="222"/>
      <c r="G219" s="222"/>
    </row>
    <row r="220" spans="2:7" x14ac:dyDescent="0.25">
      <c r="E220" t="s">
        <v>20</v>
      </c>
    </row>
    <row r="221" spans="2:7" x14ac:dyDescent="0.25">
      <c r="E221" t="s">
        <v>21</v>
      </c>
    </row>
    <row r="222" spans="2:7" x14ac:dyDescent="0.25">
      <c r="D222" t="s">
        <v>87</v>
      </c>
    </row>
    <row r="223" spans="2:7" ht="18" x14ac:dyDescent="0.35">
      <c r="E223" t="s">
        <v>22</v>
      </c>
    </row>
    <row r="224" spans="2:7" ht="18" x14ac:dyDescent="0.35">
      <c r="E224" t="s">
        <v>88</v>
      </c>
    </row>
    <row r="225" spans="2:4" x14ac:dyDescent="0.25">
      <c r="D225" t="s">
        <v>24</v>
      </c>
    </row>
    <row r="226" spans="2:4" x14ac:dyDescent="0.25">
      <c r="D226" t="s">
        <v>23</v>
      </c>
    </row>
    <row r="227" spans="2:4" x14ac:dyDescent="0.25">
      <c r="D227" t="s">
        <v>89</v>
      </c>
    </row>
    <row r="229" spans="2:4" x14ac:dyDescent="0.25">
      <c r="C229" s="221"/>
    </row>
    <row r="233" spans="2:4" x14ac:dyDescent="0.25">
      <c r="D233" t="s">
        <v>90</v>
      </c>
    </row>
    <row r="237" spans="2:4" x14ac:dyDescent="0.25">
      <c r="D237" t="s">
        <v>91</v>
      </c>
    </row>
    <row r="240" spans="2:4" x14ac:dyDescent="0.25">
      <c r="B240" s="221" t="s">
        <v>120</v>
      </c>
    </row>
    <row r="241" spans="2:4" x14ac:dyDescent="0.25">
      <c r="B241" s="221"/>
      <c r="C241" s="221" t="s">
        <v>121</v>
      </c>
    </row>
    <row r="242" spans="2:4" x14ac:dyDescent="0.25">
      <c r="B242" s="221"/>
      <c r="C242" t="s">
        <v>122</v>
      </c>
    </row>
    <row r="243" spans="2:4" x14ac:dyDescent="0.25">
      <c r="B243" s="221"/>
      <c r="D243" t="s">
        <v>123</v>
      </c>
    </row>
    <row r="244" spans="2:4" x14ac:dyDescent="0.25">
      <c r="B244" s="221"/>
    </row>
    <row r="245" spans="2:4" x14ac:dyDescent="0.25">
      <c r="B245" s="221" t="s">
        <v>159</v>
      </c>
    </row>
    <row r="246" spans="2:4" x14ac:dyDescent="0.25">
      <c r="B246" s="221"/>
      <c r="C246" s="221" t="s">
        <v>209</v>
      </c>
    </row>
    <row r="247" spans="2:4" x14ac:dyDescent="0.25">
      <c r="B247" s="221"/>
      <c r="C247" t="s">
        <v>210</v>
      </c>
    </row>
    <row r="248" spans="2:4" x14ac:dyDescent="0.25">
      <c r="B248" s="221"/>
    </row>
    <row r="249" spans="2:4" x14ac:dyDescent="0.25">
      <c r="B249" s="221" t="s">
        <v>93</v>
      </c>
    </row>
    <row r="250" spans="2:4" x14ac:dyDescent="0.25">
      <c r="C250" t="s">
        <v>960</v>
      </c>
    </row>
    <row r="251" spans="2:4" x14ac:dyDescent="0.25">
      <c r="C251" s="221" t="s">
        <v>97</v>
      </c>
    </row>
    <row r="252" spans="2:4" x14ac:dyDescent="0.25">
      <c r="D252" t="s">
        <v>94</v>
      </c>
    </row>
    <row r="253" spans="2:4" x14ac:dyDescent="0.25">
      <c r="D253" t="s">
        <v>95</v>
      </c>
    </row>
    <row r="254" spans="2:4" x14ac:dyDescent="0.25">
      <c r="D254" t="s">
        <v>96</v>
      </c>
    </row>
  </sheetData>
  <mergeCells count="11">
    <mergeCell ref="G187:L187"/>
    <mergeCell ref="G188:L188"/>
    <mergeCell ref="G189:L189"/>
    <mergeCell ref="G190:L190"/>
    <mergeCell ref="D3:F5"/>
    <mergeCell ref="G196:L196"/>
    <mergeCell ref="G191:L191"/>
    <mergeCell ref="G192:L192"/>
    <mergeCell ref="G193:L193"/>
    <mergeCell ref="G194:L194"/>
    <mergeCell ref="G195:L195"/>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116"/>
  <sheetViews>
    <sheetView showGridLines="0" zoomScaleNormal="100" workbookViewId="0"/>
  </sheetViews>
  <sheetFormatPr defaultColWidth="9.140625" defaultRowHeight="15" x14ac:dyDescent="0.25"/>
  <cols>
    <col min="1" max="1" width="8.5703125" customWidth="1"/>
    <col min="2" max="2" width="17.42578125" style="4" customWidth="1"/>
    <col min="3" max="3" width="58.85546875" style="4" customWidth="1"/>
    <col min="4" max="4" width="21.42578125" bestFit="1" customWidth="1"/>
    <col min="5" max="6" width="14.42578125" customWidth="1"/>
    <col min="7" max="7" width="22.7109375" bestFit="1" customWidth="1"/>
    <col min="8" max="8" width="22.7109375" customWidth="1"/>
    <col min="9" max="9" width="19.5703125" customWidth="1"/>
    <col min="10" max="10" width="18.42578125" bestFit="1" customWidth="1"/>
    <col min="11" max="11" width="9.85546875" customWidth="1"/>
    <col min="12" max="12" width="16" customWidth="1"/>
    <col min="13" max="13" width="14.85546875" customWidth="1"/>
    <col min="14" max="14" width="47" customWidth="1"/>
    <col min="15" max="15" width="9.140625" customWidth="1"/>
    <col min="16" max="16" width="12" bestFit="1" customWidth="1"/>
  </cols>
  <sheetData>
    <row r="1" spans="1:10" s="46" customFormat="1" ht="54" customHeight="1" x14ac:dyDescent="0.25">
      <c r="A1" s="106"/>
      <c r="B1" s="107"/>
      <c r="C1" s="107"/>
    </row>
    <row r="2" spans="1:10" s="254" customFormat="1" ht="15.75" thickBot="1" x14ac:dyDescent="0.3">
      <c r="B2" s="270"/>
      <c r="C2" s="271"/>
      <c r="D2" s="273"/>
      <c r="E2" s="272"/>
      <c r="F2" s="272"/>
      <c r="G2" s="272"/>
      <c r="H2" s="272"/>
      <c r="I2" s="272"/>
      <c r="J2" s="272"/>
    </row>
    <row r="3" spans="1:10" s="274" customFormat="1" ht="15.75" thickBot="1" x14ac:dyDescent="0.3">
      <c r="A3" s="274" t="s">
        <v>1162</v>
      </c>
      <c r="B3" s="275" t="s">
        <v>1272</v>
      </c>
      <c r="C3" s="276"/>
      <c r="D3" s="277"/>
      <c r="E3" s="278"/>
      <c r="F3" s="278"/>
      <c r="G3" s="278"/>
      <c r="H3" s="278"/>
      <c r="I3" s="278"/>
      <c r="J3" s="278"/>
    </row>
    <row r="4" spans="1:10" s="279" customFormat="1" ht="15.75" thickBot="1" x14ac:dyDescent="0.3">
      <c r="B4" s="280"/>
      <c r="C4" s="281"/>
      <c r="D4" s="282"/>
      <c r="E4" s="283"/>
      <c r="F4" s="283"/>
      <c r="G4" s="283"/>
      <c r="H4" s="283"/>
      <c r="I4" s="283"/>
      <c r="J4" s="283"/>
    </row>
    <row r="5" spans="1:10" ht="15.75" thickBot="1" x14ac:dyDescent="0.3">
      <c r="A5" s="1"/>
      <c r="B5" s="108"/>
      <c r="C5" s="109" t="s">
        <v>265</v>
      </c>
      <c r="D5" s="108" t="s">
        <v>469</v>
      </c>
      <c r="E5" s="108"/>
      <c r="F5" s="108"/>
      <c r="G5" s="108"/>
      <c r="H5" s="108"/>
      <c r="I5" s="108"/>
    </row>
    <row r="6" spans="1:10" s="1" customFormat="1" ht="15.75" thickBot="1" x14ac:dyDescent="0.3">
      <c r="B6" s="125" t="s">
        <v>0</v>
      </c>
      <c r="C6" s="126" t="s">
        <v>1</v>
      </c>
      <c r="D6" s="180" t="s">
        <v>980</v>
      </c>
      <c r="E6" s="181" t="s">
        <v>534</v>
      </c>
      <c r="F6" s="181" t="s">
        <v>535</v>
      </c>
      <c r="G6" s="127" t="s">
        <v>2</v>
      </c>
      <c r="H6" s="127" t="s">
        <v>406</v>
      </c>
      <c r="I6" s="127" t="s">
        <v>115</v>
      </c>
      <c r="J6" s="128" t="s">
        <v>116</v>
      </c>
    </row>
    <row r="7" spans="1:10" s="1" customFormat="1" ht="18" x14ac:dyDescent="0.25">
      <c r="B7" s="116" t="s">
        <v>418</v>
      </c>
      <c r="C7" s="110" t="s">
        <v>214</v>
      </c>
      <c r="D7" s="117">
        <v>9</v>
      </c>
      <c r="E7" s="290">
        <v>0</v>
      </c>
      <c r="F7" s="290" t="s">
        <v>1270</v>
      </c>
      <c r="G7" s="94" t="s">
        <v>421</v>
      </c>
      <c r="H7" s="94"/>
      <c r="I7" s="70"/>
      <c r="J7" s="129"/>
    </row>
    <row r="8" spans="1:10" s="1" customFormat="1" ht="18.75" thickBot="1" x14ac:dyDescent="0.3">
      <c r="B8" s="120" t="s">
        <v>1382</v>
      </c>
      <c r="C8" s="112" t="s">
        <v>886</v>
      </c>
      <c r="D8" s="121">
        <v>1</v>
      </c>
      <c r="E8" s="292">
        <v>0</v>
      </c>
      <c r="F8" s="292" t="s">
        <v>1270</v>
      </c>
      <c r="G8" s="96" t="s">
        <v>885</v>
      </c>
      <c r="H8" s="96"/>
      <c r="I8" s="72"/>
      <c r="J8" s="131"/>
    </row>
    <row r="9" spans="1:10" s="1" customFormat="1" ht="15.75" thickBot="1" x14ac:dyDescent="0.3">
      <c r="B9" s="132"/>
      <c r="C9" s="133"/>
      <c r="D9" s="134"/>
      <c r="E9" s="135"/>
      <c r="F9" s="135"/>
      <c r="G9" s="137"/>
      <c r="H9" s="137"/>
      <c r="I9" s="136"/>
      <c r="J9" s="136"/>
    </row>
    <row r="10" spans="1:10" ht="15.75" thickBot="1" x14ac:dyDescent="0.3">
      <c r="A10" s="1"/>
      <c r="B10" s="108"/>
      <c r="C10" s="109" t="s">
        <v>470</v>
      </c>
      <c r="D10" s="108" t="s">
        <v>469</v>
      </c>
      <c r="E10" s="108"/>
      <c r="F10" s="108"/>
      <c r="G10" s="108"/>
      <c r="H10" s="108"/>
      <c r="I10" s="108"/>
    </row>
    <row r="11" spans="1:10" s="1" customFormat="1" ht="15.75" thickBot="1" x14ac:dyDescent="0.3">
      <c r="B11" s="125" t="s">
        <v>0</v>
      </c>
      <c r="C11" s="126" t="s">
        <v>1</v>
      </c>
      <c r="D11" s="180" t="s">
        <v>980</v>
      </c>
      <c r="E11" s="181" t="s">
        <v>534</v>
      </c>
      <c r="F11" s="181" t="s">
        <v>535</v>
      </c>
      <c r="G11" s="127" t="s">
        <v>2</v>
      </c>
      <c r="H11" s="127" t="s">
        <v>406</v>
      </c>
      <c r="I11" s="127" t="s">
        <v>115</v>
      </c>
      <c r="J11" s="128" t="s">
        <v>116</v>
      </c>
    </row>
    <row r="12" spans="1:10" s="1" customFormat="1" ht="18" x14ac:dyDescent="0.25">
      <c r="B12" s="116" t="s">
        <v>419</v>
      </c>
      <c r="C12" s="110" t="s">
        <v>887</v>
      </c>
      <c r="D12" s="117" t="s">
        <v>215</v>
      </c>
      <c r="E12" s="290">
        <v>0</v>
      </c>
      <c r="F12" s="290" t="s">
        <v>1270</v>
      </c>
      <c r="G12" s="94" t="s">
        <v>888</v>
      </c>
      <c r="H12" s="94"/>
      <c r="I12" s="70"/>
      <c r="J12" s="129"/>
    </row>
    <row r="13" spans="1:10" s="1" customFormat="1" ht="18" x14ac:dyDescent="0.25">
      <c r="B13" s="118" t="s">
        <v>1383</v>
      </c>
      <c r="C13" s="111" t="s">
        <v>890</v>
      </c>
      <c r="D13" s="119">
        <v>0.1</v>
      </c>
      <c r="E13" s="291">
        <v>0</v>
      </c>
      <c r="F13" s="291" t="s">
        <v>1270</v>
      </c>
      <c r="G13" s="95" t="s">
        <v>885</v>
      </c>
      <c r="H13" s="95"/>
      <c r="I13" s="71"/>
      <c r="J13" s="130"/>
    </row>
    <row r="14" spans="1:10" s="1" customFormat="1" ht="18.75" thickBot="1" x14ac:dyDescent="0.3">
      <c r="B14" s="120" t="s">
        <v>423</v>
      </c>
      <c r="C14" s="112" t="s">
        <v>889</v>
      </c>
      <c r="D14" s="121">
        <v>0.3</v>
      </c>
      <c r="E14" s="292">
        <v>0</v>
      </c>
      <c r="F14" s="292" t="s">
        <v>1270</v>
      </c>
      <c r="G14" s="96" t="s">
        <v>421</v>
      </c>
      <c r="H14" s="96"/>
      <c r="I14" s="72"/>
      <c r="J14" s="131"/>
    </row>
    <row r="15" spans="1:10" s="1" customFormat="1" ht="15.75" thickBot="1" x14ac:dyDescent="0.3">
      <c r="B15" s="132"/>
      <c r="C15" s="133"/>
      <c r="D15" s="134"/>
      <c r="E15" s="135"/>
      <c r="F15" s="135"/>
      <c r="G15" s="137"/>
      <c r="H15" s="137"/>
      <c r="I15" s="136"/>
      <c r="J15" s="136"/>
    </row>
    <row r="16" spans="1:10" ht="15.75" thickBot="1" x14ac:dyDescent="0.3">
      <c r="A16" s="1"/>
      <c r="B16" s="108"/>
      <c r="C16" s="109" t="s">
        <v>471</v>
      </c>
      <c r="D16" s="108" t="s">
        <v>469</v>
      </c>
      <c r="E16" s="108"/>
      <c r="F16" s="108"/>
      <c r="G16" s="108"/>
      <c r="H16" s="108"/>
      <c r="I16" s="108"/>
    </row>
    <row r="17" spans="1:10" s="1" customFormat="1" ht="15.75" thickBot="1" x14ac:dyDescent="0.3">
      <c r="B17" s="257" t="s">
        <v>0</v>
      </c>
      <c r="C17" s="258" t="s">
        <v>1</v>
      </c>
      <c r="D17" s="253" t="s">
        <v>980</v>
      </c>
      <c r="E17" s="261" t="s">
        <v>534</v>
      </c>
      <c r="F17" s="261" t="s">
        <v>535</v>
      </c>
      <c r="G17" s="259" t="s">
        <v>2</v>
      </c>
      <c r="H17" s="259" t="s">
        <v>406</v>
      </c>
      <c r="I17" s="259" t="s">
        <v>115</v>
      </c>
      <c r="J17" s="260" t="s">
        <v>116</v>
      </c>
    </row>
    <row r="18" spans="1:10" s="1" customFormat="1" ht="18" x14ac:dyDescent="0.25">
      <c r="B18" s="116" t="s">
        <v>420</v>
      </c>
      <c r="C18" s="110" t="s">
        <v>891</v>
      </c>
      <c r="D18" s="117">
        <v>3</v>
      </c>
      <c r="E18" s="290">
        <v>0</v>
      </c>
      <c r="F18" s="290" t="s">
        <v>1270</v>
      </c>
      <c r="G18" s="94" t="s">
        <v>421</v>
      </c>
      <c r="H18" s="94"/>
      <c r="I18" s="70"/>
      <c r="J18" s="129"/>
    </row>
    <row r="19" spans="1:10" s="1" customFormat="1" ht="18" x14ac:dyDescent="0.25">
      <c r="B19" s="118" t="s">
        <v>1324</v>
      </c>
      <c r="C19" s="111" t="s">
        <v>892</v>
      </c>
      <c r="D19" s="119">
        <v>0.8</v>
      </c>
      <c r="E19" s="291">
        <v>0</v>
      </c>
      <c r="F19" s="291" t="s">
        <v>1270</v>
      </c>
      <c r="G19" s="95" t="s">
        <v>216</v>
      </c>
      <c r="H19" s="95"/>
      <c r="I19" s="71"/>
      <c r="J19" s="130"/>
    </row>
    <row r="20" spans="1:10" s="1" customFormat="1" ht="18" x14ac:dyDescent="0.25">
      <c r="B20" s="118" t="s">
        <v>1384</v>
      </c>
      <c r="C20" s="111" t="s">
        <v>893</v>
      </c>
      <c r="D20" s="119">
        <v>10</v>
      </c>
      <c r="E20" s="291">
        <v>0</v>
      </c>
      <c r="F20" s="291" t="s">
        <v>1270</v>
      </c>
      <c r="G20" s="95" t="s">
        <v>491</v>
      </c>
      <c r="H20" s="95"/>
      <c r="I20" s="71"/>
      <c r="J20" s="130"/>
    </row>
    <row r="21" spans="1:10" s="1" customFormat="1" ht="18" x14ac:dyDescent="0.25">
      <c r="B21" s="118" t="s">
        <v>422</v>
      </c>
      <c r="C21" s="111" t="s">
        <v>894</v>
      </c>
      <c r="D21" s="119" t="s">
        <v>217</v>
      </c>
      <c r="E21" s="291">
        <v>0</v>
      </c>
      <c r="F21" s="291" t="s">
        <v>1270</v>
      </c>
      <c r="G21" s="95" t="s">
        <v>421</v>
      </c>
      <c r="H21" s="95"/>
      <c r="I21" s="71"/>
      <c r="J21" s="130"/>
    </row>
    <row r="22" spans="1:10" s="1" customFormat="1" ht="18" x14ac:dyDescent="0.25">
      <c r="B22" s="118" t="s">
        <v>1325</v>
      </c>
      <c r="C22" s="111" t="s">
        <v>895</v>
      </c>
      <c r="D22" s="119">
        <v>0.33</v>
      </c>
      <c r="E22" s="291">
        <v>0</v>
      </c>
      <c r="F22" s="291" t="s">
        <v>1270</v>
      </c>
      <c r="G22" s="95" t="s">
        <v>216</v>
      </c>
      <c r="H22" s="95"/>
      <c r="I22" s="71"/>
      <c r="J22" s="130"/>
    </row>
    <row r="23" spans="1:10" s="1" customFormat="1" ht="18" x14ac:dyDescent="0.25">
      <c r="B23" s="118" t="s">
        <v>1385</v>
      </c>
      <c r="C23" s="111" t="s">
        <v>896</v>
      </c>
      <c r="D23" s="119">
        <v>0.2</v>
      </c>
      <c r="E23" s="291">
        <v>0</v>
      </c>
      <c r="F23" s="291" t="s">
        <v>1270</v>
      </c>
      <c r="G23" s="95" t="s">
        <v>899</v>
      </c>
      <c r="H23" s="95"/>
      <c r="I23" s="71"/>
      <c r="J23" s="130"/>
    </row>
    <row r="24" spans="1:10" s="1" customFormat="1" ht="18" x14ac:dyDescent="0.25">
      <c r="B24" s="118" t="s">
        <v>1386</v>
      </c>
      <c r="C24" s="111" t="s">
        <v>897</v>
      </c>
      <c r="D24" s="119">
        <v>0.5</v>
      </c>
      <c r="E24" s="291">
        <v>0</v>
      </c>
      <c r="F24" s="291" t="s">
        <v>1270</v>
      </c>
      <c r="G24" s="95" t="s">
        <v>502</v>
      </c>
      <c r="H24" s="95"/>
      <c r="I24" s="71"/>
      <c r="J24" s="130"/>
    </row>
    <row r="25" spans="1:10" s="1" customFormat="1" ht="18" x14ac:dyDescent="0.25">
      <c r="B25" s="118" t="s">
        <v>1387</v>
      </c>
      <c r="C25" s="111" t="s">
        <v>898</v>
      </c>
      <c r="D25" s="119">
        <v>0.01</v>
      </c>
      <c r="E25" s="291">
        <v>0</v>
      </c>
      <c r="F25" s="291" t="s">
        <v>1270</v>
      </c>
      <c r="G25" s="95" t="s">
        <v>502</v>
      </c>
      <c r="H25" s="95"/>
      <c r="I25" s="71"/>
      <c r="J25" s="130"/>
    </row>
    <row r="26" spans="1:10" s="1" customFormat="1" ht="18" x14ac:dyDescent="0.25">
      <c r="B26" s="118" t="s">
        <v>1388</v>
      </c>
      <c r="C26" s="111" t="s">
        <v>407</v>
      </c>
      <c r="D26" s="119">
        <v>0.01</v>
      </c>
      <c r="E26" s="291">
        <v>0</v>
      </c>
      <c r="F26" s="291" t="s">
        <v>1270</v>
      </c>
      <c r="G26" s="95" t="s">
        <v>1267</v>
      </c>
      <c r="H26" s="95"/>
      <c r="I26" s="71"/>
      <c r="J26" s="130"/>
    </row>
    <row r="27" spans="1:10" s="1" customFormat="1" ht="18.75" thickBot="1" x14ac:dyDescent="0.3">
      <c r="B27" s="120" t="s">
        <v>1389</v>
      </c>
      <c r="C27" s="112" t="s">
        <v>1334</v>
      </c>
      <c r="D27" s="121">
        <v>1E-4</v>
      </c>
      <c r="E27" s="292">
        <v>0</v>
      </c>
      <c r="F27" s="292" t="s">
        <v>1270</v>
      </c>
      <c r="G27" s="96" t="s">
        <v>424</v>
      </c>
      <c r="H27" s="96"/>
      <c r="I27" s="72"/>
      <c r="J27" s="131"/>
    </row>
    <row r="28" spans="1:10" s="1" customFormat="1" ht="15.75" thickBot="1" x14ac:dyDescent="0.3">
      <c r="B28" s="132"/>
      <c r="C28" s="133"/>
      <c r="D28" s="134"/>
      <c r="E28" s="135"/>
      <c r="F28" s="135"/>
      <c r="G28" s="137"/>
      <c r="H28" s="137"/>
      <c r="I28" s="136"/>
      <c r="J28" s="136"/>
    </row>
    <row r="29" spans="1:10" ht="15.75" thickBot="1" x14ac:dyDescent="0.3">
      <c r="A29" s="1"/>
      <c r="B29" s="108"/>
      <c r="C29" s="109" t="s">
        <v>472</v>
      </c>
      <c r="D29" s="108" t="s">
        <v>469</v>
      </c>
      <c r="E29" s="108"/>
      <c r="F29" s="108"/>
      <c r="G29" s="108"/>
      <c r="H29" s="108"/>
      <c r="I29" s="108"/>
    </row>
    <row r="30" spans="1:10" s="1" customFormat="1" ht="15.75" thickBot="1" x14ac:dyDescent="0.3">
      <c r="B30" s="257" t="s">
        <v>0</v>
      </c>
      <c r="C30" s="258" t="s">
        <v>1</v>
      </c>
      <c r="D30" s="253" t="s">
        <v>980</v>
      </c>
      <c r="E30" s="261" t="s">
        <v>534</v>
      </c>
      <c r="F30" s="261" t="s">
        <v>535</v>
      </c>
      <c r="G30" s="259" t="s">
        <v>2</v>
      </c>
      <c r="H30" s="259" t="s">
        <v>406</v>
      </c>
      <c r="I30" s="259" t="s">
        <v>115</v>
      </c>
      <c r="J30" s="260" t="s">
        <v>116</v>
      </c>
    </row>
    <row r="31" spans="1:10" s="1" customFormat="1" ht="18" x14ac:dyDescent="0.25">
      <c r="B31" s="116" t="s">
        <v>425</v>
      </c>
      <c r="C31" s="110" t="s">
        <v>904</v>
      </c>
      <c r="D31" s="117" t="s">
        <v>218</v>
      </c>
      <c r="E31" s="290">
        <v>0</v>
      </c>
      <c r="F31" s="290" t="s">
        <v>1270</v>
      </c>
      <c r="G31" s="94" t="s">
        <v>888</v>
      </c>
      <c r="H31" s="94"/>
      <c r="I31" s="70"/>
      <c r="J31" s="129"/>
    </row>
    <row r="32" spans="1:10" s="1" customFormat="1" ht="18" x14ac:dyDescent="0.25">
      <c r="B32" s="118" t="s">
        <v>426</v>
      </c>
      <c r="C32" s="111" t="s">
        <v>905</v>
      </c>
      <c r="D32" s="119" t="s">
        <v>219</v>
      </c>
      <c r="E32" s="291">
        <v>0</v>
      </c>
      <c r="F32" s="291" t="s">
        <v>1270</v>
      </c>
      <c r="G32" s="95" t="s">
        <v>902</v>
      </c>
      <c r="H32" s="95"/>
      <c r="I32" s="71"/>
      <c r="J32" s="130"/>
    </row>
    <row r="33" spans="2:10" s="1" customFormat="1" ht="18" x14ac:dyDescent="0.25">
      <c r="B33" s="118" t="s">
        <v>427</v>
      </c>
      <c r="C33" s="111" t="s">
        <v>906</v>
      </c>
      <c r="D33" s="119">
        <v>0.05</v>
      </c>
      <c r="E33" s="291">
        <v>0</v>
      </c>
      <c r="F33" s="291" t="s">
        <v>1270</v>
      </c>
      <c r="G33" s="95" t="s">
        <v>903</v>
      </c>
      <c r="H33" s="95"/>
      <c r="I33" s="71"/>
      <c r="J33" s="130"/>
    </row>
    <row r="34" spans="2:10" s="1" customFormat="1" ht="18" x14ac:dyDescent="0.25">
      <c r="B34" s="118" t="s">
        <v>1390</v>
      </c>
      <c r="C34" s="111" t="s">
        <v>907</v>
      </c>
      <c r="D34" s="119">
        <v>0.2</v>
      </c>
      <c r="E34" s="291">
        <v>0</v>
      </c>
      <c r="F34" s="291" t="s">
        <v>1270</v>
      </c>
      <c r="G34" s="95" t="s">
        <v>903</v>
      </c>
      <c r="H34" s="95"/>
      <c r="I34" s="71"/>
      <c r="J34" s="130"/>
    </row>
    <row r="35" spans="2:10" s="1" customFormat="1" ht="18" x14ac:dyDescent="0.25">
      <c r="B35" s="118" t="s">
        <v>1391</v>
      </c>
      <c r="C35" s="111" t="s">
        <v>908</v>
      </c>
      <c r="D35" s="119">
        <v>0.05</v>
      </c>
      <c r="E35" s="291">
        <v>0</v>
      </c>
      <c r="F35" s="291" t="s">
        <v>1270</v>
      </c>
      <c r="G35" s="95" t="s">
        <v>903</v>
      </c>
      <c r="H35" s="95"/>
      <c r="I35" s="71"/>
      <c r="J35" s="130"/>
    </row>
    <row r="36" spans="2:10" s="1" customFormat="1" ht="18" x14ac:dyDescent="0.25">
      <c r="B36" s="118" t="s">
        <v>428</v>
      </c>
      <c r="C36" s="111" t="s">
        <v>408</v>
      </c>
      <c r="D36" s="119">
        <v>1</v>
      </c>
      <c r="E36" s="291">
        <v>0</v>
      </c>
      <c r="F36" s="291" t="s">
        <v>1270</v>
      </c>
      <c r="G36" s="95" t="s">
        <v>421</v>
      </c>
      <c r="H36" s="95"/>
      <c r="I36" s="71"/>
      <c r="J36" s="130"/>
    </row>
    <row r="37" spans="2:10" s="1" customFormat="1" ht="18" x14ac:dyDescent="0.25">
      <c r="B37" s="118" t="s">
        <v>1326</v>
      </c>
      <c r="C37" s="111" t="s">
        <v>409</v>
      </c>
      <c r="D37" s="119">
        <v>0.6</v>
      </c>
      <c r="E37" s="291">
        <v>0</v>
      </c>
      <c r="F37" s="291" t="s">
        <v>1270</v>
      </c>
      <c r="G37" s="95" t="s">
        <v>216</v>
      </c>
      <c r="H37" s="95"/>
      <c r="I37" s="71"/>
      <c r="J37" s="130"/>
    </row>
    <row r="38" spans="2:10" s="1" customFormat="1" ht="18" x14ac:dyDescent="0.25">
      <c r="B38" s="118" t="s">
        <v>1392</v>
      </c>
      <c r="C38" s="111" t="s">
        <v>909</v>
      </c>
      <c r="D38" s="119">
        <v>0.1</v>
      </c>
      <c r="E38" s="291">
        <v>0</v>
      </c>
      <c r="F38" s="291" t="s">
        <v>1270</v>
      </c>
      <c r="G38" s="95" t="s">
        <v>429</v>
      </c>
      <c r="H38" s="95"/>
      <c r="I38" s="71"/>
      <c r="J38" s="130"/>
    </row>
    <row r="39" spans="2:10" s="1" customFormat="1" ht="18" x14ac:dyDescent="0.25">
      <c r="B39" s="118" t="s">
        <v>430</v>
      </c>
      <c r="C39" s="111" t="s">
        <v>410</v>
      </c>
      <c r="D39" s="119" t="s">
        <v>220</v>
      </c>
      <c r="E39" s="291">
        <v>0</v>
      </c>
      <c r="F39" s="291" t="s">
        <v>1270</v>
      </c>
      <c r="G39" s="95" t="s">
        <v>421</v>
      </c>
      <c r="H39" s="95"/>
      <c r="I39" s="71"/>
      <c r="J39" s="130"/>
    </row>
    <row r="40" spans="2:10" s="1" customFormat="1" ht="18" x14ac:dyDescent="0.25">
      <c r="B40" s="118" t="s">
        <v>1327</v>
      </c>
      <c r="C40" s="111" t="s">
        <v>411</v>
      </c>
      <c r="D40" s="119">
        <v>0.33</v>
      </c>
      <c r="E40" s="291">
        <v>0</v>
      </c>
      <c r="F40" s="291" t="s">
        <v>1270</v>
      </c>
      <c r="G40" s="95" t="s">
        <v>216</v>
      </c>
      <c r="H40" s="95"/>
      <c r="I40" s="71"/>
      <c r="J40" s="130"/>
    </row>
    <row r="41" spans="2:10" s="1" customFormat="1" ht="18" x14ac:dyDescent="0.25">
      <c r="B41" s="118" t="s">
        <v>431</v>
      </c>
      <c r="C41" s="111" t="s">
        <v>910</v>
      </c>
      <c r="D41" s="119" t="s">
        <v>220</v>
      </c>
      <c r="E41" s="291">
        <v>0</v>
      </c>
      <c r="F41" s="291" t="s">
        <v>1270</v>
      </c>
      <c r="G41" s="95" t="s">
        <v>421</v>
      </c>
      <c r="H41" s="95"/>
      <c r="I41" s="71"/>
      <c r="J41" s="130"/>
    </row>
    <row r="42" spans="2:10" s="1" customFormat="1" ht="18" x14ac:dyDescent="0.25">
      <c r="B42" s="118" t="s">
        <v>1328</v>
      </c>
      <c r="C42" s="111" t="s">
        <v>911</v>
      </c>
      <c r="D42" s="119">
        <v>0.33</v>
      </c>
      <c r="E42" s="291">
        <v>0</v>
      </c>
      <c r="F42" s="291" t="s">
        <v>1270</v>
      </c>
      <c r="G42" s="95" t="s">
        <v>216</v>
      </c>
      <c r="H42" s="95"/>
      <c r="I42" s="71"/>
      <c r="J42" s="130"/>
    </row>
    <row r="43" spans="2:10" s="1" customFormat="1" ht="18" x14ac:dyDescent="0.25">
      <c r="B43" s="118" t="s">
        <v>432</v>
      </c>
      <c r="C43" s="111" t="s">
        <v>912</v>
      </c>
      <c r="D43" s="119" t="s">
        <v>220</v>
      </c>
      <c r="E43" s="291">
        <v>0</v>
      </c>
      <c r="F43" s="291" t="s">
        <v>1270</v>
      </c>
      <c r="G43" s="95" t="s">
        <v>421</v>
      </c>
      <c r="H43" s="95"/>
      <c r="I43" s="71"/>
      <c r="J43" s="130"/>
    </row>
    <row r="44" spans="2:10" s="1" customFormat="1" ht="18" x14ac:dyDescent="0.25">
      <c r="B44" s="118" t="s">
        <v>1329</v>
      </c>
      <c r="C44" s="111" t="s">
        <v>913</v>
      </c>
      <c r="D44" s="119">
        <v>0.33</v>
      </c>
      <c r="E44" s="291">
        <v>0</v>
      </c>
      <c r="F44" s="291" t="s">
        <v>1270</v>
      </c>
      <c r="G44" s="95" t="s">
        <v>216</v>
      </c>
      <c r="H44" s="95"/>
      <c r="I44" s="71"/>
      <c r="J44" s="130"/>
    </row>
    <row r="45" spans="2:10" s="1" customFormat="1" ht="18" x14ac:dyDescent="0.25">
      <c r="B45" s="118" t="s">
        <v>1393</v>
      </c>
      <c r="C45" s="111" t="s">
        <v>893</v>
      </c>
      <c r="D45" s="119" t="s">
        <v>221</v>
      </c>
      <c r="E45" s="291">
        <v>0</v>
      </c>
      <c r="F45" s="291" t="s">
        <v>1270</v>
      </c>
      <c r="G45" s="95" t="s">
        <v>915</v>
      </c>
      <c r="H45" s="95"/>
      <c r="I45" s="71"/>
      <c r="J45" s="130"/>
    </row>
    <row r="46" spans="2:10" s="1" customFormat="1" ht="18" x14ac:dyDescent="0.25">
      <c r="B46" s="118" t="s">
        <v>1394</v>
      </c>
      <c r="C46" s="111" t="s">
        <v>896</v>
      </c>
      <c r="D46" s="119">
        <v>0.2</v>
      </c>
      <c r="E46" s="291">
        <v>0</v>
      </c>
      <c r="F46" s="291" t="s">
        <v>1270</v>
      </c>
      <c r="G46" s="95" t="s">
        <v>899</v>
      </c>
      <c r="H46" s="95"/>
      <c r="I46" s="71"/>
      <c r="J46" s="130"/>
    </row>
    <row r="47" spans="2:10" s="1" customFormat="1" ht="18" x14ac:dyDescent="0.25">
      <c r="B47" s="118" t="s">
        <v>1395</v>
      </c>
      <c r="C47" s="111" t="s">
        <v>897</v>
      </c>
      <c r="D47" s="119">
        <v>0.5</v>
      </c>
      <c r="E47" s="291">
        <v>0</v>
      </c>
      <c r="F47" s="291" t="s">
        <v>1270</v>
      </c>
      <c r="G47" s="95" t="s">
        <v>502</v>
      </c>
      <c r="H47" s="95"/>
      <c r="I47" s="71"/>
      <c r="J47" s="130"/>
    </row>
    <row r="48" spans="2:10" s="1" customFormat="1" ht="18" x14ac:dyDescent="0.25">
      <c r="B48" s="118" t="s">
        <v>1396</v>
      </c>
      <c r="C48" s="111" t="s">
        <v>898</v>
      </c>
      <c r="D48" s="119">
        <v>0.05</v>
      </c>
      <c r="E48" s="291">
        <v>0</v>
      </c>
      <c r="F48" s="291" t="s">
        <v>1270</v>
      </c>
      <c r="G48" s="95" t="s">
        <v>502</v>
      </c>
      <c r="H48" s="95"/>
      <c r="I48" s="71"/>
      <c r="J48" s="130"/>
    </row>
    <row r="49" spans="1:10" s="1" customFormat="1" ht="18" x14ac:dyDescent="0.25">
      <c r="B49" s="118" t="s">
        <v>1397</v>
      </c>
      <c r="C49" s="111" t="s">
        <v>914</v>
      </c>
      <c r="D49" s="119">
        <v>0.2</v>
      </c>
      <c r="E49" s="291">
        <v>0</v>
      </c>
      <c r="F49" s="291" t="s">
        <v>1270</v>
      </c>
      <c r="G49" s="95" t="s">
        <v>1267</v>
      </c>
      <c r="H49" s="95"/>
      <c r="I49" s="71"/>
      <c r="J49" s="130"/>
    </row>
    <row r="50" spans="1:10" s="1" customFormat="1" ht="18" x14ac:dyDescent="0.25">
      <c r="B50" s="118" t="s">
        <v>1398</v>
      </c>
      <c r="C50" s="111" t="s">
        <v>412</v>
      </c>
      <c r="D50" s="119">
        <v>0.01</v>
      </c>
      <c r="E50" s="291">
        <v>0</v>
      </c>
      <c r="F50" s="291" t="s">
        <v>1270</v>
      </c>
      <c r="G50" s="95" t="s">
        <v>1267</v>
      </c>
      <c r="H50" s="95"/>
      <c r="I50" s="71"/>
      <c r="J50" s="130"/>
    </row>
    <row r="51" spans="1:10" s="1" customFormat="1" ht="18.75" thickBot="1" x14ac:dyDescent="0.3">
      <c r="B51" s="120" t="s">
        <v>1399</v>
      </c>
      <c r="C51" s="112" t="s">
        <v>1334</v>
      </c>
      <c r="D51" s="121">
        <v>1E-4</v>
      </c>
      <c r="E51" s="292">
        <v>0</v>
      </c>
      <c r="F51" s="292" t="s">
        <v>1270</v>
      </c>
      <c r="G51" s="96" t="s">
        <v>424</v>
      </c>
      <c r="H51" s="96"/>
      <c r="I51" s="72"/>
      <c r="J51" s="131"/>
    </row>
    <row r="52" spans="1:10" s="1" customFormat="1" ht="15.75" thickBot="1" x14ac:dyDescent="0.3">
      <c r="B52" s="132"/>
      <c r="C52" s="133"/>
      <c r="D52" s="134"/>
      <c r="E52" s="135"/>
      <c r="F52" s="135"/>
      <c r="G52" s="137"/>
      <c r="H52" s="137"/>
      <c r="I52" s="136"/>
      <c r="J52" s="136"/>
    </row>
    <row r="53" spans="1:10" ht="15.75" thickBot="1" x14ac:dyDescent="0.3">
      <c r="A53" s="1"/>
      <c r="B53" s="108"/>
      <c r="C53" s="109" t="s">
        <v>473</v>
      </c>
      <c r="D53" s="108" t="s">
        <v>469</v>
      </c>
      <c r="E53" s="108"/>
      <c r="F53" s="108"/>
      <c r="G53" s="108"/>
      <c r="H53" s="108"/>
      <c r="I53" s="108"/>
    </row>
    <row r="54" spans="1:10" s="1" customFormat="1" ht="15.75" thickBot="1" x14ac:dyDescent="0.3">
      <c r="B54" s="125" t="s">
        <v>0</v>
      </c>
      <c r="C54" s="126" t="s">
        <v>1</v>
      </c>
      <c r="D54" s="180" t="s">
        <v>980</v>
      </c>
      <c r="E54" s="181" t="s">
        <v>534</v>
      </c>
      <c r="F54" s="181" t="s">
        <v>535</v>
      </c>
      <c r="G54" s="127" t="s">
        <v>2</v>
      </c>
      <c r="H54" s="127" t="s">
        <v>406</v>
      </c>
      <c r="I54" s="127" t="s">
        <v>115</v>
      </c>
      <c r="J54" s="128" t="s">
        <v>116</v>
      </c>
    </row>
    <row r="55" spans="1:10" s="1" customFormat="1" ht="18" x14ac:dyDescent="0.25">
      <c r="B55" s="118" t="s">
        <v>433</v>
      </c>
      <c r="C55" s="111" t="s">
        <v>916</v>
      </c>
      <c r="D55" s="119">
        <v>0.9</v>
      </c>
      <c r="E55" s="291">
        <v>0</v>
      </c>
      <c r="F55" s="291" t="s">
        <v>1270</v>
      </c>
      <c r="G55" s="95" t="s">
        <v>421</v>
      </c>
      <c r="H55" s="95"/>
      <c r="I55" s="71"/>
      <c r="J55" s="130"/>
    </row>
    <row r="56" spans="1:10" s="1" customFormat="1" ht="18" x14ac:dyDescent="0.25">
      <c r="B56" s="118" t="s">
        <v>434</v>
      </c>
      <c r="C56" s="111" t="s">
        <v>917</v>
      </c>
      <c r="D56" s="119" t="s">
        <v>220</v>
      </c>
      <c r="E56" s="291">
        <v>0</v>
      </c>
      <c r="F56" s="291" t="s">
        <v>1270</v>
      </c>
      <c r="G56" s="95" t="s">
        <v>421</v>
      </c>
      <c r="H56" s="95"/>
      <c r="I56" s="71"/>
      <c r="J56" s="130"/>
    </row>
    <row r="57" spans="1:10" s="1" customFormat="1" ht="18" x14ac:dyDescent="0.25">
      <c r="B57" s="118" t="s">
        <v>1330</v>
      </c>
      <c r="C57" s="111" t="s">
        <v>918</v>
      </c>
      <c r="D57" s="119">
        <v>0.5</v>
      </c>
      <c r="E57" s="291">
        <v>0</v>
      </c>
      <c r="F57" s="291" t="s">
        <v>1270</v>
      </c>
      <c r="G57" s="95" t="s">
        <v>216</v>
      </c>
      <c r="H57" s="95"/>
      <c r="I57" s="71"/>
      <c r="J57" s="130"/>
    </row>
    <row r="58" spans="1:10" s="1" customFormat="1" ht="18" x14ac:dyDescent="0.25">
      <c r="B58" s="118" t="s">
        <v>1400</v>
      </c>
      <c r="C58" s="111" t="s">
        <v>896</v>
      </c>
      <c r="D58" s="119">
        <v>0.5</v>
      </c>
      <c r="E58" s="291">
        <v>0</v>
      </c>
      <c r="F58" s="291" t="s">
        <v>1270</v>
      </c>
      <c r="G58" s="95" t="s">
        <v>899</v>
      </c>
      <c r="H58" s="95"/>
      <c r="I58" s="71"/>
      <c r="J58" s="130"/>
    </row>
    <row r="59" spans="1:10" s="1" customFormat="1" ht="18" x14ac:dyDescent="0.25">
      <c r="B59" s="118" t="s">
        <v>1401</v>
      </c>
      <c r="C59" s="111" t="s">
        <v>898</v>
      </c>
      <c r="D59" s="119">
        <v>1</v>
      </c>
      <c r="E59" s="291">
        <v>0</v>
      </c>
      <c r="F59" s="291" t="s">
        <v>1270</v>
      </c>
      <c r="G59" s="95" t="s">
        <v>900</v>
      </c>
      <c r="H59" s="95"/>
      <c r="I59" s="71"/>
      <c r="J59" s="130"/>
    </row>
    <row r="60" spans="1:10" s="1" customFormat="1" ht="18" x14ac:dyDescent="0.25">
      <c r="B60" s="118" t="s">
        <v>1402</v>
      </c>
      <c r="C60" s="111" t="s">
        <v>407</v>
      </c>
      <c r="D60" s="119">
        <v>0.01</v>
      </c>
      <c r="E60" s="291">
        <v>0</v>
      </c>
      <c r="F60" s="291" t="s">
        <v>1270</v>
      </c>
      <c r="G60" s="95" t="s">
        <v>901</v>
      </c>
      <c r="H60" s="95"/>
      <c r="I60" s="71"/>
      <c r="J60" s="130"/>
    </row>
    <row r="61" spans="1:10" s="1" customFormat="1" ht="18.75" thickBot="1" x14ac:dyDescent="0.3">
      <c r="B61" s="120" t="s">
        <v>1403</v>
      </c>
      <c r="C61" s="112" t="s">
        <v>1334</v>
      </c>
      <c r="D61" s="121">
        <v>5.0000000000000001E-4</v>
      </c>
      <c r="E61" s="292">
        <v>0</v>
      </c>
      <c r="F61" s="292" t="s">
        <v>1270</v>
      </c>
      <c r="G61" s="96" t="s">
        <v>424</v>
      </c>
      <c r="H61" s="96"/>
      <c r="I61" s="72"/>
      <c r="J61" s="131"/>
    </row>
    <row r="62" spans="1:10" s="1" customFormat="1" ht="15.75" thickBot="1" x14ac:dyDescent="0.3">
      <c r="B62" s="3"/>
      <c r="C62" s="113"/>
      <c r="D62" s="114"/>
      <c r="E62" s="114"/>
      <c r="F62" s="114"/>
      <c r="G62" s="114"/>
      <c r="H62" s="114"/>
      <c r="I62" s="114"/>
    </row>
    <row r="63" spans="1:10" s="1" customFormat="1" ht="15.75" thickBot="1" x14ac:dyDescent="0.3">
      <c r="B63" s="108"/>
      <c r="C63" s="109" t="s">
        <v>474</v>
      </c>
      <c r="D63" s="108" t="s">
        <v>475</v>
      </c>
      <c r="E63" s="108"/>
      <c r="F63" s="108"/>
      <c r="G63" s="108"/>
      <c r="H63" s="108"/>
      <c r="I63" s="108"/>
    </row>
    <row r="64" spans="1:10" s="1" customFormat="1" ht="15.75" thickBot="1" x14ac:dyDescent="0.3">
      <c r="B64" s="125" t="s">
        <v>0</v>
      </c>
      <c r="C64" s="126" t="s">
        <v>1</v>
      </c>
      <c r="D64" s="180" t="s">
        <v>980</v>
      </c>
      <c r="E64" s="181" t="s">
        <v>534</v>
      </c>
      <c r="F64" s="181" t="s">
        <v>535</v>
      </c>
      <c r="G64" s="127" t="s">
        <v>2</v>
      </c>
      <c r="H64" s="127" t="s">
        <v>406</v>
      </c>
      <c r="I64" s="127" t="s">
        <v>115</v>
      </c>
      <c r="J64" s="128" t="s">
        <v>116</v>
      </c>
    </row>
    <row r="65" spans="2:10" s="1" customFormat="1" ht="18" x14ac:dyDescent="0.25">
      <c r="B65" s="116" t="s">
        <v>436</v>
      </c>
      <c r="C65" s="138" t="s">
        <v>919</v>
      </c>
      <c r="D65" s="117">
        <v>0.8</v>
      </c>
      <c r="E65" s="290">
        <v>0</v>
      </c>
      <c r="F65" s="290" t="s">
        <v>1270</v>
      </c>
      <c r="G65" s="94" t="s">
        <v>885</v>
      </c>
      <c r="H65" s="94"/>
      <c r="I65" s="73"/>
      <c r="J65" s="129"/>
    </row>
    <row r="66" spans="2:10" s="1" customFormat="1" ht="18" x14ac:dyDescent="0.25">
      <c r="B66" s="118" t="s">
        <v>1331</v>
      </c>
      <c r="C66" s="115" t="s">
        <v>920</v>
      </c>
      <c r="D66" s="119">
        <v>0.65</v>
      </c>
      <c r="E66" s="291">
        <v>0</v>
      </c>
      <c r="F66" s="291" t="s">
        <v>1270</v>
      </c>
      <c r="G66" s="94" t="s">
        <v>885</v>
      </c>
      <c r="H66" s="95"/>
      <c r="I66" s="74"/>
      <c r="J66" s="130"/>
    </row>
    <row r="67" spans="2:10" s="1" customFormat="1" ht="18" x14ac:dyDescent="0.25">
      <c r="B67" s="118" t="s">
        <v>437</v>
      </c>
      <c r="C67" s="115" t="s">
        <v>921</v>
      </c>
      <c r="D67" s="119">
        <v>0.8</v>
      </c>
      <c r="E67" s="291">
        <v>0</v>
      </c>
      <c r="F67" s="291" t="s">
        <v>1270</v>
      </c>
      <c r="G67" s="94" t="s">
        <v>885</v>
      </c>
      <c r="H67" s="95"/>
      <c r="I67" s="74"/>
      <c r="J67" s="130"/>
    </row>
    <row r="68" spans="2:10" s="1" customFormat="1" ht="18" x14ac:dyDescent="0.25">
      <c r="B68" s="118" t="s">
        <v>1332</v>
      </c>
      <c r="C68" s="115" t="s">
        <v>922</v>
      </c>
      <c r="D68" s="119">
        <v>0.7</v>
      </c>
      <c r="E68" s="291">
        <v>0</v>
      </c>
      <c r="F68" s="291" t="s">
        <v>1270</v>
      </c>
      <c r="G68" s="94" t="s">
        <v>885</v>
      </c>
      <c r="H68" s="95"/>
      <c r="I68" s="74"/>
      <c r="J68" s="130"/>
    </row>
    <row r="69" spans="2:10" s="1" customFormat="1" ht="18" x14ac:dyDescent="0.25">
      <c r="B69" s="118" t="s">
        <v>439</v>
      </c>
      <c r="C69" s="111" t="s">
        <v>923</v>
      </c>
      <c r="D69" s="119">
        <v>0.6</v>
      </c>
      <c r="E69" s="291">
        <v>0</v>
      </c>
      <c r="F69" s="291" t="s">
        <v>1270</v>
      </c>
      <c r="G69" s="94" t="s">
        <v>885</v>
      </c>
      <c r="H69" s="95"/>
      <c r="I69" s="74"/>
      <c r="J69" s="130"/>
    </row>
    <row r="70" spans="2:10" s="1" customFormat="1" ht="18" x14ac:dyDescent="0.25">
      <c r="B70" s="118" t="s">
        <v>1333</v>
      </c>
      <c r="C70" s="111" t="s">
        <v>924</v>
      </c>
      <c r="D70" s="119">
        <v>0.5</v>
      </c>
      <c r="E70" s="291">
        <v>0</v>
      </c>
      <c r="F70" s="291" t="s">
        <v>1270</v>
      </c>
      <c r="G70" s="94" t="s">
        <v>885</v>
      </c>
      <c r="H70" s="95"/>
      <c r="I70" s="74"/>
      <c r="J70" s="130"/>
    </row>
    <row r="71" spans="2:10" s="1" customFormat="1" ht="18" x14ac:dyDescent="0.25">
      <c r="B71" s="118" t="s">
        <v>440</v>
      </c>
      <c r="C71" s="111" t="s">
        <v>925</v>
      </c>
      <c r="D71" s="119">
        <v>0.2</v>
      </c>
      <c r="E71" s="291">
        <v>0</v>
      </c>
      <c r="F71" s="291" t="s">
        <v>1270</v>
      </c>
      <c r="G71" s="95" t="s">
        <v>928</v>
      </c>
      <c r="H71" s="95"/>
      <c r="I71" s="74"/>
      <c r="J71" s="130"/>
    </row>
    <row r="72" spans="2:10" s="1" customFormat="1" ht="18" x14ac:dyDescent="0.25">
      <c r="B72" s="118" t="s">
        <v>441</v>
      </c>
      <c r="C72" s="111" t="s">
        <v>926</v>
      </c>
      <c r="D72" s="119">
        <v>0.35</v>
      </c>
      <c r="E72" s="291">
        <v>0</v>
      </c>
      <c r="F72" s="291" t="s">
        <v>1270</v>
      </c>
      <c r="G72" s="95" t="s">
        <v>929</v>
      </c>
      <c r="H72" s="95"/>
      <c r="I72" s="74"/>
      <c r="J72" s="130"/>
    </row>
    <row r="73" spans="2:10" s="1" customFormat="1" ht="18.75" thickBot="1" x14ac:dyDescent="0.3">
      <c r="B73" s="120" t="s">
        <v>442</v>
      </c>
      <c r="C73" s="112" t="s">
        <v>927</v>
      </c>
      <c r="D73" s="121">
        <v>0.24</v>
      </c>
      <c r="E73" s="292">
        <v>0</v>
      </c>
      <c r="F73" s="292" t="s">
        <v>1270</v>
      </c>
      <c r="G73" s="96" t="s">
        <v>930</v>
      </c>
      <c r="H73" s="96"/>
      <c r="I73" s="154"/>
      <c r="J73" s="131"/>
    </row>
    <row r="74" spans="2:10" s="1" customFormat="1" ht="15.75" thickBot="1" x14ac:dyDescent="0.3">
      <c r="B74" s="3"/>
      <c r="C74" s="113"/>
      <c r="D74" s="114"/>
      <c r="E74" s="114"/>
      <c r="F74" s="114"/>
      <c r="G74" s="114"/>
      <c r="H74" s="114"/>
      <c r="I74" s="114"/>
    </row>
    <row r="75" spans="2:10" s="1" customFormat="1" ht="15.75" thickBot="1" x14ac:dyDescent="0.3">
      <c r="B75" s="108"/>
      <c r="C75" s="109" t="s">
        <v>476</v>
      </c>
      <c r="D75" s="108" t="s">
        <v>475</v>
      </c>
      <c r="E75" s="108"/>
      <c r="F75" s="108"/>
      <c r="G75" s="108"/>
      <c r="H75" s="108"/>
      <c r="I75" s="108"/>
    </row>
    <row r="76" spans="2:10" s="1" customFormat="1" ht="15.75" thickBot="1" x14ac:dyDescent="0.3">
      <c r="B76" s="125" t="s">
        <v>0</v>
      </c>
      <c r="C76" s="126" t="s">
        <v>1</v>
      </c>
      <c r="D76" s="180" t="s">
        <v>980</v>
      </c>
      <c r="E76" s="181" t="s">
        <v>534</v>
      </c>
      <c r="F76" s="181" t="s">
        <v>535</v>
      </c>
      <c r="G76" s="127" t="s">
        <v>2</v>
      </c>
      <c r="H76" s="127" t="s">
        <v>406</v>
      </c>
      <c r="I76" s="127" t="s">
        <v>115</v>
      </c>
      <c r="J76" s="128" t="s">
        <v>116</v>
      </c>
    </row>
    <row r="77" spans="2:10" s="1" customFormat="1" ht="18" x14ac:dyDescent="0.25">
      <c r="B77" s="284" t="s">
        <v>435</v>
      </c>
      <c r="C77" s="285" t="s">
        <v>223</v>
      </c>
      <c r="D77" s="286">
        <v>0</v>
      </c>
      <c r="E77" s="293">
        <v>0</v>
      </c>
      <c r="F77" s="293" t="s">
        <v>1270</v>
      </c>
      <c r="G77" s="288" t="s">
        <v>885</v>
      </c>
      <c r="H77" s="288"/>
      <c r="I77" s="287"/>
      <c r="J77" s="289"/>
    </row>
    <row r="78" spans="2:10" s="1" customFormat="1" ht="18.75" thickBot="1" x14ac:dyDescent="0.3">
      <c r="B78" s="120" t="s">
        <v>438</v>
      </c>
      <c r="C78" s="123" t="s">
        <v>931</v>
      </c>
      <c r="D78" s="121">
        <v>0.2</v>
      </c>
      <c r="E78" s="292">
        <v>0</v>
      </c>
      <c r="F78" s="292" t="s">
        <v>1270</v>
      </c>
      <c r="G78" s="186" t="s">
        <v>885</v>
      </c>
      <c r="H78" s="96"/>
      <c r="I78" s="154"/>
      <c r="J78" s="131"/>
    </row>
    <row r="79" spans="2:10" s="1" customFormat="1" ht="15.75" thickBot="1" x14ac:dyDescent="0.3">
      <c r="B79" s="3"/>
      <c r="C79" s="113"/>
      <c r="D79" s="114"/>
      <c r="E79" s="114"/>
      <c r="F79" s="114"/>
      <c r="G79" s="114"/>
      <c r="H79" s="114"/>
      <c r="I79" s="114"/>
    </row>
    <row r="80" spans="2:10" s="1" customFormat="1" ht="15.75" thickBot="1" x14ac:dyDescent="0.3">
      <c r="B80" s="108"/>
      <c r="C80" s="109" t="s">
        <v>477</v>
      </c>
      <c r="D80" s="108" t="s">
        <v>475</v>
      </c>
      <c r="E80" s="108"/>
      <c r="F80" s="108"/>
      <c r="G80" s="108"/>
      <c r="H80" s="108"/>
      <c r="I80" s="108"/>
    </row>
    <row r="81" spans="2:10" s="1" customFormat="1" ht="15.75" thickBot="1" x14ac:dyDescent="0.3">
      <c r="B81" s="125" t="s">
        <v>0</v>
      </c>
      <c r="C81" s="126" t="s">
        <v>1</v>
      </c>
      <c r="D81" s="180" t="s">
        <v>980</v>
      </c>
      <c r="E81" s="181" t="s">
        <v>534</v>
      </c>
      <c r="F81" s="181" t="s">
        <v>535</v>
      </c>
      <c r="G81" s="127" t="s">
        <v>2</v>
      </c>
      <c r="H81" s="127" t="s">
        <v>406</v>
      </c>
      <c r="I81" s="127" t="s">
        <v>115</v>
      </c>
      <c r="J81" s="128" t="s">
        <v>116</v>
      </c>
    </row>
    <row r="82" spans="2:10" s="1" customFormat="1" ht="18" x14ac:dyDescent="0.25">
      <c r="B82" s="284" t="s">
        <v>443</v>
      </c>
      <c r="C82" s="285" t="s">
        <v>932</v>
      </c>
      <c r="D82" s="286">
        <v>0.03</v>
      </c>
      <c r="E82" s="293">
        <v>0</v>
      </c>
      <c r="F82" s="293" t="s">
        <v>1270</v>
      </c>
      <c r="G82" s="288" t="s">
        <v>942</v>
      </c>
      <c r="H82" s="288"/>
      <c r="I82" s="287"/>
      <c r="J82" s="289"/>
    </row>
    <row r="83" spans="2:10" s="1" customFormat="1" ht="18" x14ac:dyDescent="0.25">
      <c r="B83" s="118" t="s">
        <v>444</v>
      </c>
      <c r="C83" s="111" t="s">
        <v>933</v>
      </c>
      <c r="D83" s="119">
        <v>0.01</v>
      </c>
      <c r="E83" s="291">
        <v>0</v>
      </c>
      <c r="F83" s="291" t="s">
        <v>1270</v>
      </c>
      <c r="G83" s="94" t="s">
        <v>942</v>
      </c>
      <c r="H83" s="95"/>
      <c r="I83" s="74"/>
      <c r="J83" s="130"/>
    </row>
    <row r="84" spans="2:10" s="1" customFormat="1" ht="18" x14ac:dyDescent="0.25">
      <c r="B84" s="118" t="s">
        <v>445</v>
      </c>
      <c r="C84" s="111" t="s">
        <v>934</v>
      </c>
      <c r="D84" s="119">
        <v>0.03</v>
      </c>
      <c r="E84" s="291">
        <v>0</v>
      </c>
      <c r="F84" s="291" t="s">
        <v>1270</v>
      </c>
      <c r="G84" s="94" t="s">
        <v>942</v>
      </c>
      <c r="H84" s="95"/>
      <c r="I84" s="74"/>
      <c r="J84" s="130"/>
    </row>
    <row r="85" spans="2:10" s="1" customFormat="1" ht="18" x14ac:dyDescent="0.25">
      <c r="B85" s="118" t="s">
        <v>446</v>
      </c>
      <c r="C85" s="111" t="s">
        <v>935</v>
      </c>
      <c r="D85" s="119">
        <v>3.5000000000000003E-2</v>
      </c>
      <c r="E85" s="291">
        <v>0</v>
      </c>
      <c r="F85" s="291" t="s">
        <v>1270</v>
      </c>
      <c r="G85" s="94" t="s">
        <v>942</v>
      </c>
      <c r="H85" s="95"/>
      <c r="I85" s="74"/>
      <c r="J85" s="130"/>
    </row>
    <row r="86" spans="2:10" s="1" customFormat="1" ht="18" x14ac:dyDescent="0.25">
      <c r="B86" s="118" t="s">
        <v>447</v>
      </c>
      <c r="C86" s="111" t="s">
        <v>936</v>
      </c>
      <c r="D86" s="119">
        <v>7.0000000000000007E-2</v>
      </c>
      <c r="E86" s="291">
        <v>0</v>
      </c>
      <c r="F86" s="291" t="s">
        <v>1270</v>
      </c>
      <c r="G86" s="94" t="s">
        <v>942</v>
      </c>
      <c r="H86" s="95"/>
      <c r="I86" s="74"/>
      <c r="J86" s="130"/>
    </row>
    <row r="87" spans="2:10" s="1" customFormat="1" ht="18" x14ac:dyDescent="0.25">
      <c r="B87" s="118" t="s">
        <v>448</v>
      </c>
      <c r="C87" s="111" t="s">
        <v>937</v>
      </c>
      <c r="D87" s="119">
        <v>0</v>
      </c>
      <c r="E87" s="291">
        <v>0</v>
      </c>
      <c r="F87" s="291" t="s">
        <v>1270</v>
      </c>
      <c r="G87" s="95" t="s">
        <v>903</v>
      </c>
      <c r="H87" s="95"/>
      <c r="I87" s="74"/>
      <c r="J87" s="130"/>
    </row>
    <row r="88" spans="2:10" s="1" customFormat="1" ht="18" x14ac:dyDescent="0.25">
      <c r="B88" s="118" t="s">
        <v>449</v>
      </c>
      <c r="C88" s="111" t="s">
        <v>938</v>
      </c>
      <c r="D88" s="119">
        <v>0</v>
      </c>
      <c r="E88" s="291">
        <v>0</v>
      </c>
      <c r="F88" s="291" t="s">
        <v>1270</v>
      </c>
      <c r="G88" s="95" t="s">
        <v>903</v>
      </c>
      <c r="H88" s="95"/>
      <c r="I88" s="74"/>
      <c r="J88" s="130"/>
    </row>
    <row r="89" spans="2:10" s="1" customFormat="1" ht="18" x14ac:dyDescent="0.25">
      <c r="B89" s="118" t="s">
        <v>450</v>
      </c>
      <c r="C89" s="111" t="s">
        <v>939</v>
      </c>
      <c r="D89" s="119">
        <v>0.01</v>
      </c>
      <c r="E89" s="291">
        <v>0</v>
      </c>
      <c r="F89" s="291" t="s">
        <v>1270</v>
      </c>
      <c r="G89" s="95" t="s">
        <v>903</v>
      </c>
      <c r="H89" s="95"/>
      <c r="I89" s="74"/>
      <c r="J89" s="130"/>
    </row>
    <row r="90" spans="2:10" s="1" customFormat="1" ht="18" x14ac:dyDescent="0.25">
      <c r="B90" s="118" t="s">
        <v>451</v>
      </c>
      <c r="C90" s="111" t="s">
        <v>940</v>
      </c>
      <c r="D90" s="119">
        <v>5.0000000000000001E-3</v>
      </c>
      <c r="E90" s="291">
        <v>0</v>
      </c>
      <c r="F90" s="291" t="s">
        <v>1270</v>
      </c>
      <c r="G90" s="95" t="s">
        <v>903</v>
      </c>
      <c r="H90" s="95"/>
      <c r="I90" s="74"/>
      <c r="J90" s="130"/>
    </row>
    <row r="91" spans="2:10" s="1" customFormat="1" ht="18.75" thickBot="1" x14ac:dyDescent="0.3">
      <c r="B91" s="120" t="s">
        <v>452</v>
      </c>
      <c r="C91" s="112" t="s">
        <v>941</v>
      </c>
      <c r="D91" s="121">
        <v>1.4E-2</v>
      </c>
      <c r="E91" s="292">
        <v>0</v>
      </c>
      <c r="F91" s="292" t="s">
        <v>1270</v>
      </c>
      <c r="G91" s="96" t="s">
        <v>903</v>
      </c>
      <c r="H91" s="96"/>
      <c r="I91" s="154"/>
      <c r="J91" s="131"/>
    </row>
    <row r="92" spans="2:10" s="1" customFormat="1" ht="15.75" thickBot="1" x14ac:dyDescent="0.3">
      <c r="B92" s="3"/>
      <c r="C92" s="113"/>
      <c r="D92" s="114"/>
      <c r="E92" s="114"/>
      <c r="F92" s="114"/>
      <c r="G92" s="114"/>
      <c r="H92" s="114"/>
      <c r="I92" s="114"/>
    </row>
    <row r="93" spans="2:10" s="1" customFormat="1" ht="15.75" thickBot="1" x14ac:dyDescent="0.3">
      <c r="B93" s="108"/>
      <c r="C93" s="109" t="s">
        <v>478</v>
      </c>
      <c r="D93" s="108" t="s">
        <v>475</v>
      </c>
      <c r="E93" s="108"/>
      <c r="F93" s="108"/>
      <c r="G93" s="108"/>
      <c r="H93" s="108"/>
      <c r="I93" s="108"/>
    </row>
    <row r="94" spans="2:10" s="1" customFormat="1" ht="15.75" thickBot="1" x14ac:dyDescent="0.3">
      <c r="B94" s="125" t="s">
        <v>0</v>
      </c>
      <c r="C94" s="126" t="s">
        <v>1</v>
      </c>
      <c r="D94" s="180" t="s">
        <v>980</v>
      </c>
      <c r="E94" s="181" t="s">
        <v>534</v>
      </c>
      <c r="F94" s="181" t="s">
        <v>535</v>
      </c>
      <c r="G94" s="127" t="s">
        <v>2</v>
      </c>
      <c r="H94" s="127" t="s">
        <v>406</v>
      </c>
      <c r="I94" s="127" t="s">
        <v>115</v>
      </c>
      <c r="J94" s="128" t="s">
        <v>116</v>
      </c>
    </row>
    <row r="95" spans="2:10" s="1" customFormat="1" ht="18" x14ac:dyDescent="0.25">
      <c r="B95" s="116" t="s">
        <v>453</v>
      </c>
      <c r="C95" s="110" t="s">
        <v>943</v>
      </c>
      <c r="D95" s="117">
        <v>0.75</v>
      </c>
      <c r="E95" s="290">
        <v>0</v>
      </c>
      <c r="F95" s="290" t="s">
        <v>1270</v>
      </c>
      <c r="G95" s="94" t="s">
        <v>947</v>
      </c>
      <c r="H95" s="94"/>
      <c r="I95" s="73"/>
      <c r="J95" s="129"/>
    </row>
    <row r="96" spans="2:10" s="1" customFormat="1" ht="18" x14ac:dyDescent="0.25">
      <c r="B96" s="118" t="s">
        <v>454</v>
      </c>
      <c r="C96" s="111" t="s">
        <v>944</v>
      </c>
      <c r="D96" s="119">
        <v>0.75</v>
      </c>
      <c r="E96" s="291">
        <v>0</v>
      </c>
      <c r="F96" s="291" t="s">
        <v>1270</v>
      </c>
      <c r="G96" s="94" t="s">
        <v>947</v>
      </c>
      <c r="H96" s="95"/>
      <c r="I96" s="74"/>
      <c r="J96" s="130"/>
    </row>
    <row r="97" spans="2:10" s="1" customFormat="1" ht="18" x14ac:dyDescent="0.25">
      <c r="B97" s="118" t="s">
        <v>455</v>
      </c>
      <c r="C97" s="111" t="s">
        <v>945</v>
      </c>
      <c r="D97" s="119">
        <v>0.6</v>
      </c>
      <c r="E97" s="291">
        <v>0</v>
      </c>
      <c r="F97" s="291" t="s">
        <v>1270</v>
      </c>
      <c r="G97" s="94" t="s">
        <v>947</v>
      </c>
      <c r="H97" s="95"/>
      <c r="I97" s="74"/>
      <c r="J97" s="130"/>
    </row>
    <row r="98" spans="2:10" s="1" customFormat="1" ht="18" x14ac:dyDescent="0.25">
      <c r="B98" s="118" t="s">
        <v>456</v>
      </c>
      <c r="C98" s="111" t="s">
        <v>240</v>
      </c>
      <c r="D98" s="119">
        <v>0.9</v>
      </c>
      <c r="E98" s="291">
        <v>0</v>
      </c>
      <c r="F98" s="291" t="s">
        <v>1270</v>
      </c>
      <c r="G98" s="94" t="s">
        <v>947</v>
      </c>
      <c r="H98" s="95"/>
      <c r="I98" s="74"/>
      <c r="J98" s="130"/>
    </row>
    <row r="99" spans="2:10" s="1" customFormat="1" ht="18.75" thickBot="1" x14ac:dyDescent="0.3">
      <c r="B99" s="120" t="s">
        <v>457</v>
      </c>
      <c r="C99" s="112" t="s">
        <v>946</v>
      </c>
      <c r="D99" s="121">
        <v>3.23</v>
      </c>
      <c r="E99" s="292">
        <v>0</v>
      </c>
      <c r="F99" s="292" t="s">
        <v>1270</v>
      </c>
      <c r="G99" s="96" t="s">
        <v>948</v>
      </c>
      <c r="H99" s="96"/>
      <c r="I99" s="154"/>
      <c r="J99" s="131"/>
    </row>
    <row r="100" spans="2:10" s="1" customFormat="1" ht="15.75" thickBot="1" x14ac:dyDescent="0.3">
      <c r="B100" s="3"/>
      <c r="C100" s="113"/>
      <c r="D100" s="114"/>
      <c r="E100" s="114"/>
      <c r="F100" s="114"/>
      <c r="G100" s="114"/>
      <c r="H100" s="114"/>
      <c r="I100" s="114"/>
    </row>
    <row r="101" spans="2:10" s="1" customFormat="1" ht="15.75" thickBot="1" x14ac:dyDescent="0.3">
      <c r="B101" s="108"/>
      <c r="C101" s="109" t="s">
        <v>479</v>
      </c>
      <c r="D101" s="108" t="s">
        <v>475</v>
      </c>
      <c r="E101" s="108"/>
      <c r="F101" s="108"/>
      <c r="G101" s="108"/>
      <c r="H101" s="108"/>
      <c r="I101" s="108"/>
    </row>
    <row r="102" spans="2:10" s="1" customFormat="1" ht="15.75" thickBot="1" x14ac:dyDescent="0.3">
      <c r="B102" s="125" t="s">
        <v>0</v>
      </c>
      <c r="C102" s="126" t="s">
        <v>1</v>
      </c>
      <c r="D102" s="180" t="s">
        <v>980</v>
      </c>
      <c r="E102" s="181" t="s">
        <v>534</v>
      </c>
      <c r="F102" s="181" t="s">
        <v>535</v>
      </c>
      <c r="G102" s="127" t="s">
        <v>2</v>
      </c>
      <c r="H102" s="127" t="s">
        <v>406</v>
      </c>
      <c r="I102" s="127" t="s">
        <v>115</v>
      </c>
      <c r="J102" s="128" t="s">
        <v>116</v>
      </c>
    </row>
    <row r="103" spans="2:10" s="1" customFormat="1" ht="18" x14ac:dyDescent="0.25">
      <c r="B103" s="284" t="s">
        <v>458</v>
      </c>
      <c r="C103" s="295" t="s">
        <v>413</v>
      </c>
      <c r="D103" s="296">
        <v>2.8571428571428572</v>
      </c>
      <c r="E103" s="293">
        <v>0</v>
      </c>
      <c r="F103" s="293" t="s">
        <v>1270</v>
      </c>
      <c r="G103" s="288" t="s">
        <v>459</v>
      </c>
      <c r="H103" s="288"/>
      <c r="I103" s="287"/>
      <c r="J103" s="289"/>
    </row>
    <row r="104" spans="2:10" s="1" customFormat="1" ht="18" x14ac:dyDescent="0.25">
      <c r="B104" s="118" t="s">
        <v>460</v>
      </c>
      <c r="C104" s="115" t="s">
        <v>414</v>
      </c>
      <c r="D104" s="122">
        <v>-4.5714285714285703</v>
      </c>
      <c r="E104" s="294" t="s">
        <v>1279</v>
      </c>
      <c r="F104" s="291" t="s">
        <v>1270</v>
      </c>
      <c r="G104" s="95" t="s">
        <v>459</v>
      </c>
      <c r="H104" s="95"/>
      <c r="I104" s="74"/>
      <c r="J104" s="130"/>
    </row>
    <row r="105" spans="2:10" s="1" customFormat="1" ht="18" x14ac:dyDescent="0.25">
      <c r="B105" s="118" t="s">
        <v>461</v>
      </c>
      <c r="C105" s="115" t="s">
        <v>415</v>
      </c>
      <c r="D105" s="122">
        <v>-1.71428571428571</v>
      </c>
      <c r="E105" s="294" t="s">
        <v>1279</v>
      </c>
      <c r="F105" s="291" t="s">
        <v>1270</v>
      </c>
      <c r="G105" s="95" t="s">
        <v>459</v>
      </c>
      <c r="H105" s="95"/>
      <c r="I105" s="74"/>
      <c r="J105" s="130"/>
    </row>
    <row r="106" spans="2:10" s="1" customFormat="1" ht="18" x14ac:dyDescent="0.25">
      <c r="B106" s="118" t="s">
        <v>462</v>
      </c>
      <c r="C106" s="115" t="s">
        <v>949</v>
      </c>
      <c r="D106" s="122">
        <v>7.1428571428571393E-5</v>
      </c>
      <c r="E106" s="291">
        <v>0</v>
      </c>
      <c r="F106" s="291" t="s">
        <v>1270</v>
      </c>
      <c r="G106" s="95" t="s">
        <v>463</v>
      </c>
      <c r="H106" s="95"/>
      <c r="I106" s="74"/>
      <c r="J106" s="130"/>
    </row>
    <row r="107" spans="2:10" s="1" customFormat="1" ht="18" x14ac:dyDescent="0.25">
      <c r="B107" s="118" t="s">
        <v>464</v>
      </c>
      <c r="C107" s="115" t="s">
        <v>950</v>
      </c>
      <c r="D107" s="122">
        <v>-7.1428571428571393E-5</v>
      </c>
      <c r="E107" s="294" t="s">
        <v>1279</v>
      </c>
      <c r="F107" s="291" t="s">
        <v>1270</v>
      </c>
      <c r="G107" s="95" t="s">
        <v>463</v>
      </c>
      <c r="H107" s="95"/>
      <c r="I107" s="74"/>
      <c r="J107" s="130"/>
    </row>
    <row r="108" spans="2:10" s="1" customFormat="1" ht="18" x14ac:dyDescent="0.25">
      <c r="B108" s="118" t="s">
        <v>465</v>
      </c>
      <c r="C108" s="115" t="s">
        <v>951</v>
      </c>
      <c r="D108" s="122">
        <v>-3.2258064516129E-5</v>
      </c>
      <c r="E108" s="294" t="s">
        <v>1279</v>
      </c>
      <c r="F108" s="291" t="s">
        <v>1270</v>
      </c>
      <c r="G108" s="95" t="s">
        <v>466</v>
      </c>
      <c r="H108" s="95"/>
      <c r="I108" s="74"/>
      <c r="J108" s="130"/>
    </row>
    <row r="109" spans="2:10" s="1" customFormat="1" ht="18.75" thickBot="1" x14ac:dyDescent="0.3">
      <c r="B109" s="120" t="s">
        <v>467</v>
      </c>
      <c r="C109" s="123" t="s">
        <v>416</v>
      </c>
      <c r="D109" s="124">
        <v>-4.83870967741935E-5</v>
      </c>
      <c r="E109" s="297" t="s">
        <v>1279</v>
      </c>
      <c r="F109" s="292" t="s">
        <v>1270</v>
      </c>
      <c r="G109" s="96" t="s">
        <v>466</v>
      </c>
      <c r="H109" s="96"/>
      <c r="I109" s="154"/>
      <c r="J109" s="131"/>
    </row>
    <row r="110" spans="2:10" s="139" customFormat="1" ht="15.75" thickBot="1" x14ac:dyDescent="0.3">
      <c r="B110" s="140"/>
      <c r="C110" s="141"/>
      <c r="D110" s="142"/>
      <c r="E110" s="44"/>
      <c r="F110" s="44"/>
      <c r="G110" s="142"/>
      <c r="H110" s="44"/>
      <c r="I110" s="45"/>
    </row>
    <row r="111" spans="2:10" s="139" customFormat="1" ht="15.75" thickBot="1" x14ac:dyDescent="0.3">
      <c r="B111" s="143"/>
      <c r="C111" s="144" t="s">
        <v>480</v>
      </c>
      <c r="D111" s="143" t="s">
        <v>475</v>
      </c>
      <c r="E111" s="143"/>
      <c r="F111" s="143"/>
      <c r="G111" s="143"/>
      <c r="H111" s="143"/>
      <c r="I111" s="143"/>
    </row>
    <row r="112" spans="2:10" s="139" customFormat="1" ht="15.75" thickBot="1" x14ac:dyDescent="0.3">
      <c r="B112" s="145" t="s">
        <v>0</v>
      </c>
      <c r="C112" s="146" t="s">
        <v>1</v>
      </c>
      <c r="D112" s="180" t="s">
        <v>980</v>
      </c>
      <c r="E112" s="181" t="s">
        <v>534</v>
      </c>
      <c r="F112" s="181" t="s">
        <v>535</v>
      </c>
      <c r="G112" s="146" t="s">
        <v>2</v>
      </c>
      <c r="H112" s="146" t="s">
        <v>406</v>
      </c>
      <c r="I112" s="147" t="s">
        <v>115</v>
      </c>
      <c r="J112" s="148" t="s">
        <v>116</v>
      </c>
    </row>
    <row r="113" spans="2:10" s="1" customFormat="1" ht="18" x14ac:dyDescent="0.25">
      <c r="B113" s="156" t="s">
        <v>468</v>
      </c>
      <c r="C113" s="138" t="s">
        <v>248</v>
      </c>
      <c r="D113" s="155">
        <v>1.48</v>
      </c>
      <c r="E113" s="94">
        <v>0</v>
      </c>
      <c r="F113" s="94" t="s">
        <v>1270</v>
      </c>
      <c r="G113" s="94" t="s">
        <v>417</v>
      </c>
      <c r="H113" s="94"/>
      <c r="I113" s="94"/>
      <c r="J113" s="129"/>
    </row>
    <row r="114" spans="2:10" s="139" customFormat="1" ht="18" x14ac:dyDescent="0.25">
      <c r="B114" s="302" t="s">
        <v>1288</v>
      </c>
      <c r="C114" s="303" t="s">
        <v>1289</v>
      </c>
      <c r="D114" s="304">
        <v>1.0660000000000001</v>
      </c>
      <c r="E114" s="305">
        <v>0</v>
      </c>
      <c r="F114" s="305">
        <v>5</v>
      </c>
      <c r="G114" s="305" t="s">
        <v>1285</v>
      </c>
      <c r="H114" s="305">
        <v>2</v>
      </c>
      <c r="I114" s="74"/>
      <c r="J114" s="130"/>
    </row>
    <row r="115" spans="2:10" s="139" customFormat="1" ht="18" x14ac:dyDescent="0.25">
      <c r="B115" s="302" t="s">
        <v>1286</v>
      </c>
      <c r="C115" s="303" t="s">
        <v>1287</v>
      </c>
      <c r="D115" s="304">
        <v>0.92600000000000005</v>
      </c>
      <c r="E115" s="305">
        <v>0</v>
      </c>
      <c r="F115" s="305">
        <v>5</v>
      </c>
      <c r="G115" s="305" t="s">
        <v>1285</v>
      </c>
      <c r="H115" s="305">
        <v>2</v>
      </c>
      <c r="I115" s="74"/>
      <c r="J115" s="130"/>
    </row>
    <row r="116" spans="2:10" s="149" customFormat="1" ht="18.75" thickBot="1" x14ac:dyDescent="0.3">
      <c r="B116" s="150" t="s">
        <v>1292</v>
      </c>
      <c r="C116" s="151" t="s">
        <v>481</v>
      </c>
      <c r="D116" s="152">
        <v>0.67</v>
      </c>
      <c r="E116" s="152">
        <v>0</v>
      </c>
      <c r="F116" s="152" t="s">
        <v>1270</v>
      </c>
      <c r="G116" s="152" t="s">
        <v>482</v>
      </c>
      <c r="H116" s="151"/>
      <c r="I116" s="152"/>
      <c r="J116" s="153"/>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AB70"/>
  <sheetViews>
    <sheetView showGridLines="0" zoomScaleNormal="100" workbookViewId="0"/>
  </sheetViews>
  <sheetFormatPr defaultColWidth="9.140625" defaultRowHeight="15" x14ac:dyDescent="0.25"/>
  <cols>
    <col min="1" max="1" width="17.140625" customWidth="1"/>
    <col min="2" max="2" width="4.28515625" customWidth="1"/>
    <col min="3" max="3" width="7.5703125" bestFit="1" customWidth="1"/>
    <col min="4" max="4" width="45" customWidth="1"/>
    <col min="5" max="5" width="34" customWidth="1"/>
    <col min="6" max="6" width="9.85546875" customWidth="1"/>
    <col min="7" max="7" width="31.5703125" customWidth="1"/>
    <col min="8" max="8" width="38.85546875" customWidth="1"/>
    <col min="9" max="9" width="35.85546875" customWidth="1"/>
    <col min="10" max="10" width="33.28515625" customWidth="1"/>
    <col min="11" max="11" width="71.140625" customWidth="1"/>
    <col min="16" max="16" width="14.7109375" customWidth="1"/>
    <col min="18" max="18" width="16.85546875" customWidth="1"/>
    <col min="19" max="19" width="15.140625" customWidth="1"/>
    <col min="20" max="20" width="9.28515625" customWidth="1"/>
    <col min="21" max="21" width="43.42578125" customWidth="1"/>
    <col min="22" max="22" width="214" customWidth="1"/>
    <col min="23" max="23" width="9.140625" bestFit="1" customWidth="1"/>
  </cols>
  <sheetData>
    <row r="1" spans="1:25" s="46" customFormat="1" ht="54" customHeight="1" thickBot="1" x14ac:dyDescent="0.3">
      <c r="A1" s="47"/>
    </row>
    <row r="2" spans="1:25" ht="18.75" customHeight="1" thickBot="1" x14ac:dyDescent="0.3">
      <c r="C2" s="170"/>
      <c r="D2" s="51" t="s">
        <v>127</v>
      </c>
      <c r="E2" s="13"/>
      <c r="F2" s="13"/>
    </row>
    <row r="3" spans="1:25" ht="21.75" customHeight="1" thickBot="1" x14ac:dyDescent="0.3">
      <c r="B3" s="171" t="s">
        <v>92</v>
      </c>
      <c r="C3" s="172" t="s">
        <v>0</v>
      </c>
      <c r="D3" s="172" t="s">
        <v>1</v>
      </c>
      <c r="E3" s="173" t="s">
        <v>1304</v>
      </c>
      <c r="F3" s="173" t="s">
        <v>249</v>
      </c>
      <c r="G3" s="173" t="s">
        <v>250</v>
      </c>
      <c r="H3" s="173" t="s">
        <v>1305</v>
      </c>
      <c r="I3" s="173" t="s">
        <v>251</v>
      </c>
      <c r="J3" s="173" t="s">
        <v>252</v>
      </c>
      <c r="K3" s="173" t="s">
        <v>1306</v>
      </c>
      <c r="L3" s="173" t="s">
        <v>253</v>
      </c>
      <c r="M3" s="173" t="s">
        <v>254</v>
      </c>
      <c r="N3" s="173" t="s">
        <v>255</v>
      </c>
      <c r="O3" s="173" t="s">
        <v>256</v>
      </c>
      <c r="P3" s="173" t="s">
        <v>257</v>
      </c>
      <c r="Q3" s="173" t="s">
        <v>258</v>
      </c>
      <c r="R3" s="173" t="s">
        <v>259</v>
      </c>
      <c r="S3" s="173" t="s">
        <v>260</v>
      </c>
      <c r="T3" s="173" t="s">
        <v>261</v>
      </c>
      <c r="U3" s="173" t="s">
        <v>262</v>
      </c>
      <c r="V3" s="174" t="s">
        <v>1247</v>
      </c>
      <c r="W3" s="306" t="s">
        <v>2</v>
      </c>
      <c r="X3" s="306" t="s">
        <v>10</v>
      </c>
      <c r="Y3" s="175" t="s">
        <v>115</v>
      </c>
    </row>
    <row r="4" spans="1:25" ht="21.75" customHeight="1" x14ac:dyDescent="0.25">
      <c r="B4" s="307" t="s">
        <v>263</v>
      </c>
      <c r="C4" s="308" t="s">
        <v>264</v>
      </c>
      <c r="D4" s="309" t="s">
        <v>265</v>
      </c>
      <c r="E4" s="310"/>
      <c r="F4" s="310" t="s">
        <v>266</v>
      </c>
      <c r="G4" s="310" t="s">
        <v>267</v>
      </c>
      <c r="H4" s="310"/>
      <c r="I4" s="310"/>
      <c r="J4" s="311" t="s">
        <v>268</v>
      </c>
      <c r="K4" s="312" t="s">
        <v>269</v>
      </c>
      <c r="L4" s="313" t="s">
        <v>222</v>
      </c>
      <c r="M4" s="310"/>
      <c r="N4" s="310">
        <v>-1</v>
      </c>
      <c r="O4" s="310"/>
      <c r="P4" s="310"/>
      <c r="Q4" s="310"/>
      <c r="R4" s="310"/>
      <c r="S4" s="310"/>
      <c r="T4" s="314"/>
      <c r="U4" s="314" t="s">
        <v>270</v>
      </c>
      <c r="V4" s="315" t="s">
        <v>1029</v>
      </c>
      <c r="W4" s="295" t="s">
        <v>1290</v>
      </c>
      <c r="X4" s="295"/>
      <c r="Y4" s="316"/>
    </row>
    <row r="5" spans="1:25" ht="21.75" customHeight="1" x14ac:dyDescent="0.25">
      <c r="B5" s="97" t="s">
        <v>271</v>
      </c>
      <c r="C5" s="98" t="s">
        <v>272</v>
      </c>
      <c r="D5" s="99" t="s">
        <v>273</v>
      </c>
      <c r="E5" s="75" t="s">
        <v>274</v>
      </c>
      <c r="F5" s="76">
        <v>-1</v>
      </c>
      <c r="G5" s="77" t="s">
        <v>226</v>
      </c>
      <c r="H5" s="75"/>
      <c r="I5" s="75"/>
      <c r="J5" s="77" t="s">
        <v>231</v>
      </c>
      <c r="K5" s="78" t="s">
        <v>275</v>
      </c>
      <c r="L5" s="75"/>
      <c r="M5" s="75"/>
      <c r="N5" s="75"/>
      <c r="O5" s="75"/>
      <c r="P5" s="77" t="s">
        <v>224</v>
      </c>
      <c r="Q5" s="75"/>
      <c r="R5" s="75"/>
      <c r="S5" s="75"/>
      <c r="T5" s="75"/>
      <c r="U5" s="77" t="s">
        <v>276</v>
      </c>
      <c r="V5" s="185" t="s">
        <v>999</v>
      </c>
      <c r="W5" s="115" t="s">
        <v>1290</v>
      </c>
      <c r="X5" s="115"/>
      <c r="Y5" s="79"/>
    </row>
    <row r="6" spans="1:25" ht="21.75" customHeight="1" x14ac:dyDescent="0.25">
      <c r="B6" s="97" t="s">
        <v>277</v>
      </c>
      <c r="C6" s="98" t="s">
        <v>278</v>
      </c>
      <c r="D6" s="99" t="s">
        <v>279</v>
      </c>
      <c r="E6" s="75"/>
      <c r="F6" s="76">
        <v>-1</v>
      </c>
      <c r="G6" s="77" t="s">
        <v>226</v>
      </c>
      <c r="H6" s="80" t="s">
        <v>1344</v>
      </c>
      <c r="I6" s="75" t="s">
        <v>1345</v>
      </c>
      <c r="J6" s="77" t="s">
        <v>231</v>
      </c>
      <c r="K6" s="77" t="s">
        <v>1350</v>
      </c>
      <c r="L6" s="75"/>
      <c r="M6" s="75"/>
      <c r="N6" s="75"/>
      <c r="O6" s="75"/>
      <c r="P6" s="77" t="s">
        <v>1348</v>
      </c>
      <c r="Q6" s="75"/>
      <c r="R6" s="75"/>
      <c r="S6" s="75"/>
      <c r="T6" s="75"/>
      <c r="U6" s="77" t="s">
        <v>1349</v>
      </c>
      <c r="V6" s="185" t="s">
        <v>1353</v>
      </c>
      <c r="W6" s="115" t="s">
        <v>1290</v>
      </c>
      <c r="X6" s="115"/>
      <c r="Y6" s="79"/>
    </row>
    <row r="7" spans="1:25" ht="21.75" customHeight="1" x14ac:dyDescent="0.25">
      <c r="B7" s="97" t="s">
        <v>280</v>
      </c>
      <c r="C7" s="98" t="s">
        <v>281</v>
      </c>
      <c r="D7" s="99" t="s">
        <v>282</v>
      </c>
      <c r="E7" s="75" t="s">
        <v>283</v>
      </c>
      <c r="F7" s="75"/>
      <c r="G7" s="75" t="s">
        <v>284</v>
      </c>
      <c r="H7" s="75"/>
      <c r="I7" s="75"/>
      <c r="J7" s="75" t="s">
        <v>285</v>
      </c>
      <c r="K7" s="77" t="s">
        <v>286</v>
      </c>
      <c r="L7" s="75"/>
      <c r="M7" s="75"/>
      <c r="N7" s="75"/>
      <c r="O7" s="76">
        <v>1</v>
      </c>
      <c r="P7" s="75" t="s">
        <v>287</v>
      </c>
      <c r="Q7" s="75"/>
      <c r="R7" s="75"/>
      <c r="S7" s="75"/>
      <c r="T7" s="75"/>
      <c r="U7" s="75" t="s">
        <v>288</v>
      </c>
      <c r="V7" s="185" t="s">
        <v>1339</v>
      </c>
      <c r="W7" s="115" t="s">
        <v>1290</v>
      </c>
      <c r="X7" s="115"/>
      <c r="Y7" s="79"/>
    </row>
    <row r="8" spans="1:25" ht="21.75" customHeight="1" x14ac:dyDescent="0.25">
      <c r="B8" s="97" t="s">
        <v>289</v>
      </c>
      <c r="C8" s="98" t="s">
        <v>290</v>
      </c>
      <c r="D8" s="99" t="s">
        <v>291</v>
      </c>
      <c r="E8" s="75"/>
      <c r="F8" s="75"/>
      <c r="G8" s="75" t="s">
        <v>284</v>
      </c>
      <c r="H8" s="80" t="s">
        <v>1346</v>
      </c>
      <c r="I8" s="75" t="s">
        <v>1347</v>
      </c>
      <c r="J8" s="75" t="s">
        <v>285</v>
      </c>
      <c r="K8" s="77" t="s">
        <v>1351</v>
      </c>
      <c r="L8" s="75"/>
      <c r="M8" s="75"/>
      <c r="N8" s="75"/>
      <c r="O8" s="76">
        <v>1</v>
      </c>
      <c r="P8" s="80" t="s">
        <v>1354</v>
      </c>
      <c r="Q8" s="75"/>
      <c r="R8" s="75"/>
      <c r="S8" s="75"/>
      <c r="T8" s="75"/>
      <c r="U8" s="75" t="s">
        <v>1355</v>
      </c>
      <c r="V8" s="185" t="s">
        <v>1356</v>
      </c>
      <c r="W8" s="115" t="s">
        <v>1290</v>
      </c>
      <c r="X8" s="115"/>
      <c r="Y8" s="79"/>
    </row>
    <row r="9" spans="1:25" ht="21.75" customHeight="1" x14ac:dyDescent="0.25">
      <c r="B9" s="97" t="s">
        <v>218</v>
      </c>
      <c r="C9" s="98" t="s">
        <v>292</v>
      </c>
      <c r="D9" s="99" t="s">
        <v>293</v>
      </c>
      <c r="E9" s="75" t="s">
        <v>294</v>
      </c>
      <c r="F9" s="75"/>
      <c r="G9" s="75" t="s">
        <v>295</v>
      </c>
      <c r="H9" s="75"/>
      <c r="I9" s="75"/>
      <c r="J9" s="77" t="s">
        <v>296</v>
      </c>
      <c r="K9" s="77" t="s">
        <v>297</v>
      </c>
      <c r="L9" s="75"/>
      <c r="M9" s="77" t="s">
        <v>225</v>
      </c>
      <c r="N9" s="75"/>
      <c r="O9" s="76">
        <v>-1</v>
      </c>
      <c r="P9" s="75"/>
      <c r="Q9" s="75"/>
      <c r="R9" s="75"/>
      <c r="S9" s="75"/>
      <c r="T9" s="75"/>
      <c r="U9" s="75" t="s">
        <v>298</v>
      </c>
      <c r="V9" s="185" t="s">
        <v>1000</v>
      </c>
      <c r="W9" s="115" t="s">
        <v>1291</v>
      </c>
      <c r="X9" s="115"/>
      <c r="Y9" s="79"/>
    </row>
    <row r="10" spans="1:25" ht="21.75" customHeight="1" x14ac:dyDescent="0.25">
      <c r="B10" s="97" t="s">
        <v>299</v>
      </c>
      <c r="C10" s="98" t="s">
        <v>300</v>
      </c>
      <c r="D10" s="99" t="s">
        <v>301</v>
      </c>
      <c r="E10" s="75"/>
      <c r="F10" s="75"/>
      <c r="G10" s="75" t="s">
        <v>295</v>
      </c>
      <c r="H10" s="80" t="s">
        <v>358</v>
      </c>
      <c r="I10" s="75" t="s">
        <v>1163</v>
      </c>
      <c r="J10" s="77" t="s">
        <v>296</v>
      </c>
      <c r="K10" s="77" t="s">
        <v>1352</v>
      </c>
      <c r="L10" s="75"/>
      <c r="M10" s="77" t="s">
        <v>225</v>
      </c>
      <c r="N10" s="75"/>
      <c r="O10" s="76">
        <v>-1</v>
      </c>
      <c r="P10" s="75"/>
      <c r="Q10" s="75"/>
      <c r="R10" s="75"/>
      <c r="S10" s="75"/>
      <c r="T10" s="75"/>
      <c r="U10" s="75" t="s">
        <v>298</v>
      </c>
      <c r="V10" s="185" t="s">
        <v>1357</v>
      </c>
      <c r="W10" s="115" t="s">
        <v>1291</v>
      </c>
      <c r="X10" s="115"/>
      <c r="Y10" s="79"/>
    </row>
    <row r="11" spans="1:25" ht="21.75" customHeight="1" x14ac:dyDescent="0.25">
      <c r="B11" s="97" t="s">
        <v>302</v>
      </c>
      <c r="C11" s="98" t="s">
        <v>303</v>
      </c>
      <c r="D11" s="99" t="s">
        <v>304</v>
      </c>
      <c r="E11" s="75" t="s">
        <v>305</v>
      </c>
      <c r="F11" s="75"/>
      <c r="G11" s="75"/>
      <c r="H11" s="75"/>
      <c r="I11" s="75"/>
      <c r="J11" s="75"/>
      <c r="K11" s="75"/>
      <c r="L11" s="75"/>
      <c r="M11" s="75"/>
      <c r="N11" s="75"/>
      <c r="O11" s="75"/>
      <c r="P11" s="75" t="s">
        <v>305</v>
      </c>
      <c r="Q11" s="75"/>
      <c r="R11" s="75"/>
      <c r="S11" s="75"/>
      <c r="T11" s="75"/>
      <c r="U11" s="75" t="s">
        <v>306</v>
      </c>
      <c r="V11" s="185" t="s">
        <v>1001</v>
      </c>
      <c r="W11" s="115" t="s">
        <v>1291</v>
      </c>
      <c r="X11" s="115"/>
      <c r="Y11" s="79"/>
    </row>
    <row r="12" spans="1:25" ht="21.75" customHeight="1" x14ac:dyDescent="0.25">
      <c r="B12" s="97" t="s">
        <v>307</v>
      </c>
      <c r="C12" s="98" t="s">
        <v>308</v>
      </c>
      <c r="D12" s="99" t="s">
        <v>309</v>
      </c>
      <c r="E12" s="75"/>
      <c r="F12" s="75"/>
      <c r="G12" s="75"/>
      <c r="H12" s="80" t="s">
        <v>375</v>
      </c>
      <c r="I12" s="75" t="s">
        <v>1164</v>
      </c>
      <c r="J12" s="75"/>
      <c r="K12" s="77" t="s">
        <v>1358</v>
      </c>
      <c r="L12" s="75"/>
      <c r="M12" s="75"/>
      <c r="N12" s="75"/>
      <c r="O12" s="75"/>
      <c r="P12" s="75" t="s">
        <v>305</v>
      </c>
      <c r="Q12" s="75"/>
      <c r="R12" s="75"/>
      <c r="S12" s="75"/>
      <c r="T12" s="75"/>
      <c r="U12" s="75" t="s">
        <v>306</v>
      </c>
      <c r="V12" s="185" t="s">
        <v>1359</v>
      </c>
      <c r="W12" s="115" t="s">
        <v>1291</v>
      </c>
      <c r="X12" s="115"/>
      <c r="Y12" s="79"/>
    </row>
    <row r="13" spans="1:25" ht="21.75" customHeight="1" x14ac:dyDescent="0.25">
      <c r="B13" s="97" t="s">
        <v>221</v>
      </c>
      <c r="C13" s="98" t="s">
        <v>310</v>
      </c>
      <c r="D13" s="99" t="s">
        <v>311</v>
      </c>
      <c r="E13" s="80" t="s">
        <v>312</v>
      </c>
      <c r="F13" s="75"/>
      <c r="G13" s="75" t="s">
        <v>313</v>
      </c>
      <c r="H13" s="75" t="s">
        <v>314</v>
      </c>
      <c r="I13" s="75"/>
      <c r="J13" s="75" t="s">
        <v>285</v>
      </c>
      <c r="K13" s="77" t="s">
        <v>1371</v>
      </c>
      <c r="L13" s="75"/>
      <c r="M13" s="75"/>
      <c r="N13" s="75"/>
      <c r="O13" s="75"/>
      <c r="P13" s="75"/>
      <c r="Q13" s="75"/>
      <c r="R13" s="75"/>
      <c r="S13" s="76"/>
      <c r="T13" s="76">
        <v>1</v>
      </c>
      <c r="U13" s="77" t="s">
        <v>239</v>
      </c>
      <c r="V13" s="185" t="s">
        <v>1340</v>
      </c>
      <c r="W13" s="115" t="s">
        <v>1291</v>
      </c>
      <c r="X13" s="115"/>
      <c r="Y13" s="79"/>
    </row>
    <row r="14" spans="1:25" ht="21.75" customHeight="1" x14ac:dyDescent="0.25">
      <c r="B14" s="97" t="s">
        <v>315</v>
      </c>
      <c r="C14" s="98" t="s">
        <v>316</v>
      </c>
      <c r="D14" s="99" t="s">
        <v>317</v>
      </c>
      <c r="E14" s="75" t="s">
        <v>294</v>
      </c>
      <c r="F14" s="75"/>
      <c r="G14" s="75" t="s">
        <v>295</v>
      </c>
      <c r="H14" s="75"/>
      <c r="I14" s="75"/>
      <c r="J14" s="77" t="s">
        <v>296</v>
      </c>
      <c r="K14" s="77" t="s">
        <v>318</v>
      </c>
      <c r="L14" s="75"/>
      <c r="M14" s="77" t="s">
        <v>225</v>
      </c>
      <c r="N14" s="75"/>
      <c r="O14" s="75"/>
      <c r="P14" s="75"/>
      <c r="Q14" s="75"/>
      <c r="R14" s="75"/>
      <c r="S14" s="76"/>
      <c r="T14" s="76">
        <v>-1</v>
      </c>
      <c r="U14" s="75" t="s">
        <v>298</v>
      </c>
      <c r="V14" s="185" t="s">
        <v>1002</v>
      </c>
      <c r="W14" s="115" t="s">
        <v>1291</v>
      </c>
      <c r="X14" s="115"/>
      <c r="Y14" s="79"/>
    </row>
    <row r="15" spans="1:25" ht="21.75" customHeight="1" x14ac:dyDescent="0.25">
      <c r="B15" s="97" t="s">
        <v>319</v>
      </c>
      <c r="C15" s="98" t="s">
        <v>320</v>
      </c>
      <c r="D15" s="99" t="s">
        <v>321</v>
      </c>
      <c r="E15" s="75"/>
      <c r="F15" s="75"/>
      <c r="G15" s="75" t="s">
        <v>295</v>
      </c>
      <c r="H15" s="80" t="s">
        <v>358</v>
      </c>
      <c r="I15" s="75" t="s">
        <v>1163</v>
      </c>
      <c r="J15" s="77" t="s">
        <v>296</v>
      </c>
      <c r="K15" s="77" t="s">
        <v>1372</v>
      </c>
      <c r="L15" s="75"/>
      <c r="M15" s="77" t="s">
        <v>225</v>
      </c>
      <c r="N15" s="75"/>
      <c r="O15" s="75"/>
      <c r="P15" s="75"/>
      <c r="Q15" s="75"/>
      <c r="R15" s="75"/>
      <c r="S15" s="76"/>
      <c r="T15" s="76">
        <v>-1</v>
      </c>
      <c r="U15" s="75" t="s">
        <v>298</v>
      </c>
      <c r="V15" s="185" t="s">
        <v>1360</v>
      </c>
      <c r="W15" s="115" t="s">
        <v>1291</v>
      </c>
      <c r="X15" s="115"/>
      <c r="Y15" s="79"/>
    </row>
    <row r="16" spans="1:25" ht="21.75" customHeight="1" x14ac:dyDescent="0.25">
      <c r="B16" s="97" t="s">
        <v>322</v>
      </c>
      <c r="C16" s="98" t="s">
        <v>323</v>
      </c>
      <c r="D16" s="98" t="s">
        <v>324</v>
      </c>
      <c r="E16" s="100"/>
      <c r="F16" s="100">
        <v>-1</v>
      </c>
      <c r="G16" s="101" t="s">
        <v>226</v>
      </c>
      <c r="H16" s="100"/>
      <c r="I16" s="100"/>
      <c r="J16" s="101" t="s">
        <v>325</v>
      </c>
      <c r="K16" s="81" t="s">
        <v>326</v>
      </c>
      <c r="L16" s="100"/>
      <c r="M16" s="100"/>
      <c r="N16" s="100"/>
      <c r="O16" s="100"/>
      <c r="P16" s="100"/>
      <c r="Q16" s="100"/>
      <c r="R16" s="100" t="s">
        <v>327</v>
      </c>
      <c r="S16" s="100">
        <v>1</v>
      </c>
      <c r="T16" s="100"/>
      <c r="U16" s="82" t="s">
        <v>328</v>
      </c>
      <c r="V16" s="185" t="s">
        <v>1341</v>
      </c>
      <c r="W16" s="115" t="s">
        <v>1291</v>
      </c>
      <c r="X16" s="115"/>
      <c r="Y16" s="79"/>
    </row>
    <row r="17" spans="2:25" ht="21.75" customHeight="1" x14ac:dyDescent="0.25">
      <c r="B17" s="97" t="s">
        <v>329</v>
      </c>
      <c r="C17" s="98" t="s">
        <v>330</v>
      </c>
      <c r="D17" s="98" t="s">
        <v>331</v>
      </c>
      <c r="E17" s="102" t="s">
        <v>332</v>
      </c>
      <c r="F17" s="100"/>
      <c r="G17" s="100"/>
      <c r="H17" s="100"/>
      <c r="I17" s="100"/>
      <c r="J17" s="100">
        <v>-1</v>
      </c>
      <c r="K17" s="81" t="s">
        <v>333</v>
      </c>
      <c r="L17" s="100"/>
      <c r="M17" s="100"/>
      <c r="N17" s="100"/>
      <c r="O17" s="100"/>
      <c r="P17" s="100"/>
      <c r="Q17" s="100"/>
      <c r="R17" s="100">
        <v>1</v>
      </c>
      <c r="S17" s="100" t="s">
        <v>332</v>
      </c>
      <c r="T17" s="100"/>
      <c r="U17" s="100" t="s">
        <v>334</v>
      </c>
      <c r="V17" s="185" t="s">
        <v>1342</v>
      </c>
      <c r="W17" s="115" t="s">
        <v>1291</v>
      </c>
      <c r="X17" s="115"/>
      <c r="Y17" s="79"/>
    </row>
    <row r="18" spans="2:25" ht="21.75" customHeight="1" x14ac:dyDescent="0.25">
      <c r="B18" s="97" t="s">
        <v>335</v>
      </c>
      <c r="C18" s="98" t="s">
        <v>336</v>
      </c>
      <c r="D18" s="98" t="s">
        <v>337</v>
      </c>
      <c r="E18" s="100"/>
      <c r="F18" s="100"/>
      <c r="G18" s="100"/>
      <c r="H18" s="102" t="s">
        <v>338</v>
      </c>
      <c r="I18" s="101" t="s">
        <v>339</v>
      </c>
      <c r="J18" s="100">
        <v>-1</v>
      </c>
      <c r="K18" s="81" t="s">
        <v>1373</v>
      </c>
      <c r="L18" s="100"/>
      <c r="M18" s="100"/>
      <c r="N18" s="100"/>
      <c r="O18" s="100"/>
      <c r="P18" s="100"/>
      <c r="Q18" s="100"/>
      <c r="R18" s="100">
        <v>1</v>
      </c>
      <c r="S18" s="100" t="s">
        <v>332</v>
      </c>
      <c r="T18" s="100"/>
      <c r="U18" s="100" t="s">
        <v>334</v>
      </c>
      <c r="V18" s="185" t="s">
        <v>1361</v>
      </c>
      <c r="W18" s="115" t="s">
        <v>1291</v>
      </c>
      <c r="X18" s="115"/>
      <c r="Y18" s="79"/>
    </row>
    <row r="19" spans="2:25" ht="21.75" customHeight="1" x14ac:dyDescent="0.25">
      <c r="B19" s="97" t="s">
        <v>340</v>
      </c>
      <c r="C19" s="98" t="s">
        <v>341</v>
      </c>
      <c r="D19" s="98" t="s">
        <v>342</v>
      </c>
      <c r="E19" s="100" t="s">
        <v>343</v>
      </c>
      <c r="F19" s="100"/>
      <c r="G19" s="100" t="s">
        <v>284</v>
      </c>
      <c r="H19" s="100"/>
      <c r="I19" s="100"/>
      <c r="J19" s="100" t="s">
        <v>285</v>
      </c>
      <c r="K19" s="81" t="s">
        <v>344</v>
      </c>
      <c r="L19" s="100"/>
      <c r="M19" s="100"/>
      <c r="N19" s="100"/>
      <c r="O19" s="100"/>
      <c r="P19" s="100"/>
      <c r="Q19" s="100">
        <v>1</v>
      </c>
      <c r="R19" s="100"/>
      <c r="S19" s="83" t="s">
        <v>345</v>
      </c>
      <c r="T19" s="100"/>
      <c r="U19" s="100" t="s">
        <v>346</v>
      </c>
      <c r="V19" s="185" t="s">
        <v>1343</v>
      </c>
      <c r="W19" s="115" t="s">
        <v>1291</v>
      </c>
      <c r="X19" s="115"/>
      <c r="Y19" s="79"/>
    </row>
    <row r="20" spans="2:25" ht="21.75" customHeight="1" x14ac:dyDescent="0.25">
      <c r="B20" s="97" t="s">
        <v>347</v>
      </c>
      <c r="C20" s="98" t="s">
        <v>348</v>
      </c>
      <c r="D20" s="98" t="s">
        <v>349</v>
      </c>
      <c r="E20" s="100"/>
      <c r="F20" s="100"/>
      <c r="G20" s="100" t="s">
        <v>284</v>
      </c>
      <c r="H20" s="84" t="s">
        <v>1362</v>
      </c>
      <c r="I20" s="85" t="s">
        <v>1363</v>
      </c>
      <c r="J20" s="100" t="s">
        <v>285</v>
      </c>
      <c r="K20" s="81" t="s">
        <v>1374</v>
      </c>
      <c r="L20" s="100"/>
      <c r="M20" s="100"/>
      <c r="N20" s="100"/>
      <c r="O20" s="100"/>
      <c r="P20" s="100"/>
      <c r="Q20" s="100">
        <v>1</v>
      </c>
      <c r="R20" s="100"/>
      <c r="S20" s="102" t="s">
        <v>1364</v>
      </c>
      <c r="T20" s="100"/>
      <c r="U20" s="102" t="s">
        <v>1365</v>
      </c>
      <c r="V20" s="185" t="s">
        <v>1366</v>
      </c>
      <c r="W20" s="115" t="s">
        <v>1291</v>
      </c>
      <c r="X20" s="115"/>
      <c r="Y20" s="79"/>
    </row>
    <row r="21" spans="2:25" ht="21.75" customHeight="1" x14ac:dyDescent="0.25">
      <c r="B21" s="97" t="s">
        <v>350</v>
      </c>
      <c r="C21" s="98" t="s">
        <v>351</v>
      </c>
      <c r="D21" s="98" t="s">
        <v>352</v>
      </c>
      <c r="E21" s="100" t="s">
        <v>294</v>
      </c>
      <c r="F21" s="100"/>
      <c r="G21" s="100" t="s">
        <v>295</v>
      </c>
      <c r="H21" s="100"/>
      <c r="I21" s="100"/>
      <c r="J21" s="100" t="s">
        <v>353</v>
      </c>
      <c r="K21" s="81" t="s">
        <v>354</v>
      </c>
      <c r="L21" s="100"/>
      <c r="M21" s="101" t="s">
        <v>225</v>
      </c>
      <c r="N21" s="100"/>
      <c r="O21" s="100"/>
      <c r="P21" s="100"/>
      <c r="Q21" s="100">
        <v>-1</v>
      </c>
      <c r="R21" s="100"/>
      <c r="S21" s="100"/>
      <c r="T21" s="100"/>
      <c r="U21" s="100" t="s">
        <v>298</v>
      </c>
      <c r="V21" s="185" t="s">
        <v>1003</v>
      </c>
      <c r="W21" s="115" t="s">
        <v>1291</v>
      </c>
      <c r="X21" s="115"/>
      <c r="Y21" s="79"/>
    </row>
    <row r="22" spans="2:25" ht="21.75" customHeight="1" x14ac:dyDescent="0.25">
      <c r="B22" s="97" t="s">
        <v>355</v>
      </c>
      <c r="C22" s="98" t="s">
        <v>356</v>
      </c>
      <c r="D22" s="98" t="s">
        <v>357</v>
      </c>
      <c r="E22" s="100"/>
      <c r="F22" s="100"/>
      <c r="G22" s="100" t="s">
        <v>295</v>
      </c>
      <c r="H22" s="102" t="s">
        <v>358</v>
      </c>
      <c r="I22" s="100" t="s">
        <v>359</v>
      </c>
      <c r="J22" s="100" t="s">
        <v>353</v>
      </c>
      <c r="K22" s="81" t="s">
        <v>1375</v>
      </c>
      <c r="L22" s="100"/>
      <c r="M22" s="101" t="s">
        <v>225</v>
      </c>
      <c r="N22" s="100"/>
      <c r="O22" s="100"/>
      <c r="P22" s="100"/>
      <c r="Q22" s="100">
        <v>-1</v>
      </c>
      <c r="R22" s="100"/>
      <c r="S22" s="100"/>
      <c r="T22" s="100"/>
      <c r="U22" s="100" t="s">
        <v>298</v>
      </c>
      <c r="V22" s="185" t="s">
        <v>1367</v>
      </c>
      <c r="W22" s="115" t="s">
        <v>1291</v>
      </c>
      <c r="X22" s="115"/>
      <c r="Y22" s="79"/>
    </row>
    <row r="23" spans="2:25" ht="21.75" customHeight="1" x14ac:dyDescent="0.25">
      <c r="B23" s="97" t="s">
        <v>360</v>
      </c>
      <c r="C23" s="98" t="s">
        <v>361</v>
      </c>
      <c r="D23" s="98" t="s">
        <v>362</v>
      </c>
      <c r="E23" s="100"/>
      <c r="F23" s="100"/>
      <c r="G23" s="100"/>
      <c r="H23" s="100"/>
      <c r="I23" s="100"/>
      <c r="J23" s="100">
        <v>1</v>
      </c>
      <c r="K23" s="81" t="s">
        <v>363</v>
      </c>
      <c r="L23" s="100"/>
      <c r="M23" s="100"/>
      <c r="N23" s="100"/>
      <c r="O23" s="100"/>
      <c r="P23" s="100"/>
      <c r="Q23" s="100"/>
      <c r="R23" s="100">
        <v>-1</v>
      </c>
      <c r="S23" s="100"/>
      <c r="T23" s="100"/>
      <c r="U23" s="100" t="s">
        <v>364</v>
      </c>
      <c r="V23" s="185" t="s">
        <v>1004</v>
      </c>
      <c r="W23" s="115" t="s">
        <v>1291</v>
      </c>
      <c r="X23" s="115"/>
      <c r="Y23" s="79"/>
    </row>
    <row r="24" spans="2:25" ht="21.75" customHeight="1" x14ac:dyDescent="0.25">
      <c r="B24" s="97" t="s">
        <v>365</v>
      </c>
      <c r="C24" s="98" t="s">
        <v>366</v>
      </c>
      <c r="D24" s="98" t="s">
        <v>367</v>
      </c>
      <c r="E24" s="100"/>
      <c r="F24" s="100"/>
      <c r="G24" s="100"/>
      <c r="H24" s="100"/>
      <c r="I24" s="100"/>
      <c r="J24" s="100">
        <v>1</v>
      </c>
      <c r="K24" s="81" t="s">
        <v>368</v>
      </c>
      <c r="L24" s="100"/>
      <c r="M24" s="100"/>
      <c r="N24" s="100"/>
      <c r="O24" s="100"/>
      <c r="P24" s="100"/>
      <c r="Q24" s="100"/>
      <c r="R24" s="100">
        <v>-1</v>
      </c>
      <c r="S24" s="100"/>
      <c r="T24" s="100"/>
      <c r="U24" s="100" t="s">
        <v>364</v>
      </c>
      <c r="V24" s="185" t="s">
        <v>1368</v>
      </c>
      <c r="W24" s="115" t="s">
        <v>1291</v>
      </c>
      <c r="X24" s="115"/>
      <c r="Y24" s="79"/>
    </row>
    <row r="25" spans="2:25" ht="21.75" customHeight="1" x14ac:dyDescent="0.25">
      <c r="B25" s="97" t="s">
        <v>369</v>
      </c>
      <c r="C25" s="98" t="s">
        <v>370</v>
      </c>
      <c r="D25" s="98" t="s">
        <v>371</v>
      </c>
      <c r="E25" s="100">
        <v>-1</v>
      </c>
      <c r="F25" s="100"/>
      <c r="G25" s="100"/>
      <c r="H25" s="100"/>
      <c r="I25" s="100"/>
      <c r="J25" s="100"/>
      <c r="K25" s="86"/>
      <c r="L25" s="100"/>
      <c r="M25" s="100"/>
      <c r="N25" s="100"/>
      <c r="O25" s="100"/>
      <c r="P25" s="100"/>
      <c r="Q25" s="100"/>
      <c r="R25" s="100"/>
      <c r="S25" s="100">
        <v>-1</v>
      </c>
      <c r="T25" s="100"/>
      <c r="U25" s="100" t="s">
        <v>306</v>
      </c>
      <c r="V25" s="185" t="s">
        <v>1005</v>
      </c>
      <c r="W25" s="115" t="s">
        <v>1291</v>
      </c>
      <c r="X25" s="115"/>
      <c r="Y25" s="79"/>
    </row>
    <row r="26" spans="2:25" ht="21.75" customHeight="1" thickBot="1" x14ac:dyDescent="0.3">
      <c r="B26" s="343" t="s">
        <v>372</v>
      </c>
      <c r="C26" s="103" t="s">
        <v>373</v>
      </c>
      <c r="D26" s="103" t="s">
        <v>374</v>
      </c>
      <c r="E26" s="104"/>
      <c r="F26" s="104"/>
      <c r="G26" s="104"/>
      <c r="H26" s="344" t="s">
        <v>375</v>
      </c>
      <c r="I26" s="104" t="s">
        <v>376</v>
      </c>
      <c r="J26" s="104"/>
      <c r="K26" s="345" t="s">
        <v>1369</v>
      </c>
      <c r="L26" s="104"/>
      <c r="M26" s="104"/>
      <c r="N26" s="104"/>
      <c r="O26" s="104"/>
      <c r="P26" s="104"/>
      <c r="Q26" s="104"/>
      <c r="R26" s="104"/>
      <c r="S26" s="104">
        <v>-1</v>
      </c>
      <c r="T26" s="104"/>
      <c r="U26" s="104" t="s">
        <v>306</v>
      </c>
      <c r="V26" s="346" t="s">
        <v>1370</v>
      </c>
      <c r="W26" s="123" t="s">
        <v>1291</v>
      </c>
      <c r="X26" s="123"/>
      <c r="Y26" s="347"/>
    </row>
    <row r="27" spans="2:25" ht="15.75" thickBot="1" x14ac:dyDescent="0.3">
      <c r="V27" s="67"/>
      <c r="W27" s="67"/>
    </row>
    <row r="28" spans="2:25" ht="15.75" thickBot="1" x14ac:dyDescent="0.3">
      <c r="D28" s="52" t="s">
        <v>5</v>
      </c>
      <c r="E28" s="12"/>
    </row>
    <row r="29" spans="2:25" ht="19.5" x14ac:dyDescent="0.25">
      <c r="D29" s="317" t="s">
        <v>147</v>
      </c>
      <c r="E29" s="318">
        <v>-1</v>
      </c>
      <c r="F29" s="318">
        <v>1</v>
      </c>
      <c r="G29" s="318"/>
      <c r="H29" s="319" t="s">
        <v>242</v>
      </c>
      <c r="I29" s="319" t="s">
        <v>243</v>
      </c>
      <c r="J29" s="318"/>
      <c r="K29" s="318"/>
      <c r="L29" s="318">
        <v>1</v>
      </c>
      <c r="M29" s="318">
        <v>1</v>
      </c>
      <c r="N29" s="318">
        <v>1</v>
      </c>
      <c r="O29" s="318">
        <v>1</v>
      </c>
      <c r="P29" s="318">
        <v>1</v>
      </c>
      <c r="Q29" s="318">
        <v>1</v>
      </c>
      <c r="R29" s="318"/>
      <c r="S29" s="318">
        <v>1</v>
      </c>
      <c r="T29" s="318">
        <v>1</v>
      </c>
      <c r="U29" s="318"/>
    </row>
    <row r="30" spans="2:25" ht="19.5" x14ac:dyDescent="0.25">
      <c r="D30" s="88" t="s">
        <v>377</v>
      </c>
      <c r="E30" s="100"/>
      <c r="F30" s="101" t="s">
        <v>226</v>
      </c>
      <c r="G30" s="100">
        <v>1</v>
      </c>
      <c r="H30" s="100">
        <v>1</v>
      </c>
      <c r="I30" s="100">
        <v>1</v>
      </c>
      <c r="J30" s="100"/>
      <c r="K30" s="100"/>
      <c r="L30" s="101" t="s">
        <v>227</v>
      </c>
      <c r="M30" s="101" t="s">
        <v>228</v>
      </c>
      <c r="N30" s="101" t="s">
        <v>229</v>
      </c>
      <c r="O30" s="101" t="s">
        <v>230</v>
      </c>
      <c r="P30" s="100"/>
      <c r="Q30" s="101" t="s">
        <v>230</v>
      </c>
      <c r="R30" s="100"/>
      <c r="S30" s="100"/>
      <c r="T30" s="101" t="s">
        <v>230</v>
      </c>
      <c r="U30" s="100"/>
    </row>
    <row r="31" spans="2:25" ht="19.5" x14ac:dyDescent="0.25">
      <c r="D31" s="88" t="s">
        <v>378</v>
      </c>
      <c r="E31" s="100"/>
      <c r="F31" s="101" t="s">
        <v>231</v>
      </c>
      <c r="G31" s="100"/>
      <c r="H31" s="100"/>
      <c r="I31" s="100"/>
      <c r="J31" s="100">
        <v>1</v>
      </c>
      <c r="K31" s="100"/>
      <c r="L31" s="101" t="s">
        <v>232</v>
      </c>
      <c r="M31" s="101" t="s">
        <v>233</v>
      </c>
      <c r="N31" s="101" t="s">
        <v>234</v>
      </c>
      <c r="O31" s="101" t="s">
        <v>235</v>
      </c>
      <c r="P31" s="100"/>
      <c r="Q31" s="101" t="s">
        <v>235</v>
      </c>
      <c r="R31" s="100">
        <v>1</v>
      </c>
      <c r="S31" s="100"/>
      <c r="T31" s="101" t="s">
        <v>235</v>
      </c>
      <c r="U31" s="100"/>
    </row>
    <row r="32" spans="2:25" ht="21" customHeight="1" x14ac:dyDescent="0.25">
      <c r="D32" s="88" t="s">
        <v>9</v>
      </c>
      <c r="E32" s="100"/>
      <c r="F32" s="100"/>
      <c r="G32" s="89" t="s">
        <v>244</v>
      </c>
      <c r="H32" s="89" t="s">
        <v>245</v>
      </c>
      <c r="I32" s="90"/>
      <c r="J32" s="89" t="s">
        <v>247</v>
      </c>
      <c r="K32" s="100">
        <v>-1</v>
      </c>
      <c r="L32" s="100"/>
      <c r="M32" s="100"/>
      <c r="N32" s="100"/>
      <c r="O32" s="100"/>
      <c r="P32" s="100"/>
      <c r="Q32" s="100"/>
      <c r="R32" s="91" t="s">
        <v>246</v>
      </c>
      <c r="S32" s="100"/>
      <c r="T32" s="100"/>
      <c r="U32" s="100"/>
    </row>
    <row r="33" spans="2:28" ht="20.25" thickBot="1" x14ac:dyDescent="0.3">
      <c r="D33" s="92" t="s">
        <v>379</v>
      </c>
      <c r="E33" s="104"/>
      <c r="F33" s="104"/>
      <c r="G33" s="104"/>
      <c r="H33" s="104"/>
      <c r="I33" s="104"/>
      <c r="J33" s="104"/>
      <c r="K33" s="104"/>
      <c r="L33" s="104"/>
      <c r="M33" s="93" t="s">
        <v>236</v>
      </c>
      <c r="N33" s="93" t="s">
        <v>237</v>
      </c>
      <c r="O33" s="93" t="s">
        <v>239</v>
      </c>
      <c r="P33" s="93" t="s">
        <v>238</v>
      </c>
      <c r="Q33" s="93" t="s">
        <v>239</v>
      </c>
      <c r="R33" s="93" t="s">
        <v>241</v>
      </c>
      <c r="S33" s="93" t="s">
        <v>238</v>
      </c>
      <c r="T33" s="93" t="s">
        <v>239</v>
      </c>
      <c r="U33" s="104">
        <v>-1</v>
      </c>
    </row>
    <row r="36" spans="2:28" x14ac:dyDescent="0.25">
      <c r="Y36" t="s">
        <v>405</v>
      </c>
    </row>
    <row r="38" spans="2:28" ht="15.75" thickBot="1" x14ac:dyDescent="0.3">
      <c r="X38" t="s">
        <v>405</v>
      </c>
    </row>
    <row r="39" spans="2:28" ht="75.75" thickBot="1" x14ac:dyDescent="0.3">
      <c r="B39" s="171" t="s">
        <v>92</v>
      </c>
      <c r="C39" s="172"/>
      <c r="D39" s="172" t="s">
        <v>1</v>
      </c>
      <c r="E39" s="173" t="s">
        <v>1304</v>
      </c>
      <c r="F39" s="173" t="s">
        <v>249</v>
      </c>
      <c r="G39" s="173" t="s">
        <v>250</v>
      </c>
      <c r="H39" s="173" t="s">
        <v>1305</v>
      </c>
      <c r="I39" s="173" t="s">
        <v>251</v>
      </c>
      <c r="J39" s="173" t="s">
        <v>252</v>
      </c>
      <c r="K39" s="173" t="s">
        <v>1306</v>
      </c>
      <c r="L39" s="173" t="s">
        <v>253</v>
      </c>
      <c r="M39" s="173" t="s">
        <v>254</v>
      </c>
      <c r="N39" s="173" t="s">
        <v>255</v>
      </c>
      <c r="O39" s="173" t="s">
        <v>256</v>
      </c>
      <c r="P39" s="173" t="s">
        <v>257</v>
      </c>
      <c r="Q39" s="173" t="s">
        <v>258</v>
      </c>
      <c r="R39" s="173" t="s">
        <v>259</v>
      </c>
      <c r="S39" s="173" t="s">
        <v>260</v>
      </c>
      <c r="T39" s="173" t="s">
        <v>261</v>
      </c>
      <c r="U39" s="173" t="s">
        <v>262</v>
      </c>
      <c r="V39" s="174" t="s">
        <v>1247</v>
      </c>
      <c r="X39" s="439" t="s">
        <v>147</v>
      </c>
      <c r="Y39" s="439" t="s">
        <v>377</v>
      </c>
      <c r="Z39" s="439" t="s">
        <v>378</v>
      </c>
      <c r="AA39" s="439" t="s">
        <v>9</v>
      </c>
      <c r="AB39" s="439" t="s">
        <v>379</v>
      </c>
    </row>
    <row r="40" spans="2:28" x14ac:dyDescent="0.25">
      <c r="B40" s="307" t="s">
        <v>263</v>
      </c>
      <c r="C40" s="308" t="s">
        <v>264</v>
      </c>
      <c r="D40" s="309" t="s">
        <v>265</v>
      </c>
      <c r="E40" s="415">
        <f>0</f>
        <v>0</v>
      </c>
      <c r="F40" s="415">
        <f>1-f_SI</f>
        <v>1</v>
      </c>
      <c r="G40" s="415">
        <f>-(1-f_SI)*i_N_SS-f_SI*i_N_SI+i_N_XS</f>
        <v>5.0000000000000044E-3</v>
      </c>
      <c r="H40" s="415">
        <f>0</f>
        <v>0</v>
      </c>
      <c r="I40" s="415">
        <f>0</f>
        <v>0</v>
      </c>
      <c r="J40" s="424">
        <f>-(1-f_SI)*i_P_SS-f_SI*i_P_SI+i_P_XS</f>
        <v>5.0000000000000001E-3</v>
      </c>
      <c r="K40" s="425">
        <f>v_1_SNH4*i_Charge_SNHx+v_1_SPO4*i_Charge_SPO4</f>
        <v>1.1520737327188978E-7</v>
      </c>
      <c r="L40" s="425">
        <f>f_SI</f>
        <v>0</v>
      </c>
      <c r="M40" s="415">
        <f>0</f>
        <v>0</v>
      </c>
      <c r="N40" s="415">
        <f>-1</f>
        <v>-1</v>
      </c>
      <c r="O40" s="415">
        <f>0</f>
        <v>0</v>
      </c>
      <c r="P40" s="415">
        <f>0</f>
        <v>0</v>
      </c>
      <c r="Q40" s="415">
        <f>0</f>
        <v>0</v>
      </c>
      <c r="R40" s="415">
        <f>0</f>
        <v>0</v>
      </c>
      <c r="S40" s="415">
        <f>0</f>
        <v>0</v>
      </c>
      <c r="T40" s="415">
        <f>0</f>
        <v>0</v>
      </c>
      <c r="U40" s="429">
        <f>-i_TSS_XS</f>
        <v>-0.75</v>
      </c>
      <c r="V40" s="436">
        <f>k_H*M_RsatXS_XH_KX*X_H</f>
        <v>409.09090909090912</v>
      </c>
      <c r="X40" s="105">
        <f>E66*E40+F66*F40+G66*G40+H66*H40+I66*I40+J66*J40+K66*K40+L66*L40+M66*M40+N66*N40+O66*O40+P66*P40+Q66*Q40+R66*R40+S66*S40+T66*T40+U66*U40</f>
        <v>0</v>
      </c>
      <c r="Y40" s="105">
        <f>E67*E40+F67*F40+G67*G40+H67*H40+I67*I40+J67*J40+K67*K40+L67*L40+M67*M40+N67*N40+O67*O40+P67*P40+Q67*Q40+R67*R40+S67*S40+T67*T40+U67*U40</f>
        <v>0</v>
      </c>
      <c r="Z40" s="105">
        <f>E68*E40+F68*F40+G68*G40+H68*H40+I68*I40+J68*J40+K68*K40+L68*L40+M68*M40+N68*N40+O68*O40+P68*P40+Q68*Q40+R68*R40+S68*S40+T68*T40+U68*U40</f>
        <v>0</v>
      </c>
      <c r="AA40" s="105">
        <f>E69*E40+F69*F40+G69*G40+H69*H40+I69*I40+J69*J40+K69*K40+L69*L40+M69*M40+N69*N40+O69*O40+P69*P40+Q69*Q40+R69*R40+S69*S40+T69*T40+U69*U40</f>
        <v>0</v>
      </c>
      <c r="AB40" s="105">
        <f>E70*E40+F70*F40+G70*G40+H70*H40+I70*I40+J70*J40+K70*K40+L70*L40+M70*M40+N70*N40+O70*O40+P70*P40+Q70*Q40+R70*R40+S70*S40+T70*T40+U70*U40</f>
        <v>0</v>
      </c>
    </row>
    <row r="41" spans="2:28" ht="16.5" x14ac:dyDescent="0.25">
      <c r="B41" s="97" t="s">
        <v>271</v>
      </c>
      <c r="C41" s="98" t="s">
        <v>272</v>
      </c>
      <c r="D41" s="99" t="s">
        <v>273</v>
      </c>
      <c r="E41" s="416">
        <f>-(1-Y_STO_O2)</f>
        <v>-0.19999999999999996</v>
      </c>
      <c r="F41" s="416">
        <f>-1</f>
        <v>-1</v>
      </c>
      <c r="G41" s="421">
        <f>i_N_SS</f>
        <v>0.03</v>
      </c>
      <c r="H41" s="416">
        <f>0</f>
        <v>0</v>
      </c>
      <c r="I41" s="416">
        <f>0</f>
        <v>0</v>
      </c>
      <c r="J41" s="421">
        <f>i_P_SS</f>
        <v>0</v>
      </c>
      <c r="K41" s="421">
        <f>v_2_SNH4*i_Charge_SNHx+v_2_SPO4*i_Charge_SPO4</f>
        <v>2.1428571428571419E-6</v>
      </c>
      <c r="L41" s="416">
        <f>0</f>
        <v>0</v>
      </c>
      <c r="M41" s="416">
        <f>0</f>
        <v>0</v>
      </c>
      <c r="N41" s="416">
        <f>0</f>
        <v>0</v>
      </c>
      <c r="O41" s="416">
        <f>0</f>
        <v>0</v>
      </c>
      <c r="P41" s="421">
        <f>Y_STO_O2</f>
        <v>0.8</v>
      </c>
      <c r="Q41" s="416">
        <f>0</f>
        <v>0</v>
      </c>
      <c r="R41" s="416">
        <f>0</f>
        <v>0</v>
      </c>
      <c r="S41" s="416">
        <f>0</f>
        <v>0</v>
      </c>
      <c r="T41" s="416">
        <f>0</f>
        <v>0</v>
      </c>
      <c r="U41" s="421">
        <f>Y_STO_O2*i_TSS_XSTO</f>
        <v>0.48</v>
      </c>
      <c r="V41" s="437">
        <f>k_STO*M_satSO_KO_H*M_satSS_KSS_H*X_H</f>
        <v>1893.9393939393938</v>
      </c>
      <c r="X41" s="105">
        <f>E66*E41+F66*F41+G66*G41+H66*H41+I66*I41+J66*J41+K66*K41+L66*L41+M66*M41+N66*N41+O66*O41+P66*P41+Q66*Q41+R66*R41+S66*S41+T66*T41+U66*U41</f>
        <v>0</v>
      </c>
      <c r="Y41" s="105">
        <f>E67*E41+F67*F41+G67*G41+H67*H41+I67*I41+J67*J41+K67*K41+L67*L41+M67*M41+N67*N41+O67*O41+P67*P41+Q67*Q41+R67*R41+S67*S41+T67*T41+U67*U41</f>
        <v>0</v>
      </c>
      <c r="Z41" s="105">
        <f>E68*E41+F68*F41+G68*G41+H68*H41+I68*I41+J68*J41+K68*K41+L68*L41+M68*M41+N68*N41+O68*O41+P68*P41+Q68*Q41+R68*R41+S68*S41+T68*T41+U68*U41</f>
        <v>0</v>
      </c>
      <c r="AA41" s="105">
        <f>E69*E41+F69*F41+G69*G41+H69*H41+I69*I41+J69*J41+K69*K41+L69*L41+M69*M41+N69*N41+O69*O41+P69*P41+Q69*Q41+R69*R41+S69*S41+T69*T41+U69*U41</f>
        <v>0</v>
      </c>
      <c r="AB41" s="105">
        <f>E70*E41+F70*F41+G70*G41+H70*H41+I70*I41+J70*J41+K70*K41+L70*L41+M70*M41+N70*N41+O70*O41+P70*P41+Q70*Q41+R70*R41+S70*S41+T70*T41+U70*U41</f>
        <v>0</v>
      </c>
    </row>
    <row r="42" spans="2:28" ht="16.5" x14ac:dyDescent="0.25">
      <c r="B42" s="97" t="s">
        <v>277</v>
      </c>
      <c r="C42" s="98" t="s">
        <v>278</v>
      </c>
      <c r="D42" s="99" t="s">
        <v>279</v>
      </c>
      <c r="E42" s="416">
        <f>0</f>
        <v>0</v>
      </c>
      <c r="F42" s="416">
        <f>-1</f>
        <v>-1</v>
      </c>
      <c r="G42" s="421">
        <f>i_N_SS</f>
        <v>0.03</v>
      </c>
      <c r="H42" s="417">
        <f>-(1-Y_STO_NO)/i_NO3_N2</f>
        <v>-0.10500000000000001</v>
      </c>
      <c r="I42" s="416">
        <f>(1-Y_STO_NO)/(i_NO3_N2)</f>
        <v>0.10500000000000001</v>
      </c>
      <c r="J42" s="421">
        <f>i_P_SS</f>
        <v>0</v>
      </c>
      <c r="K42" s="421">
        <f>v_3_SNH4*i_Charge_SNHx+v_3_SNO*i_Charge_SNOx+v_3_SPO4*i_Charge_SPO4</f>
        <v>9.6428571428571391E-6</v>
      </c>
      <c r="L42" s="416">
        <f>0</f>
        <v>0</v>
      </c>
      <c r="M42" s="416">
        <f>0</f>
        <v>0</v>
      </c>
      <c r="N42" s="416">
        <f>0</f>
        <v>0</v>
      </c>
      <c r="O42" s="416">
        <f>0</f>
        <v>0</v>
      </c>
      <c r="P42" s="421">
        <f>Y_STO_NO</f>
        <v>0.7</v>
      </c>
      <c r="Q42" s="416">
        <f>0</f>
        <v>0</v>
      </c>
      <c r="R42" s="416">
        <f>0</f>
        <v>0</v>
      </c>
      <c r="S42" s="416">
        <f>0</f>
        <v>0</v>
      </c>
      <c r="T42" s="416">
        <f>0</f>
        <v>0</v>
      </c>
      <c r="U42" s="421">
        <f>Y_STO_NO*i_TSS_XSTO</f>
        <v>0.42</v>
      </c>
      <c r="V42" s="437">
        <f>k_STO*η_NO_H*M_inhSO_KO_H*M_satSNO_KNO_H*M_satSS_KSS_H*X_H</f>
        <v>146.62756598240469</v>
      </c>
      <c r="X42" s="105">
        <f>E66*E42+F66*F42+G66*G42+H66*H42+I66*I42+J66*J42+K66*K42+L66*L42+M66*M42+N66*N42+O66*O42+P66*P42+Q66*Q42+R66*R42+S66*S42+T66*T42+U66*U42</f>
        <v>3.3306690738754696E-16</v>
      </c>
      <c r="Y42" s="105">
        <f>E67*E42+F67*F42+G67*G42+H67*H42+I67*I42+J67*J42+K67*K42+L67*L42+M67*M42+N67*N42+O67*O42+P67*P42+Q67*Q42+R67*R42+S67*S42+T67*T42+U67*U42</f>
        <v>0</v>
      </c>
      <c r="Z42" s="105">
        <f>E68*E42+F68*F42+G68*G42+H68*H42+I68*I42+J68*J42+K68*K42+L68*L42+M68*M42+N68*N42+O68*O42+P68*P42+Q68*Q42+R68*R42+S68*S42+T68*T42+U68*U42</f>
        <v>0</v>
      </c>
      <c r="AA42" s="105">
        <f>E69*E42+F69*F42+G69*G42+H69*H42+I69*I42+J69*J42+K69*K42+L69*L42+M69*M42+N69*N42+O69*O42+P69*P42+Q69*Q42+R69*R42+S69*S42+T69*T42+U69*U42</f>
        <v>0</v>
      </c>
      <c r="AB42" s="105">
        <f>E70*E42+F70*F42+G70*G42+H70*H42+I70*I42+J70*J42+K70*K42+L70*L42+M70*M42+N70*N42+O70*O42+P70*P42+Q70*Q42+R70*R42+S70*S42+T70*T42+U70*U42</f>
        <v>0</v>
      </c>
    </row>
    <row r="43" spans="2:28" ht="16.5" x14ac:dyDescent="0.25">
      <c r="B43" s="97" t="s">
        <v>280</v>
      </c>
      <c r="C43" s="98" t="s">
        <v>281</v>
      </c>
      <c r="D43" s="99" t="s">
        <v>282</v>
      </c>
      <c r="E43" s="416">
        <f>-(1-Y_H_O2)/Y_H_O2</f>
        <v>-0.24999999999999994</v>
      </c>
      <c r="F43" s="416">
        <f>0</f>
        <v>0</v>
      </c>
      <c r="G43" s="416">
        <f>-i_N_BM</f>
        <v>-7.0000000000000007E-2</v>
      </c>
      <c r="H43" s="416">
        <f>0</f>
        <v>0</v>
      </c>
      <c r="I43" s="416">
        <f>0</f>
        <v>0</v>
      </c>
      <c r="J43" s="416">
        <f>-i_P_BM</f>
        <v>-1.4E-2</v>
      </c>
      <c r="K43" s="421">
        <f>v_4_SNH4*i_Charge_SNHx+v_4_SPO4*i_Charge_SPO4</f>
        <v>-4.3225806451612885E-6</v>
      </c>
      <c r="L43" s="416">
        <f>0</f>
        <v>0</v>
      </c>
      <c r="M43" s="416">
        <f>0</f>
        <v>0</v>
      </c>
      <c r="N43" s="416">
        <f>0</f>
        <v>0</v>
      </c>
      <c r="O43" s="416">
        <f>1</f>
        <v>1</v>
      </c>
      <c r="P43" s="416">
        <f>-1/Y_H_O2</f>
        <v>-1.25</v>
      </c>
      <c r="Q43" s="416">
        <f>0</f>
        <v>0</v>
      </c>
      <c r="R43" s="416">
        <f>0</f>
        <v>0</v>
      </c>
      <c r="S43" s="416">
        <f>0</f>
        <v>0</v>
      </c>
      <c r="T43" s="416">
        <f>0</f>
        <v>0</v>
      </c>
      <c r="U43" s="416">
        <f>(-1/Y_H_O2)*i_TSS_XSTO+i_TSS_BM</f>
        <v>0.15000000000000002</v>
      </c>
      <c r="V43" s="437">
        <f>μ_H*M_satSO_KO_H*M_satSNH4_KNH_H*M_satSHCO_KHCO_H*M_satSPO4_KPO4_H*M_RsatXSTO_XH_KSTO_H*X_H</f>
        <v>659.09364005761211</v>
      </c>
      <c r="X43" s="105">
        <f>E66*E43+F66*F43+G66*G43+H66*H43+I66*I43+J66*J43+K66*K43+L66*L43+M66*M43+N66*N43+O66*O43+P66*P43+Q66*Q43+R66*R43+S66*S43+T66*T43+U66*U43</f>
        <v>0</v>
      </c>
      <c r="Y43" s="105">
        <f>E67*E43+F67*F43+G67*G43+H67*H43+I67*I43+J67*J43+K67*K43+L67*L43+M67*M43+N67*N43+O67*O43+P67*P43+Q67*Q43+R67*R43+S67*S43+T67*T43+U67*U43</f>
        <v>0</v>
      </c>
      <c r="Z43" s="105">
        <f>E68*E43+F68*F43+G68*G43+H68*H43+I68*I43+J68*J43+K68*K43+L68*L43+M68*M43+N68*N43+O68*O43+P68*P43+Q68*Q43+R68*R43+S68*S43+T68*T43+U68*U43</f>
        <v>0</v>
      </c>
      <c r="AA43" s="105">
        <f>E69*E43+F69*F43+G69*G43+H69*H43+I69*I43+J69*J43+K69*K43+L69*L43+M69*M43+N69*N43+O69*O43+P69*P43+Q69*Q43+R69*R43+S69*S43+T69*T43+U69*U43</f>
        <v>0</v>
      </c>
      <c r="AB43" s="105">
        <f>E70*E43+F70*F43+G70*G43+H70*H43+I70*I43+J70*J43+K70*K43+L70*L43+M70*M43+N70*N43+O70*O43+P70*P43+Q70*Q43+R70*R43+S70*S43+T70*T43+U70*U43</f>
        <v>0</v>
      </c>
    </row>
    <row r="44" spans="2:28" ht="16.5" x14ac:dyDescent="0.25">
      <c r="B44" s="97" t="s">
        <v>289</v>
      </c>
      <c r="C44" s="98" t="s">
        <v>290</v>
      </c>
      <c r="D44" s="99" t="s">
        <v>291</v>
      </c>
      <c r="E44" s="416">
        <f>0</f>
        <v>0</v>
      </c>
      <c r="F44" s="416">
        <f>0</f>
        <v>0</v>
      </c>
      <c r="G44" s="416">
        <f>-i_N_BM</f>
        <v>-7.0000000000000007E-2</v>
      </c>
      <c r="H44" s="417">
        <f>-(1-Y_H_NO)/Y_H_NO*(1/i_NO3_N2)</f>
        <v>-0.18846153846153843</v>
      </c>
      <c r="I44" s="416">
        <f>(1-Y_H_NO)/Y_H_NO*(1/i_NO3_N2)</f>
        <v>0.18846153846153843</v>
      </c>
      <c r="J44" s="416">
        <f>-i_P_BM</f>
        <v>-1.4E-2</v>
      </c>
      <c r="K44" s="421">
        <f>v_5_SNH4*i_Charge_SNHx+v_5_SNO*i_Charge_SNOx+v_5_SPO4*i_Charge_SPO4</f>
        <v>9.1389578163771638E-6</v>
      </c>
      <c r="L44" s="416">
        <f>0</f>
        <v>0</v>
      </c>
      <c r="M44" s="416">
        <f>0</f>
        <v>0</v>
      </c>
      <c r="N44" s="416">
        <f>0</f>
        <v>0</v>
      </c>
      <c r="O44" s="416">
        <f>1</f>
        <v>1</v>
      </c>
      <c r="P44" s="417">
        <f>-1/Y_H_NO</f>
        <v>-1.5384615384615383</v>
      </c>
      <c r="Q44" s="416">
        <f>0</f>
        <v>0</v>
      </c>
      <c r="R44" s="416">
        <f>0</f>
        <v>0</v>
      </c>
      <c r="S44" s="416">
        <f>0</f>
        <v>0</v>
      </c>
      <c r="T44" s="416">
        <f>0</f>
        <v>0</v>
      </c>
      <c r="U44" s="430">
        <f>(-1/Y_H_NO)*i_TSS_XSTO+i_TSS_BM</f>
        <v>-2.3076923076922884E-2</v>
      </c>
      <c r="V44" s="437">
        <f>μ_H*η_NO_H*M_inhSO_KO_H*M_satSNO_KNO_H*M_satSNH4_KNH_H*M_satSHCO_KHCO_H*M_satSPO4_KPO4_H*M_RsatXSTO_XH_KSTO_H*X_H</f>
        <v>51.026604391557086</v>
      </c>
      <c r="X44" s="105">
        <f>E66*E44+F66*F44+G66*G44+H66*H44+I66*I44+J66*J44+K66*K44+L66*L44+M66*M44+N66*N44+O66*O44+P66*P44+Q66*Q44+R66*R44+S66*S44+T66*T44+U66*U44</f>
        <v>6.6613381477509392E-16</v>
      </c>
      <c r="Y44" s="105">
        <f>E67*E44+F67*F44+G67*G44+H67*H44+I67*I44+J67*J44+K67*K44+L67*L44+M67*M44+N67*N44+O67*O44+P67*P44+Q67*Q44+R67*R44+S67*S44+T67*T44+U67*U44</f>
        <v>2.7755575615628914E-17</v>
      </c>
      <c r="Z44" s="105">
        <f>E68*E44+F68*F44+G68*G44+H68*H44+I68*I44+J68*J44+K68*K44+L68*L44+M68*M44+N68*N44+O68*O44+P68*P44+Q68*Q44+R68*R44+S68*S44+T68*T44+U68*U44</f>
        <v>0</v>
      </c>
      <c r="AA44" s="105">
        <f>E69*E44+F69*F44+G69*G44+H69*H44+I69*I44+J69*J44+K69*K44+L69*L44+M69*M44+N69*N44+O69*O44+P69*P44+Q69*Q44+R69*R44+S69*S44+T69*T44+U69*U44</f>
        <v>0</v>
      </c>
      <c r="AB44" s="105">
        <f>E70*E44+F70*F44+G70*G44+H70*H44+I70*I44+J70*J44+K70*K44+L70*L44+M70*M44+N70*N44+O70*O44+P70*P44+Q70*Q44+R70*R44+S70*S44+T70*T44+U70*U44</f>
        <v>0</v>
      </c>
    </row>
    <row r="45" spans="2:28" ht="16.5" x14ac:dyDescent="0.25">
      <c r="B45" s="97" t="s">
        <v>218</v>
      </c>
      <c r="C45" s="98" t="s">
        <v>292</v>
      </c>
      <c r="D45" s="99" t="s">
        <v>293</v>
      </c>
      <c r="E45" s="416">
        <f>-(1-f_XI)</f>
        <v>-0.8</v>
      </c>
      <c r="F45" s="416">
        <f>0</f>
        <v>0</v>
      </c>
      <c r="G45" s="416">
        <f>-f_XI*i_N_XI+i_N_BM</f>
        <v>6.4000000000000001E-2</v>
      </c>
      <c r="H45" s="416">
        <f>0</f>
        <v>0</v>
      </c>
      <c r="I45" s="416">
        <f>0</f>
        <v>0</v>
      </c>
      <c r="J45" s="421">
        <f>i_P_BM-f_XI*i_P_XI</f>
        <v>1.2E-2</v>
      </c>
      <c r="K45" s="421">
        <f>v_6_SNH4*i_Charge_SNHx+v_6_SPO4*i_Charge_SPO4</f>
        <v>3.9907834101382474E-6</v>
      </c>
      <c r="L45" s="416">
        <f>0</f>
        <v>0</v>
      </c>
      <c r="M45" s="421">
        <f>f_XI</f>
        <v>0.2</v>
      </c>
      <c r="N45" s="416">
        <f>0</f>
        <v>0</v>
      </c>
      <c r="O45" s="416">
        <f>-1</f>
        <v>-1</v>
      </c>
      <c r="P45" s="416">
        <f>0</f>
        <v>0</v>
      </c>
      <c r="Q45" s="416">
        <f>0</f>
        <v>0</v>
      </c>
      <c r="R45" s="416">
        <f>0</f>
        <v>0</v>
      </c>
      <c r="S45" s="416">
        <f>0</f>
        <v>0</v>
      </c>
      <c r="T45" s="416">
        <f>0</f>
        <v>0</v>
      </c>
      <c r="U45" s="430">
        <f>-i_TSS_BM+f_XI*i_TSS_XI</f>
        <v>-0.75</v>
      </c>
      <c r="V45" s="437">
        <f>b_H*M_satSO_KO_H*X_H</f>
        <v>136.36363636363635</v>
      </c>
      <c r="X45" s="105">
        <f>E66*E45+F66*F45+G66*G45+H66*H45+I66*I45+J66*J45+K66*K45+L66*L45+M66*M45+N66*N45+O66*O45+P66*P45+Q66*Q45+R66*R45+S66*S45+T66*T45+U66*U45</f>
        <v>0</v>
      </c>
      <c r="Y45" s="105">
        <f>E67*E45+F67*F45+G67*G45+H67*H45+I67*I45+J67*J45+K67*K45+L67*L45+M67*M45+N67*N45+O67*O45+P67*P45+Q67*Q45+R67*R45+S67*S45+T67*T45+U67*U45</f>
        <v>0</v>
      </c>
      <c r="Z45" s="105">
        <f>E68*E45+F68*F45+G68*G45+H68*H45+I68*I45+J68*J45+K68*K45+L68*L45+M68*M45+N68*N45+O68*O45+P68*P45+Q68*Q45+R68*R45+S68*S45+T68*T45+U68*U45</f>
        <v>0</v>
      </c>
      <c r="AA45" s="105">
        <f>E69*E45+F69*F45+G69*G45+H69*H45+I69*I45+J69*J45+K69*K45+L69*L45+M69*M45+N69*N45+O69*O45+P69*P45+Q69*Q45+R69*R45+S69*S45+T69*T45+U69*U45</f>
        <v>0</v>
      </c>
      <c r="AB45" s="105">
        <f>E70*E45+F70*F45+G70*G45+H70*H45+I70*I45+J70*J45+K70*K45+L70*L45+M70*M45+N70*N45+O70*O45+P70*P45+Q70*Q45+R70*R45+S70*S45+T70*T45+U70*U45</f>
        <v>0</v>
      </c>
    </row>
    <row r="46" spans="2:28" ht="16.5" x14ac:dyDescent="0.25">
      <c r="B46" s="97" t="s">
        <v>299</v>
      </c>
      <c r="C46" s="98" t="s">
        <v>300</v>
      </c>
      <c r="D46" s="99" t="s">
        <v>301</v>
      </c>
      <c r="E46" s="416">
        <f>0</f>
        <v>0</v>
      </c>
      <c r="F46" s="416">
        <f>0</f>
        <v>0</v>
      </c>
      <c r="G46" s="416">
        <f>-f_XI*i_N_XI+i_N_BM</f>
        <v>6.4000000000000001E-2</v>
      </c>
      <c r="H46" s="417">
        <f>-(1-f_XI)/i_NO3_N2</f>
        <v>-0.28000000000000003</v>
      </c>
      <c r="I46" s="416">
        <f>(1-f_XI)/(i_NO3_N2)</f>
        <v>0.28000000000000003</v>
      </c>
      <c r="J46" s="421">
        <f>i_P_BM-f_XI*i_P_XI</f>
        <v>1.2E-2</v>
      </c>
      <c r="K46" s="421">
        <f>v_7_SNO*i_Charge_SNOx+v_7_SNH4*i_Charge_SNHx+v_7_SPO4*i_Charge_SPO4</f>
        <v>2.399078341013824E-5</v>
      </c>
      <c r="L46" s="416">
        <f>0</f>
        <v>0</v>
      </c>
      <c r="M46" s="421">
        <f>f_XI</f>
        <v>0.2</v>
      </c>
      <c r="N46" s="416">
        <f>0</f>
        <v>0</v>
      </c>
      <c r="O46" s="416">
        <f>-1</f>
        <v>-1</v>
      </c>
      <c r="P46" s="416">
        <f>0</f>
        <v>0</v>
      </c>
      <c r="Q46" s="416">
        <f>0</f>
        <v>0</v>
      </c>
      <c r="R46" s="416">
        <f>0</f>
        <v>0</v>
      </c>
      <c r="S46" s="416">
        <f>0</f>
        <v>0</v>
      </c>
      <c r="T46" s="416">
        <f>0</f>
        <v>0</v>
      </c>
      <c r="U46" s="430">
        <f>-i_TSS_BM+f_XI*i_TSS_XI</f>
        <v>-0.75</v>
      </c>
      <c r="V46" s="437">
        <f>b_H*η_NO_end_H*M_inhSO_KO_H*M_satSNO_KNO_H*X_H</f>
        <v>4.3548387096774199</v>
      </c>
      <c r="X46" s="105">
        <f>E66*E46+F66*F46+G66*G46+H66*H46+I66*I46+J66*J46+K66*K46+L66*L46+M66*M46+N66*N46+O66*O46+P66*P46+Q66*Q46+R66*R46+S66*S46+T66*T46+U66*U46</f>
        <v>8.8817841970012523E-16</v>
      </c>
      <c r="Y46" s="105">
        <f>E67*E46+F67*F46+G67*G46+H67*H46+I67*I46+J67*J46+K67*K46+L67*L46+M67*M46+N67*N46+O67*O46+P67*P46+Q67*Q46+R67*R46+S67*S46+T67*T46+U67*U46</f>
        <v>0</v>
      </c>
      <c r="Z46" s="105">
        <f>E68*E46+F68*F46+G68*G46+H68*H46+I68*I46+J68*J46+K68*K46+L68*L46+M68*M46+N68*N46+O68*O46+P68*P46+Q68*Q46+R68*R46+S68*S46+T68*T46+U68*U46</f>
        <v>0</v>
      </c>
      <c r="AA46" s="105">
        <f>E69*E46+F69*F46+G69*G46+H69*H46+I69*I46+J69*J46+K69*K46+L69*L46+M69*M46+N69*N46+O69*O46+P69*P46+Q69*Q46+R69*R46+S69*S46+T69*T46+U69*U46</f>
        <v>0</v>
      </c>
      <c r="AB46" s="105">
        <f>E70*E46+F70*F46+G70*G46+H70*H46+I70*I46+J70*J46+K70*K46+L70*L46+M70*M46+N70*N46+O70*O46+P70*P46+Q70*Q46+R70*R46+S70*S46+T70*T46+U70*U46</f>
        <v>0</v>
      </c>
    </row>
    <row r="47" spans="2:28" ht="16.5" x14ac:dyDescent="0.25">
      <c r="B47" s="97" t="s">
        <v>302</v>
      </c>
      <c r="C47" s="98" t="s">
        <v>303</v>
      </c>
      <c r="D47" s="99" t="s">
        <v>304</v>
      </c>
      <c r="E47" s="416">
        <f>-1</f>
        <v>-1</v>
      </c>
      <c r="F47" s="416">
        <f>0</f>
        <v>0</v>
      </c>
      <c r="G47" s="416">
        <f>0</f>
        <v>0</v>
      </c>
      <c r="H47" s="416">
        <f>0</f>
        <v>0</v>
      </c>
      <c r="I47" s="416">
        <f>0</f>
        <v>0</v>
      </c>
      <c r="J47" s="416">
        <f>0</f>
        <v>0</v>
      </c>
      <c r="K47" s="416">
        <f>0</f>
        <v>0</v>
      </c>
      <c r="L47" s="416">
        <f>0</f>
        <v>0</v>
      </c>
      <c r="M47" s="416">
        <f>0</f>
        <v>0</v>
      </c>
      <c r="N47" s="416">
        <f>0</f>
        <v>0</v>
      </c>
      <c r="O47" s="416">
        <f>0</f>
        <v>0</v>
      </c>
      <c r="P47" s="416">
        <f>-1</f>
        <v>-1</v>
      </c>
      <c r="Q47" s="416">
        <f>0</f>
        <v>0</v>
      </c>
      <c r="R47" s="416">
        <f>0</f>
        <v>0</v>
      </c>
      <c r="S47" s="416">
        <f>0</f>
        <v>0</v>
      </c>
      <c r="T47" s="416">
        <f>0</f>
        <v>0</v>
      </c>
      <c r="U47" s="430">
        <f>-i_TSS_XSTO</f>
        <v>-0.6</v>
      </c>
      <c r="V47" s="437">
        <f>b_Sto*M_satSO_KO_H*X_STO</f>
        <v>13.636363636363635</v>
      </c>
      <c r="X47" s="105">
        <f>E66*E47+F66*F47+G66*G47+H66*H47+I66*I47+J66*J47+K66*K47+L66*L47+M66*M47+N66*N47+O66*O47+P66*P47+Q66*Q47+R66*R47+S66*S47+T66*T47+U66*U47</f>
        <v>0</v>
      </c>
      <c r="Y47" s="105">
        <f>E67*E47+F67*F47+G67*G47+H67*H47+I67*I47+J67*J47+K67*K47+L67*L47+M67*M47+N67*N47+O67*O47+P67*P47+Q67*Q47+R67*R47+S67*S47+T67*T47+U67*U47</f>
        <v>0</v>
      </c>
      <c r="Z47" s="105">
        <f>E68*E47+F68*F47+G68*G47+H68*H47+I68*I47+J68*J47+K68*K47+L68*L47+M68*M47+N68*N47+O68*O47+P68*P47+Q68*Q47+R68*R47+S68*S47+T68*T47+U68*U47</f>
        <v>0</v>
      </c>
      <c r="AA47" s="105">
        <f>E69*E47+F69*F47+G69*G47+H69*H47+I69*I47+J69*J47+K69*K47+L69*L47+M69*M47+N69*N47+O69*O47+P69*P47+Q69*Q47+R69*R47+S69*S47+T69*T47+U69*U47</f>
        <v>0</v>
      </c>
      <c r="AB47" s="105">
        <f>E70*E47+F70*F47+G70*G47+H70*H47+I70*I47+J70*J47+K70*K47+L70*L47+M70*M47+N70*N47+O70*O47+P70*P47+Q70*Q47+R70*R47+S70*S47+T70*T47+U70*U47</f>
        <v>0</v>
      </c>
    </row>
    <row r="48" spans="2:28" ht="16.5" x14ac:dyDescent="0.25">
      <c r="B48" s="97" t="s">
        <v>307</v>
      </c>
      <c r="C48" s="98" t="s">
        <v>308</v>
      </c>
      <c r="D48" s="99" t="s">
        <v>309</v>
      </c>
      <c r="E48" s="416">
        <f>0</f>
        <v>0</v>
      </c>
      <c r="F48" s="416">
        <f>0</f>
        <v>0</v>
      </c>
      <c r="G48" s="416">
        <f>0</f>
        <v>0</v>
      </c>
      <c r="H48" s="417">
        <f>-1/i_NO3_N2</f>
        <v>-0.35</v>
      </c>
      <c r="I48" s="416">
        <f>1/(i_NO3_N2)</f>
        <v>0.35</v>
      </c>
      <c r="J48" s="416">
        <f>0</f>
        <v>0</v>
      </c>
      <c r="K48" s="421">
        <f>v_9_SNO*i_Charge_SNOx</f>
        <v>2.4999999999999988E-5</v>
      </c>
      <c r="L48" s="416">
        <f>0</f>
        <v>0</v>
      </c>
      <c r="M48" s="416">
        <f>0</f>
        <v>0</v>
      </c>
      <c r="N48" s="416">
        <f>0</f>
        <v>0</v>
      </c>
      <c r="O48" s="416">
        <f>0</f>
        <v>0</v>
      </c>
      <c r="P48" s="416">
        <f>-1</f>
        <v>-1</v>
      </c>
      <c r="Q48" s="416">
        <f>0</f>
        <v>0</v>
      </c>
      <c r="R48" s="416">
        <f>0</f>
        <v>0</v>
      </c>
      <c r="S48" s="416">
        <f>0</f>
        <v>0</v>
      </c>
      <c r="T48" s="416">
        <f>0</f>
        <v>0</v>
      </c>
      <c r="U48" s="430">
        <f>-i_TSS_XSTO</f>
        <v>-0.6</v>
      </c>
      <c r="V48" s="437">
        <f>b_Sto*η_NO_end_H*M_inhSO_KO_H*M_satSNO_KNO_H*X_STO</f>
        <v>0.43548387096774199</v>
      </c>
      <c r="X48" s="105">
        <f>E66*E48+F66*F48+G66*G48+H66*H48+I66*I48+J66*J48+K66*K48+L66*L48+M66*M48+N66*N48+O66*O48+P66*P48+Q66*Q48+R66*R48+S66*S48+T66*T48+U66*U48</f>
        <v>8.8817841970012523E-16</v>
      </c>
      <c r="Y48" s="105">
        <f>E67*E48+F67*F48+G67*G48+H67*H48+I67*I48+J67*J48+K67*K48+L67*L48+M67*M48+N67*N48+O67*O48+P67*P48+Q67*Q48+R67*R48+S67*S48+T67*T48+U67*U48</f>
        <v>0</v>
      </c>
      <c r="Z48" s="105">
        <f>E68*E48+F68*F48+G68*G48+H68*H48+I68*I48+J68*J48+K68*K48+L68*L48+M68*M48+N68*N48+O68*O48+P68*P48+Q68*Q48+R68*R48+S68*S48+T68*T48+U68*U48</f>
        <v>0</v>
      </c>
      <c r="AA48" s="105">
        <f>E69*E48+F69*F48+G69*G48+H69*H48+I69*I48+J69*J48+K69*K48+L69*L48+M69*M48+N69*N48+O69*O48+P69*P48+Q69*Q48+R69*R48+S69*S48+T69*T48+U69*U48</f>
        <v>0</v>
      </c>
      <c r="AB48" s="105">
        <f>E70*E48+F70*F48+G70*G48+H70*H48+I70*I48+J70*J48+K70*K48+L70*L48+M70*M48+N70*N48+O70*O48+P70*P48+Q70*Q48+R70*R48+S70*S48+T70*T48+U70*U48</f>
        <v>0</v>
      </c>
    </row>
    <row r="49" spans="2:28" x14ac:dyDescent="0.25">
      <c r="B49" s="97" t="s">
        <v>221</v>
      </c>
      <c r="C49" s="98" t="s">
        <v>310</v>
      </c>
      <c r="D49" s="99" t="s">
        <v>311</v>
      </c>
      <c r="E49" s="417">
        <f>-(-i_COD_NO3-Y_AUT)/Y_AUT</f>
        <v>-18.047619047619044</v>
      </c>
      <c r="F49" s="416">
        <f>0</f>
        <v>0</v>
      </c>
      <c r="G49" s="416">
        <f>-1/Y_AUT-i_N_BM</f>
        <v>-4.2366666666666672</v>
      </c>
      <c r="H49" s="416">
        <f>1/Y_AUT</f>
        <v>4.166666666666667</v>
      </c>
      <c r="I49" s="416">
        <f>0</f>
        <v>0</v>
      </c>
      <c r="J49" s="416">
        <f>-i_P_BM</f>
        <v>-1.4E-2</v>
      </c>
      <c r="K49" s="421">
        <f>v_10_SNH4*i_Charge_SNHx+v_10_SNO*i_Charge_SNOx+v_10_SPO4*i_Charge_SPO4</f>
        <v>-5.9956067588325622E-4</v>
      </c>
      <c r="L49" s="416">
        <f>0</f>
        <v>0</v>
      </c>
      <c r="M49" s="416">
        <f>0</f>
        <v>0</v>
      </c>
      <c r="N49" s="416">
        <f>0</f>
        <v>0</v>
      </c>
      <c r="O49" s="416">
        <f>0</f>
        <v>0</v>
      </c>
      <c r="P49" s="416">
        <f>0</f>
        <v>0</v>
      </c>
      <c r="Q49" s="416">
        <f>0</f>
        <v>0</v>
      </c>
      <c r="R49" s="416">
        <f>0</f>
        <v>0</v>
      </c>
      <c r="S49" s="416">
        <f>0</f>
        <v>0</v>
      </c>
      <c r="T49" s="416">
        <f>1</f>
        <v>1</v>
      </c>
      <c r="U49" s="421">
        <f>i_TSS_BM</f>
        <v>0.9</v>
      </c>
      <c r="V49" s="437">
        <f>μ_A*M_satSO_KO_A*M_satSNH4_KNH_A*M_satSHCO_KHCO_A*M_satSPO4_KPO4_A*X_A</f>
        <v>24.210722959088361</v>
      </c>
      <c r="X49" s="105">
        <f>E66*E49+F66*F49+G66*G49+H66*H49+I66*I49+J66*J49+K66*K49+L66*L49+M66*M49+N66*N49+O66*O49+P66*P49+Q66*Q49+R66*R49+S66*S49+T66*T49+U66*U49</f>
        <v>0</v>
      </c>
      <c r="Y49" s="105">
        <f>E67*E49+F67*F49+G67*G49+H67*H49+I67*I49+J67*J49+K67*K49+L67*L49+M67*M49+N67*N49+O67*O49+P67*P49+Q67*Q49+R67*R49+S67*S49+T67*T49+U67*U49</f>
        <v>-2.7755575615628914E-16</v>
      </c>
      <c r="Z49" s="105">
        <f>E68*E49+F68*F49+G68*G49+H68*H49+I68*I49+J68*J49+K68*K49+L68*L49+M68*M49+N68*N49+O68*O49+P68*P49+Q68*Q49+R68*R49+S68*S49+T68*T49+U68*U49</f>
        <v>0</v>
      </c>
      <c r="AA49" s="105">
        <f>E69*E49+F69*F49+G69*G49+H69*H49+I69*I49+J69*J49+K69*K49+L69*L49+M69*M49+N69*N49+O69*O49+P69*P49+Q69*Q49+R69*R49+S69*S49+T69*T49+U69*U49</f>
        <v>0</v>
      </c>
      <c r="AB49" s="105">
        <f>E70*E49+F70*F49+G70*G49+H70*H49+I70*I49+J70*J49+K70*K49+L70*L49+M70*M49+N70*N49+O70*O49+P70*P49+Q70*Q49+R70*R49+S70*S49+T70*T49+U70*U49</f>
        <v>0</v>
      </c>
    </row>
    <row r="50" spans="2:28" ht="16.5" x14ac:dyDescent="0.25">
      <c r="B50" s="97" t="s">
        <v>315</v>
      </c>
      <c r="C50" s="98" t="s">
        <v>316</v>
      </c>
      <c r="D50" s="99" t="s">
        <v>317</v>
      </c>
      <c r="E50" s="416">
        <f>-(1-f_XI)</f>
        <v>-0.8</v>
      </c>
      <c r="F50" s="416">
        <f>0</f>
        <v>0</v>
      </c>
      <c r="G50" s="416">
        <f>-f_XI*i_N_XI+i_N_BM</f>
        <v>6.4000000000000001E-2</v>
      </c>
      <c r="H50" s="416">
        <f>0</f>
        <v>0</v>
      </c>
      <c r="I50" s="416">
        <f>0</f>
        <v>0</v>
      </c>
      <c r="J50" s="421">
        <f>i_P_BM-f_XI*i_P_XI</f>
        <v>1.2E-2</v>
      </c>
      <c r="K50" s="421">
        <f>v_11_SNH4*i_Charge_SNHx+v_11_SPO4*i_Charge_SPO4</f>
        <v>3.9907834101382474E-6</v>
      </c>
      <c r="L50" s="416">
        <f>0</f>
        <v>0</v>
      </c>
      <c r="M50" s="421">
        <f>f_XI</f>
        <v>0.2</v>
      </c>
      <c r="N50" s="416">
        <f>0</f>
        <v>0</v>
      </c>
      <c r="O50" s="416">
        <f>0</f>
        <v>0</v>
      </c>
      <c r="P50" s="416">
        <f>0</f>
        <v>0</v>
      </c>
      <c r="Q50" s="416">
        <f>0</f>
        <v>0</v>
      </c>
      <c r="R50" s="416">
        <f>0</f>
        <v>0</v>
      </c>
      <c r="S50" s="416">
        <f>0</f>
        <v>0</v>
      </c>
      <c r="T50" s="416">
        <f>-1</f>
        <v>-1</v>
      </c>
      <c r="U50" s="430">
        <f>-i_TSS_BM+f_XI*i_TSS_XI</f>
        <v>-0.75</v>
      </c>
      <c r="V50" s="437">
        <f>b_A*M_satSO_KO_A*X_A</f>
        <v>8.0000000000000018</v>
      </c>
      <c r="X50" s="105">
        <f>E66*E50+F66*F50+G66*G50+H66*H50+I66*I50+J66*J50+K66*K50+L66*L50+M66*M50+N66*N50+O66*O50+P66*P50+Q66*Q50+R66*R50+S66*S50+T66*T50+U66*U50</f>
        <v>0</v>
      </c>
      <c r="Y50" s="105">
        <f>E67*E50+F67*F50+G67*G50+H67*H50+I67*I50+J67*J50+K67*K50+L67*L50+M67*M50+N67*N50+O67*O50+P67*P50+Q67*Q50+R67*R50+S67*S50+T67*T50+U67*U50</f>
        <v>0</v>
      </c>
      <c r="Z50" s="105">
        <f>E68*E50+F68*F50+G68*G50+H68*H50+I68*I50+J68*J50+K68*K50+L68*L50+M68*M50+N68*N50+O68*O50+P68*P50+Q68*Q50+R68*R50+S68*S50+T68*T50+U68*U50</f>
        <v>0</v>
      </c>
      <c r="AA50" s="105">
        <f>E69*E50+F69*F50+G69*G50+H69*H50+I69*I50+J69*J50+K69*K50+L69*L50+M69*M50+N69*N50+O69*O50+P69*P50+Q69*Q50+R69*R50+S69*S50+T69*T50+U69*U50</f>
        <v>0</v>
      </c>
      <c r="AB50" s="105">
        <f>E70*E50+F70*F50+G70*G50+H70*H50+I70*I50+J70*J50+K70*K50+L70*L50+M70*M50+N70*N50+O70*O50+P70*P50+Q70*Q50+R70*R50+S70*S50+T70*T50+U70*U50</f>
        <v>0</v>
      </c>
    </row>
    <row r="51" spans="2:28" ht="16.5" x14ac:dyDescent="0.25">
      <c r="B51" s="97" t="s">
        <v>319</v>
      </c>
      <c r="C51" s="98" t="s">
        <v>320</v>
      </c>
      <c r="D51" s="99" t="s">
        <v>321</v>
      </c>
      <c r="E51" s="416">
        <f>0</f>
        <v>0</v>
      </c>
      <c r="F51" s="416">
        <f>0</f>
        <v>0</v>
      </c>
      <c r="G51" s="416">
        <f>-f_XI*i_N_XI+i_N_BM</f>
        <v>6.4000000000000001E-2</v>
      </c>
      <c r="H51" s="417">
        <f>-(1-f_XI)/i_NO3_N2</f>
        <v>-0.28000000000000003</v>
      </c>
      <c r="I51" s="416">
        <f>(1-f_XI)/(i_NO3_N2)</f>
        <v>0.28000000000000003</v>
      </c>
      <c r="J51" s="421">
        <f>i_P_BM-f_XI*i_P_XI</f>
        <v>1.2E-2</v>
      </c>
      <c r="K51" s="421">
        <f>v_12_SNH4*i_Charge_SNHx+v_12_SNO*i_Charge_SNOx+v_12_SPO4*i_Charge_SPO4</f>
        <v>2.399078341013824E-5</v>
      </c>
      <c r="L51" s="416">
        <f>0</f>
        <v>0</v>
      </c>
      <c r="M51" s="421">
        <f>f_XI</f>
        <v>0.2</v>
      </c>
      <c r="N51" s="416">
        <f>0</f>
        <v>0</v>
      </c>
      <c r="O51" s="416">
        <f>0</f>
        <v>0</v>
      </c>
      <c r="P51" s="416">
        <f>0</f>
        <v>0</v>
      </c>
      <c r="Q51" s="416">
        <f>0</f>
        <v>0</v>
      </c>
      <c r="R51" s="416">
        <f>0</f>
        <v>0</v>
      </c>
      <c r="S51" s="416">
        <f>0</f>
        <v>0</v>
      </c>
      <c r="T51" s="416">
        <f>-1</f>
        <v>-1</v>
      </c>
      <c r="U51" s="430">
        <f>-i_TSS_BM+f_XI*i_TSS_XI</f>
        <v>-0.75</v>
      </c>
      <c r="V51" s="437">
        <f>b_A*η_NO_end_A*M_inhSO_KO_A*M_satSNO_KNO_H*X_A</f>
        <v>0.96774193548387122</v>
      </c>
      <c r="X51" s="105">
        <f>E66*E51+F66*F51+G66*G51+H66*H51+I66*I51+J66*J51+K66*K51+L66*L51+M66*M51+N66*N51+O66*O51+P66*P51+Q66*Q51+R66*R51+S66*S51+T66*T51+U66*U51</f>
        <v>8.8817841970012523E-16</v>
      </c>
      <c r="Y51" s="105">
        <f>E67*E51+F67*F51+G67*G51+H67*H51+I67*I51+J67*J51+K67*K51+L67*L51+M67*M51+N67*N51+O67*O51+P67*P51+Q67*Q51+R67*R51+S67*S51+T67*T51+U67*U51</f>
        <v>0</v>
      </c>
      <c r="Z51" s="105">
        <f>E68*E51+F68*F51+G68*G51+H68*H51+I68*I51+J68*J51+K68*K51+L68*L51+M68*M51+N68*N51+O68*O51+P68*P51+Q68*Q51+R68*R51+S68*S51+T68*T51+U68*U51</f>
        <v>0</v>
      </c>
      <c r="AA51" s="105">
        <f>E69*E51+F69*F51+G69*G51+H69*H51+I69*I51+J69*J51+K69*K51+L69*L51+M69*M51+N69*N51+O69*O51+P69*P51+Q69*Q51+R69*R51+S69*S51+T69*T51+U69*U51</f>
        <v>0</v>
      </c>
      <c r="AB51" s="105">
        <f>E70*E51+F70*F51+G70*G51+H70*H51+I70*I51+J70*J51+K70*K51+L70*L51+M70*M51+N70*N51+O70*O51+P70*P51+Q70*Q51+R70*R51+S70*S51+T70*T51+U70*U51</f>
        <v>0</v>
      </c>
    </row>
    <row r="52" spans="2:28" ht="16.5" x14ac:dyDescent="0.25">
      <c r="B52" s="97" t="s">
        <v>322</v>
      </c>
      <c r="C52" s="98" t="s">
        <v>323</v>
      </c>
      <c r="D52" s="98" t="s">
        <v>324</v>
      </c>
      <c r="E52" s="418">
        <f>0</f>
        <v>0</v>
      </c>
      <c r="F52" s="418">
        <f>-1</f>
        <v>-1</v>
      </c>
      <c r="G52" s="422">
        <f>i_N_SS</f>
        <v>0.03</v>
      </c>
      <c r="H52" s="418">
        <f>0</f>
        <v>0</v>
      </c>
      <c r="I52" s="418">
        <f>0</f>
        <v>0</v>
      </c>
      <c r="J52" s="422">
        <f>Y_PO4+i_P_SS</f>
        <v>0.35</v>
      </c>
      <c r="K52" s="426">
        <f>v_13_SNH4*i_Charge_SNHx+v_13_SPO4*i_Charge_SPO4+v_13_XPP*i_Charge_XPAO_PP</f>
        <v>-3.5023041474654338E-6</v>
      </c>
      <c r="L52" s="418">
        <f>0</f>
        <v>0</v>
      </c>
      <c r="M52" s="418">
        <f>0</f>
        <v>0</v>
      </c>
      <c r="N52" s="418">
        <f>0</f>
        <v>0</v>
      </c>
      <c r="O52" s="418">
        <f>0</f>
        <v>0</v>
      </c>
      <c r="P52" s="418">
        <f>0</f>
        <v>0</v>
      </c>
      <c r="Q52" s="418">
        <f>0</f>
        <v>0</v>
      </c>
      <c r="R52" s="418">
        <f>-Y_PO4</f>
        <v>-0.35</v>
      </c>
      <c r="S52" s="418">
        <f>1</f>
        <v>1</v>
      </c>
      <c r="T52" s="418">
        <f>0</f>
        <v>0</v>
      </c>
      <c r="U52" s="431">
        <f>i_TSS_XSTO-i_TSS_XPP*Y_PO4</f>
        <v>-0.53049999999999986</v>
      </c>
      <c r="V52" s="437">
        <f>q_PHA*M_satSS_KSS_PAO*M_satSHCO_KHCO_PAO*M_RsatXPP_XPAO_KPP_PAO*X_PAO</f>
        <v>546.74893213099188</v>
      </c>
      <c r="X52" s="105">
        <f>E66*E52+F66*F52+G66*G52+H66*H52+I66*I52+J66*J52+K66*K52+L66*L52+M66*M52+N66*N52+O66*O52+P66*P52+Q66*Q52+R66*R52+S66*S52+T66*T52+U66*U52</f>
        <v>0</v>
      </c>
      <c r="Y52" s="105">
        <f>E67*E52+F67*F52+G67*G52+H67*H52+I67*I52+J67*J52+K67*K52+L67*L52+M67*M52+N67*N52+O67*O52+P67*P52+Q67*Q52+R67*R52+S67*S52+T67*T52+U67*U52</f>
        <v>0</v>
      </c>
      <c r="Z52" s="105">
        <f>E68*E52+F68*F52+G68*G52+H68*H52+I68*I52+J68*J52+K68*K52+L68*L52+M68*M52+N68*N52+O68*O52+P68*P52+Q68*Q52+R68*R52+S68*S52+T68*T52+U68*U52</f>
        <v>0</v>
      </c>
      <c r="AA52" s="105">
        <f>E69*E52+F69*F52+G69*G52+H69*H52+I69*I52+J69*J52+K69*K52+L69*L52+M69*M52+N69*N52+O69*O52+P69*P52+Q69*Q52+R69*R52+S69*S52+T69*T52+U69*U52</f>
        <v>0</v>
      </c>
      <c r="AB52" s="105">
        <f>E70*E52+F70*F52+G70*G52+H70*H52+I70*I52+J70*J52+K70*K52+L70*L52+M70*M52+N70*N52+O70*O52+P70*P52+Q70*Q52+R70*R52+S70*S52+T70*T52+U70*U52</f>
        <v>0</v>
      </c>
    </row>
    <row r="53" spans="2:28" ht="16.5" x14ac:dyDescent="0.25">
      <c r="B53" s="97" t="s">
        <v>329</v>
      </c>
      <c r="C53" s="98" t="s">
        <v>330</v>
      </c>
      <c r="D53" s="98" t="s">
        <v>331</v>
      </c>
      <c r="E53" s="419">
        <f>-Y_PHA</f>
        <v>-0.2</v>
      </c>
      <c r="F53" s="418">
        <f>0</f>
        <v>0</v>
      </c>
      <c r="G53" s="418">
        <f>0</f>
        <v>0</v>
      </c>
      <c r="H53" s="418">
        <f>0</f>
        <v>0</v>
      </c>
      <c r="I53" s="418">
        <f>0</f>
        <v>0</v>
      </c>
      <c r="J53" s="418">
        <f>-1</f>
        <v>-1</v>
      </c>
      <c r="K53" s="426">
        <f>v_14_SPO4*i_Charge_SPO4+v_14_XPP*i_Charge_XPAO_PP</f>
        <v>1.61290322580645E-5</v>
      </c>
      <c r="L53" s="418">
        <f>0</f>
        <v>0</v>
      </c>
      <c r="M53" s="418">
        <f>0</f>
        <v>0</v>
      </c>
      <c r="N53" s="418">
        <f>0</f>
        <v>0</v>
      </c>
      <c r="O53" s="418">
        <f>0</f>
        <v>0</v>
      </c>
      <c r="P53" s="418">
        <f>0</f>
        <v>0</v>
      </c>
      <c r="Q53" s="418">
        <f>0</f>
        <v>0</v>
      </c>
      <c r="R53" s="418">
        <f>1</f>
        <v>1</v>
      </c>
      <c r="S53" s="418">
        <f>-Y_PHA</f>
        <v>-0.2</v>
      </c>
      <c r="T53" s="418">
        <f>0</f>
        <v>0</v>
      </c>
      <c r="U53" s="418">
        <f>-Y_PHA*i_TSS_XSTO+i_TSS_XPP</f>
        <v>3.11</v>
      </c>
      <c r="V53" s="437">
        <f>q_PP*M_satSO_KO_PAO*M_satSPO4_KPO4_PP*M_satSHCO_KHCO_PAO*M_RsatXPHA_XPAO_KPHA*M_RinhXPP_XPAO_KiPP_PAO*X_PAO</f>
        <v>325.23997741389036</v>
      </c>
      <c r="X53" s="105">
        <f>E66*E53+F66*F53+G66*G53+H66*H53+I66*I53+J66*J53+K66*K53+L66*L53+M66*M53+N66*N53+O66*O53+P66*P53+Q66*Q53+R66*R53+S66*S53+T66*T53+U66*U53</f>
        <v>0</v>
      </c>
      <c r="Y53" s="105">
        <f>E67*E53+F67*F53+G67*G53+H67*H53+I67*I53+J67*J53+K67*K53+L67*L53+M67*M53+N67*N53+O67*O53+P67*P53+Q67*Q53+R67*R53+S67*S53+T67*T53+U67*U53</f>
        <v>0</v>
      </c>
      <c r="Z53" s="105">
        <f>E68*E53+F68*F53+G68*G53+H68*H53+I68*I53+J68*J53+K68*K53+L68*L53+M68*M53+N68*N53+O68*O53+P68*P53+Q68*Q53+R68*R53+S68*S53+T68*T53+U68*U53</f>
        <v>0</v>
      </c>
      <c r="AA53" s="105">
        <f>E69*E53+F69*F53+G69*G53+H69*H53+I69*I53+J69*J53+K69*K53+L69*L53+M69*M53+N69*N53+O69*O53+P69*P53+Q69*Q53+R69*R53+S69*S53+T69*T53+U69*U53</f>
        <v>0</v>
      </c>
      <c r="AB53" s="105">
        <f>E70*E53+F70*F53+G70*G53+H70*H53+I70*I53+J70*J53+K70*K53+L70*L53+M70*M53+N70*N53+O70*O53+P70*P53+Q70*Q53+R70*R53+S70*S53+T70*T53+U70*U53</f>
        <v>0</v>
      </c>
    </row>
    <row r="54" spans="2:28" ht="16.5" x14ac:dyDescent="0.25">
      <c r="B54" s="97" t="s">
        <v>335</v>
      </c>
      <c r="C54" s="98" t="s">
        <v>336</v>
      </c>
      <c r="D54" s="98" t="s">
        <v>337</v>
      </c>
      <c r="E54" s="418">
        <f>0</f>
        <v>0</v>
      </c>
      <c r="F54" s="418">
        <f>0</f>
        <v>0</v>
      </c>
      <c r="G54" s="418">
        <f>0</f>
        <v>0</v>
      </c>
      <c r="H54" s="419">
        <f>-Y_PHA/i_NO3_N2</f>
        <v>-7.0000000000000007E-2</v>
      </c>
      <c r="I54" s="422">
        <f>Y_PHA/i_NO3_N2</f>
        <v>7.0000000000000007E-2</v>
      </c>
      <c r="J54" s="418">
        <f>-1</f>
        <v>-1</v>
      </c>
      <c r="K54" s="426">
        <f>v_15_SNO*i_Charge_SNOx+v_15_SPO4*i_Charge_SPO4+v_15_XPP*i_Charge_XPAO_PP</f>
        <v>2.1129032258064499E-5</v>
      </c>
      <c r="L54" s="418">
        <f>0</f>
        <v>0</v>
      </c>
      <c r="M54" s="418">
        <f>0</f>
        <v>0</v>
      </c>
      <c r="N54" s="418">
        <f>0</f>
        <v>0</v>
      </c>
      <c r="O54" s="418">
        <f>0</f>
        <v>0</v>
      </c>
      <c r="P54" s="418">
        <f>0</f>
        <v>0</v>
      </c>
      <c r="Q54" s="418">
        <f>0</f>
        <v>0</v>
      </c>
      <c r="R54" s="418">
        <f>1</f>
        <v>1</v>
      </c>
      <c r="S54" s="418">
        <f>-Y_PHA</f>
        <v>-0.2</v>
      </c>
      <c r="T54" s="418">
        <f>0</f>
        <v>0</v>
      </c>
      <c r="U54" s="418">
        <f>-Y_PHA*i_TSS_XSTO+i_TSS_XPP</f>
        <v>3.11</v>
      </c>
      <c r="V54" s="437">
        <f>q_PP*η_NO_PAO*M_inhSO_KO_PAO*M_satSNO_KNO_PAO*M_satSPO4_KPO4_PP*M_satSHCO_KHCO_PAO*M_RsatXPHA_XPAO_KPHA*M_RinhXPP_XPAO_KiPP_PAO*X_PAO</f>
        <v>18.884901914354931</v>
      </c>
      <c r="X54" s="105">
        <f>E66*E54+F66*F54+G66*G54+H66*H54+I66*I54+J66*J54+K66*K54+L66*L54+M66*M54+N66*N54+O66*O54+P66*P54+Q66*Q54+R66*R54+S66*S54+T66*T54+U66*U54</f>
        <v>2.2204460492503131E-16</v>
      </c>
      <c r="Y54" s="105">
        <f>E67*E54+F67*F54+G67*G54+H67*H54+I67*I54+J67*J54+K67*K54+L67*L54+M67*M54+N67*N54+O67*O54+P67*P54+Q67*Q54+R67*R54+S67*S54+T67*T54+U67*U54</f>
        <v>0</v>
      </c>
      <c r="Z54" s="105">
        <f>E68*E54+F68*F54+G68*G54+H68*H54+I68*I54+J68*J54+K68*K54+L68*L54+M68*M54+N68*N54+O68*O54+P68*P54+Q68*Q54+R68*R54+S68*S54+T68*T54+U68*U54</f>
        <v>0</v>
      </c>
      <c r="AA54" s="105">
        <f>E69*E54+F69*F54+G69*G54+H69*H54+I69*I54+J69*J54+K69*K54+L69*L54+M69*M54+N69*N54+O69*O54+P69*P54+Q69*Q54+R69*R54+S69*S54+T69*T54+U69*U54</f>
        <v>0</v>
      </c>
      <c r="AB54" s="105">
        <f>E70*E54+F70*F54+G70*G54+H70*H54+I70*I54+J70*J54+K70*K54+L70*L54+M70*M54+N70*N54+O70*O54+P70*P54+Q70*Q54+R70*R54+S70*S54+T70*T54+U70*U54</f>
        <v>0</v>
      </c>
    </row>
    <row r="55" spans="2:28" ht="16.5" x14ac:dyDescent="0.25">
      <c r="B55" s="97" t="s">
        <v>340</v>
      </c>
      <c r="C55" s="98" t="s">
        <v>341</v>
      </c>
      <c r="D55" s="98" t="s">
        <v>342</v>
      </c>
      <c r="E55" s="418">
        <f>-(1-Y_PAO_O2)/Y_PAO_O2</f>
        <v>-0.66666666666666674</v>
      </c>
      <c r="F55" s="418">
        <f>0</f>
        <v>0</v>
      </c>
      <c r="G55" s="418">
        <f>-i_N_BM</f>
        <v>-7.0000000000000007E-2</v>
      </c>
      <c r="H55" s="418">
        <f>0</f>
        <v>0</v>
      </c>
      <c r="I55" s="418">
        <f>0</f>
        <v>0</v>
      </c>
      <c r="J55" s="418">
        <f>-i_P_BM</f>
        <v>-1.4E-2</v>
      </c>
      <c r="K55" s="426">
        <f>v_16_SNH4*i_Charge_SNHx+v_16_SPO4*i_Charge_SPO4</f>
        <v>-4.3225806451612885E-6</v>
      </c>
      <c r="L55" s="418">
        <f>0</f>
        <v>0</v>
      </c>
      <c r="M55" s="418">
        <f>0</f>
        <v>0</v>
      </c>
      <c r="N55" s="418">
        <f>0</f>
        <v>0</v>
      </c>
      <c r="O55" s="418">
        <f>0</f>
        <v>0</v>
      </c>
      <c r="P55" s="418">
        <f>0</f>
        <v>0</v>
      </c>
      <c r="Q55" s="418">
        <f>1</f>
        <v>1</v>
      </c>
      <c r="R55" s="418">
        <f>0</f>
        <v>0</v>
      </c>
      <c r="S55" s="418">
        <f>-1/Y_PAO_O2</f>
        <v>-1.6666666666666667</v>
      </c>
      <c r="T55" s="418">
        <f>0</f>
        <v>0</v>
      </c>
      <c r="U55" s="432">
        <f>-(1/Y_PAO_O2)*i_TSS_XSTO+i_TSS_BM</f>
        <v>-9.9999999999999978E-2</v>
      </c>
      <c r="V55" s="437">
        <f>μ_PAO*M_satSO_KO_PAO*M_satSNH4_KNH_PAO*M_satSPO4_KPO4_PAO*M_satSHCO_KHCO_PAO*M_RsatXPHA_XPAO_KPHA*X_PAO</f>
        <v>226.24340488363933</v>
      </c>
      <c r="X55" s="105">
        <f>E66*E55+F66*F55+G66*G55+H66*H55+I66*I55+J66*J55+K66*K55+L66*L55+M66*M55+N66*N55+O66*O55+P66*P55+Q66*Q55+R66*R55+S66*S55+T66*T55+U66*U55</f>
        <v>0</v>
      </c>
      <c r="Y55" s="105">
        <f>E67*E55+F67*F55+G67*G55+H67*H55+I67*I55+J67*J55+K67*K55+L67*L55+M67*M55+N67*N55+O67*O55+P67*P55+Q67*Q55+R67*R55+S67*S55+T67*T55+U67*U55</f>
        <v>0</v>
      </c>
      <c r="Z55" s="105">
        <f>E68*E55+F68*F55+G68*G55+H68*H55+I68*I55+J68*J55+K68*K55+L68*L55+M68*M55+N68*N55+O68*O55+P68*P55+Q68*Q55+R68*R55+S68*S55+T68*T55+U68*U55</f>
        <v>0</v>
      </c>
      <c r="AA55" s="105">
        <f>E69*E55+F69*F55+G69*G55+H69*H55+I69*I55+J69*J55+K69*K55+L69*L55+M69*M55+N69*N55+O69*O55+P69*P55+Q69*Q55+R69*R55+S69*S55+T69*T55+U69*U55</f>
        <v>0</v>
      </c>
      <c r="AB55" s="105">
        <f>E70*E55+F70*F55+G70*G55+H70*H55+I70*I55+J70*J55+K70*K55+L70*L55+M70*M55+N70*N55+O70*O55+P70*P55+Q70*Q55+R70*R55+S70*S55+T70*T55+U70*U55</f>
        <v>0</v>
      </c>
    </row>
    <row r="56" spans="2:28" ht="16.5" x14ac:dyDescent="0.25">
      <c r="B56" s="97" t="s">
        <v>347</v>
      </c>
      <c r="C56" s="98" t="s">
        <v>348</v>
      </c>
      <c r="D56" s="98" t="s">
        <v>349</v>
      </c>
      <c r="E56" s="418">
        <f>0</f>
        <v>0</v>
      </c>
      <c r="F56" s="418">
        <f>0</f>
        <v>0</v>
      </c>
      <c r="G56" s="418">
        <f>-i_N_BM</f>
        <v>-7.0000000000000007E-2</v>
      </c>
      <c r="H56" s="419">
        <f>-(1-Y_PAO_NO)/Y_PAO_NO*(1/i_NO3_N2)</f>
        <v>-0.35</v>
      </c>
      <c r="I56" s="418">
        <f>(1-Y_PAO_NO)/Y_PAO_NO*(1/i_NO3_N2)</f>
        <v>0.35</v>
      </c>
      <c r="J56" s="418">
        <f>-i_P_BM</f>
        <v>-1.4E-2</v>
      </c>
      <c r="K56" s="426">
        <f>v_17_SNH4*i_Charge_SNHx+v_17_SNO*i_Charge_SNOx+v_17_SPO4*i_Charge_SPO4</f>
        <v>2.0677419354838702E-5</v>
      </c>
      <c r="L56" s="418">
        <f>0</f>
        <v>0</v>
      </c>
      <c r="M56" s="418">
        <f>0</f>
        <v>0</v>
      </c>
      <c r="N56" s="418">
        <f>0</f>
        <v>0</v>
      </c>
      <c r="O56" s="418">
        <f>0</f>
        <v>0</v>
      </c>
      <c r="P56" s="418">
        <f>0</f>
        <v>0</v>
      </c>
      <c r="Q56" s="418">
        <f>1</f>
        <v>1</v>
      </c>
      <c r="R56" s="418">
        <f>0</f>
        <v>0</v>
      </c>
      <c r="S56" s="419">
        <f>-1/Y_PAO_NO</f>
        <v>-2</v>
      </c>
      <c r="T56" s="418">
        <f>0</f>
        <v>0</v>
      </c>
      <c r="U56" s="433">
        <f>-(1/Y_PAO_NO)*i_TSS_XSTO+i_TSS_BM</f>
        <v>-0.29999999999999993</v>
      </c>
      <c r="V56" s="437">
        <f>μ_PAO*η_NO_PAO*M_inhSO_KO_PAO*M_satSNO_KNO_PAO*M_satSNH4_KNH_PAO*M_satSPO4_KPO4_PAO*M_satSHCO_KHCO_PAO*M_RsatXPHA_XPAO_KPHA*X_PAO</f>
        <v>13.136713831953253</v>
      </c>
      <c r="X56" s="105">
        <f>E66*E56+F66*F56+G66*G56+H66*H56+I66*I56+J66*J56+K66*K56+L66*L56+M66*M56+N66*N56+O66*O56+P66*P56+Q66*Q56+R66*R56+S66*S56+T66*T56+U66*U56</f>
        <v>8.8817841970012523E-16</v>
      </c>
      <c r="Y56" s="105">
        <f>E67*E56+F67*F56+G67*G56+H67*H56+I67*I56+J67*J56+K67*K56+L67*L56+M67*M56+N67*N56+O67*O56+P67*P56+Q67*Q56+R67*R56+S67*S56+T67*T56+U67*U56</f>
        <v>0</v>
      </c>
      <c r="Z56" s="105">
        <f>E68*E56+F68*F56+G68*G56+H68*H56+I68*I56+J68*J56+K68*K56+L68*L56+M68*M56+N68*N56+O68*O56+P68*P56+Q68*Q56+R68*R56+S68*S56+T68*T56+U68*U56</f>
        <v>0</v>
      </c>
      <c r="AA56" s="105">
        <f>E69*E56+F69*F56+G69*G56+H69*H56+I69*I56+J69*J56+K69*K56+L69*L56+M69*M56+N69*N56+O69*O56+P69*P56+Q69*Q56+R69*R56+S69*S56+T69*T56+U69*U56</f>
        <v>0</v>
      </c>
      <c r="AB56" s="105">
        <f>E70*E56+F70*F56+G70*G56+H70*H56+I70*I56+J70*J56+K70*K56+L70*L56+M70*M56+N70*N56+O70*O56+P70*P56+Q70*Q56+R70*R56+S70*S56+T70*T56+U70*U56</f>
        <v>0</v>
      </c>
    </row>
    <row r="57" spans="2:28" ht="16.5" x14ac:dyDescent="0.25">
      <c r="B57" s="97" t="s">
        <v>350</v>
      </c>
      <c r="C57" s="98" t="s">
        <v>351</v>
      </c>
      <c r="D57" s="98" t="s">
        <v>352</v>
      </c>
      <c r="E57" s="418">
        <f>-(1-f_XI)</f>
        <v>-0.8</v>
      </c>
      <c r="F57" s="418">
        <f>0</f>
        <v>0</v>
      </c>
      <c r="G57" s="418">
        <f>-f_XI*i_N_XI+i_N_BM</f>
        <v>6.4000000000000001E-2</v>
      </c>
      <c r="H57" s="418">
        <f>0</f>
        <v>0</v>
      </c>
      <c r="I57" s="418">
        <f>0</f>
        <v>0</v>
      </c>
      <c r="J57" s="418">
        <f>-f_XI*i_P_XI+i_P_BM</f>
        <v>1.2E-2</v>
      </c>
      <c r="K57" s="426">
        <f>v_18_SNH4*i_Charge_SNHx+v_18_SPO4*i_Charge_SPO4</f>
        <v>3.9907834101382474E-6</v>
      </c>
      <c r="L57" s="418">
        <f>0</f>
        <v>0</v>
      </c>
      <c r="M57" s="422">
        <f>f_XI</f>
        <v>0.2</v>
      </c>
      <c r="N57" s="418">
        <f>0</f>
        <v>0</v>
      </c>
      <c r="O57" s="418">
        <f>0</f>
        <v>0</v>
      </c>
      <c r="P57" s="418">
        <f>0</f>
        <v>0</v>
      </c>
      <c r="Q57" s="418">
        <f>-1</f>
        <v>-1</v>
      </c>
      <c r="R57" s="418">
        <f>0</f>
        <v>0</v>
      </c>
      <c r="S57" s="418">
        <f>0</f>
        <v>0</v>
      </c>
      <c r="T57" s="418">
        <f>0</f>
        <v>0</v>
      </c>
      <c r="U57" s="432">
        <f>-i_TSS_BM+f_XI*i_TSS_XI</f>
        <v>-0.75</v>
      </c>
      <c r="V57" s="437">
        <f>b_PAO*M_satSO_KO_PAO*X_PAO</f>
        <v>54.545454545454547</v>
      </c>
      <c r="X57" s="105">
        <f>E66*E57+F66*F57+G66*G57+H66*H57+I66*I57+J66*J57+K66*K57+L66*L57+M66*M57+N66*N57+O66*O57+P66*P57+Q66*Q57+R66*R57+S66*S57+T66*T57+U66*U57</f>
        <v>0</v>
      </c>
      <c r="Y57" s="105">
        <f>E67*E57+F67*F57+G67*G57+H67*H57+I67*I57+J67*J57+K67*K57+L67*L57+M67*M57+N67*N57+O67*O57+P67*P57+Q67*Q57+R67*R57+S67*S57+T67*T57+U67*U57</f>
        <v>0</v>
      </c>
      <c r="Z57" s="105">
        <f>E68*E57+F68*F57+G68*G57+H68*H57+I68*I57+J68*J57+K68*K57+L68*L57+M68*M57+N68*N57+O68*O57+P68*P57+Q68*Q57+R68*R57+S68*S57+T68*T57+U68*U57</f>
        <v>0</v>
      </c>
      <c r="AA57" s="105">
        <f>E69*E57+F69*F57+G69*G57+H69*H57+I69*I57+J69*J57+K69*K57+L69*L57+M69*M57+N69*N57+O69*O57+P69*P57+Q69*Q57+R69*R57+S69*S57+T69*T57+U69*U57</f>
        <v>0</v>
      </c>
      <c r="AB57" s="105">
        <f>E70*E57+F70*F57+G70*G57+H70*H57+I70*I57+J70*J57+K70*K57+L70*L57+M70*M57+N70*N57+O70*O57+P70*P57+Q70*Q57+R70*R57+S70*S57+T70*T57+U70*U57</f>
        <v>0</v>
      </c>
    </row>
    <row r="58" spans="2:28" ht="16.5" x14ac:dyDescent="0.25">
      <c r="B58" s="97" t="s">
        <v>355</v>
      </c>
      <c r="C58" s="98" t="s">
        <v>356</v>
      </c>
      <c r="D58" s="98" t="s">
        <v>357</v>
      </c>
      <c r="E58" s="418">
        <f>0</f>
        <v>0</v>
      </c>
      <c r="F58" s="418">
        <f>0</f>
        <v>0</v>
      </c>
      <c r="G58" s="418">
        <f>-f_XI*i_N_XI+i_N_BM</f>
        <v>6.4000000000000001E-2</v>
      </c>
      <c r="H58" s="419">
        <f>-(1-f_XI)/i_NO3_N2</f>
        <v>-0.28000000000000003</v>
      </c>
      <c r="I58" s="418">
        <f>(1-f_XI)/i_NO3_N2</f>
        <v>0.28000000000000003</v>
      </c>
      <c r="J58" s="418">
        <f>-f_XI*i_P_XI+i_P_BM</f>
        <v>1.2E-2</v>
      </c>
      <c r="K58" s="426">
        <f>v_19_SNH4*i_Charge_SNHx+v_19_SNO*i_Charge_SNOx+v_19_SPO4*i_Charge_SPO4</f>
        <v>2.399078341013824E-5</v>
      </c>
      <c r="L58" s="418">
        <f>0</f>
        <v>0</v>
      </c>
      <c r="M58" s="422">
        <f>f_XI</f>
        <v>0.2</v>
      </c>
      <c r="N58" s="418">
        <f>0</f>
        <v>0</v>
      </c>
      <c r="O58" s="418">
        <f>0</f>
        <v>0</v>
      </c>
      <c r="P58" s="418">
        <f>0</f>
        <v>0</v>
      </c>
      <c r="Q58" s="418">
        <f>-1</f>
        <v>-1</v>
      </c>
      <c r="R58" s="418">
        <f>0</f>
        <v>0</v>
      </c>
      <c r="S58" s="418">
        <f>0</f>
        <v>0</v>
      </c>
      <c r="T58" s="418">
        <f>0</f>
        <v>0</v>
      </c>
      <c r="U58" s="432">
        <f>-i_TSS_BM+f_XI*i_TSS_XI</f>
        <v>-0.75</v>
      </c>
      <c r="V58" s="437">
        <f>b_PAO*η_NO_end_PAO*M_inhSO_KO_PAO*M_satSNO_KNO_PAO*X_PAO</f>
        <v>1.741935483870968</v>
      </c>
      <c r="X58" s="105">
        <f>E66*E58+F66*F58+G66*G58+H66*H58+I66*I58+J66*J58+K66*K58+L66*L58+M66*M58+N66*N58+O66*O58+P66*P58+Q66*Q58+R66*R58+S66*S58+T66*T58+U66*U58</f>
        <v>8.8817841970012523E-16</v>
      </c>
      <c r="Y58" s="105">
        <f>E67*E58+F67*F58+G67*G58+H67*H58+I67*I58+J67*J58+K67*K58+L67*L58+M67*M58+N67*N58+O67*O58+P67*P58+Q67*Q58+R67*R58+S67*S58+T67*T58+U67*U58</f>
        <v>0</v>
      </c>
      <c r="Z58" s="105">
        <f>E68*E58+F68*F58+G68*G58+H68*H58+I68*I58+J68*J58+K68*K58+L68*L58+M68*M58+N68*N58+O68*O58+P68*P58+Q68*Q58+R68*R58+S68*S58+T68*T58+U68*U58</f>
        <v>0</v>
      </c>
      <c r="AA58" s="105">
        <f>E69*E58+F69*F58+G69*G58+H69*H58+I69*I58+J69*J58+K69*K58+L69*L58+M69*M58+N69*N58+O69*O58+P69*P58+Q69*Q58+R69*R58+S69*S58+T69*T58+U69*U58</f>
        <v>0</v>
      </c>
      <c r="AB58" s="105">
        <f>E70*E58+F70*F58+G70*G58+H70*H58+I70*I58+J70*J58+K70*K58+L70*L58+M70*M58+N70*N58+O70*O58+P70*P58+Q70*Q58+R70*R58+S70*S58+T70*T58+U70*U58</f>
        <v>0</v>
      </c>
    </row>
    <row r="59" spans="2:28" ht="16.5" x14ac:dyDescent="0.25">
      <c r="B59" s="97" t="s">
        <v>360</v>
      </c>
      <c r="C59" s="98" t="s">
        <v>361</v>
      </c>
      <c r="D59" s="98" t="s">
        <v>362</v>
      </c>
      <c r="E59" s="418">
        <f>0</f>
        <v>0</v>
      </c>
      <c r="F59" s="418">
        <f>0</f>
        <v>0</v>
      </c>
      <c r="G59" s="418">
        <f>0</f>
        <v>0</v>
      </c>
      <c r="H59" s="418">
        <f>0</f>
        <v>0</v>
      </c>
      <c r="I59" s="418">
        <f>0</f>
        <v>0</v>
      </c>
      <c r="J59" s="418">
        <f>1</f>
        <v>1</v>
      </c>
      <c r="K59" s="434">
        <f>v_20_SPO4*i_Charge_SPO4+v_20_XPP*i_Charge_XPAO_PP</f>
        <v>-1.61290322580645E-5</v>
      </c>
      <c r="L59" s="418">
        <f>0</f>
        <v>0</v>
      </c>
      <c r="M59" s="418">
        <f>0</f>
        <v>0</v>
      </c>
      <c r="N59" s="418">
        <f>0</f>
        <v>0</v>
      </c>
      <c r="O59" s="418">
        <f>0</f>
        <v>0</v>
      </c>
      <c r="P59" s="418">
        <f>0</f>
        <v>0</v>
      </c>
      <c r="Q59" s="418">
        <f>0</f>
        <v>0</v>
      </c>
      <c r="R59" s="418">
        <f>-1</f>
        <v>-1</v>
      </c>
      <c r="S59" s="418">
        <f>0</f>
        <v>0</v>
      </c>
      <c r="T59" s="418">
        <f>0</f>
        <v>0</v>
      </c>
      <c r="U59" s="432">
        <f>-i_TSS_XPP</f>
        <v>-3.23</v>
      </c>
      <c r="V59" s="437">
        <f>b_PP*M_satSO_KO_PAO*X_PP</f>
        <v>36.363636363636367</v>
      </c>
      <c r="X59" s="105">
        <f>E66*E59+F66*F59+G66*G59+H66*H59+I66*I59+J66*J59+K66*K59+L66*L59+M66*M59+N66*N59+O66*O59+P66*P59+Q66*Q59+R66*R59+S66*S59+T66*T59+U66*U59</f>
        <v>0</v>
      </c>
      <c r="Y59" s="105">
        <f>E67*E59+F67*F59+G67*G59+H67*H59+I67*I59+J67*J59+K67*K59+L67*L59+M67*M59+N67*N59+O67*O59+P67*P59+Q67*Q59+R67*R59+S67*S59+T67*T59+U67*U59</f>
        <v>0</v>
      </c>
      <c r="Z59" s="105">
        <f>E68*E59+F68*F59+G68*G59+H68*H59+I68*I59+J68*J59+K68*K59+L68*L59+M68*M59+N68*N59+O68*O59+P68*P59+Q68*Q59+R68*R59+S68*S59+T68*T59+U68*U59</f>
        <v>0</v>
      </c>
      <c r="AA59" s="105">
        <f>E69*E59+F69*F59+G69*G59+H69*H59+I69*I59+J69*J59+K69*K59+L69*L59+M69*M59+N69*N59+O69*O59+P69*P59+Q69*Q59+R69*R59+S69*S59+T69*T59+U69*U59</f>
        <v>0</v>
      </c>
      <c r="AB59" s="105">
        <f>E70*E59+F70*F59+G70*G59+H70*H59+I70*I59+J70*J59+K70*K59+L70*L59+M70*M59+N70*N59+O70*O59+P70*P59+Q70*Q59+R70*R59+S70*S59+T70*T59+U70*U59</f>
        <v>0</v>
      </c>
    </row>
    <row r="60" spans="2:28" ht="16.5" x14ac:dyDescent="0.25">
      <c r="B60" s="97" t="s">
        <v>365</v>
      </c>
      <c r="C60" s="98" t="s">
        <v>366</v>
      </c>
      <c r="D60" s="98" t="s">
        <v>367</v>
      </c>
      <c r="E60" s="418">
        <f>0</f>
        <v>0</v>
      </c>
      <c r="F60" s="418">
        <f>0</f>
        <v>0</v>
      </c>
      <c r="G60" s="418">
        <f>0</f>
        <v>0</v>
      </c>
      <c r="H60" s="418">
        <f>0</f>
        <v>0</v>
      </c>
      <c r="I60" s="418">
        <f>0</f>
        <v>0</v>
      </c>
      <c r="J60" s="418">
        <f>1</f>
        <v>1</v>
      </c>
      <c r="K60" s="434">
        <f>v_21_SPO4*i_Charge_SPO4+v_21_XPP*i_Charge_XPAO_PP</f>
        <v>-1.61290322580645E-5</v>
      </c>
      <c r="L60" s="418">
        <f>0</f>
        <v>0</v>
      </c>
      <c r="M60" s="418">
        <f>0</f>
        <v>0</v>
      </c>
      <c r="N60" s="418">
        <f>0</f>
        <v>0</v>
      </c>
      <c r="O60" s="418">
        <f>0</f>
        <v>0</v>
      </c>
      <c r="P60" s="418">
        <f>0</f>
        <v>0</v>
      </c>
      <c r="Q60" s="418">
        <f>0</f>
        <v>0</v>
      </c>
      <c r="R60" s="418">
        <f>-1</f>
        <v>-1</v>
      </c>
      <c r="S60" s="418">
        <f>0</f>
        <v>0</v>
      </c>
      <c r="T60" s="418">
        <f>0</f>
        <v>0</v>
      </c>
      <c r="U60" s="432">
        <f>-i_TSS_XPP</f>
        <v>-3.23</v>
      </c>
      <c r="V60" s="437">
        <f>b_PP*η_NO_lys_PP*M_inhSO_KO_PAO*M_satSNO_KNO_PAO*X_PP</f>
        <v>1.1612903225806452</v>
      </c>
      <c r="X60" s="105">
        <f>E66*E60+F66*F60+G66*G60+H66*H60+I66*I60+J66*J60+K66*K60+L66*L60+M66*M60+N66*N60+O66*O60+P66*P60+Q66*Q60+R66*R60+S66*S60+T66*T60+U66*U60</f>
        <v>0</v>
      </c>
      <c r="Y60" s="105">
        <f>E67*E60+F67*F60+G67*G60+H67*H60+I67*I60+J67*J60+K67*K60+L67*L60+M67*M60+N67*N60+O67*O60+P67*P60+Q67*Q60+R67*R60+S67*S60+T67*T60+U67*U60</f>
        <v>0</v>
      </c>
      <c r="Z60" s="105">
        <f>E68*E60+F68*F60+G68*G60+H68*H60+I68*I60+J68*J60+K68*K60+L68*L60+M68*M60+N68*N60+O68*O60+P68*P60+Q68*Q60+R68*R60+S68*S60+T68*T60+U68*U60</f>
        <v>0</v>
      </c>
      <c r="AA60" s="105">
        <f>E69*E60+F69*F60+G69*G60+H69*H60+I69*I60+J69*J60+K69*K60+L69*L60+M69*M60+N69*N60+O69*O60+P69*P60+Q69*Q60+R69*R60+S69*S60+T69*T60+U69*U60</f>
        <v>0</v>
      </c>
      <c r="AB60" s="105">
        <f>E70*E60+F70*F60+G70*G60+H70*H60+I70*I60+J70*J60+K70*K60+L70*L60+M70*M60+N70*N60+O70*O60+P70*P60+Q70*Q60+R70*R60+S70*S60+T70*T60+U70*U60</f>
        <v>0</v>
      </c>
    </row>
    <row r="61" spans="2:28" ht="16.5" x14ac:dyDescent="0.25">
      <c r="B61" s="97" t="s">
        <v>369</v>
      </c>
      <c r="C61" s="98" t="s">
        <v>370</v>
      </c>
      <c r="D61" s="98" t="s">
        <v>371</v>
      </c>
      <c r="E61" s="418">
        <f>-1</f>
        <v>-1</v>
      </c>
      <c r="F61" s="418">
        <f>0</f>
        <v>0</v>
      </c>
      <c r="G61" s="418">
        <f>0</f>
        <v>0</v>
      </c>
      <c r="H61" s="418">
        <f>0</f>
        <v>0</v>
      </c>
      <c r="I61" s="418">
        <f>0</f>
        <v>0</v>
      </c>
      <c r="J61" s="418">
        <f>0</f>
        <v>0</v>
      </c>
      <c r="K61" s="427">
        <f>0</f>
        <v>0</v>
      </c>
      <c r="L61" s="418">
        <f>0</f>
        <v>0</v>
      </c>
      <c r="M61" s="418">
        <f>0</f>
        <v>0</v>
      </c>
      <c r="N61" s="418">
        <f>0</f>
        <v>0</v>
      </c>
      <c r="O61" s="418">
        <f>0</f>
        <v>0</v>
      </c>
      <c r="P61" s="418">
        <f>0</f>
        <v>0</v>
      </c>
      <c r="Q61" s="418">
        <f>0</f>
        <v>0</v>
      </c>
      <c r="R61" s="418">
        <f>0</f>
        <v>0</v>
      </c>
      <c r="S61" s="418">
        <f>-1</f>
        <v>-1</v>
      </c>
      <c r="T61" s="418">
        <f>0</f>
        <v>0</v>
      </c>
      <c r="U61" s="432">
        <f>-i_TSS_XSTO</f>
        <v>-0.6</v>
      </c>
      <c r="V61" s="437">
        <f>b_PHA*M_satSO_KO_PAO*X_PHA</f>
        <v>36.363636363636367</v>
      </c>
      <c r="X61" s="105">
        <f>E66*E61+F66*F61+G66*G61+H66*H61+I66*I61+J66*J61+K66*K61+L66*L61+M66*M61+N66*N61+O66*O61+P66*P61+Q66*Q61+R66*R61+S66*S61+T66*T61+U66*U61</f>
        <v>0</v>
      </c>
      <c r="Y61" s="105">
        <f>E67*E61+F67*F61+G67*G61+H67*H61+I67*I61+J67*J61+K67*K61+L67*L61+M67*M61+N67*N61+O67*O61+P67*P61+Q67*Q61+R67*R61+S67*S61+T67*T61+U67*U61</f>
        <v>0</v>
      </c>
      <c r="Z61" s="105">
        <f>E68*E61+F68*F61+G68*G61+H68*H61+I68*I61+J68*J61+K68*K61+L68*L61+M68*M61+N68*N61+O68*O61+P68*P61+Q68*Q61+R68*R61+S68*S61+T68*T61+U68*U61</f>
        <v>0</v>
      </c>
      <c r="AA61" s="105">
        <f>E69*E61+F69*F61+G69*G61+H69*H61+I69*I61+J69*J61+K69*K61+L69*L61+M69*M61+N69*N61+O69*O61+P69*P61+Q69*Q61+R69*R61+S69*S61+T69*T61+U69*U61</f>
        <v>0</v>
      </c>
      <c r="AB61" s="105">
        <f>E70*E61+F70*F61+G70*G61+H70*H61+I70*I61+J70*J61+K70*K61+L70*L61+M70*M61+N70*N61+O70*O61+P70*P61+Q70*Q61+R70*R61+S70*S61+T70*T61+U70*U61</f>
        <v>0</v>
      </c>
    </row>
    <row r="62" spans="2:28" ht="17.25" thickBot="1" x14ac:dyDescent="0.3">
      <c r="B62" s="343" t="s">
        <v>372</v>
      </c>
      <c r="C62" s="103" t="s">
        <v>373</v>
      </c>
      <c r="D62" s="103" t="s">
        <v>374</v>
      </c>
      <c r="E62" s="420">
        <f>0</f>
        <v>0</v>
      </c>
      <c r="F62" s="420">
        <f>0</f>
        <v>0</v>
      </c>
      <c r="G62" s="420">
        <f>0</f>
        <v>0</v>
      </c>
      <c r="H62" s="423">
        <f>-1/i_NO3_N2</f>
        <v>-0.35</v>
      </c>
      <c r="I62" s="420">
        <f>1/i_NO3_N2</f>
        <v>0.35</v>
      </c>
      <c r="J62" s="420">
        <f>0</f>
        <v>0</v>
      </c>
      <c r="K62" s="428">
        <f>v_23_SNO*i_Charge_SNOx</f>
        <v>2.4999999999999988E-5</v>
      </c>
      <c r="L62" s="420">
        <f>0</f>
        <v>0</v>
      </c>
      <c r="M62" s="420">
        <f>0</f>
        <v>0</v>
      </c>
      <c r="N62" s="420">
        <f>0</f>
        <v>0</v>
      </c>
      <c r="O62" s="420">
        <f>0</f>
        <v>0</v>
      </c>
      <c r="P62" s="420">
        <f>0</f>
        <v>0</v>
      </c>
      <c r="Q62" s="420">
        <f>0</f>
        <v>0</v>
      </c>
      <c r="R62" s="420">
        <f>0</f>
        <v>0</v>
      </c>
      <c r="S62" s="420">
        <f>-1</f>
        <v>-1</v>
      </c>
      <c r="T62" s="420">
        <f>0</f>
        <v>0</v>
      </c>
      <c r="U62" s="435">
        <f>-i_TSS_XSTO</f>
        <v>-0.6</v>
      </c>
      <c r="V62" s="438">
        <f>b_PHA*η_NO_resp_PHA*M_inhSO_KO_PAO*M_satSNO_KNO_PAO*X_PHA</f>
        <v>1.1612903225806452</v>
      </c>
      <c r="X62" s="105">
        <f>E66*E62+F66*F62+G66*G62+H66*H62+I66*I62+J66*J62+K66*K62+L66*L62+M66*M62+N66*N62+O66*O62+P66*P62+Q66*Q62+R66*R62+S66*S62+T66*T62+U66*U62</f>
        <v>8.8817841970012523E-16</v>
      </c>
      <c r="Y62" s="105">
        <f>E67*E62+F67*F62+G67*G62+H67*H62+I67*I62+J67*J62+K67*K62+L67*L62+M67*M62+N67*N62+O67*O62+P67*P62+Q67*Q62+R67*R62+S67*S62+T67*T62+U67*U62</f>
        <v>0</v>
      </c>
      <c r="Z62" s="105">
        <f>E68*E62+F68*F62+G68*G62+H68*H62+I68*I62+J68*J62+K68*K62+L68*L62+M68*M62+N68*N62+O68*O62+P68*P62+Q68*Q62+R68*R62+S68*S62+T68*T62+U68*U62</f>
        <v>0</v>
      </c>
      <c r="AA62" s="105">
        <f>E69*E62+F69*F62+G69*G62+H69*H62+I69*I62+J69*J62+K69*K62+L69*L62+M69*M62+N69*N62+O69*O62+P69*P62+Q69*Q62+R69*R62+S69*S62+T69*T62+U69*U62</f>
        <v>0</v>
      </c>
      <c r="AB62" s="105">
        <f>E70*E62+F70*F62+G70*G62+H70*H62+I70*I62+J70*J62+K70*K62+L70*L62+M70*M62+N70*N62+O70*O62+P70*P62+Q70*Q62+R70*R62+S70*S62+T70*T62+U70*U62</f>
        <v>0</v>
      </c>
    </row>
    <row r="64" spans="2:28" ht="15.75" thickBot="1" x14ac:dyDescent="0.3"/>
    <row r="65" spans="4:21" ht="15.75" thickBot="1" x14ac:dyDescent="0.3">
      <c r="D65" s="52" t="s">
        <v>5</v>
      </c>
      <c r="E65" s="12"/>
    </row>
    <row r="66" spans="4:21" x14ac:dyDescent="0.25">
      <c r="D66" s="317" t="s">
        <v>147</v>
      </c>
      <c r="E66" s="318">
        <v>-1</v>
      </c>
      <c r="F66" s="318">
        <v>1</v>
      </c>
      <c r="G66" s="318"/>
      <c r="H66" s="319">
        <f>i_COD_NO3</f>
        <v>-4.5714285714285703</v>
      </c>
      <c r="I66" s="319">
        <f>i_COD_N2</f>
        <v>-1.71428571428571</v>
      </c>
      <c r="J66" s="318"/>
      <c r="K66" s="318"/>
      <c r="L66" s="318">
        <v>1</v>
      </c>
      <c r="M66" s="318">
        <v>1</v>
      </c>
      <c r="N66" s="318">
        <v>1</v>
      </c>
      <c r="O66" s="318">
        <v>1</v>
      </c>
      <c r="P66" s="318">
        <v>1</v>
      </c>
      <c r="Q66" s="318">
        <v>1</v>
      </c>
      <c r="R66" s="318"/>
      <c r="S66" s="318">
        <v>1</v>
      </c>
      <c r="T66" s="318">
        <v>1</v>
      </c>
      <c r="U66" s="318"/>
    </row>
    <row r="67" spans="4:21" x14ac:dyDescent="0.25">
      <c r="D67" s="88" t="s">
        <v>377</v>
      </c>
      <c r="E67" s="100"/>
      <c r="F67" s="101">
        <f>i_N_SS</f>
        <v>0.03</v>
      </c>
      <c r="G67" s="100">
        <v>1</v>
      </c>
      <c r="H67" s="100">
        <v>1</v>
      </c>
      <c r="I67" s="100">
        <v>1</v>
      </c>
      <c r="J67" s="100"/>
      <c r="K67" s="100"/>
      <c r="L67" s="101">
        <f>i_N_SI</f>
        <v>0.01</v>
      </c>
      <c r="M67" s="101">
        <f>i_N_XI</f>
        <v>0.03</v>
      </c>
      <c r="N67" s="101">
        <f>i_N_XS</f>
        <v>3.5000000000000003E-2</v>
      </c>
      <c r="O67" s="101">
        <f>i_N_BM</f>
        <v>7.0000000000000007E-2</v>
      </c>
      <c r="P67" s="100"/>
      <c r="Q67" s="101">
        <f>i_N_BM</f>
        <v>7.0000000000000007E-2</v>
      </c>
      <c r="R67" s="100"/>
      <c r="S67" s="100"/>
      <c r="T67" s="101">
        <f>i_N_BM</f>
        <v>7.0000000000000007E-2</v>
      </c>
      <c r="U67" s="100"/>
    </row>
    <row r="68" spans="4:21" x14ac:dyDescent="0.25">
      <c r="D68" s="88" t="s">
        <v>378</v>
      </c>
      <c r="E68" s="100"/>
      <c r="F68" s="101">
        <f>i_P_SS</f>
        <v>0</v>
      </c>
      <c r="G68" s="100"/>
      <c r="H68" s="100"/>
      <c r="I68" s="100"/>
      <c r="J68" s="100">
        <v>1</v>
      </c>
      <c r="K68" s="100"/>
      <c r="L68" s="101">
        <f>i_P_SI</f>
        <v>0</v>
      </c>
      <c r="M68" s="101">
        <f>i_P_XI</f>
        <v>0.01</v>
      </c>
      <c r="N68" s="101">
        <f>i_P_XS</f>
        <v>5.0000000000000001E-3</v>
      </c>
      <c r="O68" s="101">
        <f>i_P_BM</f>
        <v>1.4E-2</v>
      </c>
      <c r="P68" s="100"/>
      <c r="Q68" s="101">
        <f>i_P_BM</f>
        <v>1.4E-2</v>
      </c>
      <c r="R68" s="100">
        <v>1</v>
      </c>
      <c r="S68" s="100"/>
      <c r="T68" s="101">
        <f>i_P_BM</f>
        <v>1.4E-2</v>
      </c>
      <c r="U68" s="100"/>
    </row>
    <row r="69" spans="4:21" x14ac:dyDescent="0.25">
      <c r="D69" s="88" t="s">
        <v>9</v>
      </c>
      <c r="E69" s="100"/>
      <c r="F69" s="100"/>
      <c r="G69" s="89">
        <f>i_Charge_SNHx</f>
        <v>7.1428571428571393E-5</v>
      </c>
      <c r="H69" s="89">
        <f>i_Charge_SNOx</f>
        <v>-7.1428571428571393E-5</v>
      </c>
      <c r="I69" s="90"/>
      <c r="J69" s="89">
        <f>i_Charge_SPO4</f>
        <v>-4.83870967741935E-5</v>
      </c>
      <c r="K69" s="100">
        <v>-1</v>
      </c>
      <c r="L69" s="100"/>
      <c r="M69" s="100"/>
      <c r="N69" s="100"/>
      <c r="O69" s="100"/>
      <c r="P69" s="100"/>
      <c r="Q69" s="100"/>
      <c r="R69" s="91">
        <f>i_Charge_XPAO_PP</f>
        <v>-3.2258064516129E-5</v>
      </c>
      <c r="S69" s="100"/>
      <c r="T69" s="100"/>
      <c r="U69" s="100"/>
    </row>
    <row r="70" spans="4:21" ht="15.75" thickBot="1" x14ac:dyDescent="0.3">
      <c r="D70" s="92" t="s">
        <v>379</v>
      </c>
      <c r="E70" s="104"/>
      <c r="F70" s="104"/>
      <c r="G70" s="104"/>
      <c r="H70" s="104"/>
      <c r="I70" s="104"/>
      <c r="J70" s="104"/>
      <c r="K70" s="104"/>
      <c r="L70" s="104"/>
      <c r="M70" s="93">
        <f>i_TSS_XI</f>
        <v>0.75</v>
      </c>
      <c r="N70" s="93">
        <f>i_TSS_XS</f>
        <v>0.75</v>
      </c>
      <c r="O70" s="93">
        <f>i_TSS_BM</f>
        <v>0.9</v>
      </c>
      <c r="P70" s="93">
        <f>i_TSS_XSTO</f>
        <v>0.6</v>
      </c>
      <c r="Q70" s="93">
        <f>i_TSS_BM</f>
        <v>0.9</v>
      </c>
      <c r="R70" s="93">
        <f>i_TSS_XPP</f>
        <v>3.23</v>
      </c>
      <c r="S70" s="93">
        <f>i_TSS_XSTO</f>
        <v>0.6</v>
      </c>
      <c r="T70" s="93">
        <f>i_TSS_BM</f>
        <v>0.9</v>
      </c>
      <c r="U70" s="104">
        <v>-1</v>
      </c>
    </row>
  </sheetData>
  <phoneticPr fontId="12" type="noConversion"/>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6" customFormat="1" ht="48" customHeight="1" x14ac:dyDescent="0.25">
      <c r="A1" s="48"/>
    </row>
  </sheetData>
  <phoneticPr fontId="12"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0" customWidth="1"/>
    <col min="2" max="2" width="22" style="19" customWidth="1"/>
    <col min="3" max="3" width="9.7109375" style="20" customWidth="1"/>
    <col min="4" max="16384" width="9.140625" style="20"/>
  </cols>
  <sheetData>
    <row r="1" spans="2:9" ht="56.25" customHeight="1" thickBot="1" x14ac:dyDescent="0.3"/>
    <row r="2" spans="2:9" s="19" customFormat="1" ht="15.75" thickBot="1" x14ac:dyDescent="0.3">
      <c r="B2" s="21" t="s">
        <v>133</v>
      </c>
      <c r="C2" s="22" t="s">
        <v>134</v>
      </c>
      <c r="D2" s="22" t="s">
        <v>135</v>
      </c>
      <c r="E2" s="22" t="s">
        <v>136</v>
      </c>
      <c r="F2" s="22" t="s">
        <v>137</v>
      </c>
      <c r="G2" s="22" t="s">
        <v>138</v>
      </c>
      <c r="H2" s="22" t="s">
        <v>139</v>
      </c>
      <c r="I2" s="23" t="s">
        <v>140</v>
      </c>
    </row>
    <row r="3" spans="2:9" ht="15.75" thickBot="1" x14ac:dyDescent="0.3">
      <c r="B3" s="24" t="s">
        <v>9</v>
      </c>
      <c r="C3" s="25">
        <v>1</v>
      </c>
      <c r="D3" s="25">
        <v>0</v>
      </c>
      <c r="E3" s="25">
        <v>-1</v>
      </c>
      <c r="F3" s="25">
        <v>-1</v>
      </c>
      <c r="G3" s="25">
        <v>1</v>
      </c>
      <c r="H3" s="26">
        <v>-1</v>
      </c>
      <c r="I3" s="27"/>
    </row>
    <row r="4" spans="2:9" x14ac:dyDescent="0.25">
      <c r="B4" s="28" t="s">
        <v>134</v>
      </c>
      <c r="C4" s="29">
        <v>1</v>
      </c>
      <c r="D4" s="29"/>
      <c r="E4" s="29"/>
      <c r="F4" s="29"/>
      <c r="G4" s="29"/>
      <c r="H4" s="30"/>
      <c r="I4" s="27"/>
    </row>
    <row r="5" spans="2:9" x14ac:dyDescent="0.25">
      <c r="B5" s="28" t="s">
        <v>135</v>
      </c>
      <c r="C5" s="29"/>
      <c r="D5" s="29">
        <v>1</v>
      </c>
      <c r="E5" s="29"/>
      <c r="F5" s="29"/>
      <c r="G5" s="29"/>
      <c r="H5" s="30"/>
      <c r="I5" s="27"/>
    </row>
    <row r="6" spans="2:9" x14ac:dyDescent="0.25">
      <c r="B6" s="28" t="s">
        <v>141</v>
      </c>
      <c r="C6" s="29"/>
      <c r="D6" s="29"/>
      <c r="E6" s="29">
        <v>1</v>
      </c>
      <c r="F6" s="29"/>
      <c r="G6" s="29"/>
      <c r="H6" s="30"/>
      <c r="I6" s="27"/>
    </row>
    <row r="7" spans="2:9" x14ac:dyDescent="0.25">
      <c r="B7" s="28" t="s">
        <v>142</v>
      </c>
      <c r="C7" s="29"/>
      <c r="D7" s="29"/>
      <c r="E7" s="29"/>
      <c r="F7" s="29">
        <v>1</v>
      </c>
      <c r="G7" s="29"/>
      <c r="H7" s="30"/>
      <c r="I7" s="27"/>
    </row>
    <row r="8" spans="2:9" x14ac:dyDescent="0.25">
      <c r="B8" s="28" t="s">
        <v>138</v>
      </c>
      <c r="C8" s="29"/>
      <c r="D8" s="29"/>
      <c r="E8" s="29"/>
      <c r="F8" s="29"/>
      <c r="G8" s="29">
        <v>1</v>
      </c>
      <c r="H8" s="30"/>
      <c r="I8" s="27"/>
    </row>
    <row r="9" spans="2:9" ht="15.75" thickBot="1" x14ac:dyDescent="0.3">
      <c r="B9" s="31" t="s">
        <v>139</v>
      </c>
      <c r="C9" s="32"/>
      <c r="D9" s="32"/>
      <c r="E9" s="32"/>
      <c r="F9" s="32"/>
      <c r="G9" s="32"/>
      <c r="H9" s="33">
        <v>1</v>
      </c>
    </row>
    <row r="10" spans="2:9" x14ac:dyDescent="0.25">
      <c r="B10" s="28" t="s">
        <v>143</v>
      </c>
      <c r="C10" s="29">
        <v>-1</v>
      </c>
      <c r="D10" s="29">
        <v>0</v>
      </c>
      <c r="E10" s="29">
        <v>0</v>
      </c>
      <c r="F10" s="29">
        <v>0</v>
      </c>
      <c r="G10" s="29">
        <v>0</v>
      </c>
      <c r="H10" s="29">
        <v>0</v>
      </c>
      <c r="I10" s="34">
        <v>-14.163232949999999</v>
      </c>
    </row>
    <row r="11" spans="2:9" ht="15.75" thickBot="1" x14ac:dyDescent="0.3">
      <c r="B11" s="28" t="s">
        <v>144</v>
      </c>
      <c r="C11" s="29">
        <v>1</v>
      </c>
      <c r="D11" s="29">
        <v>1</v>
      </c>
      <c r="E11" s="29">
        <v>0</v>
      </c>
      <c r="F11" s="29">
        <v>0</v>
      </c>
      <c r="G11" s="29">
        <v>0</v>
      </c>
      <c r="H11" s="29">
        <v>0</v>
      </c>
      <c r="I11" s="35">
        <v>9.4016472899999997</v>
      </c>
    </row>
    <row r="12" spans="2:9" x14ac:dyDescent="0.25">
      <c r="B12" s="36" t="s">
        <v>145</v>
      </c>
      <c r="C12" s="39"/>
      <c r="D12" s="39">
        <v>1E-3</v>
      </c>
      <c r="E12" s="39">
        <v>1E-3</v>
      </c>
      <c r="F12" s="39">
        <v>1E-3</v>
      </c>
      <c r="G12" s="39">
        <v>1E-3</v>
      </c>
      <c r="H12" s="37">
        <v>1E-3</v>
      </c>
      <c r="I12" s="27"/>
    </row>
    <row r="13" spans="2:9" ht="15.75" thickBot="1" x14ac:dyDescent="0.3">
      <c r="B13" s="31" t="s">
        <v>146</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20"/>
  <sheetViews>
    <sheetView showGridLines="0" zoomScaleNormal="100" workbookViewId="0"/>
  </sheetViews>
  <sheetFormatPr defaultColWidth="9.140625" defaultRowHeight="15" x14ac:dyDescent="0.25"/>
  <cols>
    <col min="1" max="1" width="15" style="67" customWidth="1"/>
    <col min="2" max="2" width="11.42578125" style="67" customWidth="1"/>
    <col min="3" max="3" width="65.5703125" style="67" customWidth="1"/>
    <col min="4" max="4" width="12.28515625" style="67" customWidth="1"/>
    <col min="5" max="5" width="15.85546875" style="67" customWidth="1"/>
    <col min="6" max="6" width="19.85546875" style="67" bestFit="1" customWidth="1"/>
    <col min="7" max="7" width="13.28515625" style="67" customWidth="1"/>
    <col min="8" max="9" width="13.140625" style="67" customWidth="1"/>
    <col min="10" max="11" width="14.42578125" style="67" customWidth="1"/>
    <col min="12" max="12" width="15.140625" style="67" bestFit="1" customWidth="1"/>
    <col min="13" max="13" width="9.85546875" style="67" bestFit="1" customWidth="1"/>
    <col min="14" max="14" width="12.140625" style="67" customWidth="1"/>
    <col min="15" max="15" width="12" style="67" bestFit="1" customWidth="1"/>
    <col min="16" max="16" width="21.5703125" style="67" customWidth="1"/>
    <col min="17" max="17" width="8.85546875" style="67" bestFit="1" customWidth="1"/>
    <col min="18" max="18" width="21" style="67" customWidth="1"/>
    <col min="19" max="19" width="17.28515625" style="67" customWidth="1"/>
    <col min="20" max="16384" width="9.140625" style="67"/>
  </cols>
  <sheetData>
    <row r="1" spans="1:19" s="320" customFormat="1" ht="48" customHeight="1" thickBot="1" x14ac:dyDescent="0.3">
      <c r="A1" s="322"/>
      <c r="B1" s="323"/>
    </row>
    <row r="2" spans="1:19" ht="19.5" customHeight="1" thickBot="1" x14ac:dyDescent="0.3">
      <c r="A2" s="4"/>
      <c r="B2" s="4"/>
      <c r="C2" s="324" t="s">
        <v>7</v>
      </c>
      <c r="D2" s="4"/>
      <c r="E2" s="4"/>
      <c r="F2" s="4"/>
      <c r="G2" s="4"/>
      <c r="H2" s="4"/>
      <c r="I2" s="4"/>
      <c r="J2" s="4"/>
      <c r="K2" s="4"/>
      <c r="L2" s="4"/>
    </row>
    <row r="3" spans="1:19" s="4" customFormat="1" ht="15.75" thickBot="1" x14ac:dyDescent="0.3">
      <c r="A3" s="325"/>
      <c r="B3" s="326" t="s">
        <v>0</v>
      </c>
      <c r="C3" s="327" t="s">
        <v>1</v>
      </c>
      <c r="D3" s="327" t="s">
        <v>12</v>
      </c>
      <c r="E3" s="328" t="s">
        <v>1278</v>
      </c>
      <c r="F3" s="328" t="s">
        <v>13</v>
      </c>
      <c r="G3" s="328" t="s">
        <v>1246</v>
      </c>
      <c r="H3" s="328" t="s">
        <v>1271</v>
      </c>
      <c r="I3" s="328" t="s">
        <v>1303</v>
      </c>
      <c r="J3" s="321" t="s">
        <v>534</v>
      </c>
      <c r="K3" s="321" t="s">
        <v>535</v>
      </c>
      <c r="L3" s="327" t="s">
        <v>2</v>
      </c>
      <c r="M3" s="327" t="s">
        <v>406</v>
      </c>
      <c r="N3" s="327" t="s">
        <v>14</v>
      </c>
      <c r="O3" s="327" t="s">
        <v>961</v>
      </c>
      <c r="P3" s="327" t="s">
        <v>3</v>
      </c>
      <c r="Q3" s="389" t="s">
        <v>1862</v>
      </c>
      <c r="R3" s="329" t="s">
        <v>115</v>
      </c>
      <c r="S3" s="330" t="s">
        <v>6</v>
      </c>
    </row>
    <row r="4" spans="1:19" ht="18" x14ac:dyDescent="0.25">
      <c r="B4" s="331" t="s">
        <v>1307</v>
      </c>
      <c r="C4" s="301" t="s">
        <v>380</v>
      </c>
      <c r="D4" s="332" t="s">
        <v>1268</v>
      </c>
      <c r="E4" s="332">
        <v>2</v>
      </c>
      <c r="F4" s="332">
        <v>2</v>
      </c>
      <c r="G4" s="332">
        <v>2</v>
      </c>
      <c r="H4" s="332">
        <v>2</v>
      </c>
      <c r="I4" s="332" t="s">
        <v>1268</v>
      </c>
      <c r="J4" s="138" t="s">
        <v>1301</v>
      </c>
      <c r="K4" s="138" t="s">
        <v>1302</v>
      </c>
      <c r="L4" s="333" t="s">
        <v>962</v>
      </c>
      <c r="M4" s="333">
        <v>1</v>
      </c>
      <c r="N4" s="301" t="s">
        <v>381</v>
      </c>
      <c r="O4" s="301" t="s">
        <v>382</v>
      </c>
      <c r="P4" s="332" t="s">
        <v>384</v>
      </c>
      <c r="Q4" s="334" t="s">
        <v>1863</v>
      </c>
      <c r="R4" s="334"/>
      <c r="S4" s="335"/>
    </row>
    <row r="5" spans="1:19" ht="18" x14ac:dyDescent="0.25">
      <c r="B5" s="336" t="s">
        <v>490</v>
      </c>
      <c r="C5" s="196" t="s">
        <v>383</v>
      </c>
      <c r="D5" s="303">
        <v>100</v>
      </c>
      <c r="E5" s="303">
        <v>5</v>
      </c>
      <c r="F5" s="303">
        <v>5</v>
      </c>
      <c r="G5" s="303">
        <v>5</v>
      </c>
      <c r="H5" s="303">
        <v>5</v>
      </c>
      <c r="I5" s="332" t="s">
        <v>1268</v>
      </c>
      <c r="J5" s="115" t="s">
        <v>1301</v>
      </c>
      <c r="K5" s="115" t="s">
        <v>1302</v>
      </c>
      <c r="L5" s="196" t="s">
        <v>963</v>
      </c>
      <c r="M5" s="196">
        <v>1</v>
      </c>
      <c r="N5" s="196" t="s">
        <v>381</v>
      </c>
      <c r="O5" s="196" t="s">
        <v>382</v>
      </c>
      <c r="P5" s="303" t="s">
        <v>384</v>
      </c>
      <c r="Q5" s="337" t="s">
        <v>147</v>
      </c>
      <c r="R5" s="337"/>
      <c r="S5" s="338"/>
    </row>
    <row r="6" spans="1:19" ht="18" x14ac:dyDescent="0.25">
      <c r="B6" s="336" t="s">
        <v>964</v>
      </c>
      <c r="C6" s="196" t="s">
        <v>485</v>
      </c>
      <c r="D6" s="303">
        <v>23</v>
      </c>
      <c r="E6" s="303">
        <v>3</v>
      </c>
      <c r="F6" s="303">
        <v>3</v>
      </c>
      <c r="G6" s="303">
        <v>3</v>
      </c>
      <c r="H6" s="303">
        <v>3</v>
      </c>
      <c r="I6" s="332" t="s">
        <v>1268</v>
      </c>
      <c r="J6" s="115" t="s">
        <v>1301</v>
      </c>
      <c r="K6" s="115" t="s">
        <v>1302</v>
      </c>
      <c r="L6" s="196" t="s">
        <v>965</v>
      </c>
      <c r="M6" s="196">
        <v>2</v>
      </c>
      <c r="N6" s="196" t="s">
        <v>381</v>
      </c>
      <c r="O6" s="196" t="s">
        <v>382</v>
      </c>
      <c r="P6" s="303" t="s">
        <v>384</v>
      </c>
      <c r="Q6" s="337" t="s">
        <v>377</v>
      </c>
      <c r="R6" s="337"/>
      <c r="S6" s="338"/>
    </row>
    <row r="7" spans="1:19" ht="18" x14ac:dyDescent="0.25">
      <c r="B7" s="336" t="s">
        <v>1308</v>
      </c>
      <c r="C7" s="196" t="s">
        <v>483</v>
      </c>
      <c r="D7" s="303" t="s">
        <v>1268</v>
      </c>
      <c r="E7" s="303">
        <v>15</v>
      </c>
      <c r="F7" s="303">
        <v>15</v>
      </c>
      <c r="G7" s="303">
        <v>15</v>
      </c>
      <c r="H7" s="303">
        <v>15</v>
      </c>
      <c r="I7" s="332" t="s">
        <v>1268</v>
      </c>
      <c r="J7" s="115" t="s">
        <v>1301</v>
      </c>
      <c r="K7" s="115" t="s">
        <v>1302</v>
      </c>
      <c r="L7" s="196" t="s">
        <v>965</v>
      </c>
      <c r="M7" s="196">
        <v>2</v>
      </c>
      <c r="N7" s="196" t="s">
        <v>381</v>
      </c>
      <c r="O7" s="196" t="s">
        <v>382</v>
      </c>
      <c r="P7" s="303" t="s">
        <v>384</v>
      </c>
      <c r="Q7" s="337" t="s">
        <v>377</v>
      </c>
      <c r="R7" s="337"/>
      <c r="S7" s="338"/>
    </row>
    <row r="8" spans="1:19" ht="18" x14ac:dyDescent="0.25">
      <c r="B8" s="336" t="s">
        <v>966</v>
      </c>
      <c r="C8" s="196" t="s">
        <v>385</v>
      </c>
      <c r="D8" s="303">
        <v>16</v>
      </c>
      <c r="E8" s="303">
        <v>16</v>
      </c>
      <c r="F8" s="303">
        <v>16</v>
      </c>
      <c r="G8" s="303">
        <v>16</v>
      </c>
      <c r="H8" s="303">
        <v>16</v>
      </c>
      <c r="I8" s="332" t="s">
        <v>1268</v>
      </c>
      <c r="J8" s="115" t="s">
        <v>1301</v>
      </c>
      <c r="K8" s="115" t="s">
        <v>1302</v>
      </c>
      <c r="L8" s="196" t="s">
        <v>965</v>
      </c>
      <c r="M8" s="196">
        <v>1</v>
      </c>
      <c r="N8" s="196" t="s">
        <v>381</v>
      </c>
      <c r="O8" s="196" t="s">
        <v>382</v>
      </c>
      <c r="P8" s="303" t="s">
        <v>384</v>
      </c>
      <c r="Q8" s="337" t="s">
        <v>377</v>
      </c>
      <c r="R8" s="337"/>
      <c r="S8" s="338"/>
    </row>
    <row r="9" spans="1:19" ht="18" x14ac:dyDescent="0.25">
      <c r="B9" s="336" t="s">
        <v>967</v>
      </c>
      <c r="C9" s="196" t="s">
        <v>386</v>
      </c>
      <c r="D9" s="303">
        <v>2.2000000000000002</v>
      </c>
      <c r="E9" s="303">
        <v>1</v>
      </c>
      <c r="F9" s="303">
        <v>1</v>
      </c>
      <c r="G9" s="303">
        <v>1</v>
      </c>
      <c r="H9" s="303">
        <v>1</v>
      </c>
      <c r="I9" s="332" t="s">
        <v>1268</v>
      </c>
      <c r="J9" s="115" t="s">
        <v>1301</v>
      </c>
      <c r="K9" s="115" t="s">
        <v>1302</v>
      </c>
      <c r="L9" s="196" t="s">
        <v>968</v>
      </c>
      <c r="M9" s="196">
        <v>2</v>
      </c>
      <c r="N9" s="196" t="s">
        <v>381</v>
      </c>
      <c r="O9" s="196" t="s">
        <v>382</v>
      </c>
      <c r="P9" s="303" t="s">
        <v>384</v>
      </c>
      <c r="Q9" s="337" t="s">
        <v>378</v>
      </c>
      <c r="R9" s="337"/>
      <c r="S9" s="338"/>
    </row>
    <row r="10" spans="1:19" ht="18" x14ac:dyDescent="0.25">
      <c r="B10" s="336" t="s">
        <v>1309</v>
      </c>
      <c r="C10" s="196" t="s">
        <v>484</v>
      </c>
      <c r="D10" s="303">
        <v>7.0000000000000001E-3</v>
      </c>
      <c r="E10" s="303">
        <v>4.7999999999999996E-3</v>
      </c>
      <c r="F10" s="303">
        <v>4.7999999999999996E-3</v>
      </c>
      <c r="G10" s="303">
        <v>4.7999999999999996E-3</v>
      </c>
      <c r="H10" s="303">
        <v>4.7999999999999996E-3</v>
      </c>
      <c r="I10" s="340" t="s">
        <v>1268</v>
      </c>
      <c r="J10" s="115" t="s">
        <v>1301</v>
      </c>
      <c r="K10" s="115" t="s">
        <v>1302</v>
      </c>
      <c r="L10" s="196" t="s">
        <v>1266</v>
      </c>
      <c r="M10" s="196">
        <v>1</v>
      </c>
      <c r="N10" s="196" t="s">
        <v>381</v>
      </c>
      <c r="O10" s="196" t="s">
        <v>382</v>
      </c>
      <c r="P10" s="303" t="s">
        <v>384</v>
      </c>
      <c r="Q10" s="337" t="s">
        <v>1865</v>
      </c>
      <c r="R10" s="337"/>
      <c r="S10" s="338"/>
    </row>
    <row r="11" spans="1:19" ht="18" x14ac:dyDescent="0.25">
      <c r="B11" s="336" t="s">
        <v>969</v>
      </c>
      <c r="C11" s="196" t="s">
        <v>387</v>
      </c>
      <c r="D11" s="303">
        <v>50</v>
      </c>
      <c r="E11" s="303">
        <v>25</v>
      </c>
      <c r="F11" s="303">
        <v>25</v>
      </c>
      <c r="G11" s="303">
        <v>25</v>
      </c>
      <c r="H11" s="303">
        <v>25</v>
      </c>
      <c r="I11" s="332" t="s">
        <v>1268</v>
      </c>
      <c r="J11" s="115" t="s">
        <v>1301</v>
      </c>
      <c r="K11" s="115" t="s">
        <v>1302</v>
      </c>
      <c r="L11" s="196" t="s">
        <v>963</v>
      </c>
      <c r="M11" s="196">
        <v>1</v>
      </c>
      <c r="N11" s="196" t="s">
        <v>381</v>
      </c>
      <c r="O11" s="196" t="s">
        <v>382</v>
      </c>
      <c r="P11" s="303" t="s">
        <v>384</v>
      </c>
      <c r="Q11" s="337" t="s">
        <v>147</v>
      </c>
      <c r="R11" s="337"/>
      <c r="S11" s="338"/>
    </row>
    <row r="12" spans="1:19" ht="18" x14ac:dyDescent="0.25">
      <c r="B12" s="336" t="s">
        <v>970</v>
      </c>
      <c r="C12" s="196" t="s">
        <v>388</v>
      </c>
      <c r="D12" s="303">
        <v>50</v>
      </c>
      <c r="E12" s="303">
        <v>700</v>
      </c>
      <c r="F12" s="303">
        <v>700</v>
      </c>
      <c r="G12" s="303">
        <v>700</v>
      </c>
      <c r="H12" s="303">
        <v>700</v>
      </c>
      <c r="I12" s="332" t="s">
        <v>1268</v>
      </c>
      <c r="J12" s="115" t="s">
        <v>1301</v>
      </c>
      <c r="K12" s="115" t="s">
        <v>1302</v>
      </c>
      <c r="L12" s="196" t="s">
        <v>963</v>
      </c>
      <c r="M12" s="196">
        <v>1</v>
      </c>
      <c r="N12" s="196" t="s">
        <v>381</v>
      </c>
      <c r="O12" s="196" t="s">
        <v>389</v>
      </c>
      <c r="P12" s="303" t="s">
        <v>384</v>
      </c>
      <c r="Q12" s="337" t="s">
        <v>147</v>
      </c>
      <c r="R12" s="337"/>
      <c r="S12" s="338"/>
    </row>
    <row r="13" spans="1:19" ht="18" x14ac:dyDescent="0.25">
      <c r="B13" s="336" t="s">
        <v>971</v>
      </c>
      <c r="C13" s="196" t="s">
        <v>390</v>
      </c>
      <c r="D13" s="303">
        <v>190</v>
      </c>
      <c r="E13" s="303">
        <v>50</v>
      </c>
      <c r="F13" s="303">
        <v>50</v>
      </c>
      <c r="G13" s="303">
        <v>50</v>
      </c>
      <c r="H13" s="303">
        <v>50</v>
      </c>
      <c r="I13" s="332" t="s">
        <v>1268</v>
      </c>
      <c r="J13" s="115" t="s">
        <v>1301</v>
      </c>
      <c r="K13" s="115" t="s">
        <v>1302</v>
      </c>
      <c r="L13" s="196" t="s">
        <v>963</v>
      </c>
      <c r="M13" s="196">
        <v>1</v>
      </c>
      <c r="N13" s="196" t="s">
        <v>381</v>
      </c>
      <c r="O13" s="196" t="s">
        <v>389</v>
      </c>
      <c r="P13" s="303" t="s">
        <v>384</v>
      </c>
      <c r="Q13" s="337" t="s">
        <v>147</v>
      </c>
      <c r="R13" s="337"/>
      <c r="S13" s="338"/>
    </row>
    <row r="14" spans="1:19" ht="18" x14ac:dyDescent="0.25">
      <c r="B14" s="336" t="s">
        <v>972</v>
      </c>
      <c r="C14" s="196" t="s">
        <v>391</v>
      </c>
      <c r="D14" s="303">
        <v>21</v>
      </c>
      <c r="E14" s="303">
        <v>500</v>
      </c>
      <c r="F14" s="303">
        <v>500</v>
      </c>
      <c r="G14" s="303">
        <v>500</v>
      </c>
      <c r="H14" s="303">
        <v>500</v>
      </c>
      <c r="I14" s="332" t="s">
        <v>1268</v>
      </c>
      <c r="J14" s="115" t="s">
        <v>1301</v>
      </c>
      <c r="K14" s="115" t="s">
        <v>1302</v>
      </c>
      <c r="L14" s="196" t="s">
        <v>963</v>
      </c>
      <c r="M14" s="196">
        <v>1</v>
      </c>
      <c r="N14" s="196" t="s">
        <v>381</v>
      </c>
      <c r="O14" s="196" t="s">
        <v>389</v>
      </c>
      <c r="P14" s="303" t="s">
        <v>384</v>
      </c>
      <c r="Q14" s="337" t="s">
        <v>1866</v>
      </c>
      <c r="R14" s="337"/>
      <c r="S14" s="338"/>
    </row>
    <row r="15" spans="1:19" ht="18" x14ac:dyDescent="0.25">
      <c r="B15" s="336" t="s">
        <v>973</v>
      </c>
      <c r="C15" s="196" t="s">
        <v>392</v>
      </c>
      <c r="D15" s="303">
        <v>5</v>
      </c>
      <c r="E15" s="303">
        <v>50</v>
      </c>
      <c r="F15" s="303">
        <v>50</v>
      </c>
      <c r="G15" s="303">
        <v>50</v>
      </c>
      <c r="H15" s="303">
        <v>50</v>
      </c>
      <c r="I15" s="332" t="s">
        <v>1268</v>
      </c>
      <c r="J15" s="115" t="s">
        <v>1301</v>
      </c>
      <c r="K15" s="115" t="s">
        <v>1302</v>
      </c>
      <c r="L15" s="196" t="s">
        <v>963</v>
      </c>
      <c r="M15" s="196">
        <v>1</v>
      </c>
      <c r="N15" s="196" t="s">
        <v>381</v>
      </c>
      <c r="O15" s="196" t="s">
        <v>389</v>
      </c>
      <c r="P15" s="303" t="s">
        <v>384</v>
      </c>
      <c r="Q15" s="337" t="s">
        <v>147</v>
      </c>
      <c r="R15" s="337"/>
      <c r="S15" s="338"/>
    </row>
    <row r="16" spans="1:19" ht="18" x14ac:dyDescent="0.25">
      <c r="B16" s="336" t="s">
        <v>974</v>
      </c>
      <c r="C16" s="196" t="s">
        <v>393</v>
      </c>
      <c r="D16" s="303">
        <v>0.1</v>
      </c>
      <c r="E16" s="303">
        <v>300</v>
      </c>
      <c r="F16" s="303">
        <v>300</v>
      </c>
      <c r="G16" s="303">
        <v>300</v>
      </c>
      <c r="H16" s="303">
        <v>300</v>
      </c>
      <c r="I16" s="332" t="s">
        <v>1268</v>
      </c>
      <c r="J16" s="115" t="s">
        <v>1301</v>
      </c>
      <c r="K16" s="115" t="s">
        <v>1302</v>
      </c>
      <c r="L16" s="196" t="s">
        <v>963</v>
      </c>
      <c r="M16" s="196">
        <v>2</v>
      </c>
      <c r="N16" s="196" t="s">
        <v>381</v>
      </c>
      <c r="O16" s="196" t="s">
        <v>389</v>
      </c>
      <c r="P16" s="303" t="s">
        <v>384</v>
      </c>
      <c r="Q16" s="337" t="s">
        <v>1866</v>
      </c>
      <c r="R16" s="337"/>
      <c r="S16" s="338"/>
    </row>
    <row r="17" spans="2:19" ht="18" x14ac:dyDescent="0.25">
      <c r="B17" s="336" t="s">
        <v>975</v>
      </c>
      <c r="C17" s="196" t="s">
        <v>394</v>
      </c>
      <c r="D17" s="303">
        <v>0.01</v>
      </c>
      <c r="E17" s="303">
        <v>200</v>
      </c>
      <c r="F17" s="303">
        <v>200</v>
      </c>
      <c r="G17" s="303">
        <v>200</v>
      </c>
      <c r="H17" s="303">
        <v>200</v>
      </c>
      <c r="I17" s="332" t="s">
        <v>1268</v>
      </c>
      <c r="J17" s="115" t="s">
        <v>1301</v>
      </c>
      <c r="K17" s="115" t="s">
        <v>1302</v>
      </c>
      <c r="L17" s="196" t="s">
        <v>968</v>
      </c>
      <c r="M17" s="196">
        <v>2</v>
      </c>
      <c r="N17" s="196" t="s">
        <v>381</v>
      </c>
      <c r="O17" s="196" t="s">
        <v>389</v>
      </c>
      <c r="P17" s="303" t="s">
        <v>384</v>
      </c>
      <c r="Q17" s="337" t="s">
        <v>378</v>
      </c>
      <c r="R17" s="337"/>
      <c r="S17" s="338"/>
    </row>
    <row r="18" spans="2:19" ht="18" x14ac:dyDescent="0.25">
      <c r="B18" s="336" t="s">
        <v>976</v>
      </c>
      <c r="C18" s="196" t="s">
        <v>395</v>
      </c>
      <c r="D18" s="303">
        <v>0.01</v>
      </c>
      <c r="E18" s="303">
        <v>200</v>
      </c>
      <c r="F18" s="303">
        <v>200</v>
      </c>
      <c r="G18" s="303">
        <v>200</v>
      </c>
      <c r="H18" s="303">
        <v>200</v>
      </c>
      <c r="I18" s="332" t="s">
        <v>1268</v>
      </c>
      <c r="J18" s="115" t="s">
        <v>1301</v>
      </c>
      <c r="K18" s="115" t="s">
        <v>1302</v>
      </c>
      <c r="L18" s="196" t="s">
        <v>963</v>
      </c>
      <c r="M18" s="196">
        <v>2</v>
      </c>
      <c r="N18" s="196" t="s">
        <v>381</v>
      </c>
      <c r="O18" s="196" t="s">
        <v>389</v>
      </c>
      <c r="P18" s="303" t="s">
        <v>384</v>
      </c>
      <c r="Q18" s="337" t="s">
        <v>147</v>
      </c>
      <c r="R18" s="337"/>
      <c r="S18" s="338"/>
    </row>
    <row r="19" spans="2:19" ht="18" x14ac:dyDescent="0.25">
      <c r="B19" s="336" t="s">
        <v>977</v>
      </c>
      <c r="C19" s="196" t="s">
        <v>486</v>
      </c>
      <c r="D19" s="303">
        <v>0.1</v>
      </c>
      <c r="E19" s="303">
        <v>50</v>
      </c>
      <c r="F19" s="303">
        <v>50</v>
      </c>
      <c r="G19" s="303">
        <v>50</v>
      </c>
      <c r="H19" s="303">
        <v>50</v>
      </c>
      <c r="I19" s="332" t="s">
        <v>1268</v>
      </c>
      <c r="J19" s="115" t="s">
        <v>1301</v>
      </c>
      <c r="K19" s="115" t="s">
        <v>1302</v>
      </c>
      <c r="L19" s="196" t="s">
        <v>963</v>
      </c>
      <c r="M19" s="196">
        <v>2</v>
      </c>
      <c r="N19" s="196" t="s">
        <v>381</v>
      </c>
      <c r="O19" s="196" t="s">
        <v>389</v>
      </c>
      <c r="P19" s="303" t="s">
        <v>384</v>
      </c>
      <c r="Q19" s="337" t="s">
        <v>1866</v>
      </c>
      <c r="R19" s="337"/>
      <c r="S19" s="338"/>
    </row>
    <row r="20" spans="2:19" ht="18.75" thickBot="1" x14ac:dyDescent="0.3">
      <c r="B20" s="341" t="s">
        <v>978</v>
      </c>
      <c r="C20" s="178" t="s">
        <v>396</v>
      </c>
      <c r="D20" s="299">
        <v>212</v>
      </c>
      <c r="E20" s="299">
        <v>2000</v>
      </c>
      <c r="F20" s="299">
        <v>2000</v>
      </c>
      <c r="G20" s="299">
        <v>2000</v>
      </c>
      <c r="H20" s="299">
        <v>2000</v>
      </c>
      <c r="I20" s="299" t="s">
        <v>1268</v>
      </c>
      <c r="J20" s="123" t="s">
        <v>1301</v>
      </c>
      <c r="K20" s="123" t="s">
        <v>1302</v>
      </c>
      <c r="L20" s="178" t="s">
        <v>979</v>
      </c>
      <c r="M20" s="178">
        <v>1</v>
      </c>
      <c r="N20" s="178" t="s">
        <v>381</v>
      </c>
      <c r="O20" s="178" t="s">
        <v>389</v>
      </c>
      <c r="P20" s="299" t="s">
        <v>384</v>
      </c>
      <c r="Q20" s="339" t="s">
        <v>1864</v>
      </c>
      <c r="R20" s="339"/>
      <c r="S20" s="342"/>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6" customFormat="1" ht="57.75" customHeight="1" thickBot="1" x14ac:dyDescent="0.3"/>
    <row r="2" spans="2:7" ht="15.75" thickBot="1" x14ac:dyDescent="0.3">
      <c r="B2" s="4"/>
      <c r="C2" s="58" t="s">
        <v>114</v>
      </c>
      <c r="D2" s="59" t="s">
        <v>117</v>
      </c>
      <c r="E2" s="4"/>
      <c r="F2" s="4"/>
      <c r="G2" s="4"/>
    </row>
    <row r="3" spans="2:7" x14ac:dyDescent="0.25">
      <c r="B3" s="53" t="s">
        <v>0</v>
      </c>
      <c r="C3" s="54" t="s">
        <v>1</v>
      </c>
      <c r="D3" s="54" t="s">
        <v>4</v>
      </c>
      <c r="E3" s="55" t="s">
        <v>2</v>
      </c>
      <c r="F3" s="56" t="s">
        <v>115</v>
      </c>
      <c r="G3" s="57" t="s">
        <v>116</v>
      </c>
    </row>
    <row r="4" spans="2:7" x14ac:dyDescent="0.25">
      <c r="B4" s="5"/>
      <c r="C4" s="5"/>
      <c r="D4" s="5"/>
      <c r="E4" s="5"/>
      <c r="F4" s="5"/>
      <c r="G4" s="5"/>
    </row>
  </sheetData>
  <phoneticPr fontId="1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6" customFormat="1" ht="43.5" customHeight="1" thickBot="1" x14ac:dyDescent="0.3"/>
    <row r="2" spans="2:7" ht="15.75" thickBot="1" x14ac:dyDescent="0.3">
      <c r="B2" s="4"/>
      <c r="C2" s="2" t="s">
        <v>114</v>
      </c>
      <c r="D2" s="11"/>
      <c r="E2" s="4"/>
      <c r="F2" s="4"/>
      <c r="G2" s="4"/>
    </row>
    <row r="3" spans="2:7" x14ac:dyDescent="0.25">
      <c r="B3" s="14" t="s">
        <v>0</v>
      </c>
      <c r="C3" s="15" t="s">
        <v>1</v>
      </c>
      <c r="D3" s="15" t="s">
        <v>4</v>
      </c>
      <c r="E3" s="16" t="s">
        <v>2</v>
      </c>
      <c r="F3" s="17" t="s">
        <v>115</v>
      </c>
      <c r="G3" s="18" t="s">
        <v>116</v>
      </c>
    </row>
    <row r="4" spans="2:7" x14ac:dyDescent="0.25">
      <c r="B4" s="5"/>
      <c r="C4" s="5"/>
      <c r="D4" s="5"/>
      <c r="E4" s="5"/>
      <c r="F4" s="5"/>
      <c r="G4" s="5"/>
    </row>
  </sheetData>
  <phoneticPr fontId="1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M13" sqref="M13"/>
    </sheetView>
  </sheetViews>
  <sheetFormatPr defaultColWidth="9.140625" defaultRowHeight="15" x14ac:dyDescent="0.25"/>
  <cols>
    <col min="2" max="2" width="24.28515625" customWidth="1"/>
    <col min="3" max="4" width="22.140625" customWidth="1"/>
  </cols>
  <sheetData>
    <row r="1" spans="2:6" s="46" customFormat="1" ht="58.5" customHeight="1" thickBot="1" x14ac:dyDescent="0.3"/>
    <row r="2" spans="2:6" ht="15.75" thickBot="1" x14ac:dyDescent="0.3">
      <c r="C2" s="60" t="s">
        <v>132</v>
      </c>
      <c r="D2" s="1"/>
    </row>
    <row r="3" spans="2:6" ht="20.25" customHeight="1" x14ac:dyDescent="0.25">
      <c r="B3" s="52" t="s">
        <v>0</v>
      </c>
      <c r="C3" s="52" t="s">
        <v>1</v>
      </c>
      <c r="D3" s="61" t="s">
        <v>4</v>
      </c>
      <c r="E3" s="61" t="s">
        <v>115</v>
      </c>
      <c r="F3" s="61" t="s">
        <v>2</v>
      </c>
    </row>
  </sheetData>
  <phoneticPr fontId="12"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N52"/>
  <sheetViews>
    <sheetView showGridLines="0" zoomScaleNormal="100" workbookViewId="0"/>
  </sheetViews>
  <sheetFormatPr defaultColWidth="9.140625" defaultRowHeight="15" x14ac:dyDescent="0.25"/>
  <cols>
    <col min="1" max="1" width="3.7109375" style="108" customWidth="1"/>
    <col min="2" max="2" width="18.85546875" style="108" bestFit="1" customWidth="1"/>
    <col min="3" max="3" width="67.85546875" style="108" bestFit="1" customWidth="1"/>
    <col min="4" max="4" width="105.7109375" style="405" customWidth="1"/>
    <col min="5" max="5" width="9.140625" style="406" customWidth="1"/>
    <col min="6" max="6" width="15.140625" style="3" bestFit="1" customWidth="1"/>
    <col min="7" max="7" width="12.28515625" style="3" customWidth="1"/>
    <col min="8" max="8" width="26" style="108" bestFit="1" customWidth="1"/>
    <col min="9" max="9" width="20.85546875" style="108" customWidth="1"/>
    <col min="10" max="16384" width="9.140625" style="108"/>
  </cols>
  <sheetData>
    <row r="1" spans="2:14" s="399" customFormat="1" ht="62.25" customHeight="1" thickBot="1" x14ac:dyDescent="0.3">
      <c r="D1" s="400"/>
      <c r="E1" s="401"/>
      <c r="F1" s="402"/>
      <c r="G1" s="402"/>
    </row>
    <row r="2" spans="2:14" ht="19.5" customHeight="1" thickBot="1" x14ac:dyDescent="0.3">
      <c r="C2" s="358" t="s">
        <v>1378</v>
      </c>
      <c r="D2" s="390" t="s">
        <v>475</v>
      </c>
      <c r="E2" s="69"/>
      <c r="H2" s="3"/>
    </row>
    <row r="3" spans="2:14" ht="15.75" thickBot="1" x14ac:dyDescent="0.3">
      <c r="B3" s="348" t="s">
        <v>0</v>
      </c>
      <c r="C3" s="349" t="s">
        <v>1</v>
      </c>
      <c r="D3" s="391" t="s">
        <v>4</v>
      </c>
      <c r="E3" s="350" t="s">
        <v>151</v>
      </c>
      <c r="F3" s="351" t="s">
        <v>2</v>
      </c>
      <c r="G3" s="351" t="s">
        <v>406</v>
      </c>
      <c r="H3" s="351" t="s">
        <v>115</v>
      </c>
      <c r="I3" s="352" t="s">
        <v>116</v>
      </c>
    </row>
    <row r="4" spans="2:14" ht="18" x14ac:dyDescent="0.25">
      <c r="B4" s="353" t="s">
        <v>1293</v>
      </c>
      <c r="C4" s="354" t="s">
        <v>489</v>
      </c>
      <c r="D4" s="392" t="s">
        <v>490</v>
      </c>
      <c r="E4" s="288">
        <f>S_S</f>
        <v>5</v>
      </c>
      <c r="F4" s="288" t="s">
        <v>491</v>
      </c>
      <c r="G4" s="288">
        <v>1</v>
      </c>
      <c r="H4" s="285"/>
      <c r="I4" s="355"/>
      <c r="J4" s="162"/>
    </row>
    <row r="5" spans="2:14" ht="18" x14ac:dyDescent="0.25">
      <c r="B5" s="193" t="s">
        <v>1294</v>
      </c>
      <c r="C5" s="161" t="s">
        <v>492</v>
      </c>
      <c r="D5" s="403" t="s">
        <v>1165</v>
      </c>
      <c r="E5" s="95">
        <f>X_S+X_H+X_STO+X_PAO+X_PHA+X_A</f>
        <v>1150</v>
      </c>
      <c r="F5" s="95" t="s">
        <v>491</v>
      </c>
      <c r="G5" s="95">
        <v>1</v>
      </c>
      <c r="H5" s="111"/>
      <c r="I5" s="164"/>
      <c r="J5" s="162"/>
    </row>
    <row r="6" spans="2:14" ht="18" x14ac:dyDescent="0.25">
      <c r="B6" s="193" t="s">
        <v>1295</v>
      </c>
      <c r="C6" s="196" t="s">
        <v>1380</v>
      </c>
      <c r="D6" s="393" t="s">
        <v>1296</v>
      </c>
      <c r="E6" s="95">
        <f>S_BOD_ult+X_BOD_ult</f>
        <v>1155</v>
      </c>
      <c r="F6" s="95" t="s">
        <v>491</v>
      </c>
      <c r="G6" s="95">
        <v>1</v>
      </c>
      <c r="H6" s="111"/>
      <c r="I6" s="164"/>
      <c r="J6" s="162"/>
    </row>
    <row r="7" spans="2:14" ht="18" x14ac:dyDescent="0.25">
      <c r="B7" s="193" t="s">
        <v>493</v>
      </c>
      <c r="C7" s="161" t="s">
        <v>1299</v>
      </c>
      <c r="D7" s="393" t="s">
        <v>1297</v>
      </c>
      <c r="E7" s="95">
        <f>S_BOD_ult*f_BOD5_BODult</f>
        <v>3.35</v>
      </c>
      <c r="F7" s="95" t="s">
        <v>491</v>
      </c>
      <c r="G7" s="95">
        <v>1</v>
      </c>
      <c r="H7" s="111"/>
      <c r="I7" s="164"/>
      <c r="J7" s="162"/>
    </row>
    <row r="8" spans="2:14" ht="18" x14ac:dyDescent="0.25">
      <c r="B8" s="193" t="s">
        <v>494</v>
      </c>
      <c r="C8" s="161" t="s">
        <v>1300</v>
      </c>
      <c r="D8" s="393" t="s">
        <v>1298</v>
      </c>
      <c r="E8" s="95">
        <f>X_BOD_ult*f_BOD5_BODult</f>
        <v>770.5</v>
      </c>
      <c r="F8" s="95" t="s">
        <v>491</v>
      </c>
      <c r="G8" s="95">
        <v>1</v>
      </c>
      <c r="H8" s="111"/>
      <c r="I8" s="164"/>
      <c r="J8" s="162"/>
    </row>
    <row r="9" spans="2:14" ht="18" x14ac:dyDescent="0.25">
      <c r="B9" s="193" t="s">
        <v>495</v>
      </c>
      <c r="C9" s="196" t="s">
        <v>1379</v>
      </c>
      <c r="D9" s="393" t="s">
        <v>1166</v>
      </c>
      <c r="E9" s="95">
        <f>S_BOD_5+X_BOD_5</f>
        <v>773.85</v>
      </c>
      <c r="F9" s="95" t="s">
        <v>491</v>
      </c>
      <c r="G9" s="95">
        <v>1</v>
      </c>
      <c r="H9" s="111"/>
      <c r="I9" s="164"/>
      <c r="J9" s="162"/>
    </row>
    <row r="10" spans="2:14" ht="18" x14ac:dyDescent="0.25">
      <c r="B10" s="193" t="s">
        <v>496</v>
      </c>
      <c r="C10" s="161" t="s">
        <v>497</v>
      </c>
      <c r="D10" s="393" t="s">
        <v>1167</v>
      </c>
      <c r="E10" s="95">
        <f>S_S+S_I</f>
        <v>30</v>
      </c>
      <c r="F10" s="95" t="s">
        <v>491</v>
      </c>
      <c r="G10" s="95">
        <v>1</v>
      </c>
      <c r="H10" s="111"/>
      <c r="I10" s="164"/>
      <c r="J10" s="162"/>
    </row>
    <row r="11" spans="2:14" ht="18" x14ac:dyDescent="0.25">
      <c r="B11" s="356" t="s">
        <v>399</v>
      </c>
      <c r="C11" s="111" t="s">
        <v>400</v>
      </c>
      <c r="D11" s="403" t="s">
        <v>401</v>
      </c>
      <c r="E11" s="87">
        <f>X_I+X_S+X_H+X_STO+X_PAO+X_PHA+X_A</f>
        <v>1850</v>
      </c>
      <c r="F11" s="95" t="s">
        <v>491</v>
      </c>
      <c r="G11" s="95">
        <v>1</v>
      </c>
      <c r="H11" s="111"/>
      <c r="I11" s="404"/>
      <c r="J11" s="133"/>
      <c r="K11" s="133"/>
      <c r="L11" s="133"/>
      <c r="M11" s="133"/>
      <c r="N11" s="133"/>
    </row>
    <row r="12" spans="2:14" ht="18" x14ac:dyDescent="0.25">
      <c r="B12" s="356" t="s">
        <v>498</v>
      </c>
      <c r="C12" s="111" t="s">
        <v>499</v>
      </c>
      <c r="D12" s="403" t="s">
        <v>1168</v>
      </c>
      <c r="E12" s="95">
        <f>S_COD+X_COD</f>
        <v>1880</v>
      </c>
      <c r="F12" s="95" t="s">
        <v>491</v>
      </c>
      <c r="G12" s="95">
        <v>1</v>
      </c>
      <c r="H12" s="111"/>
      <c r="I12" s="404"/>
    </row>
    <row r="13" spans="2:14" ht="18" x14ac:dyDescent="0.25">
      <c r="B13" s="356" t="s">
        <v>500</v>
      </c>
      <c r="C13" s="111" t="s">
        <v>501</v>
      </c>
      <c r="D13" s="393" t="s">
        <v>508</v>
      </c>
      <c r="E13" s="95">
        <f>S_NH4+i_N_SS*S_S+i_N_SI*S_I+i_N_XI*X_I+i_N_XS*X_S+i_N_BM*(X_H+X_A+X_PAO)</f>
        <v>85.65</v>
      </c>
      <c r="F13" s="95" t="s">
        <v>502</v>
      </c>
      <c r="G13" s="95">
        <v>2</v>
      </c>
      <c r="H13" s="111"/>
      <c r="I13" s="404"/>
    </row>
    <row r="14" spans="2:14" ht="18" x14ac:dyDescent="0.25">
      <c r="B14" s="356" t="s">
        <v>503</v>
      </c>
      <c r="C14" s="111" t="s">
        <v>504</v>
      </c>
      <c r="D14" s="403" t="s">
        <v>1322</v>
      </c>
      <c r="E14" s="95">
        <f>T_KN+S_NO</f>
        <v>100.65</v>
      </c>
      <c r="F14" s="95" t="s">
        <v>502</v>
      </c>
      <c r="G14" s="95">
        <v>2</v>
      </c>
      <c r="H14" s="111"/>
      <c r="I14" s="404"/>
    </row>
    <row r="15" spans="2:14" ht="18" x14ac:dyDescent="0.25">
      <c r="B15" s="356" t="s">
        <v>402</v>
      </c>
      <c r="C15" s="111" t="s">
        <v>403</v>
      </c>
      <c r="D15" s="403" t="s">
        <v>404</v>
      </c>
      <c r="E15" s="87">
        <f>X_COD/i_CV</f>
        <v>1250</v>
      </c>
      <c r="F15" s="95" t="s">
        <v>505</v>
      </c>
      <c r="G15" s="95">
        <v>1</v>
      </c>
      <c r="H15" s="111"/>
      <c r="I15" s="404"/>
      <c r="J15" s="133"/>
      <c r="K15" s="133"/>
      <c r="L15" s="133"/>
      <c r="M15" s="133"/>
      <c r="N15" s="133"/>
    </row>
    <row r="16" spans="2:14" ht="18" x14ac:dyDescent="0.25">
      <c r="B16" s="357" t="s">
        <v>1280</v>
      </c>
      <c r="C16" s="196" t="s">
        <v>1281</v>
      </c>
      <c r="D16" s="394" t="s">
        <v>1282</v>
      </c>
      <c r="E16" s="87">
        <f>X_TSS-X_VSS</f>
        <v>750</v>
      </c>
      <c r="F16" s="95" t="s">
        <v>505</v>
      </c>
      <c r="G16" s="95">
        <v>1</v>
      </c>
      <c r="H16" s="111"/>
      <c r="I16" s="404"/>
    </row>
    <row r="17" spans="2:9" s="168" customFormat="1" ht="18.75" thickBot="1" x14ac:dyDescent="0.3">
      <c r="B17" s="298" t="s">
        <v>1283</v>
      </c>
      <c r="C17" s="178" t="s">
        <v>1284</v>
      </c>
      <c r="D17" s="299" t="s">
        <v>1323</v>
      </c>
      <c r="E17" s="300">
        <f>X_TSS+S_I/i_CV_SI+S_S/i_CV_SS+S_NH4*M_MNH4/A_MN+S_NO*M_MNO3/A_MN+S_PO4*M_MPO4/A_MP</f>
        <v>2105.0200377992128</v>
      </c>
      <c r="F17" s="179" t="s">
        <v>979</v>
      </c>
      <c r="G17" s="179">
        <v>1</v>
      </c>
      <c r="H17" s="179"/>
      <c r="I17" s="206"/>
    </row>
    <row r="18" spans="2:9" ht="15.75" thickBot="1" x14ac:dyDescent="0.3"/>
    <row r="19" spans="2:9" ht="20.25" customHeight="1" thickBot="1" x14ac:dyDescent="0.3">
      <c r="C19" s="109" t="s">
        <v>509</v>
      </c>
      <c r="D19" s="395" t="s">
        <v>469</v>
      </c>
      <c r="E19" s="263"/>
      <c r="H19" s="4"/>
      <c r="I19" s="4"/>
    </row>
    <row r="20" spans="2:9" ht="15.75" thickBot="1" x14ac:dyDescent="0.3">
      <c r="B20" s="264" t="s">
        <v>0</v>
      </c>
      <c r="C20" s="266" t="s">
        <v>1</v>
      </c>
      <c r="D20" s="261" t="s">
        <v>4</v>
      </c>
      <c r="E20" s="262" t="s">
        <v>151</v>
      </c>
      <c r="F20" s="255" t="s">
        <v>2</v>
      </c>
      <c r="G20" s="255" t="s">
        <v>406</v>
      </c>
      <c r="H20" s="255" t="s">
        <v>115</v>
      </c>
      <c r="I20" s="256" t="s">
        <v>116</v>
      </c>
    </row>
    <row r="21" spans="2:9" ht="18" x14ac:dyDescent="0.25">
      <c r="B21" s="407" t="s">
        <v>397</v>
      </c>
      <c r="C21" s="110" t="s">
        <v>506</v>
      </c>
      <c r="D21" s="408" t="s">
        <v>1310</v>
      </c>
      <c r="E21" s="165">
        <f>-(v_2_SO*r_2+v_4_SO*r_4+v_6_SO*r_6+v_8_SO*r_8+v_10_SO*r_10+v_11_SO*r_11+v_14_SO*r_14+v_16_SO*r_16+v_18_SO*r_18+v_22_SO*r_22)</f>
        <v>1405.5113984344966</v>
      </c>
      <c r="F21" s="94" t="s">
        <v>1243</v>
      </c>
      <c r="G21" s="94">
        <v>1</v>
      </c>
      <c r="H21" s="110" t="s">
        <v>398</v>
      </c>
      <c r="I21" s="409"/>
    </row>
    <row r="22" spans="2:9" ht="36" x14ac:dyDescent="0.25">
      <c r="B22" s="356" t="s">
        <v>487</v>
      </c>
      <c r="C22" s="111" t="s">
        <v>1381</v>
      </c>
      <c r="D22" s="410" t="s">
        <v>1311</v>
      </c>
      <c r="E22" s="87">
        <f>-(v_3_SNO*r_3+v_5_SNO*r_5+v_7_SNO*r_7+v_9_SNO*r_9+v_10_SNO*r_10+v_12_SNO*r_12+v_15_SNO*r_15+v_17_SNO*r_17+v_19_SNO*r_19+v_23_SNO*r_23)</f>
        <v>-67.408837076221758</v>
      </c>
      <c r="F22" s="95" t="s">
        <v>1244</v>
      </c>
      <c r="G22" s="95">
        <v>1</v>
      </c>
      <c r="H22" s="111" t="s">
        <v>398</v>
      </c>
      <c r="I22" s="404"/>
    </row>
    <row r="23" spans="2:9" ht="36.75" thickBot="1" x14ac:dyDescent="0.3">
      <c r="B23" s="411" t="s">
        <v>488</v>
      </c>
      <c r="C23" s="112" t="s">
        <v>507</v>
      </c>
      <c r="D23" s="412" t="s">
        <v>1245</v>
      </c>
      <c r="E23" s="163">
        <f>-(v_1_SNH4*r_1+v_2_SNH4*r_2+v_3_SNH4*r_3+v_4_SNH4*r_4+v_5_SNH4*r_5+v_6_SNH4*r_6+v_7_SNH4*r_7+v_10_SNH4*r_10+v_11_SNH4*r_11+v_12_SNH4*r_12+v_13_SNH4*r_13+v_16_SNH4*r_16+v_17_SNH4*r_17+v_18_SNH4*r_18+v_19_SNH4*r_19)</f>
        <v>76.190546200726232</v>
      </c>
      <c r="F23" s="96" t="s">
        <v>1244</v>
      </c>
      <c r="G23" s="96">
        <v>1</v>
      </c>
      <c r="H23" s="112" t="s">
        <v>398</v>
      </c>
      <c r="I23" s="413"/>
    </row>
    <row r="24" spans="2:9" ht="15.75" thickBot="1" x14ac:dyDescent="0.3">
      <c r="B24" s="133"/>
      <c r="C24" s="133"/>
      <c r="D24" s="414"/>
      <c r="E24" s="182"/>
      <c r="F24" s="137"/>
      <c r="G24" s="137"/>
      <c r="H24" s="133"/>
      <c r="I24" s="133"/>
    </row>
    <row r="25" spans="2:9" ht="20.25" customHeight="1" thickBot="1" x14ac:dyDescent="0.3">
      <c r="C25" s="109" t="s">
        <v>981</v>
      </c>
      <c r="D25" s="395" t="s">
        <v>469</v>
      </c>
      <c r="E25" s="183"/>
      <c r="H25" s="3"/>
      <c r="I25" s="3"/>
    </row>
    <row r="26" spans="2:9" ht="15.75" thickBot="1" x14ac:dyDescent="0.3">
      <c r="B26" s="265" t="s">
        <v>0</v>
      </c>
      <c r="C26" s="267" t="s">
        <v>1</v>
      </c>
      <c r="D26" s="396" t="s">
        <v>4</v>
      </c>
      <c r="E26" s="204" t="s">
        <v>151</v>
      </c>
      <c r="F26" s="204" t="s">
        <v>2</v>
      </c>
      <c r="G26" s="204" t="s">
        <v>406</v>
      </c>
      <c r="H26" s="204" t="s">
        <v>115</v>
      </c>
      <c r="I26" s="205" t="s">
        <v>116</v>
      </c>
    </row>
    <row r="27" spans="2:9" ht="18" x14ac:dyDescent="0.25">
      <c r="B27" s="189" t="s">
        <v>982</v>
      </c>
      <c r="C27" s="268" t="s">
        <v>1006</v>
      </c>
      <c r="D27" s="397" t="s">
        <v>983</v>
      </c>
      <c r="E27" s="207">
        <f>S_S/(S_S+K_SS_H)</f>
        <v>0.33333333333333331</v>
      </c>
      <c r="F27" s="207" t="s">
        <v>216</v>
      </c>
      <c r="G27" s="207">
        <v>2</v>
      </c>
      <c r="H27" s="207"/>
      <c r="I27" s="176"/>
    </row>
    <row r="28" spans="2:9" ht="18" x14ac:dyDescent="0.25">
      <c r="B28" s="193" t="s">
        <v>984</v>
      </c>
      <c r="C28" s="161" t="s">
        <v>1007</v>
      </c>
      <c r="D28" s="393" t="s">
        <v>1312</v>
      </c>
      <c r="E28" s="199">
        <f>S_O/(K_O_H+S_O)</f>
        <v>0.90909090909090906</v>
      </c>
      <c r="F28" s="199" t="s">
        <v>216</v>
      </c>
      <c r="G28" s="199">
        <v>2</v>
      </c>
      <c r="H28" s="199"/>
      <c r="I28" s="177"/>
    </row>
    <row r="29" spans="2:9" ht="18" x14ac:dyDescent="0.25">
      <c r="B29" s="193" t="s">
        <v>1318</v>
      </c>
      <c r="C29" s="161" t="s">
        <v>1008</v>
      </c>
      <c r="D29" s="393" t="s">
        <v>1319</v>
      </c>
      <c r="E29" s="199">
        <f>S_NO/(K_NO_H+S_NO)</f>
        <v>0.967741935483871</v>
      </c>
      <c r="F29" s="199" t="s">
        <v>216</v>
      </c>
      <c r="G29" s="199">
        <v>2</v>
      </c>
      <c r="H29" s="199"/>
      <c r="I29" s="177"/>
    </row>
    <row r="30" spans="2:9" ht="18" x14ac:dyDescent="0.25">
      <c r="B30" s="193" t="s">
        <v>985</v>
      </c>
      <c r="C30" s="161" t="s">
        <v>1009</v>
      </c>
      <c r="D30" s="393" t="s">
        <v>986</v>
      </c>
      <c r="E30" s="199">
        <f>S_NH4/(K_NH_H+S_NH4)</f>
        <v>0.99667774086378746</v>
      </c>
      <c r="F30" s="199" t="s">
        <v>216</v>
      </c>
      <c r="G30" s="199">
        <v>2</v>
      </c>
      <c r="H30" s="199"/>
      <c r="I30" s="177"/>
    </row>
    <row r="31" spans="2:9" ht="18" x14ac:dyDescent="0.25">
      <c r="B31" s="193" t="s">
        <v>1377</v>
      </c>
      <c r="C31" s="161" t="s">
        <v>1010</v>
      </c>
      <c r="D31" s="393" t="s">
        <v>1335</v>
      </c>
      <c r="E31" s="199">
        <f>S_HCO/(K_HCO_H+S_HCO)</f>
        <v>0.97959183673469385</v>
      </c>
      <c r="F31" s="199" t="s">
        <v>216</v>
      </c>
      <c r="G31" s="199">
        <v>2</v>
      </c>
      <c r="H31" s="199"/>
      <c r="I31" s="177"/>
    </row>
    <row r="32" spans="2:9" ht="18" x14ac:dyDescent="0.25">
      <c r="B32" s="193" t="s">
        <v>987</v>
      </c>
      <c r="C32" s="161" t="s">
        <v>1871</v>
      </c>
      <c r="D32" s="393" t="s">
        <v>988</v>
      </c>
      <c r="E32" s="199">
        <f>S_PO4/(K_PO4_H+S_PO4)</f>
        <v>0.99009900990099009</v>
      </c>
      <c r="F32" s="199" t="s">
        <v>216</v>
      </c>
      <c r="G32" s="199">
        <v>2</v>
      </c>
      <c r="H32" s="199"/>
      <c r="I32" s="177"/>
    </row>
    <row r="33" spans="2:9" ht="18" x14ac:dyDescent="0.25">
      <c r="B33" s="193" t="s">
        <v>1030</v>
      </c>
      <c r="C33" s="161" t="s">
        <v>1031</v>
      </c>
      <c r="D33" s="393" t="s">
        <v>1032</v>
      </c>
      <c r="E33" s="199">
        <f>S_NH4/(K_NH_A+S_NH4)</f>
        <v>0.75</v>
      </c>
      <c r="F33" s="199" t="s">
        <v>216</v>
      </c>
      <c r="G33" s="199">
        <v>2</v>
      </c>
      <c r="H33" s="199"/>
      <c r="I33" s="177"/>
    </row>
    <row r="34" spans="2:9" ht="18" x14ac:dyDescent="0.25">
      <c r="B34" s="193" t="s">
        <v>1376</v>
      </c>
      <c r="C34" s="161" t="s">
        <v>1033</v>
      </c>
      <c r="D34" s="393" t="s">
        <v>1336</v>
      </c>
      <c r="E34" s="199">
        <f>S_HCO/(K_HCO_A+S_HCO)</f>
        <v>0.90566037735849059</v>
      </c>
      <c r="F34" s="199" t="s">
        <v>216</v>
      </c>
      <c r="G34" s="199">
        <v>2</v>
      </c>
      <c r="H34" s="199"/>
      <c r="I34" s="177"/>
    </row>
    <row r="35" spans="2:9" ht="18" x14ac:dyDescent="0.25">
      <c r="B35" s="193" t="s">
        <v>1034</v>
      </c>
      <c r="C35" s="161" t="s">
        <v>1870</v>
      </c>
      <c r="D35" s="393" t="s">
        <v>1035</v>
      </c>
      <c r="E35" s="199">
        <f>S_PO4/(K_PO4_A+S_PO4)</f>
        <v>0.99009900990099009</v>
      </c>
      <c r="F35" s="199" t="s">
        <v>216</v>
      </c>
      <c r="G35" s="199">
        <v>2</v>
      </c>
      <c r="H35" s="199"/>
      <c r="I35" s="177"/>
    </row>
    <row r="36" spans="2:9" ht="18" x14ac:dyDescent="0.25">
      <c r="B36" s="193" t="s">
        <v>1337</v>
      </c>
      <c r="C36" s="161" t="s">
        <v>1011</v>
      </c>
      <c r="D36" s="393" t="s">
        <v>1338</v>
      </c>
      <c r="E36" s="199">
        <f>S_HCO/(K_HCO_PAO+S_HCO)</f>
        <v>0.97959183673469385</v>
      </c>
      <c r="F36" s="199" t="s">
        <v>216</v>
      </c>
      <c r="G36" s="199">
        <v>2</v>
      </c>
      <c r="H36" s="199"/>
      <c r="I36" s="177"/>
    </row>
    <row r="37" spans="2:9" ht="18" x14ac:dyDescent="0.25">
      <c r="B37" s="193" t="s">
        <v>989</v>
      </c>
      <c r="C37" s="161" t="s">
        <v>1012</v>
      </c>
      <c r="D37" s="393" t="s">
        <v>1313</v>
      </c>
      <c r="E37" s="199">
        <f>S_O/(K_O_PAO+S_O)</f>
        <v>0.90909090909090906</v>
      </c>
      <c r="F37" s="199" t="s">
        <v>216</v>
      </c>
      <c r="G37" s="199">
        <v>2</v>
      </c>
      <c r="H37" s="199"/>
      <c r="I37" s="177"/>
    </row>
    <row r="38" spans="2:9" ht="18" x14ac:dyDescent="0.25">
      <c r="B38" s="193" t="s">
        <v>1320</v>
      </c>
      <c r="C38" s="161" t="s">
        <v>1013</v>
      </c>
      <c r="D38" s="393" t="s">
        <v>1321</v>
      </c>
      <c r="E38" s="199">
        <f>S_NO/(K_NO_PAO+S_NO)</f>
        <v>0.967741935483871</v>
      </c>
      <c r="F38" s="199" t="s">
        <v>216</v>
      </c>
      <c r="G38" s="199">
        <v>2</v>
      </c>
      <c r="H38" s="199"/>
      <c r="I38" s="177"/>
    </row>
    <row r="39" spans="2:9" ht="18" x14ac:dyDescent="0.25">
      <c r="B39" s="193" t="s">
        <v>990</v>
      </c>
      <c r="C39" s="161" t="s">
        <v>1014</v>
      </c>
      <c r="D39" s="393" t="s">
        <v>991</v>
      </c>
      <c r="E39" s="199">
        <f>S_NH4/(K_NH_PAO+S_NH4)</f>
        <v>0.98360655737704927</v>
      </c>
      <c r="F39" s="199" t="s">
        <v>216</v>
      </c>
      <c r="G39" s="199">
        <v>2</v>
      </c>
      <c r="H39" s="199"/>
      <c r="I39" s="177"/>
    </row>
    <row r="40" spans="2:9" ht="18" x14ac:dyDescent="0.25">
      <c r="B40" s="193" t="s">
        <v>992</v>
      </c>
      <c r="C40" s="161" t="s">
        <v>1015</v>
      </c>
      <c r="D40" s="393" t="s">
        <v>993</v>
      </c>
      <c r="E40" s="199">
        <f>S_PO4/(K_PO4_PAO+S_PO4)</f>
        <v>0.99009900990099009</v>
      </c>
      <c r="F40" s="199" t="s">
        <v>216</v>
      </c>
      <c r="G40" s="199">
        <v>2</v>
      </c>
      <c r="H40" s="199"/>
      <c r="I40" s="177"/>
    </row>
    <row r="41" spans="2:9" ht="18" x14ac:dyDescent="0.25">
      <c r="B41" s="193" t="s">
        <v>994</v>
      </c>
      <c r="C41" s="161" t="s">
        <v>1016</v>
      </c>
      <c r="D41" s="393" t="s">
        <v>995</v>
      </c>
      <c r="E41" s="199">
        <f>S_PO4/(K_PO4_PP+S_PO4)</f>
        <v>0.83333333333333337</v>
      </c>
      <c r="F41" s="199" t="s">
        <v>216</v>
      </c>
      <c r="G41" s="199">
        <v>2</v>
      </c>
      <c r="H41" s="199"/>
      <c r="I41" s="177"/>
    </row>
    <row r="42" spans="2:9" ht="18" x14ac:dyDescent="0.25">
      <c r="B42" s="193" t="s">
        <v>997</v>
      </c>
      <c r="C42" s="161" t="s">
        <v>1017</v>
      </c>
      <c r="D42" s="393" t="s">
        <v>1314</v>
      </c>
      <c r="E42" s="199">
        <f>S_O/(K_O_A+S_O)</f>
        <v>0.8</v>
      </c>
      <c r="F42" s="199" t="s">
        <v>216</v>
      </c>
      <c r="G42" s="199">
        <v>2</v>
      </c>
      <c r="H42" s="199"/>
      <c r="I42" s="177"/>
    </row>
    <row r="43" spans="2:9" ht="18" x14ac:dyDescent="0.25">
      <c r="B43" s="193" t="s">
        <v>1038</v>
      </c>
      <c r="C43" s="161" t="s">
        <v>1039</v>
      </c>
      <c r="D43" s="393" t="s">
        <v>1040</v>
      </c>
      <c r="E43" s="199">
        <f>S_S/(S_S+K_SS_PAO)</f>
        <v>0.33333333333333331</v>
      </c>
      <c r="F43" s="199" t="s">
        <v>216</v>
      </c>
      <c r="G43" s="199">
        <v>2</v>
      </c>
      <c r="H43" s="199"/>
      <c r="I43" s="177"/>
    </row>
    <row r="44" spans="2:9" ht="18" x14ac:dyDescent="0.25">
      <c r="B44" s="193" t="s">
        <v>1041</v>
      </c>
      <c r="C44" s="161" t="s">
        <v>1868</v>
      </c>
      <c r="D44" s="393" t="s">
        <v>1042</v>
      </c>
      <c r="E44" s="199">
        <f>(X_PP/X_PAO)/(K_PP_PAO+X_PP/X_PAO)</f>
        <v>0.93023255813953487</v>
      </c>
      <c r="F44" s="199" t="s">
        <v>216</v>
      </c>
      <c r="G44" s="199">
        <v>2</v>
      </c>
      <c r="H44" s="199"/>
      <c r="I44" s="177"/>
    </row>
    <row r="45" spans="2:9" ht="18" x14ac:dyDescent="0.25">
      <c r="B45" s="193" t="s">
        <v>1027</v>
      </c>
      <c r="C45" s="161" t="s">
        <v>1028</v>
      </c>
      <c r="D45" s="393" t="s">
        <v>1026</v>
      </c>
      <c r="E45" s="199">
        <f>(X_S/X_H)/(K_X+X_S/X_H)</f>
        <v>9.0909090909090912E-2</v>
      </c>
      <c r="F45" s="199" t="s">
        <v>216</v>
      </c>
      <c r="G45" s="199">
        <v>2</v>
      </c>
      <c r="H45" s="199"/>
      <c r="I45" s="177"/>
    </row>
    <row r="46" spans="2:9" ht="18" x14ac:dyDescent="0.25">
      <c r="B46" s="193" t="s">
        <v>1025</v>
      </c>
      <c r="C46" s="161" t="s">
        <v>1021</v>
      </c>
      <c r="D46" s="393" t="s">
        <v>1020</v>
      </c>
      <c r="E46" s="199">
        <f>(X_STO/X_H)/(K_STO_H+X_STO/X_H)</f>
        <v>0.5</v>
      </c>
      <c r="F46" s="199" t="s">
        <v>216</v>
      </c>
      <c r="G46" s="199">
        <v>2</v>
      </c>
      <c r="H46" s="199"/>
      <c r="I46" s="177"/>
    </row>
    <row r="47" spans="2:9" ht="18" x14ac:dyDescent="0.25">
      <c r="B47" s="193" t="s">
        <v>1023</v>
      </c>
      <c r="C47" s="161" t="s">
        <v>1867</v>
      </c>
      <c r="D47" s="393" t="s">
        <v>1022</v>
      </c>
      <c r="E47" s="199">
        <f>(X_PHA/X_PAO)/(K_PHA+X_PHA/X_PAO)</f>
        <v>0.86956521739130432</v>
      </c>
      <c r="F47" s="199" t="s">
        <v>216</v>
      </c>
      <c r="G47" s="199">
        <v>2</v>
      </c>
      <c r="H47" s="199"/>
      <c r="I47" s="177"/>
    </row>
    <row r="48" spans="2:9" ht="18" x14ac:dyDescent="0.25">
      <c r="B48" s="193" t="s">
        <v>996</v>
      </c>
      <c r="C48" s="161" t="s">
        <v>1018</v>
      </c>
      <c r="D48" s="393" t="s">
        <v>1315</v>
      </c>
      <c r="E48" s="199">
        <f>K_O_H/(K_O_H+S_O)</f>
        <v>9.0909090909090912E-2</v>
      </c>
      <c r="F48" s="199" t="s">
        <v>216</v>
      </c>
      <c r="G48" s="199">
        <v>2</v>
      </c>
      <c r="H48" s="199"/>
      <c r="I48" s="177"/>
    </row>
    <row r="49" spans="2:9" ht="18" x14ac:dyDescent="0.25">
      <c r="B49" s="193" t="s">
        <v>1036</v>
      </c>
      <c r="C49" s="161" t="s">
        <v>1037</v>
      </c>
      <c r="D49" s="393" t="s">
        <v>1316</v>
      </c>
      <c r="E49" s="199">
        <f>K_O_A/(K_O_A+S_O)</f>
        <v>0.2</v>
      </c>
      <c r="F49" s="199" t="s">
        <v>216</v>
      </c>
      <c r="G49" s="199">
        <v>2</v>
      </c>
      <c r="H49" s="199"/>
      <c r="I49" s="177"/>
    </row>
    <row r="50" spans="2:9" ht="18" x14ac:dyDescent="0.25">
      <c r="B50" s="193" t="s">
        <v>998</v>
      </c>
      <c r="C50" s="161" t="s">
        <v>1019</v>
      </c>
      <c r="D50" s="393" t="s">
        <v>1317</v>
      </c>
      <c r="E50" s="199">
        <f>K_O_PAO/(K_O_PAO+S_O)</f>
        <v>9.0909090909090912E-2</v>
      </c>
      <c r="F50" s="199" t="s">
        <v>216</v>
      </c>
      <c r="G50" s="199">
        <v>2</v>
      </c>
      <c r="H50" s="199"/>
      <c r="I50" s="177"/>
    </row>
    <row r="51" spans="2:9" ht="18.75" thickBot="1" x14ac:dyDescent="0.3">
      <c r="B51" s="231" t="s">
        <v>1024</v>
      </c>
      <c r="C51" s="269" t="s">
        <v>1869</v>
      </c>
      <c r="D51" s="151" t="s">
        <v>1169</v>
      </c>
      <c r="E51" s="179">
        <f>(K_max_PAO-(X_PP/X_PAO))/(K_iPP_PAO+K_max_PAO-(X_PP/X_PAO))</f>
        <v>1.1199999999999999</v>
      </c>
      <c r="F51" s="179" t="s">
        <v>216</v>
      </c>
      <c r="G51" s="179">
        <v>2</v>
      </c>
      <c r="H51" s="179"/>
      <c r="I51" s="206"/>
    </row>
    <row r="52" spans="2:9" x14ac:dyDescent="0.25">
      <c r="B52" s="44"/>
      <c r="C52" s="44"/>
      <c r="D52" s="398"/>
      <c r="E52" s="68"/>
      <c r="H52" s="3"/>
    </row>
  </sheetData>
  <phoneticPr fontId="12"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59"/>
    <col min="2" max="2" width="13.140625" style="359" customWidth="1"/>
    <col min="3" max="3" width="58.140625" style="359" bestFit="1" customWidth="1"/>
    <col min="4" max="4" width="29.42578125" style="359" bestFit="1" customWidth="1"/>
    <col min="5" max="6" width="21" style="359" customWidth="1"/>
    <col min="7" max="7" width="18" style="359" bestFit="1" customWidth="1"/>
    <col min="8" max="8" width="18" style="359" customWidth="1"/>
    <col min="9" max="9" width="9.140625" style="359"/>
    <col min="10" max="10" width="76.85546875" style="359" customWidth="1"/>
    <col min="11" max="11" width="9.140625" style="359"/>
    <col min="12" max="12" width="29.42578125" style="359" bestFit="1" customWidth="1"/>
    <col min="13" max="16384" width="9.140625" style="359"/>
  </cols>
  <sheetData>
    <row r="2" spans="2:10" ht="15.75" thickBot="1" x14ac:dyDescent="0.3">
      <c r="C2" s="360" t="s">
        <v>1404</v>
      </c>
    </row>
    <row r="3" spans="2:10" ht="15.75" thickBot="1" x14ac:dyDescent="0.3">
      <c r="B3" s="361" t="s">
        <v>0</v>
      </c>
      <c r="C3" s="362" t="s">
        <v>1</v>
      </c>
      <c r="D3" s="363" t="s">
        <v>151</v>
      </c>
      <c r="E3" s="363" t="s">
        <v>534</v>
      </c>
      <c r="F3" s="363" t="s">
        <v>535</v>
      </c>
      <c r="G3" s="363" t="s">
        <v>2</v>
      </c>
      <c r="H3" s="363" t="s">
        <v>406</v>
      </c>
      <c r="I3" s="363" t="s">
        <v>115</v>
      </c>
      <c r="J3" s="364" t="s">
        <v>116</v>
      </c>
    </row>
    <row r="4" spans="2:10" ht="18" x14ac:dyDescent="0.25">
      <c r="B4" s="365" t="s">
        <v>1078</v>
      </c>
      <c r="C4" s="366" t="s">
        <v>1079</v>
      </c>
      <c r="D4" s="366">
        <v>273.14999999999998</v>
      </c>
      <c r="E4" s="367"/>
      <c r="F4" s="367"/>
      <c r="G4" s="366" t="s">
        <v>539</v>
      </c>
      <c r="H4" s="368"/>
      <c r="I4" s="368"/>
      <c r="J4" s="366" t="s">
        <v>1405</v>
      </c>
    </row>
    <row r="5" spans="2:10" ht="18" x14ac:dyDescent="0.25">
      <c r="B5" s="365" t="s">
        <v>578</v>
      </c>
      <c r="C5" s="366" t="s">
        <v>579</v>
      </c>
      <c r="D5" s="366">
        <v>101325</v>
      </c>
      <c r="E5" s="367"/>
      <c r="F5" s="367"/>
      <c r="G5" s="366" t="s">
        <v>580</v>
      </c>
      <c r="H5" s="368"/>
      <c r="I5" s="368"/>
      <c r="J5" s="366" t="s">
        <v>1405</v>
      </c>
    </row>
    <row r="6" spans="2:10" ht="18" x14ac:dyDescent="0.25">
      <c r="B6" s="365" t="s">
        <v>1254</v>
      </c>
      <c r="C6" s="366" t="s">
        <v>1255</v>
      </c>
      <c r="D6" s="366">
        <v>0</v>
      </c>
      <c r="E6" s="367"/>
      <c r="F6" s="367"/>
      <c r="G6" s="366" t="s">
        <v>1406</v>
      </c>
      <c r="H6" s="368"/>
      <c r="I6" s="368"/>
      <c r="J6" s="366" t="s">
        <v>1405</v>
      </c>
    </row>
    <row r="8" spans="2:10" ht="15.75" thickBot="1" x14ac:dyDescent="0.3">
      <c r="C8" s="369" t="s">
        <v>533</v>
      </c>
    </row>
    <row r="9" spans="2:10" ht="15.75" thickBot="1" x14ac:dyDescent="0.3">
      <c r="B9" s="370" t="s">
        <v>0</v>
      </c>
      <c r="C9" s="371" t="s">
        <v>1</v>
      </c>
      <c r="D9" s="372" t="s">
        <v>151</v>
      </c>
      <c r="E9" s="372" t="s">
        <v>534</v>
      </c>
      <c r="F9" s="372" t="s">
        <v>535</v>
      </c>
      <c r="G9" s="372" t="s">
        <v>2</v>
      </c>
      <c r="H9" s="372" t="s">
        <v>406</v>
      </c>
      <c r="I9" s="372" t="s">
        <v>115</v>
      </c>
      <c r="J9" s="373" t="s">
        <v>116</v>
      </c>
    </row>
    <row r="10" spans="2:10" ht="18" x14ac:dyDescent="0.25">
      <c r="B10" s="365" t="s">
        <v>1057</v>
      </c>
      <c r="C10" s="366" t="s">
        <v>536</v>
      </c>
      <c r="D10" s="366">
        <v>1.2999999999999999E-3</v>
      </c>
      <c r="E10" s="367"/>
      <c r="F10" s="367"/>
      <c r="G10" s="366" t="s">
        <v>537</v>
      </c>
      <c r="H10" s="368"/>
      <c r="I10" s="368"/>
      <c r="J10" s="366" t="s">
        <v>1058</v>
      </c>
    </row>
    <row r="11" spans="2:10" ht="18" x14ac:dyDescent="0.25">
      <c r="B11" s="365" t="s">
        <v>1059</v>
      </c>
      <c r="C11" s="366" t="s">
        <v>538</v>
      </c>
      <c r="D11" s="366">
        <v>1500</v>
      </c>
      <c r="E11" s="367"/>
      <c r="F11" s="367"/>
      <c r="G11" s="366" t="s">
        <v>539</v>
      </c>
      <c r="H11" s="368"/>
      <c r="I11" s="368"/>
      <c r="J11" s="366" t="s">
        <v>1058</v>
      </c>
    </row>
    <row r="12" spans="2:10" ht="18" x14ac:dyDescent="0.25">
      <c r="B12" s="365" t="s">
        <v>1060</v>
      </c>
      <c r="C12" s="366" t="s">
        <v>540</v>
      </c>
      <c r="D12" s="366">
        <v>3.5000000000000003E-2</v>
      </c>
      <c r="E12" s="367"/>
      <c r="F12" s="367"/>
      <c r="G12" s="366" t="s">
        <v>537</v>
      </c>
      <c r="H12" s="368"/>
      <c r="I12" s="368"/>
      <c r="J12" s="366" t="s">
        <v>1061</v>
      </c>
    </row>
    <row r="13" spans="2:10" ht="18" x14ac:dyDescent="0.25">
      <c r="B13" s="365" t="s">
        <v>1062</v>
      </c>
      <c r="C13" s="366" t="s">
        <v>541</v>
      </c>
      <c r="D13" s="366">
        <v>2400</v>
      </c>
      <c r="E13" s="367"/>
      <c r="F13" s="367"/>
      <c r="G13" s="366" t="s">
        <v>539</v>
      </c>
      <c r="H13" s="368"/>
      <c r="I13" s="368"/>
      <c r="J13" s="366" t="s">
        <v>1061</v>
      </c>
    </row>
    <row r="14" spans="2:10" ht="18" x14ac:dyDescent="0.25">
      <c r="B14" s="365" t="s">
        <v>1063</v>
      </c>
      <c r="C14" s="366" t="s">
        <v>542</v>
      </c>
      <c r="D14" s="366">
        <v>1.9E-3</v>
      </c>
      <c r="E14" s="367"/>
      <c r="F14" s="367"/>
      <c r="G14" s="366" t="s">
        <v>537</v>
      </c>
      <c r="H14" s="368"/>
      <c r="I14" s="368"/>
      <c r="J14" s="366" t="s">
        <v>1064</v>
      </c>
    </row>
    <row r="15" spans="2:10" ht="18" x14ac:dyDescent="0.25">
      <c r="B15" s="365" t="s">
        <v>1065</v>
      </c>
      <c r="C15" s="366" t="s">
        <v>543</v>
      </c>
      <c r="D15" s="366">
        <v>1400</v>
      </c>
      <c r="E15" s="367"/>
      <c r="F15" s="367"/>
      <c r="G15" s="366" t="s">
        <v>539</v>
      </c>
      <c r="H15" s="368"/>
      <c r="I15" s="368"/>
      <c r="J15" s="366" t="s">
        <v>1064</v>
      </c>
    </row>
    <row r="16" spans="2:10" ht="18" x14ac:dyDescent="0.25">
      <c r="B16" s="365" t="s">
        <v>1066</v>
      </c>
      <c r="C16" s="366" t="s">
        <v>544</v>
      </c>
      <c r="D16" s="366">
        <v>2.5000000000000001E-2</v>
      </c>
      <c r="E16" s="367"/>
      <c r="F16" s="367"/>
      <c r="G16" s="366" t="s">
        <v>537</v>
      </c>
      <c r="H16" s="368"/>
      <c r="I16" s="368"/>
      <c r="J16" s="366" t="s">
        <v>1067</v>
      </c>
    </row>
    <row r="17" spans="2:10" ht="18" x14ac:dyDescent="0.25">
      <c r="B17" s="365" t="s">
        <v>1068</v>
      </c>
      <c r="C17" s="366" t="s">
        <v>541</v>
      </c>
      <c r="D17" s="366">
        <v>2600</v>
      </c>
      <c r="E17" s="367"/>
      <c r="F17" s="367"/>
      <c r="G17" s="366" t="s">
        <v>539</v>
      </c>
      <c r="H17" s="368"/>
      <c r="I17" s="368"/>
      <c r="J17" s="366" t="s">
        <v>1067</v>
      </c>
    </row>
    <row r="18" spans="2:10" ht="18" x14ac:dyDescent="0.25">
      <c r="B18" s="365" t="s">
        <v>1069</v>
      </c>
      <c r="C18" s="366" t="s">
        <v>545</v>
      </c>
      <c r="D18" s="366">
        <v>6.4999999999999997E-4</v>
      </c>
      <c r="E18" s="367"/>
      <c r="F18" s="367"/>
      <c r="G18" s="366" t="s">
        <v>537</v>
      </c>
      <c r="H18" s="368"/>
      <c r="I18" s="368"/>
      <c r="J18" s="366" t="s">
        <v>1070</v>
      </c>
    </row>
    <row r="19" spans="2:10" ht="18" x14ac:dyDescent="0.25">
      <c r="B19" s="365" t="s">
        <v>1071</v>
      </c>
      <c r="C19" s="366" t="s">
        <v>546</v>
      </c>
      <c r="D19" s="366">
        <v>1300</v>
      </c>
      <c r="E19" s="367"/>
      <c r="F19" s="367"/>
      <c r="G19" s="366" t="s">
        <v>539</v>
      </c>
      <c r="H19" s="368"/>
      <c r="I19" s="368"/>
      <c r="J19" s="366" t="s">
        <v>1070</v>
      </c>
    </row>
    <row r="20" spans="2:10" ht="18" x14ac:dyDescent="0.25">
      <c r="B20" s="365" t="s">
        <v>1072</v>
      </c>
      <c r="C20" s="366" t="s">
        <v>547</v>
      </c>
      <c r="D20" s="366">
        <v>7.7999999999999999E-4</v>
      </c>
      <c r="E20" s="367"/>
      <c r="F20" s="367"/>
      <c r="G20" s="366" t="s">
        <v>537</v>
      </c>
      <c r="H20" s="368"/>
      <c r="I20" s="368"/>
      <c r="J20" s="366" t="s">
        <v>1407</v>
      </c>
    </row>
    <row r="21" spans="2:10" ht="18" x14ac:dyDescent="0.25">
      <c r="B21" s="365" t="s">
        <v>1073</v>
      </c>
      <c r="C21" s="366" t="s">
        <v>548</v>
      </c>
      <c r="D21" s="366">
        <v>500</v>
      </c>
      <c r="E21" s="367"/>
      <c r="F21" s="367"/>
      <c r="G21" s="366" t="s">
        <v>539</v>
      </c>
      <c r="H21" s="368"/>
      <c r="I21" s="368"/>
      <c r="J21" s="366" t="s">
        <v>1407</v>
      </c>
    </row>
    <row r="22" spans="2:10" ht="18" x14ac:dyDescent="0.25">
      <c r="B22" s="365" t="s">
        <v>1074</v>
      </c>
      <c r="C22" s="366" t="s">
        <v>549</v>
      </c>
      <c r="D22" s="366">
        <v>1.4E-3</v>
      </c>
      <c r="E22" s="367"/>
      <c r="F22" s="367"/>
      <c r="G22" s="366" t="s">
        <v>537</v>
      </c>
      <c r="H22" s="368"/>
      <c r="I22" s="368"/>
      <c r="J22" s="366" t="s">
        <v>1408</v>
      </c>
    </row>
    <row r="23" spans="2:10" ht="18" x14ac:dyDescent="0.25">
      <c r="B23" s="365" t="s">
        <v>1075</v>
      </c>
      <c r="C23" s="366" t="s">
        <v>550</v>
      </c>
      <c r="D23" s="366">
        <v>1600</v>
      </c>
      <c r="E23" s="367"/>
      <c r="F23" s="367"/>
      <c r="G23" s="366" t="s">
        <v>539</v>
      </c>
      <c r="H23" s="368"/>
      <c r="I23" s="368"/>
      <c r="J23" s="366" t="s">
        <v>1408</v>
      </c>
    </row>
    <row r="24" spans="2:10" ht="18" x14ac:dyDescent="0.25">
      <c r="B24" s="365" t="s">
        <v>1409</v>
      </c>
      <c r="C24" s="366" t="s">
        <v>1410</v>
      </c>
      <c r="D24" s="366">
        <v>61</v>
      </c>
      <c r="E24" s="367"/>
      <c r="F24" s="367"/>
      <c r="G24" s="366" t="s">
        <v>537</v>
      </c>
      <c r="H24" s="368"/>
      <c r="I24" s="368"/>
      <c r="J24" s="366" t="s">
        <v>1411</v>
      </c>
    </row>
    <row r="25" spans="2:10" ht="18" x14ac:dyDescent="0.25">
      <c r="B25" s="365" t="s">
        <v>1412</v>
      </c>
      <c r="C25" s="366" t="s">
        <v>1413</v>
      </c>
      <c r="D25" s="366">
        <v>4100</v>
      </c>
      <c r="E25" s="367"/>
      <c r="F25" s="367"/>
      <c r="G25" s="366" t="s">
        <v>539</v>
      </c>
      <c r="H25" s="368"/>
      <c r="I25" s="368"/>
      <c r="J25" s="366" t="s">
        <v>1411</v>
      </c>
    </row>
    <row r="26" spans="2:10" ht="18" x14ac:dyDescent="0.25">
      <c r="B26" s="365" t="s">
        <v>1414</v>
      </c>
      <c r="C26" s="366" t="s">
        <v>1415</v>
      </c>
      <c r="D26" s="366">
        <v>0.1</v>
      </c>
      <c r="E26" s="367"/>
      <c r="F26" s="367"/>
      <c r="G26" s="366" t="s">
        <v>537</v>
      </c>
      <c r="H26" s="368"/>
      <c r="I26" s="368"/>
      <c r="J26" s="366" t="s">
        <v>1416</v>
      </c>
    </row>
    <row r="27" spans="2:10" ht="18" x14ac:dyDescent="0.25">
      <c r="B27" s="365" t="s">
        <v>1417</v>
      </c>
      <c r="C27" s="366" t="s">
        <v>1418</v>
      </c>
      <c r="D27" s="366">
        <v>2200</v>
      </c>
      <c r="E27" s="367"/>
      <c r="F27" s="367"/>
      <c r="G27" s="366" t="s">
        <v>539</v>
      </c>
      <c r="H27" s="368"/>
      <c r="I27" s="368"/>
      <c r="J27" s="366" t="s">
        <v>1416</v>
      </c>
    </row>
    <row r="29" spans="2:10" ht="15.75" thickBot="1" x14ac:dyDescent="0.3">
      <c r="C29" s="369" t="s">
        <v>1419</v>
      </c>
    </row>
    <row r="30" spans="2:10" ht="15.75" thickBot="1" x14ac:dyDescent="0.3">
      <c r="B30" s="370" t="s">
        <v>0</v>
      </c>
      <c r="C30" s="371" t="s">
        <v>1</v>
      </c>
      <c r="D30" s="372" t="s">
        <v>151</v>
      </c>
      <c r="E30" s="372" t="s">
        <v>534</v>
      </c>
      <c r="F30" s="372" t="s">
        <v>535</v>
      </c>
      <c r="G30" s="372" t="s">
        <v>2</v>
      </c>
      <c r="H30" s="372" t="s">
        <v>406</v>
      </c>
      <c r="I30" s="372" t="s">
        <v>115</v>
      </c>
      <c r="J30" s="373" t="s">
        <v>116</v>
      </c>
    </row>
    <row r="31" spans="2:10" ht="18" x14ac:dyDescent="0.25">
      <c r="B31" s="365" t="s">
        <v>1420</v>
      </c>
      <c r="C31" s="366" t="s">
        <v>551</v>
      </c>
      <c r="D31" s="366">
        <v>2.0900000000000001E-4</v>
      </c>
      <c r="E31" s="367"/>
      <c r="F31" s="367"/>
      <c r="G31" s="366" t="s">
        <v>552</v>
      </c>
      <c r="H31" s="368">
        <v>2</v>
      </c>
      <c r="I31" s="368"/>
      <c r="J31" s="366"/>
    </row>
    <row r="32" spans="2:10" ht="18" x14ac:dyDescent="0.25">
      <c r="B32" s="365" t="s">
        <v>1421</v>
      </c>
      <c r="C32" s="366" t="s">
        <v>553</v>
      </c>
      <c r="D32" s="366">
        <v>1.73E-4</v>
      </c>
      <c r="E32" s="367"/>
      <c r="F32" s="367"/>
      <c r="G32" s="366" t="s">
        <v>552</v>
      </c>
      <c r="H32" s="368">
        <v>2</v>
      </c>
      <c r="I32" s="368"/>
      <c r="J32" s="366"/>
    </row>
    <row r="33" spans="2:10" ht="18" x14ac:dyDescent="0.25">
      <c r="B33" s="365" t="s">
        <v>1422</v>
      </c>
      <c r="C33" s="366" t="s">
        <v>1190</v>
      </c>
      <c r="D33" s="366">
        <f>0.0000693*216/25</f>
        <v>5.9875200000000003E-4</v>
      </c>
      <c r="E33" s="367"/>
      <c r="F33" s="367"/>
      <c r="G33" s="366" t="s">
        <v>552</v>
      </c>
      <c r="H33" s="368">
        <v>2</v>
      </c>
      <c r="I33" s="368"/>
      <c r="J33" s="366"/>
    </row>
    <row r="34" spans="2:10" ht="18" x14ac:dyDescent="0.25">
      <c r="B34" s="365" t="s">
        <v>1423</v>
      </c>
      <c r="C34" s="366" t="s">
        <v>554</v>
      </c>
      <c r="D34" s="366">
        <v>1.65E-4</v>
      </c>
      <c r="E34" s="367"/>
      <c r="F34" s="367"/>
      <c r="G34" s="366" t="s">
        <v>552</v>
      </c>
      <c r="H34" s="368">
        <v>2</v>
      </c>
      <c r="I34" s="368"/>
      <c r="J34" s="366"/>
    </row>
    <row r="35" spans="2:10" ht="18" x14ac:dyDescent="0.25">
      <c r="B35" s="365" t="s">
        <v>1424</v>
      </c>
      <c r="C35" s="366" t="s">
        <v>555</v>
      </c>
      <c r="D35" s="366">
        <v>4.4999999999999999E-4</v>
      </c>
      <c r="E35" s="367"/>
      <c r="F35" s="367"/>
      <c r="G35" s="366" t="s">
        <v>556</v>
      </c>
      <c r="H35" s="368">
        <v>2</v>
      </c>
      <c r="I35" s="368"/>
      <c r="J35" s="366"/>
    </row>
    <row r="36" spans="2:10" ht="18" x14ac:dyDescent="0.25">
      <c r="B36" s="365" t="s">
        <v>1425</v>
      </c>
      <c r="C36" s="366" t="s">
        <v>557</v>
      </c>
      <c r="D36" s="366">
        <v>1.4899999999999999E-4</v>
      </c>
      <c r="E36" s="367"/>
      <c r="F36" s="367"/>
      <c r="G36" s="366" t="s">
        <v>556</v>
      </c>
      <c r="H36" s="368">
        <v>2</v>
      </c>
      <c r="I36" s="368"/>
      <c r="J36" s="366"/>
    </row>
    <row r="37" spans="2:10" ht="18" x14ac:dyDescent="0.25">
      <c r="B37" s="365" t="s">
        <v>1426</v>
      </c>
      <c r="C37" s="366" t="s">
        <v>558</v>
      </c>
      <c r="D37" s="366">
        <v>2.9499999999999999E-5</v>
      </c>
      <c r="E37" s="367"/>
      <c r="F37" s="367"/>
      <c r="G37" s="366" t="s">
        <v>556</v>
      </c>
      <c r="H37" s="368">
        <v>2</v>
      </c>
      <c r="I37" s="368"/>
      <c r="J37" s="366"/>
    </row>
    <row r="38" spans="2:10" ht="18" x14ac:dyDescent="0.25">
      <c r="B38" s="365" t="s">
        <v>1427</v>
      </c>
      <c r="C38" s="366" t="s">
        <v>1428</v>
      </c>
      <c r="D38" s="366">
        <v>1.8E-5</v>
      </c>
      <c r="E38" s="367"/>
      <c r="F38" s="367"/>
      <c r="G38" s="366" t="s">
        <v>556</v>
      </c>
      <c r="H38" s="368">
        <v>2</v>
      </c>
      <c r="I38" s="368"/>
      <c r="J38" s="366"/>
    </row>
    <row r="39" spans="2:10" ht="18" x14ac:dyDescent="0.25">
      <c r="B39" s="365" t="s">
        <v>1429</v>
      </c>
      <c r="C39" s="366" t="s">
        <v>1430</v>
      </c>
      <c r="D39" s="366">
        <v>1.22E-4</v>
      </c>
      <c r="E39" s="367"/>
      <c r="F39" s="367"/>
      <c r="G39" s="366" t="s">
        <v>552</v>
      </c>
      <c r="H39" s="368">
        <v>2</v>
      </c>
      <c r="I39" s="368"/>
      <c r="J39" s="366"/>
    </row>
    <row r="41" spans="2:10" ht="15.75" thickBot="1" x14ac:dyDescent="0.3">
      <c r="C41" s="369" t="s">
        <v>559</v>
      </c>
    </row>
    <row r="42" spans="2:10" ht="15.75" thickBot="1" x14ac:dyDescent="0.3">
      <c r="B42" s="370" t="s">
        <v>0</v>
      </c>
      <c r="C42" s="371" t="s">
        <v>1</v>
      </c>
      <c r="D42" s="372" t="s">
        <v>151</v>
      </c>
      <c r="E42" s="372" t="s">
        <v>534</v>
      </c>
      <c r="F42" s="372" t="s">
        <v>535</v>
      </c>
      <c r="G42" s="372" t="s">
        <v>2</v>
      </c>
      <c r="H42" s="372" t="s">
        <v>406</v>
      </c>
      <c r="I42" s="372" t="s">
        <v>115</v>
      </c>
      <c r="J42" s="373" t="s">
        <v>116</v>
      </c>
    </row>
    <row r="43" spans="2:10" ht="18" x14ac:dyDescent="0.25">
      <c r="B43" s="365" t="s">
        <v>560</v>
      </c>
      <c r="C43" s="366" t="s">
        <v>561</v>
      </c>
      <c r="D43" s="366">
        <v>8.0713100000000004</v>
      </c>
      <c r="E43" s="367"/>
      <c r="F43" s="367"/>
      <c r="G43" s="366" t="s">
        <v>216</v>
      </c>
      <c r="H43" s="368"/>
      <c r="I43" s="368"/>
      <c r="J43" s="366"/>
    </row>
    <row r="44" spans="2:10" ht="18" x14ac:dyDescent="0.25">
      <c r="B44" s="365" t="s">
        <v>562</v>
      </c>
      <c r="C44" s="366" t="s">
        <v>563</v>
      </c>
      <c r="D44" s="366">
        <v>1730.63</v>
      </c>
      <c r="E44" s="367"/>
      <c r="F44" s="367"/>
      <c r="G44" s="366" t="s">
        <v>216</v>
      </c>
      <c r="H44" s="368"/>
      <c r="I44" s="368"/>
      <c r="J44" s="366"/>
    </row>
    <row r="45" spans="2:10" ht="18" x14ac:dyDescent="0.25">
      <c r="B45" s="365" t="s">
        <v>564</v>
      </c>
      <c r="C45" s="366" t="s">
        <v>565</v>
      </c>
      <c r="D45" s="366">
        <v>233.42599999999999</v>
      </c>
      <c r="E45" s="367"/>
      <c r="F45" s="367"/>
      <c r="G45" s="366" t="s">
        <v>216</v>
      </c>
      <c r="H45" s="368"/>
      <c r="I45" s="368"/>
      <c r="J45" s="366"/>
    </row>
    <row r="46" spans="2:10" ht="18" x14ac:dyDescent="0.25">
      <c r="B46" s="365" t="s">
        <v>1431</v>
      </c>
      <c r="C46" s="366" t="s">
        <v>1432</v>
      </c>
      <c r="D46" s="366">
        <v>7.2800000000000004E-2</v>
      </c>
      <c r="E46" s="367"/>
      <c r="F46" s="367"/>
      <c r="G46" s="366" t="s">
        <v>1433</v>
      </c>
      <c r="H46" s="368"/>
      <c r="I46" s="368"/>
      <c r="J46" s="366"/>
    </row>
    <row r="47" spans="2:10" ht="18" x14ac:dyDescent="0.25">
      <c r="B47" s="365" t="s">
        <v>566</v>
      </c>
      <c r="C47" s="366" t="s">
        <v>1434</v>
      </c>
      <c r="D47" s="366">
        <v>1000000</v>
      </c>
      <c r="E47" s="367"/>
      <c r="F47" s="367"/>
      <c r="G47" s="366" t="s">
        <v>567</v>
      </c>
      <c r="H47" s="368"/>
      <c r="I47" s="368"/>
      <c r="J47" s="366"/>
    </row>
    <row r="48" spans="2:10" ht="18" x14ac:dyDescent="0.25">
      <c r="B48" s="365" t="s">
        <v>1435</v>
      </c>
      <c r="C48" s="366" t="s">
        <v>1436</v>
      </c>
      <c r="D48" s="366">
        <f>10^-3</f>
        <v>1E-3</v>
      </c>
      <c r="E48" s="367"/>
      <c r="F48" s="367"/>
      <c r="G48" s="366" t="s">
        <v>1437</v>
      </c>
      <c r="H48" s="368"/>
      <c r="I48" s="368"/>
      <c r="J48" s="366"/>
    </row>
    <row r="50" spans="2:10" ht="15.75" thickBot="1" x14ac:dyDescent="0.3">
      <c r="C50" s="369" t="s">
        <v>568</v>
      </c>
    </row>
    <row r="51" spans="2:10" ht="15.75" thickBot="1" x14ac:dyDescent="0.3">
      <c r="B51" s="370" t="s">
        <v>0</v>
      </c>
      <c r="C51" s="371" t="s">
        <v>1</v>
      </c>
      <c r="D51" s="372" t="s">
        <v>151</v>
      </c>
      <c r="E51" s="372" t="s">
        <v>534</v>
      </c>
      <c r="F51" s="372" t="s">
        <v>535</v>
      </c>
      <c r="G51" s="372" t="s">
        <v>2</v>
      </c>
      <c r="H51" s="372" t="s">
        <v>406</v>
      </c>
      <c r="I51" s="372" t="s">
        <v>115</v>
      </c>
      <c r="J51" s="373" t="s">
        <v>116</v>
      </c>
    </row>
    <row r="52" spans="2:10" ht="18" x14ac:dyDescent="0.25">
      <c r="B52" s="365" t="s">
        <v>569</v>
      </c>
      <c r="C52" s="366" t="s">
        <v>570</v>
      </c>
      <c r="D52" s="366">
        <v>0.20949999999999999</v>
      </c>
      <c r="E52" s="367">
        <v>0</v>
      </c>
      <c r="F52" s="367">
        <v>1</v>
      </c>
      <c r="G52" s="366" t="s">
        <v>571</v>
      </c>
      <c r="H52" s="368"/>
      <c r="I52" s="368"/>
      <c r="J52" s="366"/>
    </row>
    <row r="53" spans="2:10" ht="18" x14ac:dyDescent="0.25">
      <c r="B53" s="365" t="s">
        <v>572</v>
      </c>
      <c r="C53" s="366" t="s">
        <v>573</v>
      </c>
      <c r="D53" s="366">
        <v>0.78080000000000005</v>
      </c>
      <c r="E53" s="367">
        <v>0</v>
      </c>
      <c r="F53" s="367">
        <v>1</v>
      </c>
      <c r="G53" s="366" t="s">
        <v>571</v>
      </c>
      <c r="H53" s="368"/>
      <c r="I53" s="368"/>
      <c r="J53" s="366"/>
    </row>
    <row r="54" spans="2:10" ht="18" x14ac:dyDescent="0.25">
      <c r="B54" s="365" t="s">
        <v>574</v>
      </c>
      <c r="C54" s="366" t="s">
        <v>575</v>
      </c>
      <c r="D54" s="366">
        <v>9.2999999999999992E-3</v>
      </c>
      <c r="E54" s="367">
        <v>0</v>
      </c>
      <c r="F54" s="367">
        <v>1</v>
      </c>
      <c r="G54" s="366" t="s">
        <v>571</v>
      </c>
      <c r="H54" s="368"/>
      <c r="I54" s="368"/>
      <c r="J54" s="366"/>
    </row>
    <row r="55" spans="2:10" ht="18" x14ac:dyDescent="0.25">
      <c r="B55" s="365" t="s">
        <v>576</v>
      </c>
      <c r="C55" s="366" t="s">
        <v>577</v>
      </c>
      <c r="D55" s="366">
        <v>4.0000000000000002E-4</v>
      </c>
      <c r="E55" s="367">
        <v>0</v>
      </c>
      <c r="F55" s="367">
        <v>1</v>
      </c>
      <c r="G55" s="366" t="s">
        <v>571</v>
      </c>
      <c r="H55" s="368"/>
      <c r="I55" s="368"/>
      <c r="J55" s="366"/>
    </row>
    <row r="56" spans="2:10" ht="18" x14ac:dyDescent="0.25">
      <c r="B56" s="365" t="s">
        <v>1438</v>
      </c>
      <c r="C56" s="366" t="s">
        <v>1439</v>
      </c>
      <c r="D56" s="366">
        <v>1200</v>
      </c>
      <c r="E56" s="367"/>
      <c r="F56" s="367"/>
      <c r="G56" s="366" t="s">
        <v>567</v>
      </c>
      <c r="H56" s="368"/>
      <c r="I56" s="368"/>
      <c r="J56" s="366"/>
    </row>
    <row r="57" spans="2:10" ht="18" x14ac:dyDescent="0.25">
      <c r="B57" s="365" t="s">
        <v>1440</v>
      </c>
      <c r="C57" s="366" t="s">
        <v>579</v>
      </c>
      <c r="D57" s="366">
        <v>101325</v>
      </c>
      <c r="E57" s="367">
        <v>0</v>
      </c>
      <c r="F57" s="367"/>
      <c r="G57" s="366" t="s">
        <v>580</v>
      </c>
      <c r="H57" s="368"/>
      <c r="I57" s="368"/>
      <c r="J57" s="366"/>
    </row>
    <row r="58" spans="2:10" ht="18" x14ac:dyDescent="0.25">
      <c r="B58" s="365" t="s">
        <v>1441</v>
      </c>
      <c r="C58" s="366" t="s">
        <v>1442</v>
      </c>
      <c r="D58" s="366">
        <v>101325</v>
      </c>
      <c r="E58" s="367">
        <v>0</v>
      </c>
      <c r="F58" s="367"/>
      <c r="G58" s="366" t="s">
        <v>580</v>
      </c>
      <c r="H58" s="368"/>
      <c r="I58" s="368"/>
      <c r="J58" s="366"/>
    </row>
    <row r="60" spans="2:10" ht="15.75" thickBot="1" x14ac:dyDescent="0.3">
      <c r="C60" s="369" t="s">
        <v>1443</v>
      </c>
    </row>
    <row r="61" spans="2:10" ht="15.75" thickBot="1" x14ac:dyDescent="0.3">
      <c r="B61" s="370" t="s">
        <v>0</v>
      </c>
      <c r="C61" s="371" t="s">
        <v>1</v>
      </c>
      <c r="D61" s="372" t="s">
        <v>151</v>
      </c>
      <c r="E61" s="372" t="s">
        <v>534</v>
      </c>
      <c r="F61" s="372" t="s">
        <v>535</v>
      </c>
      <c r="G61" s="372" t="s">
        <v>2</v>
      </c>
      <c r="H61" s="372" t="s">
        <v>406</v>
      </c>
      <c r="I61" s="372" t="s">
        <v>115</v>
      </c>
      <c r="J61" s="373" t="s">
        <v>116</v>
      </c>
    </row>
    <row r="62" spans="2:10" ht="18" x14ac:dyDescent="0.25">
      <c r="B62" s="365" t="s">
        <v>1444</v>
      </c>
      <c r="C62" s="366" t="s">
        <v>1445</v>
      </c>
      <c r="D62" s="366">
        <v>0.04</v>
      </c>
      <c r="E62" s="367">
        <v>0</v>
      </c>
      <c r="F62" s="367">
        <v>100</v>
      </c>
      <c r="G62" s="366" t="s">
        <v>1446</v>
      </c>
      <c r="H62" s="368"/>
      <c r="I62" s="368"/>
      <c r="J62" s="366"/>
    </row>
    <row r="63" spans="2:10" ht="18" x14ac:dyDescent="0.25">
      <c r="B63" s="365" t="s">
        <v>1447</v>
      </c>
      <c r="C63" s="366" t="s">
        <v>1448</v>
      </c>
      <c r="D63" s="366" t="s">
        <v>1268</v>
      </c>
      <c r="E63" s="367">
        <v>0</v>
      </c>
      <c r="F63" s="367">
        <v>100</v>
      </c>
      <c r="G63" s="366" t="s">
        <v>1446</v>
      </c>
      <c r="H63" s="368"/>
      <c r="I63" s="368"/>
      <c r="J63" s="366"/>
    </row>
    <row r="64" spans="2:10" ht="18" x14ac:dyDescent="0.25">
      <c r="B64" s="365" t="s">
        <v>1449</v>
      </c>
      <c r="C64" s="366" t="s">
        <v>1450</v>
      </c>
      <c r="D64" s="366" t="s">
        <v>1268</v>
      </c>
      <c r="E64" s="367">
        <v>0</v>
      </c>
      <c r="F64" s="367">
        <v>100</v>
      </c>
      <c r="G64" s="366" t="s">
        <v>1446</v>
      </c>
      <c r="H64" s="368"/>
      <c r="I64" s="368"/>
      <c r="J64" s="366"/>
    </row>
    <row r="65" spans="2:12" ht="18" x14ac:dyDescent="0.25">
      <c r="B65" s="365" t="s">
        <v>1451</v>
      </c>
      <c r="C65" s="366" t="s">
        <v>1452</v>
      </c>
      <c r="D65" s="366">
        <v>20.95</v>
      </c>
      <c r="E65" s="367">
        <v>0</v>
      </c>
      <c r="F65" s="367">
        <v>100</v>
      </c>
      <c r="G65" s="366" t="s">
        <v>1446</v>
      </c>
      <c r="H65" s="368"/>
      <c r="I65" s="368"/>
      <c r="J65" s="366"/>
    </row>
    <row r="66" spans="2:12" ht="18" x14ac:dyDescent="0.25">
      <c r="B66" s="365" t="s">
        <v>1453</v>
      </c>
      <c r="C66" s="366" t="s">
        <v>1454</v>
      </c>
      <c r="D66" s="366" t="s">
        <v>1268</v>
      </c>
      <c r="E66" s="367">
        <v>0</v>
      </c>
      <c r="F66" s="367">
        <v>100</v>
      </c>
      <c r="G66" s="366" t="s">
        <v>1446</v>
      </c>
      <c r="H66" s="368"/>
      <c r="I66" s="368"/>
      <c r="J66" s="366"/>
    </row>
    <row r="67" spans="2:12" ht="18" x14ac:dyDescent="0.25">
      <c r="B67" s="365" t="s">
        <v>1455</v>
      </c>
      <c r="C67" s="366" t="s">
        <v>1456</v>
      </c>
      <c r="D67" s="366">
        <v>79.010000000000005</v>
      </c>
      <c r="E67" s="367">
        <v>0</v>
      </c>
      <c r="F67" s="367">
        <v>100</v>
      </c>
      <c r="G67" s="366" t="s">
        <v>1446</v>
      </c>
      <c r="H67" s="368"/>
      <c r="I67" s="368"/>
      <c r="J67" s="366"/>
    </row>
    <row r="68" spans="2:12" ht="18" x14ac:dyDescent="0.25">
      <c r="B68" s="365" t="s">
        <v>1457</v>
      </c>
      <c r="C68" s="366" t="s">
        <v>1458</v>
      </c>
      <c r="D68" s="366" t="s">
        <v>1268</v>
      </c>
      <c r="E68" s="367">
        <v>0</v>
      </c>
      <c r="F68" s="367">
        <v>100</v>
      </c>
      <c r="G68" s="366" t="s">
        <v>1446</v>
      </c>
      <c r="H68" s="368"/>
      <c r="I68" s="368"/>
      <c r="J68" s="366"/>
    </row>
    <row r="69" spans="2:12" ht="18" x14ac:dyDescent="0.25">
      <c r="B69" s="365" t="s">
        <v>1459</v>
      </c>
      <c r="C69" s="366" t="s">
        <v>1460</v>
      </c>
      <c r="D69" s="366">
        <v>1</v>
      </c>
      <c r="E69" s="367">
        <v>0</v>
      </c>
      <c r="F69" s="367">
        <v>1</v>
      </c>
      <c r="G69" s="366" t="s">
        <v>1461</v>
      </c>
      <c r="H69" s="368"/>
      <c r="I69" s="368"/>
      <c r="J69" s="366" t="s">
        <v>1462</v>
      </c>
    </row>
    <row r="71" spans="2:12" ht="15.75" thickBot="1" x14ac:dyDescent="0.3">
      <c r="C71" s="369" t="s">
        <v>581</v>
      </c>
    </row>
    <row r="72" spans="2:12" ht="15.75" thickBot="1" x14ac:dyDescent="0.3">
      <c r="B72" s="370" t="s">
        <v>0</v>
      </c>
      <c r="C72" s="371" t="s">
        <v>1</v>
      </c>
      <c r="D72" s="372" t="s">
        <v>151</v>
      </c>
      <c r="E72" s="372" t="s">
        <v>534</v>
      </c>
      <c r="F72" s="372" t="s">
        <v>535</v>
      </c>
      <c r="G72" s="372" t="s">
        <v>2</v>
      </c>
      <c r="H72" s="372" t="s">
        <v>406</v>
      </c>
      <c r="I72" s="372" t="s">
        <v>115</v>
      </c>
      <c r="J72" s="373" t="s">
        <v>116</v>
      </c>
    </row>
    <row r="73" spans="2:12" ht="17.25" x14ac:dyDescent="0.25">
      <c r="B73" s="365" t="s">
        <v>582</v>
      </c>
      <c r="C73" s="366" t="s">
        <v>583</v>
      </c>
      <c r="D73" s="366">
        <v>8.3144721500000003</v>
      </c>
      <c r="E73" s="367"/>
      <c r="F73" s="367"/>
      <c r="G73" s="366" t="s">
        <v>584</v>
      </c>
      <c r="H73" s="368"/>
      <c r="I73" s="368"/>
      <c r="J73" s="366"/>
    </row>
    <row r="74" spans="2:12" ht="18" x14ac:dyDescent="0.25">
      <c r="B74" s="365" t="s">
        <v>1463</v>
      </c>
      <c r="C74" s="366" t="s">
        <v>1464</v>
      </c>
      <c r="D74" s="366">
        <v>287.10199999999998</v>
      </c>
      <c r="E74" s="367"/>
      <c r="F74" s="367"/>
      <c r="G74" s="366" t="s">
        <v>1465</v>
      </c>
      <c r="H74" s="368"/>
      <c r="I74" s="368"/>
      <c r="J74" s="366"/>
    </row>
    <row r="75" spans="2:12" ht="18" x14ac:dyDescent="0.25">
      <c r="B75" s="365" t="s">
        <v>1466</v>
      </c>
      <c r="C75" s="366" t="s">
        <v>1467</v>
      </c>
      <c r="D75" s="366">
        <f>(T_STP_K*R__)/p_N</f>
        <v>2.24139952407846E-2</v>
      </c>
      <c r="E75" s="367"/>
      <c r="F75" s="367"/>
      <c r="G75" s="366" t="s">
        <v>1468</v>
      </c>
      <c r="H75" s="368"/>
      <c r="I75" s="368"/>
      <c r="J75" s="366"/>
    </row>
    <row r="76" spans="2:12" x14ac:dyDescent="0.25">
      <c r="B76" s="365" t="s">
        <v>1469</v>
      </c>
      <c r="C76" s="366" t="s">
        <v>1470</v>
      </c>
      <c r="D76" s="366">
        <v>1.4</v>
      </c>
      <c r="E76" s="367"/>
      <c r="F76" s="367"/>
      <c r="G76" s="366" t="s">
        <v>216</v>
      </c>
      <c r="H76" s="368"/>
      <c r="I76" s="368"/>
      <c r="J76" s="366"/>
      <c r="L76" s="359">
        <v>2.24139952407846E-2</v>
      </c>
    </row>
    <row r="77" spans="2:12" ht="17.25" x14ac:dyDescent="0.25">
      <c r="B77" s="365" t="s">
        <v>585</v>
      </c>
      <c r="C77" s="366" t="s">
        <v>586</v>
      </c>
      <c r="D77" s="366">
        <v>96485.339924</v>
      </c>
      <c r="E77" s="367"/>
      <c r="F77" s="367"/>
      <c r="G77" s="366" t="s">
        <v>587</v>
      </c>
      <c r="H77" s="368"/>
      <c r="I77" s="368"/>
      <c r="J77" s="366"/>
    </row>
    <row r="78" spans="2:12" ht="18" x14ac:dyDescent="0.25">
      <c r="B78" s="365" t="s">
        <v>588</v>
      </c>
      <c r="C78" s="366" t="s">
        <v>589</v>
      </c>
      <c r="D78" s="366">
        <v>9.8066499999999994</v>
      </c>
      <c r="E78" s="367"/>
      <c r="F78" s="367"/>
      <c r="G78" s="366" t="s">
        <v>590</v>
      </c>
      <c r="H78" s="368"/>
      <c r="I78" s="368"/>
      <c r="J78" s="366"/>
    </row>
    <row r="79" spans="2:12" ht="18" x14ac:dyDescent="0.25">
      <c r="B79" s="365" t="s">
        <v>1076</v>
      </c>
      <c r="C79" s="366" t="s">
        <v>1077</v>
      </c>
      <c r="D79" s="366">
        <v>4.1813000000000002</v>
      </c>
      <c r="E79" s="367"/>
      <c r="F79" s="367"/>
      <c r="G79" s="366" t="s">
        <v>1471</v>
      </c>
      <c r="H79" s="368"/>
      <c r="I79" s="368"/>
      <c r="J79" s="366"/>
    </row>
    <row r="80" spans="2:12" ht="18" x14ac:dyDescent="0.25">
      <c r="B80" s="365" t="s">
        <v>1472</v>
      </c>
      <c r="C80" s="366" t="s">
        <v>1473</v>
      </c>
      <c r="D80" s="366">
        <v>298.14999999999998</v>
      </c>
      <c r="E80" s="367"/>
      <c r="F80" s="367"/>
      <c r="G80" s="366" t="s">
        <v>539</v>
      </c>
      <c r="H80" s="368"/>
      <c r="I80" s="368"/>
      <c r="J80" s="366" t="s">
        <v>1474</v>
      </c>
    </row>
    <row r="81" spans="2:10" ht="18" x14ac:dyDescent="0.25">
      <c r="B81" s="365" t="s">
        <v>1475</v>
      </c>
      <c r="C81" s="366" t="s">
        <v>1476</v>
      </c>
      <c r="D81" s="366">
        <v>293.14999999999998</v>
      </c>
      <c r="E81" s="367"/>
      <c r="F81" s="367"/>
      <c r="G81" s="366" t="s">
        <v>539</v>
      </c>
      <c r="H81" s="368"/>
      <c r="I81" s="368"/>
      <c r="J81" s="366" t="s">
        <v>1477</v>
      </c>
    </row>
    <row r="82" spans="2:10" ht="18" x14ac:dyDescent="0.25">
      <c r="B82" s="365" t="s">
        <v>1478</v>
      </c>
      <c r="C82" s="366" t="s">
        <v>1479</v>
      </c>
      <c r="D82" s="366">
        <v>273.14999999999998</v>
      </c>
      <c r="E82" s="367"/>
      <c r="F82" s="367"/>
      <c r="G82" s="366" t="s">
        <v>539</v>
      </c>
      <c r="H82" s="368"/>
      <c r="I82" s="368"/>
      <c r="J82" s="366" t="s">
        <v>1480</v>
      </c>
    </row>
    <row r="83" spans="2:10" ht="18" x14ac:dyDescent="0.25">
      <c r="B83" s="365" t="s">
        <v>1481</v>
      </c>
      <c r="C83" s="366" t="s">
        <v>1255</v>
      </c>
      <c r="D83" s="366">
        <v>0</v>
      </c>
      <c r="E83" s="367"/>
      <c r="F83" s="367"/>
      <c r="G83" s="366" t="s">
        <v>1406</v>
      </c>
      <c r="H83" s="368"/>
      <c r="I83" s="368"/>
      <c r="J83" s="366" t="s">
        <v>1482</v>
      </c>
    </row>
    <row r="85" spans="2:10" ht="15.75" thickBot="1" x14ac:dyDescent="0.3">
      <c r="C85" s="369" t="s">
        <v>591</v>
      </c>
    </row>
    <row r="86" spans="2:10" ht="15.75" thickBot="1" x14ac:dyDescent="0.3">
      <c r="B86" s="370" t="s">
        <v>0</v>
      </c>
      <c r="C86" s="371" t="s">
        <v>1</v>
      </c>
      <c r="D86" s="372" t="s">
        <v>151</v>
      </c>
      <c r="E86" s="372" t="s">
        <v>534</v>
      </c>
      <c r="F86" s="372" t="s">
        <v>535</v>
      </c>
      <c r="G86" s="372" t="s">
        <v>2</v>
      </c>
      <c r="H86" s="372" t="s">
        <v>406</v>
      </c>
      <c r="I86" s="372" t="s">
        <v>115</v>
      </c>
      <c r="J86" s="373" t="s">
        <v>116</v>
      </c>
    </row>
    <row r="87" spans="2:10" x14ac:dyDescent="0.25">
      <c r="B87" s="365" t="s">
        <v>592</v>
      </c>
      <c r="C87" s="366" t="s">
        <v>593</v>
      </c>
      <c r="D87" s="366">
        <v>3.1415926500000002</v>
      </c>
      <c r="E87" s="367"/>
      <c r="F87" s="367"/>
      <c r="G87" s="366" t="s">
        <v>216</v>
      </c>
      <c r="H87" s="368"/>
      <c r="I87" s="368"/>
      <c r="J87" s="366"/>
    </row>
    <row r="89" spans="2:10" ht="15.75" thickBot="1" x14ac:dyDescent="0.3">
      <c r="C89" s="369" t="s">
        <v>594</v>
      </c>
    </row>
    <row r="90" spans="2:10" ht="15.75" thickBot="1" x14ac:dyDescent="0.3">
      <c r="B90" s="370" t="s">
        <v>0</v>
      </c>
      <c r="C90" s="371" t="s">
        <v>1</v>
      </c>
      <c r="D90" s="372" t="s">
        <v>151</v>
      </c>
      <c r="E90" s="372" t="s">
        <v>534</v>
      </c>
      <c r="F90" s="372" t="s">
        <v>535</v>
      </c>
      <c r="G90" s="372" t="s">
        <v>2</v>
      </c>
      <c r="H90" s="372" t="s">
        <v>406</v>
      </c>
      <c r="I90" s="372" t="s">
        <v>115</v>
      </c>
      <c r="J90" s="373" t="s">
        <v>116</v>
      </c>
    </row>
    <row r="91" spans="2:10" ht="18" x14ac:dyDescent="0.25">
      <c r="B91" s="365" t="s">
        <v>595</v>
      </c>
      <c r="C91" s="366" t="s">
        <v>596</v>
      </c>
      <c r="D91" s="366">
        <v>1.0079400000000001</v>
      </c>
      <c r="E91" s="367"/>
      <c r="F91" s="367"/>
      <c r="G91" s="366" t="s">
        <v>597</v>
      </c>
      <c r="H91" s="368"/>
      <c r="I91" s="368"/>
      <c r="J91" s="366"/>
    </row>
    <row r="92" spans="2:10" ht="18" x14ac:dyDescent="0.25">
      <c r="B92" s="365" t="s">
        <v>598</v>
      </c>
      <c r="C92" s="366" t="s">
        <v>599</v>
      </c>
      <c r="D92" s="366">
        <v>4.0026020000000004</v>
      </c>
      <c r="E92" s="367"/>
      <c r="F92" s="367"/>
      <c r="G92" s="366" t="s">
        <v>597</v>
      </c>
      <c r="H92" s="368"/>
      <c r="I92" s="368"/>
      <c r="J92" s="366"/>
    </row>
    <row r="93" spans="2:10" ht="18" x14ac:dyDescent="0.25">
      <c r="B93" s="365" t="s">
        <v>600</v>
      </c>
      <c r="C93" s="366" t="s">
        <v>601</v>
      </c>
      <c r="D93" s="366">
        <v>6.9409999999999998</v>
      </c>
      <c r="E93" s="367"/>
      <c r="F93" s="367"/>
      <c r="G93" s="366" t="s">
        <v>597</v>
      </c>
      <c r="H93" s="368"/>
      <c r="I93" s="368"/>
      <c r="J93" s="366"/>
    </row>
    <row r="94" spans="2:10" ht="18" x14ac:dyDescent="0.25">
      <c r="B94" s="365" t="s">
        <v>602</v>
      </c>
      <c r="C94" s="366" t="s">
        <v>603</v>
      </c>
      <c r="D94" s="366">
        <v>9.0121819999999992</v>
      </c>
      <c r="E94" s="367"/>
      <c r="F94" s="367"/>
      <c r="G94" s="366" t="s">
        <v>597</v>
      </c>
      <c r="H94" s="368"/>
      <c r="I94" s="368"/>
      <c r="J94" s="366"/>
    </row>
    <row r="95" spans="2:10" ht="18" x14ac:dyDescent="0.25">
      <c r="B95" s="365" t="s">
        <v>604</v>
      </c>
      <c r="C95" s="366" t="s">
        <v>605</v>
      </c>
      <c r="D95" s="366">
        <v>10.811</v>
      </c>
      <c r="E95" s="367"/>
      <c r="F95" s="367"/>
      <c r="G95" s="366" t="s">
        <v>597</v>
      </c>
      <c r="H95" s="368"/>
      <c r="I95" s="368"/>
      <c r="J95" s="366"/>
    </row>
    <row r="96" spans="2:10" ht="18" x14ac:dyDescent="0.25">
      <c r="B96" s="365" t="s">
        <v>606</v>
      </c>
      <c r="C96" s="366" t="s">
        <v>607</v>
      </c>
      <c r="D96" s="366">
        <v>12.0107</v>
      </c>
      <c r="E96" s="367"/>
      <c r="F96" s="367"/>
      <c r="G96" s="366" t="s">
        <v>597</v>
      </c>
      <c r="H96" s="368"/>
      <c r="I96" s="368"/>
      <c r="J96" s="366"/>
    </row>
    <row r="97" spans="2:10" ht="18" x14ac:dyDescent="0.25">
      <c r="B97" s="365" t="s">
        <v>608</v>
      </c>
      <c r="C97" s="366" t="s">
        <v>609</v>
      </c>
      <c r="D97" s="366">
        <v>14.0067</v>
      </c>
      <c r="E97" s="367"/>
      <c r="F97" s="367"/>
      <c r="G97" s="366" t="s">
        <v>597</v>
      </c>
      <c r="H97" s="368"/>
      <c r="I97" s="368"/>
      <c r="J97" s="366"/>
    </row>
    <row r="98" spans="2:10" ht="18" x14ac:dyDescent="0.25">
      <c r="B98" s="365" t="s">
        <v>610</v>
      </c>
      <c r="C98" s="366" t="s">
        <v>611</v>
      </c>
      <c r="D98" s="366">
        <v>15.9994</v>
      </c>
      <c r="E98" s="367"/>
      <c r="F98" s="367"/>
      <c r="G98" s="366" t="s">
        <v>597</v>
      </c>
      <c r="H98" s="368"/>
      <c r="I98" s="368"/>
      <c r="J98" s="366"/>
    </row>
    <row r="99" spans="2:10" ht="18" x14ac:dyDescent="0.25">
      <c r="B99" s="365" t="s">
        <v>612</v>
      </c>
      <c r="C99" s="366" t="s">
        <v>613</v>
      </c>
      <c r="D99" s="366">
        <v>18.998403</v>
      </c>
      <c r="E99" s="367"/>
      <c r="F99" s="367"/>
      <c r="G99" s="366" t="s">
        <v>597</v>
      </c>
      <c r="H99" s="368"/>
      <c r="I99" s="368"/>
      <c r="J99" s="366"/>
    </row>
    <row r="100" spans="2:10" ht="18" x14ac:dyDescent="0.25">
      <c r="B100" s="365" t="s">
        <v>614</v>
      </c>
      <c r="C100" s="366" t="s">
        <v>615</v>
      </c>
      <c r="D100" s="366">
        <v>20.1797</v>
      </c>
      <c r="E100" s="367"/>
      <c r="F100" s="367"/>
      <c r="G100" s="366" t="s">
        <v>597</v>
      </c>
      <c r="H100" s="368"/>
      <c r="I100" s="368"/>
      <c r="J100" s="366"/>
    </row>
    <row r="101" spans="2:10" ht="18" x14ac:dyDescent="0.25">
      <c r="B101" s="365" t="s">
        <v>616</v>
      </c>
      <c r="C101" s="366" t="s">
        <v>617</v>
      </c>
      <c r="D101" s="366">
        <v>22.989768999999999</v>
      </c>
      <c r="E101" s="367"/>
      <c r="F101" s="367"/>
      <c r="G101" s="366" t="s">
        <v>597</v>
      </c>
      <c r="H101" s="368"/>
      <c r="I101" s="368"/>
      <c r="J101" s="366"/>
    </row>
    <row r="102" spans="2:10" ht="18" x14ac:dyDescent="0.25">
      <c r="B102" s="365" t="s">
        <v>618</v>
      </c>
      <c r="C102" s="366" t="s">
        <v>619</v>
      </c>
      <c r="D102" s="366">
        <v>24.305</v>
      </c>
      <c r="E102" s="367"/>
      <c r="F102" s="367"/>
      <c r="G102" s="366" t="s">
        <v>597</v>
      </c>
      <c r="H102" s="368"/>
      <c r="I102" s="368"/>
      <c r="J102" s="366"/>
    </row>
    <row r="103" spans="2:10" ht="18" x14ac:dyDescent="0.25">
      <c r="B103" s="365" t="s">
        <v>620</v>
      </c>
      <c r="C103" s="366" t="s">
        <v>621</v>
      </c>
      <c r="D103" s="366">
        <v>26.9815</v>
      </c>
      <c r="E103" s="367"/>
      <c r="F103" s="367"/>
      <c r="G103" s="366" t="s">
        <v>597</v>
      </c>
      <c r="H103" s="368"/>
      <c r="I103" s="368"/>
      <c r="J103" s="366"/>
    </row>
    <row r="104" spans="2:10" ht="18" x14ac:dyDescent="0.25">
      <c r="B104" s="365" t="s">
        <v>622</v>
      </c>
      <c r="C104" s="366" t="s">
        <v>623</v>
      </c>
      <c r="D104" s="366">
        <v>28.0855</v>
      </c>
      <c r="E104" s="367"/>
      <c r="F104" s="367"/>
      <c r="G104" s="366" t="s">
        <v>597</v>
      </c>
      <c r="H104" s="368"/>
      <c r="I104" s="368"/>
      <c r="J104" s="366"/>
    </row>
    <row r="105" spans="2:10" ht="18" x14ac:dyDescent="0.25">
      <c r="B105" s="365" t="s">
        <v>624</v>
      </c>
      <c r="C105" s="366" t="s">
        <v>625</v>
      </c>
      <c r="D105" s="366">
        <v>30.973762199999999</v>
      </c>
      <c r="E105" s="367"/>
      <c r="F105" s="367"/>
      <c r="G105" s="366" t="s">
        <v>597</v>
      </c>
      <c r="H105" s="368"/>
      <c r="I105" s="368"/>
      <c r="J105" s="366"/>
    </row>
    <row r="106" spans="2:10" ht="18" x14ac:dyDescent="0.25">
      <c r="B106" s="365" t="s">
        <v>626</v>
      </c>
      <c r="C106" s="366" t="s">
        <v>627</v>
      </c>
      <c r="D106" s="366">
        <v>32.064999999999998</v>
      </c>
      <c r="E106" s="367"/>
      <c r="F106" s="367"/>
      <c r="G106" s="366" t="s">
        <v>597</v>
      </c>
      <c r="H106" s="368"/>
      <c r="I106" s="368"/>
      <c r="J106" s="366"/>
    </row>
    <row r="107" spans="2:10" ht="18" x14ac:dyDescent="0.25">
      <c r="B107" s="365" t="s">
        <v>628</v>
      </c>
      <c r="C107" s="366" t="s">
        <v>629</v>
      </c>
      <c r="D107" s="366">
        <v>35.453000000000003</v>
      </c>
      <c r="E107" s="367"/>
      <c r="F107" s="367"/>
      <c r="G107" s="366" t="s">
        <v>597</v>
      </c>
      <c r="H107" s="368"/>
      <c r="I107" s="368"/>
      <c r="J107" s="366"/>
    </row>
    <row r="108" spans="2:10" ht="18" x14ac:dyDescent="0.25">
      <c r="B108" s="365" t="s">
        <v>630</v>
      </c>
      <c r="C108" s="366" t="s">
        <v>631</v>
      </c>
      <c r="D108" s="366">
        <v>39.948</v>
      </c>
      <c r="E108" s="367"/>
      <c r="F108" s="367"/>
      <c r="G108" s="366" t="s">
        <v>597</v>
      </c>
      <c r="H108" s="368"/>
      <c r="I108" s="368"/>
      <c r="J108" s="366"/>
    </row>
    <row r="109" spans="2:10" ht="18" x14ac:dyDescent="0.25">
      <c r="B109" s="365" t="s">
        <v>632</v>
      </c>
      <c r="C109" s="366" t="s">
        <v>633</v>
      </c>
      <c r="D109" s="366">
        <v>39.098300000000002</v>
      </c>
      <c r="E109" s="367"/>
      <c r="F109" s="367"/>
      <c r="G109" s="366" t="s">
        <v>597</v>
      </c>
      <c r="H109" s="368"/>
      <c r="I109" s="368"/>
      <c r="J109" s="366"/>
    </row>
    <row r="110" spans="2:10" ht="18" x14ac:dyDescent="0.25">
      <c r="B110" s="365" t="s">
        <v>634</v>
      </c>
      <c r="C110" s="366" t="s">
        <v>635</v>
      </c>
      <c r="D110" s="366">
        <v>40.078000000000003</v>
      </c>
      <c r="E110" s="367"/>
      <c r="F110" s="367"/>
      <c r="G110" s="366" t="s">
        <v>597</v>
      </c>
      <c r="H110" s="368"/>
      <c r="I110" s="368"/>
      <c r="J110" s="366"/>
    </row>
    <row r="111" spans="2:10" ht="18" x14ac:dyDescent="0.25">
      <c r="B111" s="365" t="s">
        <v>636</v>
      </c>
      <c r="C111" s="366" t="s">
        <v>637</v>
      </c>
      <c r="D111" s="366">
        <v>44.955911999999998</v>
      </c>
      <c r="E111" s="367"/>
      <c r="F111" s="367"/>
      <c r="G111" s="366" t="s">
        <v>597</v>
      </c>
      <c r="H111" s="368"/>
      <c r="I111" s="368"/>
      <c r="J111" s="366"/>
    </row>
    <row r="112" spans="2:10" ht="18" x14ac:dyDescent="0.25">
      <c r="B112" s="365" t="s">
        <v>638</v>
      </c>
      <c r="C112" s="366" t="s">
        <v>639</v>
      </c>
      <c r="D112" s="366">
        <v>47.866999999999997</v>
      </c>
      <c r="E112" s="367"/>
      <c r="F112" s="367"/>
      <c r="G112" s="366" t="s">
        <v>597</v>
      </c>
      <c r="H112" s="368"/>
      <c r="I112" s="368"/>
      <c r="J112" s="366"/>
    </row>
    <row r="113" spans="2:10" ht="18" x14ac:dyDescent="0.25">
      <c r="B113" s="365" t="s">
        <v>640</v>
      </c>
      <c r="C113" s="366" t="s">
        <v>641</v>
      </c>
      <c r="D113" s="366">
        <v>50.941499999999998</v>
      </c>
      <c r="E113" s="367"/>
      <c r="F113" s="367"/>
      <c r="G113" s="366" t="s">
        <v>597</v>
      </c>
      <c r="H113" s="368"/>
      <c r="I113" s="368"/>
      <c r="J113" s="366"/>
    </row>
    <row r="114" spans="2:10" ht="18" x14ac:dyDescent="0.25">
      <c r="B114" s="365" t="s">
        <v>642</v>
      </c>
      <c r="C114" s="366" t="s">
        <v>643</v>
      </c>
      <c r="D114" s="366">
        <v>51.996099999999998</v>
      </c>
      <c r="E114" s="367"/>
      <c r="F114" s="367"/>
      <c r="G114" s="366" t="s">
        <v>597</v>
      </c>
      <c r="H114" s="368"/>
      <c r="I114" s="368"/>
      <c r="J114" s="366"/>
    </row>
    <row r="115" spans="2:10" ht="18" x14ac:dyDescent="0.25">
      <c r="B115" s="365" t="s">
        <v>644</v>
      </c>
      <c r="C115" s="366" t="s">
        <v>645</v>
      </c>
      <c r="D115" s="366">
        <v>54.938045000000002</v>
      </c>
      <c r="E115" s="367"/>
      <c r="F115" s="367"/>
      <c r="G115" s="366" t="s">
        <v>597</v>
      </c>
      <c r="H115" s="368"/>
      <c r="I115" s="368"/>
      <c r="J115" s="366"/>
    </row>
    <row r="116" spans="2:10" ht="18" x14ac:dyDescent="0.25">
      <c r="B116" s="365" t="s">
        <v>646</v>
      </c>
      <c r="C116" s="366" t="s">
        <v>647</v>
      </c>
      <c r="D116" s="366">
        <v>55.844999999999999</v>
      </c>
      <c r="E116" s="367"/>
      <c r="F116" s="367"/>
      <c r="G116" s="366" t="s">
        <v>597</v>
      </c>
      <c r="H116" s="368"/>
      <c r="I116" s="368"/>
      <c r="J116" s="366"/>
    </row>
    <row r="117" spans="2:10" ht="18" x14ac:dyDescent="0.25">
      <c r="B117" s="365" t="s">
        <v>648</v>
      </c>
      <c r="C117" s="366" t="s">
        <v>649</v>
      </c>
      <c r="D117" s="366">
        <v>58.933194999999998</v>
      </c>
      <c r="E117" s="367"/>
      <c r="F117" s="367"/>
      <c r="G117" s="366" t="s">
        <v>597</v>
      </c>
      <c r="H117" s="368"/>
      <c r="I117" s="368"/>
      <c r="J117" s="366"/>
    </row>
    <row r="118" spans="2:10" ht="18" x14ac:dyDescent="0.25">
      <c r="B118" s="365" t="s">
        <v>650</v>
      </c>
      <c r="C118" s="366" t="s">
        <v>651</v>
      </c>
      <c r="D118" s="366">
        <v>58.693399999999997</v>
      </c>
      <c r="E118" s="367"/>
      <c r="F118" s="367"/>
      <c r="G118" s="366" t="s">
        <v>597</v>
      </c>
      <c r="H118" s="368"/>
      <c r="I118" s="368"/>
      <c r="J118" s="366"/>
    </row>
    <row r="119" spans="2:10" ht="18" x14ac:dyDescent="0.25">
      <c r="B119" s="365" t="s">
        <v>652</v>
      </c>
      <c r="C119" s="366" t="s">
        <v>653</v>
      </c>
      <c r="D119" s="366">
        <v>63.545999999999999</v>
      </c>
      <c r="E119" s="367"/>
      <c r="F119" s="367"/>
      <c r="G119" s="366" t="s">
        <v>597</v>
      </c>
      <c r="H119" s="368"/>
      <c r="I119" s="368"/>
      <c r="J119" s="366"/>
    </row>
    <row r="120" spans="2:10" ht="18" x14ac:dyDescent="0.25">
      <c r="B120" s="365" t="s">
        <v>654</v>
      </c>
      <c r="C120" s="366" t="s">
        <v>655</v>
      </c>
      <c r="D120" s="366">
        <v>65.38</v>
      </c>
      <c r="E120" s="367"/>
      <c r="F120" s="367"/>
      <c r="G120" s="366" t="s">
        <v>597</v>
      </c>
      <c r="H120" s="368"/>
      <c r="I120" s="368"/>
      <c r="J120" s="366"/>
    </row>
    <row r="121" spans="2:10" ht="18" x14ac:dyDescent="0.25">
      <c r="B121" s="365" t="s">
        <v>656</v>
      </c>
      <c r="C121" s="366" t="s">
        <v>657</v>
      </c>
      <c r="D121" s="366">
        <v>69.722999999999999</v>
      </c>
      <c r="E121" s="367"/>
      <c r="F121" s="367"/>
      <c r="G121" s="366" t="s">
        <v>597</v>
      </c>
      <c r="H121" s="368"/>
      <c r="I121" s="368"/>
      <c r="J121" s="366"/>
    </row>
    <row r="122" spans="2:10" ht="18" x14ac:dyDescent="0.25">
      <c r="B122" s="365" t="s">
        <v>658</v>
      </c>
      <c r="C122" s="366" t="s">
        <v>659</v>
      </c>
      <c r="D122" s="366">
        <v>72.64</v>
      </c>
      <c r="E122" s="367"/>
      <c r="F122" s="367"/>
      <c r="G122" s="366" t="s">
        <v>597</v>
      </c>
      <c r="H122" s="368"/>
      <c r="I122" s="368"/>
      <c r="J122" s="366"/>
    </row>
    <row r="123" spans="2:10" ht="18" x14ac:dyDescent="0.25">
      <c r="B123" s="365" t="s">
        <v>660</v>
      </c>
      <c r="C123" s="366" t="s">
        <v>661</v>
      </c>
      <c r="D123" s="366">
        <v>74.921599999999998</v>
      </c>
      <c r="E123" s="367"/>
      <c r="F123" s="367"/>
      <c r="G123" s="366" t="s">
        <v>597</v>
      </c>
      <c r="H123" s="368"/>
      <c r="I123" s="368"/>
      <c r="J123" s="366"/>
    </row>
    <row r="124" spans="2:10" ht="18" x14ac:dyDescent="0.25">
      <c r="B124" s="365" t="s">
        <v>662</v>
      </c>
      <c r="C124" s="366" t="s">
        <v>663</v>
      </c>
      <c r="D124" s="366">
        <v>78.959999999999994</v>
      </c>
      <c r="E124" s="367"/>
      <c r="F124" s="367"/>
      <c r="G124" s="366" t="s">
        <v>597</v>
      </c>
      <c r="H124" s="368"/>
      <c r="I124" s="368"/>
      <c r="J124" s="366"/>
    </row>
    <row r="125" spans="2:10" ht="18" x14ac:dyDescent="0.25">
      <c r="B125" s="365" t="s">
        <v>664</v>
      </c>
      <c r="C125" s="366" t="s">
        <v>665</v>
      </c>
      <c r="D125" s="366">
        <v>79.903999999999996</v>
      </c>
      <c r="E125" s="367"/>
      <c r="F125" s="367"/>
      <c r="G125" s="366" t="s">
        <v>597</v>
      </c>
      <c r="H125" s="368"/>
      <c r="I125" s="368"/>
      <c r="J125" s="366"/>
    </row>
    <row r="126" spans="2:10" ht="18" x14ac:dyDescent="0.25">
      <c r="B126" s="365" t="s">
        <v>666</v>
      </c>
      <c r="C126" s="366" t="s">
        <v>667</v>
      </c>
      <c r="D126" s="366">
        <v>83.798000000000002</v>
      </c>
      <c r="E126" s="367"/>
      <c r="F126" s="367"/>
      <c r="G126" s="366" t="s">
        <v>597</v>
      </c>
      <c r="H126" s="368"/>
      <c r="I126" s="368"/>
      <c r="J126" s="366"/>
    </row>
    <row r="127" spans="2:10" ht="18" x14ac:dyDescent="0.25">
      <c r="B127" s="365" t="s">
        <v>668</v>
      </c>
      <c r="C127" s="366" t="s">
        <v>669</v>
      </c>
      <c r="D127" s="366">
        <v>85.467799999999997</v>
      </c>
      <c r="E127" s="367"/>
      <c r="F127" s="367"/>
      <c r="G127" s="366" t="s">
        <v>597</v>
      </c>
      <c r="H127" s="368"/>
      <c r="I127" s="368"/>
      <c r="J127" s="366"/>
    </row>
    <row r="128" spans="2:10" ht="18" x14ac:dyDescent="0.25">
      <c r="B128" s="365" t="s">
        <v>670</v>
      </c>
      <c r="C128" s="366" t="s">
        <v>671</v>
      </c>
      <c r="D128" s="366">
        <v>87.62</v>
      </c>
      <c r="E128" s="367"/>
      <c r="F128" s="367"/>
      <c r="G128" s="366" t="s">
        <v>597</v>
      </c>
      <c r="H128" s="368"/>
      <c r="I128" s="368"/>
      <c r="J128" s="366"/>
    </row>
    <row r="129" spans="2:10" ht="18" x14ac:dyDescent="0.25">
      <c r="B129" s="365" t="s">
        <v>672</v>
      </c>
      <c r="C129" s="366" t="s">
        <v>673</v>
      </c>
      <c r="D129" s="366">
        <v>88.905850000000001</v>
      </c>
      <c r="E129" s="367"/>
      <c r="F129" s="367"/>
      <c r="G129" s="366" t="s">
        <v>597</v>
      </c>
      <c r="H129" s="368"/>
      <c r="I129" s="368"/>
      <c r="J129" s="366"/>
    </row>
    <row r="130" spans="2:10" ht="18" x14ac:dyDescent="0.25">
      <c r="B130" s="365" t="s">
        <v>674</v>
      </c>
      <c r="C130" s="366" t="s">
        <v>675</v>
      </c>
      <c r="D130" s="366">
        <v>91.224000000000004</v>
      </c>
      <c r="E130" s="367"/>
      <c r="F130" s="367"/>
      <c r="G130" s="366" t="s">
        <v>597</v>
      </c>
      <c r="H130" s="368"/>
      <c r="I130" s="368"/>
      <c r="J130" s="366"/>
    </row>
    <row r="131" spans="2:10" ht="18" x14ac:dyDescent="0.25">
      <c r="B131" s="365" t="s">
        <v>676</v>
      </c>
      <c r="C131" s="366" t="s">
        <v>677</v>
      </c>
      <c r="D131" s="366">
        <v>92.906379999999999</v>
      </c>
      <c r="E131" s="367"/>
      <c r="F131" s="367"/>
      <c r="G131" s="366" t="s">
        <v>597</v>
      </c>
      <c r="H131" s="368"/>
      <c r="I131" s="368"/>
      <c r="J131" s="366"/>
    </row>
    <row r="132" spans="2:10" ht="18" x14ac:dyDescent="0.25">
      <c r="B132" s="365" t="s">
        <v>678</v>
      </c>
      <c r="C132" s="366" t="s">
        <v>679</v>
      </c>
      <c r="D132" s="366">
        <v>95.94</v>
      </c>
      <c r="E132" s="367"/>
      <c r="F132" s="367"/>
      <c r="G132" s="366" t="s">
        <v>597</v>
      </c>
      <c r="H132" s="368"/>
      <c r="I132" s="368"/>
      <c r="J132" s="366"/>
    </row>
    <row r="133" spans="2:10" ht="18" x14ac:dyDescent="0.25">
      <c r="B133" s="365" t="s">
        <v>680</v>
      </c>
      <c r="C133" s="366" t="s">
        <v>681</v>
      </c>
      <c r="D133" s="366">
        <v>98</v>
      </c>
      <c r="E133" s="367"/>
      <c r="F133" s="367"/>
      <c r="G133" s="366" t="s">
        <v>597</v>
      </c>
      <c r="H133" s="368"/>
      <c r="I133" s="368"/>
      <c r="J133" s="366"/>
    </row>
    <row r="134" spans="2:10" ht="18" x14ac:dyDescent="0.25">
      <c r="B134" s="365" t="s">
        <v>682</v>
      </c>
      <c r="C134" s="366" t="s">
        <v>683</v>
      </c>
      <c r="D134" s="366">
        <v>101.07</v>
      </c>
      <c r="E134" s="367"/>
      <c r="F134" s="367"/>
      <c r="G134" s="366" t="s">
        <v>597</v>
      </c>
      <c r="H134" s="368"/>
      <c r="I134" s="368"/>
      <c r="J134" s="366"/>
    </row>
    <row r="135" spans="2:10" ht="18" x14ac:dyDescent="0.25">
      <c r="B135" s="365" t="s">
        <v>684</v>
      </c>
      <c r="C135" s="366" t="s">
        <v>685</v>
      </c>
      <c r="D135" s="366">
        <v>102.9055</v>
      </c>
      <c r="E135" s="367"/>
      <c r="F135" s="367"/>
      <c r="G135" s="366" t="s">
        <v>597</v>
      </c>
      <c r="H135" s="368"/>
      <c r="I135" s="368"/>
      <c r="J135" s="366"/>
    </row>
    <row r="136" spans="2:10" ht="18" x14ac:dyDescent="0.25">
      <c r="B136" s="365" t="s">
        <v>686</v>
      </c>
      <c r="C136" s="366" t="s">
        <v>687</v>
      </c>
      <c r="D136" s="366">
        <v>106.42</v>
      </c>
      <c r="E136" s="367"/>
      <c r="F136" s="367"/>
      <c r="G136" s="366" t="s">
        <v>597</v>
      </c>
      <c r="H136" s="368"/>
      <c r="I136" s="368"/>
      <c r="J136" s="366"/>
    </row>
    <row r="137" spans="2:10" ht="18" x14ac:dyDescent="0.25">
      <c r="B137" s="365" t="s">
        <v>688</v>
      </c>
      <c r="C137" s="366" t="s">
        <v>689</v>
      </c>
      <c r="D137" s="366">
        <v>107.8682</v>
      </c>
      <c r="E137" s="367"/>
      <c r="F137" s="367"/>
      <c r="G137" s="366" t="s">
        <v>597</v>
      </c>
      <c r="H137" s="368"/>
      <c r="I137" s="368"/>
      <c r="J137" s="366"/>
    </row>
    <row r="138" spans="2:10" ht="18" x14ac:dyDescent="0.25">
      <c r="B138" s="365" t="s">
        <v>690</v>
      </c>
      <c r="C138" s="366" t="s">
        <v>691</v>
      </c>
      <c r="D138" s="366">
        <v>112.411</v>
      </c>
      <c r="E138" s="367"/>
      <c r="F138" s="367"/>
      <c r="G138" s="366" t="s">
        <v>597</v>
      </c>
      <c r="H138" s="368"/>
      <c r="I138" s="368"/>
      <c r="J138" s="366"/>
    </row>
    <row r="139" spans="2:10" ht="18" x14ac:dyDescent="0.25">
      <c r="B139" s="365" t="s">
        <v>692</v>
      </c>
      <c r="C139" s="366" t="s">
        <v>693</v>
      </c>
      <c r="D139" s="366">
        <v>114.818</v>
      </c>
      <c r="E139" s="367"/>
      <c r="F139" s="367"/>
      <c r="G139" s="366" t="s">
        <v>597</v>
      </c>
      <c r="H139" s="368"/>
      <c r="I139" s="368"/>
      <c r="J139" s="366"/>
    </row>
    <row r="140" spans="2:10" ht="18" x14ac:dyDescent="0.25">
      <c r="B140" s="365" t="s">
        <v>694</v>
      </c>
      <c r="C140" s="366" t="s">
        <v>695</v>
      </c>
      <c r="D140" s="366">
        <v>118.71</v>
      </c>
      <c r="E140" s="367"/>
      <c r="F140" s="367"/>
      <c r="G140" s="366" t="s">
        <v>597</v>
      </c>
      <c r="H140" s="368"/>
      <c r="I140" s="368"/>
      <c r="J140" s="366"/>
    </row>
    <row r="141" spans="2:10" ht="18" x14ac:dyDescent="0.25">
      <c r="B141" s="365" t="s">
        <v>696</v>
      </c>
      <c r="C141" s="366" t="s">
        <v>697</v>
      </c>
      <c r="D141" s="366">
        <v>121.76</v>
      </c>
      <c r="E141" s="367"/>
      <c r="F141" s="367"/>
      <c r="G141" s="366" t="s">
        <v>597</v>
      </c>
      <c r="H141" s="368"/>
      <c r="I141" s="368"/>
      <c r="J141" s="366"/>
    </row>
    <row r="142" spans="2:10" ht="18" x14ac:dyDescent="0.25">
      <c r="B142" s="365" t="s">
        <v>698</v>
      </c>
      <c r="C142" s="366" t="s">
        <v>699</v>
      </c>
      <c r="D142" s="366">
        <v>127.6</v>
      </c>
      <c r="E142" s="367"/>
      <c r="F142" s="367"/>
      <c r="G142" s="366" t="s">
        <v>597</v>
      </c>
      <c r="H142" s="368"/>
      <c r="I142" s="368"/>
      <c r="J142" s="366"/>
    </row>
    <row r="143" spans="2:10" ht="18" x14ac:dyDescent="0.25">
      <c r="B143" s="365" t="s">
        <v>700</v>
      </c>
      <c r="C143" s="366" t="s">
        <v>701</v>
      </c>
      <c r="D143" s="366">
        <v>126.90447</v>
      </c>
      <c r="E143" s="367"/>
      <c r="F143" s="367"/>
      <c r="G143" s="366" t="s">
        <v>597</v>
      </c>
      <c r="H143" s="368"/>
      <c r="I143" s="368"/>
      <c r="J143" s="366"/>
    </row>
    <row r="144" spans="2:10" ht="18" x14ac:dyDescent="0.25">
      <c r="B144" s="365" t="s">
        <v>702</v>
      </c>
      <c r="C144" s="366" t="s">
        <v>703</v>
      </c>
      <c r="D144" s="366">
        <v>131.29300000000001</v>
      </c>
      <c r="E144" s="367"/>
      <c r="F144" s="367"/>
      <c r="G144" s="366" t="s">
        <v>597</v>
      </c>
      <c r="H144" s="368"/>
      <c r="I144" s="368"/>
      <c r="J144" s="366"/>
    </row>
    <row r="145" spans="2:10" ht="18" x14ac:dyDescent="0.25">
      <c r="B145" s="365" t="s">
        <v>704</v>
      </c>
      <c r="C145" s="366" t="s">
        <v>705</v>
      </c>
      <c r="D145" s="366">
        <v>132.90545</v>
      </c>
      <c r="E145" s="367"/>
      <c r="F145" s="367"/>
      <c r="G145" s="366" t="s">
        <v>597</v>
      </c>
      <c r="H145" s="368"/>
      <c r="I145" s="368"/>
      <c r="J145" s="366"/>
    </row>
    <row r="146" spans="2:10" ht="18" x14ac:dyDescent="0.25">
      <c r="B146" s="365" t="s">
        <v>706</v>
      </c>
      <c r="C146" s="366" t="s">
        <v>707</v>
      </c>
      <c r="D146" s="366">
        <v>137.327</v>
      </c>
      <c r="E146" s="367"/>
      <c r="F146" s="367"/>
      <c r="G146" s="366" t="s">
        <v>597</v>
      </c>
      <c r="H146" s="368"/>
      <c r="I146" s="368"/>
      <c r="J146" s="366"/>
    </row>
    <row r="147" spans="2:10" ht="18" x14ac:dyDescent="0.25">
      <c r="B147" s="365" t="s">
        <v>708</v>
      </c>
      <c r="C147" s="366" t="s">
        <v>709</v>
      </c>
      <c r="D147" s="366">
        <v>138.90547000000001</v>
      </c>
      <c r="E147" s="367"/>
      <c r="F147" s="367"/>
      <c r="G147" s="366" t="s">
        <v>597</v>
      </c>
      <c r="H147" s="368"/>
      <c r="I147" s="368"/>
      <c r="J147" s="366"/>
    </row>
    <row r="148" spans="2:10" ht="18" x14ac:dyDescent="0.25">
      <c r="B148" s="365" t="s">
        <v>710</v>
      </c>
      <c r="C148" s="366" t="s">
        <v>711</v>
      </c>
      <c r="D148" s="366">
        <v>140.11600000000001</v>
      </c>
      <c r="E148" s="367"/>
      <c r="F148" s="367"/>
      <c r="G148" s="366" t="s">
        <v>597</v>
      </c>
      <c r="H148" s="368"/>
      <c r="I148" s="368"/>
      <c r="J148" s="366"/>
    </row>
    <row r="149" spans="2:10" ht="18" x14ac:dyDescent="0.25">
      <c r="B149" s="365" t="s">
        <v>712</v>
      </c>
      <c r="C149" s="366" t="s">
        <v>713</v>
      </c>
      <c r="D149" s="366">
        <v>140.90764999999999</v>
      </c>
      <c r="E149" s="367"/>
      <c r="F149" s="367"/>
      <c r="G149" s="366" t="s">
        <v>597</v>
      </c>
      <c r="H149" s="368"/>
      <c r="I149" s="368"/>
      <c r="J149" s="366"/>
    </row>
    <row r="150" spans="2:10" ht="18" x14ac:dyDescent="0.25">
      <c r="B150" s="365" t="s">
        <v>714</v>
      </c>
      <c r="C150" s="366" t="s">
        <v>715</v>
      </c>
      <c r="D150" s="366">
        <v>144.24199999999999</v>
      </c>
      <c r="E150" s="367"/>
      <c r="F150" s="367"/>
      <c r="G150" s="366" t="s">
        <v>597</v>
      </c>
      <c r="H150" s="368"/>
      <c r="I150" s="368"/>
      <c r="J150" s="366"/>
    </row>
    <row r="151" spans="2:10" ht="18" x14ac:dyDescent="0.25">
      <c r="B151" s="365" t="s">
        <v>716</v>
      </c>
      <c r="C151" s="366" t="s">
        <v>717</v>
      </c>
      <c r="D151" s="366">
        <v>145</v>
      </c>
      <c r="E151" s="367"/>
      <c r="F151" s="367"/>
      <c r="G151" s="366" t="s">
        <v>597</v>
      </c>
      <c r="H151" s="368"/>
      <c r="I151" s="368"/>
      <c r="J151" s="366"/>
    </row>
    <row r="152" spans="2:10" ht="18" x14ac:dyDescent="0.25">
      <c r="B152" s="365" t="s">
        <v>718</v>
      </c>
      <c r="C152" s="366" t="s">
        <v>719</v>
      </c>
      <c r="D152" s="366">
        <v>150.36000000000001</v>
      </c>
      <c r="E152" s="367"/>
      <c r="F152" s="367"/>
      <c r="G152" s="366" t="s">
        <v>597</v>
      </c>
      <c r="H152" s="368"/>
      <c r="I152" s="368"/>
      <c r="J152" s="366"/>
    </row>
    <row r="153" spans="2:10" ht="18" x14ac:dyDescent="0.25">
      <c r="B153" s="365" t="s">
        <v>720</v>
      </c>
      <c r="C153" s="366" t="s">
        <v>721</v>
      </c>
      <c r="D153" s="366">
        <v>151.964</v>
      </c>
      <c r="E153" s="367"/>
      <c r="F153" s="367"/>
      <c r="G153" s="366" t="s">
        <v>597</v>
      </c>
      <c r="H153" s="368"/>
      <c r="I153" s="368"/>
      <c r="J153" s="366"/>
    </row>
    <row r="154" spans="2:10" ht="18" x14ac:dyDescent="0.25">
      <c r="B154" s="365" t="s">
        <v>722</v>
      </c>
      <c r="C154" s="366" t="s">
        <v>723</v>
      </c>
      <c r="D154" s="366">
        <v>157.25</v>
      </c>
      <c r="E154" s="367"/>
      <c r="F154" s="367"/>
      <c r="G154" s="366" t="s">
        <v>597</v>
      </c>
      <c r="H154" s="368"/>
      <c r="I154" s="368"/>
      <c r="J154" s="366"/>
    </row>
    <row r="155" spans="2:10" ht="18" x14ac:dyDescent="0.25">
      <c r="B155" s="365" t="s">
        <v>724</v>
      </c>
      <c r="C155" s="366" t="s">
        <v>725</v>
      </c>
      <c r="D155" s="366">
        <v>158.92535000000001</v>
      </c>
      <c r="E155" s="367"/>
      <c r="F155" s="367"/>
      <c r="G155" s="366" t="s">
        <v>597</v>
      </c>
      <c r="H155" s="368"/>
      <c r="I155" s="368"/>
      <c r="J155" s="366"/>
    </row>
    <row r="156" spans="2:10" ht="18" x14ac:dyDescent="0.25">
      <c r="B156" s="365" t="s">
        <v>726</v>
      </c>
      <c r="C156" s="366" t="s">
        <v>727</v>
      </c>
      <c r="D156" s="366">
        <v>162.5</v>
      </c>
      <c r="E156" s="367"/>
      <c r="F156" s="367"/>
      <c r="G156" s="366" t="s">
        <v>597</v>
      </c>
      <c r="H156" s="368"/>
      <c r="I156" s="368"/>
      <c r="J156" s="366"/>
    </row>
    <row r="157" spans="2:10" ht="18" x14ac:dyDescent="0.25">
      <c r="B157" s="365" t="s">
        <v>728</v>
      </c>
      <c r="C157" s="366" t="s">
        <v>729</v>
      </c>
      <c r="D157" s="366">
        <v>164.93031999999999</v>
      </c>
      <c r="E157" s="367"/>
      <c r="F157" s="367"/>
      <c r="G157" s="366" t="s">
        <v>597</v>
      </c>
      <c r="H157" s="368"/>
      <c r="I157" s="368"/>
      <c r="J157" s="366"/>
    </row>
    <row r="158" spans="2:10" ht="18" x14ac:dyDescent="0.25">
      <c r="B158" s="365" t="s">
        <v>730</v>
      </c>
      <c r="C158" s="366" t="s">
        <v>731</v>
      </c>
      <c r="D158" s="366">
        <v>167.25899999999999</v>
      </c>
      <c r="E158" s="367"/>
      <c r="F158" s="367"/>
      <c r="G158" s="366" t="s">
        <v>597</v>
      </c>
      <c r="H158" s="368"/>
      <c r="I158" s="368"/>
      <c r="J158" s="366"/>
    </row>
    <row r="159" spans="2:10" ht="18" x14ac:dyDescent="0.25">
      <c r="B159" s="365" t="s">
        <v>732</v>
      </c>
      <c r="C159" s="366" t="s">
        <v>733</v>
      </c>
      <c r="D159" s="366">
        <v>168.93421000000001</v>
      </c>
      <c r="E159" s="367"/>
      <c r="F159" s="367"/>
      <c r="G159" s="366" t="s">
        <v>597</v>
      </c>
      <c r="H159" s="368"/>
      <c r="I159" s="368"/>
      <c r="J159" s="366"/>
    </row>
    <row r="160" spans="2:10" ht="18" x14ac:dyDescent="0.25">
      <c r="B160" s="365" t="s">
        <v>734</v>
      </c>
      <c r="C160" s="366" t="s">
        <v>735</v>
      </c>
      <c r="D160" s="366">
        <v>173.04</v>
      </c>
      <c r="E160" s="367"/>
      <c r="F160" s="367"/>
      <c r="G160" s="366" t="s">
        <v>597</v>
      </c>
      <c r="H160" s="368"/>
      <c r="I160" s="368"/>
      <c r="J160" s="366"/>
    </row>
    <row r="161" spans="2:10" ht="18" x14ac:dyDescent="0.25">
      <c r="B161" s="365" t="s">
        <v>736</v>
      </c>
      <c r="C161" s="366" t="s">
        <v>737</v>
      </c>
      <c r="D161" s="366">
        <v>174.96700000000001</v>
      </c>
      <c r="E161" s="367"/>
      <c r="F161" s="367"/>
      <c r="G161" s="366" t="s">
        <v>597</v>
      </c>
      <c r="H161" s="368"/>
      <c r="I161" s="368"/>
      <c r="J161" s="366"/>
    </row>
    <row r="162" spans="2:10" ht="18" x14ac:dyDescent="0.25">
      <c r="B162" s="365" t="s">
        <v>738</v>
      </c>
      <c r="C162" s="366" t="s">
        <v>739</v>
      </c>
      <c r="D162" s="366">
        <v>178.49</v>
      </c>
      <c r="E162" s="367"/>
      <c r="F162" s="367"/>
      <c r="G162" s="366" t="s">
        <v>597</v>
      </c>
      <c r="H162" s="368"/>
      <c r="I162" s="368"/>
      <c r="J162" s="366"/>
    </row>
    <row r="163" spans="2:10" ht="18" x14ac:dyDescent="0.25">
      <c r="B163" s="365" t="s">
        <v>740</v>
      </c>
      <c r="C163" s="366" t="s">
        <v>741</v>
      </c>
      <c r="D163" s="366">
        <v>180.94788</v>
      </c>
      <c r="E163" s="367"/>
      <c r="F163" s="367"/>
      <c r="G163" s="366" t="s">
        <v>597</v>
      </c>
      <c r="H163" s="368"/>
      <c r="I163" s="368"/>
      <c r="J163" s="366"/>
    </row>
    <row r="164" spans="2:10" ht="18" x14ac:dyDescent="0.25">
      <c r="B164" s="365" t="s">
        <v>742</v>
      </c>
      <c r="C164" s="366" t="s">
        <v>743</v>
      </c>
      <c r="D164" s="366">
        <v>183.84</v>
      </c>
      <c r="E164" s="367"/>
      <c r="F164" s="367"/>
      <c r="G164" s="366" t="s">
        <v>597</v>
      </c>
      <c r="H164" s="368"/>
      <c r="I164" s="368"/>
      <c r="J164" s="366"/>
    </row>
    <row r="165" spans="2:10" ht="18" x14ac:dyDescent="0.25">
      <c r="B165" s="365" t="s">
        <v>744</v>
      </c>
      <c r="C165" s="366" t="s">
        <v>745</v>
      </c>
      <c r="D165" s="366">
        <v>186.20699999999999</v>
      </c>
      <c r="E165" s="367"/>
      <c r="F165" s="367"/>
      <c r="G165" s="366" t="s">
        <v>597</v>
      </c>
      <c r="H165" s="368"/>
      <c r="I165" s="368"/>
      <c r="J165" s="366"/>
    </row>
    <row r="166" spans="2:10" ht="18" x14ac:dyDescent="0.25">
      <c r="B166" s="365" t="s">
        <v>746</v>
      </c>
      <c r="C166" s="366" t="s">
        <v>747</v>
      </c>
      <c r="D166" s="366">
        <v>190.23</v>
      </c>
      <c r="E166" s="367"/>
      <c r="F166" s="367"/>
      <c r="G166" s="366" t="s">
        <v>597</v>
      </c>
      <c r="H166" s="368"/>
      <c r="I166" s="368"/>
      <c r="J166" s="366"/>
    </row>
    <row r="167" spans="2:10" ht="18" x14ac:dyDescent="0.25">
      <c r="B167" s="365" t="s">
        <v>748</v>
      </c>
      <c r="C167" s="366" t="s">
        <v>749</v>
      </c>
      <c r="D167" s="366">
        <v>192.21700000000001</v>
      </c>
      <c r="E167" s="367"/>
      <c r="F167" s="367"/>
      <c r="G167" s="366" t="s">
        <v>597</v>
      </c>
      <c r="H167" s="368"/>
      <c r="I167" s="368"/>
      <c r="J167" s="366"/>
    </row>
    <row r="168" spans="2:10" ht="18" x14ac:dyDescent="0.25">
      <c r="B168" s="365" t="s">
        <v>750</v>
      </c>
      <c r="C168" s="366" t="s">
        <v>751</v>
      </c>
      <c r="D168" s="366">
        <v>195.084</v>
      </c>
      <c r="E168" s="367"/>
      <c r="F168" s="367"/>
      <c r="G168" s="366" t="s">
        <v>597</v>
      </c>
      <c r="H168" s="368"/>
      <c r="I168" s="368"/>
      <c r="J168" s="366"/>
    </row>
    <row r="169" spans="2:10" ht="18" x14ac:dyDescent="0.25">
      <c r="B169" s="365" t="s">
        <v>752</v>
      </c>
      <c r="C169" s="366" t="s">
        <v>753</v>
      </c>
      <c r="D169" s="366">
        <v>196.96656999999999</v>
      </c>
      <c r="E169" s="367"/>
      <c r="F169" s="367"/>
      <c r="G169" s="366" t="s">
        <v>597</v>
      </c>
      <c r="H169" s="368"/>
      <c r="I169" s="368"/>
      <c r="J169" s="366"/>
    </row>
    <row r="170" spans="2:10" ht="18" x14ac:dyDescent="0.25">
      <c r="B170" s="365" t="s">
        <v>754</v>
      </c>
      <c r="C170" s="366" t="s">
        <v>755</v>
      </c>
      <c r="D170" s="366">
        <v>200.59</v>
      </c>
      <c r="E170" s="367"/>
      <c r="F170" s="367"/>
      <c r="G170" s="366" t="s">
        <v>597</v>
      </c>
      <c r="H170" s="368"/>
      <c r="I170" s="368"/>
      <c r="J170" s="366"/>
    </row>
    <row r="171" spans="2:10" ht="18" x14ac:dyDescent="0.25">
      <c r="B171" s="365" t="s">
        <v>756</v>
      </c>
      <c r="C171" s="366" t="s">
        <v>757</v>
      </c>
      <c r="D171" s="366">
        <v>204.38329999999999</v>
      </c>
      <c r="E171" s="367"/>
      <c r="F171" s="367"/>
      <c r="G171" s="366" t="s">
        <v>597</v>
      </c>
      <c r="H171" s="368"/>
      <c r="I171" s="368"/>
      <c r="J171" s="366"/>
    </row>
    <row r="172" spans="2:10" ht="18" x14ac:dyDescent="0.25">
      <c r="B172" s="365" t="s">
        <v>758</v>
      </c>
      <c r="C172" s="366" t="s">
        <v>759</v>
      </c>
      <c r="D172" s="366">
        <v>207.2</v>
      </c>
      <c r="E172" s="367"/>
      <c r="F172" s="367"/>
      <c r="G172" s="366" t="s">
        <v>597</v>
      </c>
      <c r="H172" s="368"/>
      <c r="I172" s="368"/>
      <c r="J172" s="366"/>
    </row>
    <row r="173" spans="2:10" ht="18" x14ac:dyDescent="0.25">
      <c r="B173" s="365" t="s">
        <v>760</v>
      </c>
      <c r="C173" s="366" t="s">
        <v>761</v>
      </c>
      <c r="D173" s="366">
        <v>208.9804</v>
      </c>
      <c r="E173" s="367"/>
      <c r="F173" s="367"/>
      <c r="G173" s="366" t="s">
        <v>597</v>
      </c>
      <c r="H173" s="368"/>
      <c r="I173" s="368"/>
      <c r="J173" s="366"/>
    </row>
    <row r="174" spans="2:10" ht="18" x14ac:dyDescent="0.25">
      <c r="B174" s="365" t="s">
        <v>762</v>
      </c>
      <c r="C174" s="366" t="s">
        <v>763</v>
      </c>
      <c r="D174" s="366">
        <v>209</v>
      </c>
      <c r="E174" s="367"/>
      <c r="F174" s="367"/>
      <c r="G174" s="366" t="s">
        <v>597</v>
      </c>
      <c r="H174" s="368"/>
      <c r="I174" s="368"/>
      <c r="J174" s="366"/>
    </row>
    <row r="175" spans="2:10" ht="18" x14ac:dyDescent="0.25">
      <c r="B175" s="365" t="s">
        <v>764</v>
      </c>
      <c r="C175" s="366" t="s">
        <v>765</v>
      </c>
      <c r="D175" s="366">
        <v>210</v>
      </c>
      <c r="E175" s="367"/>
      <c r="F175" s="367"/>
      <c r="G175" s="366" t="s">
        <v>597</v>
      </c>
      <c r="H175" s="368"/>
      <c r="I175" s="368"/>
      <c r="J175" s="366"/>
    </row>
    <row r="176" spans="2:10" ht="18" x14ac:dyDescent="0.25">
      <c r="B176" s="365" t="s">
        <v>766</v>
      </c>
      <c r="C176" s="366" t="s">
        <v>767</v>
      </c>
      <c r="D176" s="366">
        <v>222</v>
      </c>
      <c r="E176" s="367"/>
      <c r="F176" s="367"/>
      <c r="G176" s="366" t="s">
        <v>597</v>
      </c>
      <c r="H176" s="368"/>
      <c r="I176" s="368"/>
      <c r="J176" s="366"/>
    </row>
    <row r="177" spans="2:10" ht="18" x14ac:dyDescent="0.25">
      <c r="B177" s="365" t="s">
        <v>768</v>
      </c>
      <c r="C177" s="366" t="s">
        <v>769</v>
      </c>
      <c r="D177" s="366">
        <v>223</v>
      </c>
      <c r="E177" s="367"/>
      <c r="F177" s="367"/>
      <c r="G177" s="366" t="s">
        <v>597</v>
      </c>
      <c r="H177" s="368"/>
      <c r="I177" s="368"/>
      <c r="J177" s="366"/>
    </row>
    <row r="178" spans="2:10" ht="18" x14ac:dyDescent="0.25">
      <c r="B178" s="365" t="s">
        <v>770</v>
      </c>
      <c r="C178" s="366" t="s">
        <v>771</v>
      </c>
      <c r="D178" s="366">
        <v>226</v>
      </c>
      <c r="E178" s="367"/>
      <c r="F178" s="367"/>
      <c r="G178" s="366" t="s">
        <v>597</v>
      </c>
      <c r="H178" s="368"/>
      <c r="I178" s="368"/>
      <c r="J178" s="366"/>
    </row>
    <row r="179" spans="2:10" ht="18" x14ac:dyDescent="0.25">
      <c r="B179" s="365" t="s">
        <v>772</v>
      </c>
      <c r="C179" s="366" t="s">
        <v>773</v>
      </c>
      <c r="D179" s="366">
        <v>227</v>
      </c>
      <c r="E179" s="367"/>
      <c r="F179" s="367"/>
      <c r="G179" s="366" t="s">
        <v>597</v>
      </c>
      <c r="H179" s="368"/>
      <c r="I179" s="368"/>
      <c r="J179" s="366"/>
    </row>
    <row r="180" spans="2:10" ht="18" x14ac:dyDescent="0.25">
      <c r="B180" s="365" t="s">
        <v>774</v>
      </c>
      <c r="C180" s="366" t="s">
        <v>775</v>
      </c>
      <c r="D180" s="366">
        <v>232.03806</v>
      </c>
      <c r="E180" s="367"/>
      <c r="F180" s="367"/>
      <c r="G180" s="366" t="s">
        <v>597</v>
      </c>
      <c r="H180" s="368"/>
      <c r="I180" s="368"/>
      <c r="J180" s="366"/>
    </row>
    <row r="181" spans="2:10" ht="18" x14ac:dyDescent="0.25">
      <c r="B181" s="365" t="s">
        <v>776</v>
      </c>
      <c r="C181" s="366" t="s">
        <v>777</v>
      </c>
      <c r="D181" s="366">
        <v>231.03587999999999</v>
      </c>
      <c r="E181" s="367"/>
      <c r="F181" s="367"/>
      <c r="G181" s="366" t="s">
        <v>597</v>
      </c>
      <c r="H181" s="368"/>
      <c r="I181" s="368"/>
      <c r="J181" s="366"/>
    </row>
    <row r="182" spans="2:10" ht="18" x14ac:dyDescent="0.25">
      <c r="B182" s="365" t="s">
        <v>778</v>
      </c>
      <c r="C182" s="366" t="s">
        <v>779</v>
      </c>
      <c r="D182" s="366">
        <v>238.02891</v>
      </c>
      <c r="E182" s="367"/>
      <c r="F182" s="367"/>
      <c r="G182" s="366" t="s">
        <v>597</v>
      </c>
      <c r="H182" s="368"/>
      <c r="I182" s="368"/>
      <c r="J182" s="366"/>
    </row>
    <row r="183" spans="2:10" ht="18" x14ac:dyDescent="0.25">
      <c r="B183" s="365" t="s">
        <v>780</v>
      </c>
      <c r="C183" s="366" t="s">
        <v>781</v>
      </c>
      <c r="D183" s="366">
        <v>237</v>
      </c>
      <c r="E183" s="367"/>
      <c r="F183" s="367"/>
      <c r="G183" s="366" t="s">
        <v>597</v>
      </c>
      <c r="H183" s="368"/>
      <c r="I183" s="368"/>
      <c r="J183" s="366"/>
    </row>
    <row r="184" spans="2:10" ht="18" x14ac:dyDescent="0.25">
      <c r="B184" s="365" t="s">
        <v>782</v>
      </c>
      <c r="C184" s="366" t="s">
        <v>783</v>
      </c>
      <c r="D184" s="366">
        <v>244</v>
      </c>
      <c r="E184" s="367"/>
      <c r="F184" s="367"/>
      <c r="G184" s="366" t="s">
        <v>597</v>
      </c>
      <c r="H184" s="368"/>
      <c r="I184" s="368"/>
      <c r="J184" s="366"/>
    </row>
    <row r="185" spans="2:10" ht="18" x14ac:dyDescent="0.25">
      <c r="B185" s="365" t="s">
        <v>784</v>
      </c>
      <c r="C185" s="366" t="s">
        <v>785</v>
      </c>
      <c r="D185" s="366">
        <v>243</v>
      </c>
      <c r="E185" s="367"/>
      <c r="F185" s="367"/>
      <c r="G185" s="366" t="s">
        <v>597</v>
      </c>
      <c r="H185" s="368"/>
      <c r="I185" s="368"/>
      <c r="J185" s="366"/>
    </row>
    <row r="186" spans="2:10" ht="18" x14ac:dyDescent="0.25">
      <c r="B186" s="365" t="s">
        <v>786</v>
      </c>
      <c r="C186" s="366" t="s">
        <v>787</v>
      </c>
      <c r="D186" s="366">
        <v>247</v>
      </c>
      <c r="E186" s="367"/>
      <c r="F186" s="367"/>
      <c r="G186" s="366" t="s">
        <v>597</v>
      </c>
      <c r="H186" s="368"/>
      <c r="I186" s="368"/>
      <c r="J186" s="366"/>
    </row>
    <row r="187" spans="2:10" ht="18" x14ac:dyDescent="0.25">
      <c r="B187" s="365" t="s">
        <v>788</v>
      </c>
      <c r="C187" s="366" t="s">
        <v>789</v>
      </c>
      <c r="D187" s="366">
        <v>247</v>
      </c>
      <c r="E187" s="367"/>
      <c r="F187" s="367"/>
      <c r="G187" s="366" t="s">
        <v>597</v>
      </c>
      <c r="H187" s="368"/>
      <c r="I187" s="368"/>
      <c r="J187" s="366"/>
    </row>
    <row r="188" spans="2:10" ht="18" x14ac:dyDescent="0.25">
      <c r="B188" s="365" t="s">
        <v>790</v>
      </c>
      <c r="C188" s="366" t="s">
        <v>791</v>
      </c>
      <c r="D188" s="366">
        <v>251</v>
      </c>
      <c r="E188" s="367"/>
      <c r="F188" s="367"/>
      <c r="G188" s="366" t="s">
        <v>597</v>
      </c>
      <c r="H188" s="368"/>
      <c r="I188" s="368"/>
      <c r="J188" s="366"/>
    </row>
    <row r="189" spans="2:10" ht="18" x14ac:dyDescent="0.25">
      <c r="B189" s="365" t="s">
        <v>792</v>
      </c>
      <c r="C189" s="366" t="s">
        <v>793</v>
      </c>
      <c r="D189" s="366">
        <v>252</v>
      </c>
      <c r="E189" s="367"/>
      <c r="F189" s="367"/>
      <c r="G189" s="366" t="s">
        <v>597</v>
      </c>
      <c r="H189" s="368"/>
      <c r="I189" s="368"/>
      <c r="J189" s="366"/>
    </row>
    <row r="190" spans="2:10" ht="18" x14ac:dyDescent="0.25">
      <c r="B190" s="365" t="s">
        <v>794</v>
      </c>
      <c r="C190" s="366" t="s">
        <v>795</v>
      </c>
      <c r="D190" s="366">
        <v>257</v>
      </c>
      <c r="E190" s="367"/>
      <c r="F190" s="367"/>
      <c r="G190" s="366" t="s">
        <v>597</v>
      </c>
      <c r="H190" s="368"/>
      <c r="I190" s="368"/>
      <c r="J190" s="366"/>
    </row>
    <row r="191" spans="2:10" ht="18" x14ac:dyDescent="0.25">
      <c r="B191" s="365" t="s">
        <v>796</v>
      </c>
      <c r="C191" s="366" t="s">
        <v>797</v>
      </c>
      <c r="D191" s="366">
        <v>258</v>
      </c>
      <c r="E191" s="367"/>
      <c r="F191" s="367"/>
      <c r="G191" s="366" t="s">
        <v>597</v>
      </c>
      <c r="H191" s="368"/>
      <c r="I191" s="368"/>
      <c r="J191" s="366"/>
    </row>
    <row r="192" spans="2:10" ht="18" x14ac:dyDescent="0.25">
      <c r="B192" s="365" t="s">
        <v>798</v>
      </c>
      <c r="C192" s="366" t="s">
        <v>799</v>
      </c>
      <c r="D192" s="366">
        <v>259</v>
      </c>
      <c r="E192" s="367"/>
      <c r="F192" s="367"/>
      <c r="G192" s="366" t="s">
        <v>597</v>
      </c>
      <c r="H192" s="368"/>
      <c r="I192" s="368"/>
      <c r="J192" s="366"/>
    </row>
    <row r="193" spans="2:10" ht="18" x14ac:dyDescent="0.25">
      <c r="B193" s="365" t="s">
        <v>800</v>
      </c>
      <c r="C193" s="366" t="s">
        <v>801</v>
      </c>
      <c r="D193" s="366">
        <v>262</v>
      </c>
      <c r="E193" s="367"/>
      <c r="F193" s="367"/>
      <c r="G193" s="366" t="s">
        <v>597</v>
      </c>
      <c r="H193" s="368"/>
      <c r="I193" s="368"/>
      <c r="J193" s="366"/>
    </row>
    <row r="194" spans="2:10" ht="18" x14ac:dyDescent="0.25">
      <c r="B194" s="365" t="s">
        <v>802</v>
      </c>
      <c r="C194" s="366" t="s">
        <v>803</v>
      </c>
      <c r="D194" s="366">
        <v>261</v>
      </c>
      <c r="E194" s="367"/>
      <c r="F194" s="367"/>
      <c r="G194" s="366" t="s">
        <v>597</v>
      </c>
      <c r="H194" s="368"/>
      <c r="I194" s="368"/>
      <c r="J194" s="366"/>
    </row>
    <row r="195" spans="2:10" ht="18" x14ac:dyDescent="0.25">
      <c r="B195" s="365" t="s">
        <v>804</v>
      </c>
      <c r="C195" s="366" t="s">
        <v>805</v>
      </c>
      <c r="D195" s="366">
        <v>262</v>
      </c>
      <c r="E195" s="367"/>
      <c r="F195" s="367"/>
      <c r="G195" s="366" t="s">
        <v>597</v>
      </c>
      <c r="H195" s="368"/>
      <c r="I195" s="368"/>
      <c r="J195" s="366"/>
    </row>
    <row r="196" spans="2:10" ht="18" x14ac:dyDescent="0.25">
      <c r="B196" s="365" t="s">
        <v>806</v>
      </c>
      <c r="C196" s="366" t="s">
        <v>807</v>
      </c>
      <c r="D196" s="366">
        <v>266</v>
      </c>
      <c r="E196" s="367"/>
      <c r="F196" s="367"/>
      <c r="G196" s="366" t="s">
        <v>597</v>
      </c>
      <c r="H196" s="368"/>
      <c r="I196" s="368"/>
      <c r="J196" s="366"/>
    </row>
    <row r="197" spans="2:10" ht="18" x14ac:dyDescent="0.25">
      <c r="B197" s="365" t="s">
        <v>808</v>
      </c>
      <c r="C197" s="366" t="s">
        <v>809</v>
      </c>
      <c r="D197" s="366">
        <v>264</v>
      </c>
      <c r="E197" s="367"/>
      <c r="F197" s="367"/>
      <c r="G197" s="366" t="s">
        <v>597</v>
      </c>
      <c r="H197" s="368"/>
      <c r="I197" s="368"/>
      <c r="J197" s="366"/>
    </row>
    <row r="198" spans="2:10" ht="18" x14ac:dyDescent="0.25">
      <c r="B198" s="365" t="s">
        <v>810</v>
      </c>
      <c r="C198" s="366" t="s">
        <v>811</v>
      </c>
      <c r="D198" s="366">
        <v>277</v>
      </c>
      <c r="E198" s="367"/>
      <c r="F198" s="367"/>
      <c r="G198" s="366" t="s">
        <v>597</v>
      </c>
      <c r="H198" s="368"/>
      <c r="I198" s="368"/>
      <c r="J198" s="366"/>
    </row>
    <row r="199" spans="2:10" ht="18" x14ac:dyDescent="0.25">
      <c r="B199" s="365" t="s">
        <v>812</v>
      </c>
      <c r="C199" s="366" t="s">
        <v>813</v>
      </c>
      <c r="D199" s="366">
        <v>268</v>
      </c>
      <c r="E199" s="367"/>
      <c r="F199" s="367"/>
      <c r="G199" s="366" t="s">
        <v>597</v>
      </c>
      <c r="H199" s="368"/>
      <c r="I199" s="368"/>
      <c r="J199" s="366"/>
    </row>
    <row r="200" spans="2:10" ht="18" x14ac:dyDescent="0.25">
      <c r="B200" s="365" t="s">
        <v>814</v>
      </c>
      <c r="C200" s="366" t="s">
        <v>815</v>
      </c>
      <c r="D200" s="366">
        <v>281</v>
      </c>
      <c r="E200" s="367"/>
      <c r="F200" s="367"/>
      <c r="G200" s="366" t="s">
        <v>597</v>
      </c>
      <c r="H200" s="368"/>
      <c r="I200" s="368"/>
      <c r="J200" s="366"/>
    </row>
    <row r="201" spans="2:10" ht="18" x14ac:dyDescent="0.25">
      <c r="B201" s="365" t="s">
        <v>816</v>
      </c>
      <c r="C201" s="366" t="s">
        <v>817</v>
      </c>
      <c r="D201" s="366">
        <v>272</v>
      </c>
      <c r="E201" s="367"/>
      <c r="F201" s="367"/>
      <c r="G201" s="366" t="s">
        <v>597</v>
      </c>
      <c r="H201" s="368"/>
      <c r="I201" s="368"/>
      <c r="J201" s="366"/>
    </row>
    <row r="202" spans="2:10" ht="18" x14ac:dyDescent="0.25">
      <c r="B202" s="365" t="s">
        <v>818</v>
      </c>
      <c r="C202" s="366" t="s">
        <v>819</v>
      </c>
      <c r="D202" s="366">
        <v>285</v>
      </c>
      <c r="E202" s="367"/>
      <c r="F202" s="367"/>
      <c r="G202" s="366" t="s">
        <v>597</v>
      </c>
      <c r="H202" s="368"/>
      <c r="I202" s="368"/>
      <c r="J202" s="366"/>
    </row>
    <row r="203" spans="2:10" ht="18" x14ac:dyDescent="0.25">
      <c r="B203" s="365" t="s">
        <v>820</v>
      </c>
      <c r="C203" s="366" t="s">
        <v>821</v>
      </c>
      <c r="D203" s="366">
        <v>284</v>
      </c>
      <c r="E203" s="367"/>
      <c r="F203" s="367"/>
      <c r="G203" s="366" t="s">
        <v>597</v>
      </c>
      <c r="H203" s="368"/>
      <c r="I203" s="368"/>
      <c r="J203" s="366"/>
    </row>
    <row r="204" spans="2:10" ht="18" x14ac:dyDescent="0.25">
      <c r="B204" s="365" t="s">
        <v>822</v>
      </c>
      <c r="C204" s="366" t="s">
        <v>823</v>
      </c>
      <c r="D204" s="366">
        <v>289</v>
      </c>
      <c r="E204" s="367"/>
      <c r="F204" s="367"/>
      <c r="G204" s="366" t="s">
        <v>597</v>
      </c>
      <c r="H204" s="368"/>
      <c r="I204" s="368"/>
      <c r="J204" s="366"/>
    </row>
    <row r="205" spans="2:10" ht="18" x14ac:dyDescent="0.25">
      <c r="B205" s="365" t="s">
        <v>824</v>
      </c>
      <c r="C205" s="366" t="s">
        <v>825</v>
      </c>
      <c r="D205" s="366">
        <v>288</v>
      </c>
      <c r="E205" s="367"/>
      <c r="F205" s="367"/>
      <c r="G205" s="366" t="s">
        <v>597</v>
      </c>
      <c r="H205" s="368"/>
      <c r="I205" s="368"/>
      <c r="J205" s="366"/>
    </row>
    <row r="206" spans="2:10" ht="18" x14ac:dyDescent="0.25">
      <c r="B206" s="365" t="s">
        <v>826</v>
      </c>
      <c r="C206" s="366" t="s">
        <v>827</v>
      </c>
      <c r="D206" s="366">
        <v>292</v>
      </c>
      <c r="E206" s="367"/>
      <c r="F206" s="367"/>
      <c r="G206" s="366" t="s">
        <v>597</v>
      </c>
      <c r="H206" s="368"/>
      <c r="I206" s="368"/>
      <c r="J206" s="366"/>
    </row>
    <row r="207" spans="2:10" ht="18" x14ac:dyDescent="0.25">
      <c r="B207" s="365" t="s">
        <v>828</v>
      </c>
      <c r="C207" s="366" t="s">
        <v>829</v>
      </c>
      <c r="D207" s="366">
        <v>292</v>
      </c>
      <c r="E207" s="367"/>
      <c r="F207" s="367"/>
      <c r="G207" s="366" t="s">
        <v>597</v>
      </c>
      <c r="H207" s="368"/>
      <c r="I207" s="368"/>
      <c r="J207" s="366"/>
    </row>
    <row r="208" spans="2:10" ht="18" x14ac:dyDescent="0.25">
      <c r="B208" s="365" t="s">
        <v>830</v>
      </c>
      <c r="C208" s="366" t="s">
        <v>831</v>
      </c>
      <c r="D208" s="366">
        <v>294</v>
      </c>
      <c r="E208" s="367"/>
      <c r="F208" s="367"/>
      <c r="G208" s="366" t="s">
        <v>597</v>
      </c>
      <c r="H208" s="368"/>
      <c r="I208" s="368"/>
      <c r="J208" s="366"/>
    </row>
    <row r="210" spans="2:10" ht="15.75" thickBot="1" x14ac:dyDescent="0.3">
      <c r="C210" s="369" t="s">
        <v>832</v>
      </c>
    </row>
    <row r="211" spans="2:10" ht="15.75" thickBot="1" x14ac:dyDescent="0.3">
      <c r="B211" s="370" t="s">
        <v>0</v>
      </c>
      <c r="C211" s="371" t="s">
        <v>1</v>
      </c>
      <c r="D211" s="372" t="s">
        <v>151</v>
      </c>
      <c r="E211" s="372" t="s">
        <v>534</v>
      </c>
      <c r="F211" s="372" t="s">
        <v>535</v>
      </c>
      <c r="G211" s="372" t="s">
        <v>2</v>
      </c>
      <c r="H211" s="372" t="s">
        <v>406</v>
      </c>
      <c r="I211" s="372" t="s">
        <v>115</v>
      </c>
      <c r="J211" s="373" t="s">
        <v>116</v>
      </c>
    </row>
    <row r="212" spans="2:10" ht="18" x14ac:dyDescent="0.25">
      <c r="B212" s="365" t="s">
        <v>1483</v>
      </c>
      <c r="C212" s="366" t="s">
        <v>1484</v>
      </c>
      <c r="D212" s="366">
        <v>28.97</v>
      </c>
      <c r="E212" s="367"/>
      <c r="F212" s="367"/>
      <c r="G212" s="366" t="s">
        <v>597</v>
      </c>
      <c r="H212" s="368"/>
      <c r="I212" s="368"/>
      <c r="J212" s="366"/>
    </row>
    <row r="213" spans="2:10" ht="18" x14ac:dyDescent="0.25">
      <c r="B213" s="365" t="s">
        <v>833</v>
      </c>
      <c r="C213" s="366" t="s">
        <v>834</v>
      </c>
      <c r="D213" s="366">
        <f>2*A_MH</f>
        <v>2.0158800000000001</v>
      </c>
      <c r="E213" s="367"/>
      <c r="F213" s="367"/>
      <c r="G213" s="366" t="s">
        <v>597</v>
      </c>
      <c r="H213" s="368"/>
      <c r="I213" s="368"/>
      <c r="J213" s="366"/>
    </row>
    <row r="214" spans="2:10" ht="18" x14ac:dyDescent="0.25">
      <c r="B214" s="365" t="s">
        <v>835</v>
      </c>
      <c r="C214" s="366" t="s">
        <v>836</v>
      </c>
      <c r="D214" s="366">
        <f>A_MC+4*A_MH</f>
        <v>16.042459999999998</v>
      </c>
      <c r="E214" s="367"/>
      <c r="F214" s="367"/>
      <c r="G214" s="366" t="s">
        <v>597</v>
      </c>
      <c r="H214" s="368"/>
      <c r="I214" s="368"/>
      <c r="J214" s="366"/>
    </row>
    <row r="215" spans="2:10" ht="18" x14ac:dyDescent="0.25">
      <c r="B215" s="365" t="s">
        <v>837</v>
      </c>
      <c r="C215" s="366" t="s">
        <v>838</v>
      </c>
      <c r="D215" s="366">
        <f>A_MC+2*A_MO</f>
        <v>44.009500000000003</v>
      </c>
      <c r="E215" s="367"/>
      <c r="F215" s="367"/>
      <c r="G215" s="366" t="s">
        <v>597</v>
      </c>
      <c r="H215" s="368"/>
      <c r="I215" s="368"/>
      <c r="J215" s="366"/>
    </row>
    <row r="216" spans="2:10" ht="18" x14ac:dyDescent="0.25">
      <c r="B216" s="365" t="s">
        <v>1191</v>
      </c>
      <c r="C216" s="366" t="s">
        <v>854</v>
      </c>
      <c r="D216" s="366">
        <f>A_MN+3*A_MH</f>
        <v>17.030519999999999</v>
      </c>
      <c r="E216" s="367"/>
      <c r="F216" s="367"/>
      <c r="G216" s="366" t="s">
        <v>597</v>
      </c>
      <c r="H216" s="368"/>
      <c r="I216" s="368"/>
      <c r="J216" s="366"/>
    </row>
    <row r="217" spans="2:10" ht="18" x14ac:dyDescent="0.25">
      <c r="B217" s="365" t="s">
        <v>839</v>
      </c>
      <c r="C217" s="366" t="s">
        <v>840</v>
      </c>
      <c r="D217" s="366">
        <f>2*A_MN</f>
        <v>28.013400000000001</v>
      </c>
      <c r="E217" s="367"/>
      <c r="F217" s="367"/>
      <c r="G217" s="366" t="s">
        <v>597</v>
      </c>
      <c r="H217" s="368"/>
      <c r="I217" s="368"/>
      <c r="J217" s="366"/>
    </row>
    <row r="218" spans="2:10" ht="18" x14ac:dyDescent="0.25">
      <c r="B218" s="365" t="s">
        <v>841</v>
      </c>
      <c r="C218" s="366" t="s">
        <v>842</v>
      </c>
      <c r="D218" s="366">
        <f>2*A_MO</f>
        <v>31.998799999999999</v>
      </c>
      <c r="E218" s="367"/>
      <c r="F218" s="367"/>
      <c r="G218" s="366" t="s">
        <v>597</v>
      </c>
      <c r="H218" s="368"/>
      <c r="I218" s="368"/>
      <c r="J218" s="366" t="s">
        <v>843</v>
      </c>
    </row>
    <row r="219" spans="2:10" ht="18" x14ac:dyDescent="0.25">
      <c r="B219" s="365" t="s">
        <v>844</v>
      </c>
      <c r="C219" s="366" t="s">
        <v>845</v>
      </c>
      <c r="D219" s="366">
        <f>A_MN+A_MO</f>
        <v>30.0061</v>
      </c>
      <c r="E219" s="367"/>
      <c r="F219" s="367"/>
      <c r="G219" s="366" t="s">
        <v>597</v>
      </c>
      <c r="H219" s="368"/>
      <c r="I219" s="368"/>
      <c r="J219" s="366" t="s">
        <v>846</v>
      </c>
    </row>
    <row r="220" spans="2:10" ht="18" x14ac:dyDescent="0.25">
      <c r="B220" s="365" t="s">
        <v>847</v>
      </c>
      <c r="C220" s="366" t="s">
        <v>848</v>
      </c>
      <c r="D220" s="366">
        <f>2*A_MN+A_MO</f>
        <v>44.012799999999999</v>
      </c>
      <c r="E220" s="367"/>
      <c r="F220" s="367"/>
      <c r="G220" s="366" t="s">
        <v>597</v>
      </c>
      <c r="H220" s="368"/>
      <c r="I220" s="368"/>
      <c r="J220" s="366" t="s">
        <v>849</v>
      </c>
    </row>
    <row r="221" spans="2:10" ht="18" x14ac:dyDescent="0.25">
      <c r="B221" s="365" t="s">
        <v>1485</v>
      </c>
      <c r="C221" s="366" t="s">
        <v>1486</v>
      </c>
      <c r="D221" s="366">
        <f>M_MH2S</f>
        <v>34.080880000000001</v>
      </c>
      <c r="E221" s="367"/>
      <c r="F221" s="367"/>
      <c r="G221" s="366" t="s">
        <v>597</v>
      </c>
      <c r="H221" s="368"/>
      <c r="I221" s="368"/>
      <c r="J221" s="366"/>
    </row>
    <row r="223" spans="2:10" ht="15.75" thickBot="1" x14ac:dyDescent="0.3">
      <c r="C223" s="369" t="s">
        <v>850</v>
      </c>
    </row>
    <row r="224" spans="2:10" ht="15.75" thickBot="1" x14ac:dyDescent="0.3">
      <c r="B224" s="370" t="s">
        <v>0</v>
      </c>
      <c r="C224" s="371" t="s">
        <v>1</v>
      </c>
      <c r="D224" s="372" t="s">
        <v>151</v>
      </c>
      <c r="E224" s="372" t="s">
        <v>534</v>
      </c>
      <c r="F224" s="372" t="s">
        <v>535</v>
      </c>
      <c r="G224" s="372" t="s">
        <v>2</v>
      </c>
      <c r="H224" s="372" t="s">
        <v>406</v>
      </c>
      <c r="I224" s="372" t="s">
        <v>115</v>
      </c>
      <c r="J224" s="373" t="s">
        <v>116</v>
      </c>
    </row>
    <row r="225" spans="2:10" ht="18" x14ac:dyDescent="0.25">
      <c r="B225" s="365" t="s">
        <v>1192</v>
      </c>
      <c r="C225" s="366" t="s">
        <v>1193</v>
      </c>
      <c r="D225" s="366">
        <f>2*A_MH+A_MO</f>
        <v>18.015280000000001</v>
      </c>
      <c r="E225" s="367"/>
      <c r="F225" s="367"/>
      <c r="G225" s="366" t="s">
        <v>597</v>
      </c>
      <c r="H225" s="368"/>
      <c r="I225" s="368"/>
      <c r="J225" s="366"/>
    </row>
    <row r="226" spans="2:10" ht="18" x14ac:dyDescent="0.25">
      <c r="B226" s="365" t="s">
        <v>851</v>
      </c>
      <c r="C226" s="366" t="s">
        <v>842</v>
      </c>
      <c r="D226" s="366">
        <f>2*A_MO</f>
        <v>31.998799999999999</v>
      </c>
      <c r="E226" s="367"/>
      <c r="F226" s="367"/>
      <c r="G226" s="366" t="s">
        <v>597</v>
      </c>
      <c r="H226" s="368"/>
      <c r="I226" s="368"/>
      <c r="J226" s="366"/>
    </row>
    <row r="227" spans="2:10" ht="18" x14ac:dyDescent="0.25">
      <c r="B227" s="365" t="s">
        <v>852</v>
      </c>
      <c r="C227" s="366" t="s">
        <v>840</v>
      </c>
      <c r="D227" s="366">
        <f>2*A_MN</f>
        <v>28.013400000000001</v>
      </c>
      <c r="E227" s="367"/>
      <c r="F227" s="367"/>
      <c r="G227" s="366" t="s">
        <v>597</v>
      </c>
      <c r="H227" s="368"/>
      <c r="I227" s="368"/>
      <c r="J227" s="366"/>
    </row>
    <row r="228" spans="2:10" ht="18" x14ac:dyDescent="0.25">
      <c r="B228" s="365" t="s">
        <v>853</v>
      </c>
      <c r="C228" s="366" t="s">
        <v>854</v>
      </c>
      <c r="D228" s="366">
        <f>A_MN+3*A_MH</f>
        <v>17.030519999999999</v>
      </c>
      <c r="E228" s="367"/>
      <c r="F228" s="367"/>
      <c r="G228" s="366" t="s">
        <v>597</v>
      </c>
      <c r="H228" s="368"/>
      <c r="I228" s="368"/>
      <c r="J228" s="366"/>
    </row>
    <row r="229" spans="2:10" ht="18" x14ac:dyDescent="0.25">
      <c r="B229" s="365" t="s">
        <v>1080</v>
      </c>
      <c r="C229" s="366" t="s">
        <v>1487</v>
      </c>
      <c r="D229" s="366">
        <f>A_MN+4*A_MH</f>
        <v>18.038460000000001</v>
      </c>
      <c r="E229" s="367"/>
      <c r="F229" s="367"/>
      <c r="G229" s="366" t="s">
        <v>597</v>
      </c>
      <c r="H229" s="368"/>
      <c r="I229" s="368"/>
      <c r="J229" s="366"/>
    </row>
    <row r="230" spans="2:10" ht="18" x14ac:dyDescent="0.25">
      <c r="B230" s="365" t="s">
        <v>1081</v>
      </c>
      <c r="C230" s="366" t="s">
        <v>1488</v>
      </c>
      <c r="D230" s="366">
        <f>A_MN + 2*A_MO</f>
        <v>46.005499999999998</v>
      </c>
      <c r="E230" s="367"/>
      <c r="F230" s="367"/>
      <c r="G230" s="366" t="s">
        <v>597</v>
      </c>
      <c r="H230" s="368"/>
      <c r="I230" s="368"/>
      <c r="J230" s="366"/>
    </row>
    <row r="231" spans="2:10" ht="18" x14ac:dyDescent="0.25">
      <c r="B231" s="365" t="s">
        <v>1082</v>
      </c>
      <c r="C231" s="366" t="s">
        <v>1489</v>
      </c>
      <c r="D231" s="366">
        <f>A_MN + 3*A_MO</f>
        <v>62.004899999999999</v>
      </c>
      <c r="E231" s="367"/>
      <c r="F231" s="367"/>
      <c r="G231" s="366" t="s">
        <v>597</v>
      </c>
      <c r="H231" s="368"/>
      <c r="I231" s="368"/>
      <c r="J231" s="366"/>
    </row>
    <row r="232" spans="2:10" ht="18" x14ac:dyDescent="0.25">
      <c r="B232" s="365" t="s">
        <v>1490</v>
      </c>
      <c r="C232" s="366" t="s">
        <v>1491</v>
      </c>
      <c r="D232" s="366">
        <f>2*A_MFe+3*A_MO</f>
        <v>159.68819999999999</v>
      </c>
      <c r="E232" s="367"/>
      <c r="F232" s="367"/>
      <c r="G232" s="366" t="s">
        <v>597</v>
      </c>
      <c r="H232" s="368"/>
      <c r="I232" s="368"/>
      <c r="J232" s="366"/>
    </row>
    <row r="233" spans="2:10" ht="18" x14ac:dyDescent="0.25">
      <c r="B233" s="365" t="s">
        <v>1492</v>
      </c>
      <c r="C233" s="366" t="s">
        <v>1493</v>
      </c>
      <c r="D233" s="366">
        <f>A_MFe+3*(A_MO+A_MH)</f>
        <v>106.86702</v>
      </c>
      <c r="E233" s="367"/>
      <c r="F233" s="367"/>
      <c r="G233" s="366" t="s">
        <v>597</v>
      </c>
      <c r="H233" s="368"/>
      <c r="I233" s="368"/>
      <c r="J233" s="366"/>
    </row>
    <row r="234" spans="2:10" ht="18" x14ac:dyDescent="0.25">
      <c r="B234" s="365" t="s">
        <v>1494</v>
      </c>
      <c r="C234" s="366" t="s">
        <v>1495</v>
      </c>
      <c r="D234" s="366">
        <f>A_MAl+3*(A_MO+A_MH)</f>
        <v>78.003519999999995</v>
      </c>
      <c r="E234" s="367"/>
      <c r="F234" s="367"/>
      <c r="G234" s="366" t="s">
        <v>597</v>
      </c>
      <c r="H234" s="368"/>
      <c r="I234" s="368"/>
      <c r="J234" s="366"/>
    </row>
    <row r="235" spans="2:10" ht="18" x14ac:dyDescent="0.25">
      <c r="B235" s="365" t="s">
        <v>1496</v>
      </c>
      <c r="C235" s="366" t="s">
        <v>1497</v>
      </c>
      <c r="D235" s="366">
        <f>A_MAl+A_MP+4*A_MO</f>
        <v>121.9528622</v>
      </c>
      <c r="E235" s="367"/>
      <c r="F235" s="367"/>
      <c r="G235" s="366" t="s">
        <v>597</v>
      </c>
      <c r="H235" s="368"/>
      <c r="I235" s="368"/>
      <c r="J235" s="366"/>
    </row>
    <row r="236" spans="2:10" ht="18" x14ac:dyDescent="0.25">
      <c r="B236" s="365" t="s">
        <v>1498</v>
      </c>
      <c r="C236" s="366" t="s">
        <v>855</v>
      </c>
      <c r="D236" s="366">
        <f>A_MP+4*A_MO</f>
        <v>94.971362200000002</v>
      </c>
      <c r="E236" s="367"/>
      <c r="F236" s="367"/>
      <c r="G236" s="366" t="s">
        <v>597</v>
      </c>
      <c r="H236" s="368"/>
      <c r="I236" s="368"/>
      <c r="J236" s="366"/>
    </row>
    <row r="237" spans="2:10" ht="18" x14ac:dyDescent="0.25">
      <c r="B237" s="365" t="s">
        <v>1499</v>
      </c>
      <c r="C237" s="366" t="s">
        <v>838</v>
      </c>
      <c r="D237" s="366">
        <f>A_MC+2*A_MO</f>
        <v>44.009500000000003</v>
      </c>
      <c r="E237" s="367"/>
      <c r="F237" s="367"/>
      <c r="G237" s="366" t="s">
        <v>597</v>
      </c>
      <c r="H237" s="368"/>
      <c r="I237" s="368"/>
      <c r="J237" s="366"/>
    </row>
    <row r="238" spans="2:10" ht="18" x14ac:dyDescent="0.25">
      <c r="B238" s="365" t="s">
        <v>1083</v>
      </c>
      <c r="C238" s="366" t="s">
        <v>1084</v>
      </c>
      <c r="D238" s="366">
        <f>A_MC + 3*A_MO</f>
        <v>60.008899999999997</v>
      </c>
      <c r="E238" s="367"/>
      <c r="F238" s="367"/>
      <c r="G238" s="366" t="s">
        <v>597</v>
      </c>
      <c r="H238" s="368"/>
      <c r="I238" s="368"/>
      <c r="J238" s="366"/>
    </row>
    <row r="239" spans="2:10" ht="18" x14ac:dyDescent="0.25">
      <c r="B239" s="365" t="s">
        <v>1085</v>
      </c>
      <c r="C239" s="366" t="s">
        <v>1086</v>
      </c>
      <c r="D239" s="366">
        <f>A_MH + A_MC + 3*A_MO</f>
        <v>61.016839999999995</v>
      </c>
      <c r="E239" s="367"/>
      <c r="F239" s="367"/>
      <c r="G239" s="366" t="s">
        <v>597</v>
      </c>
      <c r="H239" s="368"/>
      <c r="I239" s="368"/>
      <c r="J239" s="366"/>
    </row>
    <row r="240" spans="2:10" ht="18" x14ac:dyDescent="0.25">
      <c r="B240" s="365" t="s">
        <v>1087</v>
      </c>
      <c r="C240" s="366" t="s">
        <v>1088</v>
      </c>
      <c r="D240" s="366">
        <f>2*A_MH+A_MC + 3*A_MO</f>
        <v>62.024779999999993</v>
      </c>
      <c r="E240" s="367"/>
      <c r="F240" s="367"/>
      <c r="G240" s="366" t="s">
        <v>597</v>
      </c>
      <c r="H240" s="368"/>
      <c r="I240" s="368"/>
      <c r="J240" s="366"/>
    </row>
    <row r="241" spans="2:10" ht="18" x14ac:dyDescent="0.25">
      <c r="B241" s="365" t="s">
        <v>1194</v>
      </c>
      <c r="C241" s="366" t="s">
        <v>1195</v>
      </c>
      <c r="D241" s="366">
        <f>A_MS+4*A_MO</f>
        <v>96.062600000000003</v>
      </c>
      <c r="E241" s="367"/>
      <c r="F241" s="367"/>
      <c r="G241" s="366" t="s">
        <v>597</v>
      </c>
      <c r="H241" s="368"/>
      <c r="I241" s="368"/>
      <c r="J241" s="366"/>
    </row>
    <row r="242" spans="2:10" ht="18" x14ac:dyDescent="0.25">
      <c r="B242" s="365" t="s">
        <v>1196</v>
      </c>
      <c r="C242" s="366" t="s">
        <v>1197</v>
      </c>
      <c r="D242" s="366">
        <f>A_MH + A_MS+4*A_MO</f>
        <v>97.070539999999994</v>
      </c>
      <c r="E242" s="367"/>
      <c r="F242" s="367"/>
      <c r="G242" s="366" t="s">
        <v>597</v>
      </c>
      <c r="H242" s="368"/>
      <c r="I242" s="368"/>
      <c r="J242" s="366"/>
    </row>
    <row r="243" spans="2:10" ht="18" x14ac:dyDescent="0.25">
      <c r="B243" s="365" t="s">
        <v>1198</v>
      </c>
      <c r="C243" s="366" t="s">
        <v>1089</v>
      </c>
      <c r="D243" s="366">
        <f>2*A_MH + A_MS+4*A_MO</f>
        <v>98.078479999999999</v>
      </c>
      <c r="E243" s="367"/>
      <c r="F243" s="367"/>
      <c r="G243" s="366" t="s">
        <v>597</v>
      </c>
      <c r="H243" s="368"/>
      <c r="I243" s="368"/>
      <c r="J243" s="366"/>
    </row>
    <row r="244" spans="2:10" ht="18" x14ac:dyDescent="0.25">
      <c r="B244" s="365" t="s">
        <v>1199</v>
      </c>
      <c r="C244" s="366" t="s">
        <v>1091</v>
      </c>
      <c r="D244" s="366">
        <f>2*A_MH + A_MS</f>
        <v>34.080880000000001</v>
      </c>
      <c r="E244" s="367"/>
      <c r="F244" s="367"/>
      <c r="G244" s="366" t="s">
        <v>597</v>
      </c>
      <c r="H244" s="368"/>
      <c r="I244" s="368"/>
      <c r="J244" s="366"/>
    </row>
    <row r="245" spans="2:10" ht="18" x14ac:dyDescent="0.25">
      <c r="B245" s="365" t="s">
        <v>1090</v>
      </c>
      <c r="C245" s="366" t="s">
        <v>1200</v>
      </c>
      <c r="D245" s="366">
        <f>A_MH + A_MCl</f>
        <v>36.460940000000001</v>
      </c>
      <c r="E245" s="367"/>
      <c r="F245" s="367"/>
      <c r="G245" s="366" t="s">
        <v>597</v>
      </c>
      <c r="H245" s="368"/>
      <c r="I245" s="368"/>
      <c r="J245" s="366"/>
    </row>
    <row r="246" spans="2:10" ht="18" x14ac:dyDescent="0.25">
      <c r="B246" s="365" t="s">
        <v>856</v>
      </c>
      <c r="C246" s="366" t="s">
        <v>857</v>
      </c>
      <c r="D246" s="366">
        <f>A_MC+3*A_MH+A_MO+A_MH</f>
        <v>32.04186</v>
      </c>
      <c r="E246" s="367"/>
      <c r="F246" s="367"/>
      <c r="G246" s="366" t="s">
        <v>597</v>
      </c>
      <c r="H246" s="368"/>
      <c r="I246" s="368"/>
      <c r="J246" s="366"/>
    </row>
    <row r="247" spans="2:10" ht="18" x14ac:dyDescent="0.25">
      <c r="B247" s="365" t="s">
        <v>858</v>
      </c>
      <c r="C247" s="366" t="s">
        <v>859</v>
      </c>
      <c r="D247" s="366">
        <f>A_MC+3*A_MH+A_MC+2*A_MO+A_MH</f>
        <v>60.051960000000001</v>
      </c>
      <c r="E247" s="367"/>
      <c r="F247" s="367"/>
      <c r="G247" s="366" t="s">
        <v>597</v>
      </c>
      <c r="H247" s="368"/>
      <c r="I247" s="368"/>
      <c r="J247" s="366"/>
    </row>
    <row r="248" spans="2:10" ht="18" x14ac:dyDescent="0.25">
      <c r="B248" s="365" t="s">
        <v>1500</v>
      </c>
      <c r="C248" s="366" t="s">
        <v>1092</v>
      </c>
      <c r="D248" s="366">
        <f>A_MCa+A_MC+3*A_MO</f>
        <v>100.0869</v>
      </c>
      <c r="E248" s="367"/>
      <c r="F248" s="367"/>
      <c r="G248" s="366" t="s">
        <v>597</v>
      </c>
      <c r="H248" s="368"/>
      <c r="I248" s="368"/>
      <c r="J248" s="366"/>
    </row>
    <row r="249" spans="2:10" ht="18" x14ac:dyDescent="0.25">
      <c r="B249" s="365" t="s">
        <v>1201</v>
      </c>
      <c r="C249" s="366" t="s">
        <v>1202</v>
      </c>
      <c r="D249" s="366">
        <f>3*A_MCa+2*M_MPO4+4*M_MH2O</f>
        <v>382.23784440000003</v>
      </c>
      <c r="E249" s="367"/>
      <c r="F249" s="367"/>
      <c r="G249" s="366" t="s">
        <v>597</v>
      </c>
      <c r="H249" s="368"/>
      <c r="I249" s="368"/>
      <c r="J249" s="366"/>
    </row>
    <row r="250" spans="2:10" ht="18" x14ac:dyDescent="0.25">
      <c r="B250" s="365" t="s">
        <v>1501</v>
      </c>
      <c r="C250" s="366" t="s">
        <v>1093</v>
      </c>
      <c r="D250" s="366">
        <f>A_MMg+A_MN+4*A_MH+A_MP+4*A_MO+6*(M_MH2O)</f>
        <v>245.40650220000001</v>
      </c>
      <c r="E250" s="367"/>
      <c r="F250" s="367"/>
      <c r="G250" s="366" t="s">
        <v>597</v>
      </c>
      <c r="H250" s="368"/>
      <c r="I250" s="368"/>
      <c r="J250" s="366"/>
    </row>
    <row r="251" spans="2:10" ht="18" x14ac:dyDescent="0.25">
      <c r="B251" s="365" t="s">
        <v>1502</v>
      </c>
      <c r="C251" s="366" t="s">
        <v>1503</v>
      </c>
      <c r="D251" s="366">
        <f>A_MMg+A_MK+A_MP+4*A_MO+6*2*A_MH+6*A_MO</f>
        <v>266.46634219999999</v>
      </c>
      <c r="E251" s="367"/>
      <c r="F251" s="367"/>
      <c r="G251" s="366" t="s">
        <v>597</v>
      </c>
      <c r="H251" s="368"/>
      <c r="I251" s="368"/>
      <c r="J251" s="366"/>
    </row>
    <row r="252" spans="2:10" ht="18" x14ac:dyDescent="0.25">
      <c r="B252" s="365" t="s">
        <v>1203</v>
      </c>
      <c r="C252" s="366" t="s">
        <v>1204</v>
      </c>
      <c r="D252" s="366">
        <f>3*A_MFe+2*(A_MP+4*A_MO)+8*M_MH2O</f>
        <v>501.59996439999998</v>
      </c>
      <c r="E252" s="367"/>
      <c r="F252" s="367"/>
      <c r="G252" s="366" t="s">
        <v>597</v>
      </c>
      <c r="H252" s="368"/>
      <c r="I252" s="368"/>
      <c r="J252" s="366"/>
    </row>
    <row r="253" spans="2:10" ht="18" x14ac:dyDescent="0.25">
      <c r="B253" s="365" t="s">
        <v>1205</v>
      </c>
      <c r="C253" s="366" t="s">
        <v>1206</v>
      </c>
      <c r="D253" s="366">
        <f>A_MFe+A_MS</f>
        <v>87.91</v>
      </c>
      <c r="E253" s="367"/>
      <c r="F253" s="367"/>
      <c r="G253" s="366" t="s">
        <v>597</v>
      </c>
      <c r="H253" s="368"/>
      <c r="I253" s="368"/>
      <c r="J253" s="366"/>
    </row>
    <row r="254" spans="2:10" ht="18" x14ac:dyDescent="0.25">
      <c r="B254" s="365" t="s">
        <v>1504</v>
      </c>
      <c r="C254" s="366" t="s">
        <v>1505</v>
      </c>
      <c r="D254" s="366">
        <f>A_MFe+3*A_MCl</f>
        <v>162.20400000000001</v>
      </c>
      <c r="E254" s="367"/>
      <c r="F254" s="367"/>
      <c r="G254" s="366" t="s">
        <v>597</v>
      </c>
      <c r="H254" s="368"/>
      <c r="I254" s="368"/>
      <c r="J254" s="366"/>
    </row>
    <row r="255" spans="2:10" ht="18" x14ac:dyDescent="0.25">
      <c r="B255" s="365" t="s">
        <v>1506</v>
      </c>
      <c r="C255" s="366" t="s">
        <v>1507</v>
      </c>
      <c r="D255" s="366">
        <f>A_MFe+2*A_MCl</f>
        <v>126.751</v>
      </c>
      <c r="E255" s="367"/>
      <c r="F255" s="367"/>
      <c r="G255" s="366" t="s">
        <v>597</v>
      </c>
      <c r="H255" s="368"/>
      <c r="I255" s="368"/>
      <c r="J255" s="366"/>
    </row>
    <row r="256" spans="2:10" ht="18" x14ac:dyDescent="0.25">
      <c r="B256" s="365" t="s">
        <v>1508</v>
      </c>
      <c r="C256" s="366" t="s">
        <v>1509</v>
      </c>
      <c r="D256" s="366">
        <f>A_MFe+M_MSO4</f>
        <v>151.9076</v>
      </c>
      <c r="E256" s="367"/>
      <c r="F256" s="367"/>
      <c r="G256" s="366" t="s">
        <v>597</v>
      </c>
      <c r="H256" s="368"/>
      <c r="I256" s="368"/>
      <c r="J256" s="366"/>
    </row>
    <row r="257" spans="2:10" ht="18" x14ac:dyDescent="0.25">
      <c r="B257" s="365" t="s">
        <v>1094</v>
      </c>
      <c r="C257" s="366" t="s">
        <v>1095</v>
      </c>
      <c r="D257" s="366">
        <f>A_MSi + 2*A_MO</f>
        <v>60.084299999999999</v>
      </c>
      <c r="E257" s="367"/>
      <c r="F257" s="367"/>
      <c r="G257" s="366" t="s">
        <v>597</v>
      </c>
      <c r="H257" s="368"/>
      <c r="I257" s="368"/>
      <c r="J257" s="366"/>
    </row>
    <row r="258" spans="2:10" ht="18" x14ac:dyDescent="0.25">
      <c r="B258" s="365" t="s">
        <v>1510</v>
      </c>
      <c r="C258" s="366" t="s">
        <v>1511</v>
      </c>
      <c r="D258" s="366">
        <f>2*A_MCa+A_MP+4*A_MO+2*(A_MO+A_MH)</f>
        <v>209.14204219999999</v>
      </c>
      <c r="E258" s="367"/>
      <c r="F258" s="367"/>
      <c r="G258" s="366" t="s">
        <v>597</v>
      </c>
      <c r="H258" s="368"/>
      <c r="I258" s="368"/>
      <c r="J258" s="366"/>
    </row>
    <row r="259" spans="2:10" ht="18" x14ac:dyDescent="0.25">
      <c r="B259" s="365" t="s">
        <v>1512</v>
      </c>
      <c r="C259" s="366" t="s">
        <v>1513</v>
      </c>
      <c r="D259" s="366">
        <f>5*A_MCa+A_MP*3+4*3*A_MO+A_MO+A_MH</f>
        <v>502.3114266</v>
      </c>
      <c r="E259" s="367"/>
      <c r="F259" s="367"/>
      <c r="G259" s="366" t="s">
        <v>597</v>
      </c>
      <c r="H259" s="368"/>
      <c r="I259" s="368"/>
      <c r="J259" s="366"/>
    </row>
    <row r="260" spans="2:10" ht="18" x14ac:dyDescent="0.25">
      <c r="B260" s="365" t="s">
        <v>1514</v>
      </c>
      <c r="C260" s="366" t="s">
        <v>1515</v>
      </c>
      <c r="D260" s="366">
        <f>A_MCa+A_MO+A_MH</f>
        <v>57.085340000000002</v>
      </c>
      <c r="E260" s="367"/>
      <c r="F260" s="367"/>
      <c r="G260" s="366" t="s">
        <v>597</v>
      </c>
      <c r="H260" s="368"/>
      <c r="I260" s="368"/>
      <c r="J260" s="366"/>
    </row>
    <row r="261" spans="2:10" ht="18" x14ac:dyDescent="0.25">
      <c r="B261" s="365" t="s">
        <v>1516</v>
      </c>
      <c r="C261" s="366" t="s">
        <v>1517</v>
      </c>
      <c r="D261" s="366">
        <f>A_MCa+A_MH+A_MC+3*A_MO</f>
        <v>101.09484</v>
      </c>
      <c r="E261" s="367"/>
      <c r="F261" s="367"/>
      <c r="G261" s="366" t="s">
        <v>597</v>
      </c>
      <c r="H261" s="368"/>
      <c r="I261" s="368"/>
      <c r="J261" s="366"/>
    </row>
    <row r="262" spans="2:10" ht="18" x14ac:dyDescent="0.25">
      <c r="B262" s="365" t="s">
        <v>1518</v>
      </c>
      <c r="C262" s="366" t="s">
        <v>1519</v>
      </c>
      <c r="D262" s="366">
        <f>A_MCa+A_MP+4*A_MO</f>
        <v>135.04936219999999</v>
      </c>
      <c r="E262" s="367"/>
      <c r="F262" s="367"/>
      <c r="G262" s="366" t="s">
        <v>597</v>
      </c>
      <c r="H262" s="368"/>
      <c r="I262" s="368"/>
      <c r="J262" s="366"/>
    </row>
    <row r="263" spans="2:10" ht="18" x14ac:dyDescent="0.25">
      <c r="B263" s="365" t="s">
        <v>1520</v>
      </c>
      <c r="C263" s="366" t="s">
        <v>1521</v>
      </c>
      <c r="D263" s="366">
        <f>A_MCa+A_MH+A_MP+4*A_MO</f>
        <v>136.05730220000001</v>
      </c>
      <c r="E263" s="367"/>
      <c r="F263" s="367"/>
      <c r="G263" s="366" t="s">
        <v>597</v>
      </c>
      <c r="H263" s="368"/>
      <c r="I263" s="368"/>
      <c r="J263" s="366"/>
    </row>
    <row r="264" spans="2:10" ht="18" x14ac:dyDescent="0.25">
      <c r="B264" s="365" t="s">
        <v>1522</v>
      </c>
      <c r="C264" s="366" t="s">
        <v>1523</v>
      </c>
      <c r="D264" s="366">
        <f>A_MCa+2*A_MH+A_MP+4*A_MO</f>
        <v>137.0652422</v>
      </c>
      <c r="E264" s="367"/>
      <c r="F264" s="367"/>
      <c r="G264" s="366" t="s">
        <v>597</v>
      </c>
      <c r="H264" s="368"/>
      <c r="I264" s="368"/>
      <c r="J264" s="366"/>
    </row>
    <row r="265" spans="2:10" ht="18" x14ac:dyDescent="0.25">
      <c r="B265" s="365" t="s">
        <v>1524</v>
      </c>
      <c r="C265" s="366" t="s">
        <v>1525</v>
      </c>
      <c r="D265" s="366">
        <f>A_MMg+A_MO+A_MH</f>
        <v>41.312339999999999</v>
      </c>
      <c r="E265" s="367"/>
      <c r="F265" s="367"/>
      <c r="G265" s="366" t="s">
        <v>597</v>
      </c>
      <c r="H265" s="368"/>
      <c r="I265" s="368"/>
      <c r="J265" s="366"/>
    </row>
    <row r="266" spans="2:10" ht="18" x14ac:dyDescent="0.25">
      <c r="B266" s="365" t="s">
        <v>1526</v>
      </c>
      <c r="C266" s="366" t="s">
        <v>1527</v>
      </c>
      <c r="D266" s="366">
        <f>A_MMg+2*(A_MO+A_MH)</f>
        <v>58.319679999999998</v>
      </c>
      <c r="E266" s="367"/>
      <c r="F266" s="367"/>
      <c r="G266" s="366" t="s">
        <v>597</v>
      </c>
      <c r="H266" s="368"/>
      <c r="I266" s="368"/>
      <c r="J266" s="366"/>
    </row>
    <row r="267" spans="2:10" ht="18" x14ac:dyDescent="0.25">
      <c r="B267" s="365" t="s">
        <v>1528</v>
      </c>
      <c r="C267" s="366" t="s">
        <v>1529</v>
      </c>
      <c r="D267" s="366">
        <f>A_MMg+A_MC+3*A_MO</f>
        <v>84.31389999999999</v>
      </c>
      <c r="E267" s="367"/>
      <c r="F267" s="367"/>
      <c r="G267" s="366" t="s">
        <v>597</v>
      </c>
      <c r="H267" s="368"/>
      <c r="I267" s="368"/>
      <c r="J267" s="366"/>
    </row>
    <row r="268" spans="2:10" ht="18" x14ac:dyDescent="0.25">
      <c r="B268" s="365" t="s">
        <v>1530</v>
      </c>
      <c r="C268" s="366" t="s">
        <v>1531</v>
      </c>
      <c r="D268" s="366">
        <f>A_MMg+A_MH+A_MC+3*A_MO</f>
        <v>85.321839999999995</v>
      </c>
      <c r="E268" s="367"/>
      <c r="F268" s="367"/>
      <c r="G268" s="366" t="s">
        <v>597</v>
      </c>
      <c r="H268" s="368"/>
      <c r="I268" s="368"/>
      <c r="J268" s="366"/>
    </row>
    <row r="269" spans="2:10" ht="18" x14ac:dyDescent="0.25">
      <c r="B269" s="365" t="s">
        <v>1532</v>
      </c>
      <c r="C269" s="366" t="s">
        <v>1533</v>
      </c>
      <c r="D269" s="366">
        <f>A_MMg+A_MH+A_MP+4*A_MO</f>
        <v>120.2843022</v>
      </c>
      <c r="E269" s="367"/>
      <c r="F269" s="367"/>
      <c r="G269" s="366" t="s">
        <v>597</v>
      </c>
      <c r="H269" s="368"/>
      <c r="I269" s="368"/>
      <c r="J269" s="366"/>
    </row>
    <row r="270" spans="2:10" ht="18" x14ac:dyDescent="0.25">
      <c r="B270" s="365" t="s">
        <v>1534</v>
      </c>
      <c r="C270" s="366" t="s">
        <v>1535</v>
      </c>
      <c r="D270" s="366">
        <f>A_MMg+A_MP+4*A_MO</f>
        <v>119.27636219999999</v>
      </c>
      <c r="E270" s="367"/>
      <c r="F270" s="367"/>
      <c r="G270" s="366" t="s">
        <v>597</v>
      </c>
      <c r="H270" s="368"/>
      <c r="I270" s="368"/>
      <c r="J270" s="366"/>
    </row>
    <row r="271" spans="2:10" ht="18" x14ac:dyDescent="0.25">
      <c r="B271" s="365" t="s">
        <v>1536</v>
      </c>
      <c r="C271" s="366" t="s">
        <v>1537</v>
      </c>
      <c r="D271" s="366">
        <f>A_MMg+2*A_MH+A_MP+4*A_MO</f>
        <v>121.2922422</v>
      </c>
      <c r="E271" s="367"/>
      <c r="F271" s="367"/>
      <c r="G271" s="366" t="s">
        <v>597</v>
      </c>
      <c r="H271" s="368"/>
      <c r="I271" s="368"/>
      <c r="J271" s="366"/>
    </row>
    <row r="272" spans="2:10" ht="18" x14ac:dyDescent="0.25">
      <c r="B272" s="365" t="s">
        <v>1538</v>
      </c>
      <c r="C272" s="366" t="s">
        <v>1539</v>
      </c>
      <c r="D272" s="366">
        <f>A_MNa+A_MH+A_MP+4*A_MO</f>
        <v>118.9690712</v>
      </c>
      <c r="E272" s="367"/>
      <c r="F272" s="367"/>
      <c r="G272" s="366" t="s">
        <v>597</v>
      </c>
      <c r="H272" s="368"/>
      <c r="I272" s="368"/>
      <c r="J272" s="366"/>
    </row>
    <row r="273" spans="2:10" ht="18" x14ac:dyDescent="0.25">
      <c r="B273" s="365" t="s">
        <v>1540</v>
      </c>
      <c r="C273" s="366" t="s">
        <v>1541</v>
      </c>
      <c r="D273" s="366">
        <f>A_MNa+A_MCl</f>
        <v>58.442768999999998</v>
      </c>
      <c r="E273" s="367"/>
      <c r="F273" s="367"/>
      <c r="G273" s="366" t="s">
        <v>597</v>
      </c>
      <c r="H273" s="368"/>
      <c r="I273" s="368"/>
      <c r="J273" s="366"/>
    </row>
    <row r="274" spans="2:10" ht="18" x14ac:dyDescent="0.25">
      <c r="B274" s="365" t="s">
        <v>1542</v>
      </c>
      <c r="C274" s="366" t="s">
        <v>1543</v>
      </c>
      <c r="D274" s="366">
        <f>A_MNa+A_MH+A_MO</f>
        <v>39.997109000000002</v>
      </c>
      <c r="E274" s="367"/>
      <c r="F274" s="367"/>
      <c r="G274" s="366" t="s">
        <v>597</v>
      </c>
      <c r="H274" s="368"/>
      <c r="I274" s="368"/>
      <c r="J274" s="366"/>
    </row>
    <row r="275" spans="2:10" ht="18" x14ac:dyDescent="0.25">
      <c r="B275" s="365" t="s">
        <v>1544</v>
      </c>
      <c r="C275" s="366" t="s">
        <v>1545</v>
      </c>
      <c r="D275" s="366">
        <f>2*A_MNa+A_MC+3*A_MO</f>
        <v>105.988438</v>
      </c>
      <c r="E275" s="367"/>
      <c r="F275" s="367"/>
      <c r="G275" s="366" t="s">
        <v>597</v>
      </c>
      <c r="H275" s="368"/>
      <c r="I275" s="368"/>
      <c r="J275" s="366"/>
    </row>
    <row r="276" spans="2:10" ht="18" x14ac:dyDescent="0.25">
      <c r="B276" s="365" t="s">
        <v>1546</v>
      </c>
      <c r="C276" s="366" t="s">
        <v>1547</v>
      </c>
      <c r="D276" s="366">
        <f>A_MNa+A_MH+A_MC+3*A_MO</f>
        <v>84.006608999999997</v>
      </c>
      <c r="E276" s="367"/>
      <c r="F276" s="367"/>
      <c r="G276" s="366" t="s">
        <v>597</v>
      </c>
      <c r="H276" s="368"/>
      <c r="I276" s="368"/>
      <c r="J276" s="366"/>
    </row>
    <row r="277" spans="2:10" ht="18" x14ac:dyDescent="0.25">
      <c r="B277" s="365" t="s">
        <v>1548</v>
      </c>
      <c r="C277" s="366" t="s">
        <v>1549</v>
      </c>
      <c r="D277" s="366">
        <f>4*A_MH+A_MC+A_MS</f>
        <v>48.107459999999996</v>
      </c>
      <c r="E277" s="367"/>
      <c r="F277" s="367"/>
      <c r="G277" s="366" t="s">
        <v>597</v>
      </c>
      <c r="H277" s="368"/>
      <c r="I277" s="368"/>
      <c r="J277" s="366"/>
    </row>
    <row r="279" spans="2:10" ht="15.75" thickBot="1" x14ac:dyDescent="0.3">
      <c r="C279" s="369" t="s">
        <v>860</v>
      </c>
    </row>
    <row r="280" spans="2:10" ht="15.75" thickBot="1" x14ac:dyDescent="0.3">
      <c r="B280" s="370" t="s">
        <v>0</v>
      </c>
      <c r="C280" s="371" t="s">
        <v>1</v>
      </c>
      <c r="D280" s="372" t="s">
        <v>151</v>
      </c>
      <c r="E280" s="372" t="s">
        <v>534</v>
      </c>
      <c r="F280" s="372" t="s">
        <v>535</v>
      </c>
      <c r="G280" s="372" t="s">
        <v>2</v>
      </c>
      <c r="H280" s="372" t="s">
        <v>406</v>
      </c>
      <c r="I280" s="372" t="s">
        <v>115</v>
      </c>
      <c r="J280" s="373" t="s">
        <v>116</v>
      </c>
    </row>
    <row r="281" spans="2:10" ht="18" x14ac:dyDescent="0.25">
      <c r="B281" s="365" t="s">
        <v>1550</v>
      </c>
      <c r="C281" s="366" t="s">
        <v>1207</v>
      </c>
      <c r="D281" s="366">
        <f>2*A_MN</f>
        <v>28.013400000000001</v>
      </c>
      <c r="E281" s="367"/>
      <c r="F281" s="367"/>
      <c r="G281" s="366" t="s">
        <v>1551</v>
      </c>
      <c r="H281" s="368"/>
      <c r="I281" s="368"/>
      <c r="J281" s="366"/>
    </row>
    <row r="282" spans="2:10" ht="18" x14ac:dyDescent="0.25">
      <c r="B282" s="365" t="s">
        <v>1552</v>
      </c>
      <c r="C282" s="366" t="s">
        <v>1208</v>
      </c>
      <c r="D282" s="366">
        <f>A_MN</f>
        <v>14.0067</v>
      </c>
      <c r="E282" s="367"/>
      <c r="F282" s="367"/>
      <c r="G282" s="366" t="s">
        <v>1551</v>
      </c>
      <c r="H282" s="368"/>
      <c r="I282" s="368"/>
      <c r="J282" s="366"/>
    </row>
    <row r="283" spans="2:10" ht="18" x14ac:dyDescent="0.25">
      <c r="B283" s="365" t="s">
        <v>1553</v>
      </c>
      <c r="C283" s="366" t="s">
        <v>1209</v>
      </c>
      <c r="D283" s="366">
        <f>A_MN</f>
        <v>14.0067</v>
      </c>
      <c r="E283" s="367"/>
      <c r="F283" s="367"/>
      <c r="G283" s="366" t="s">
        <v>1551</v>
      </c>
      <c r="H283" s="368"/>
      <c r="I283" s="368"/>
      <c r="J283" s="366"/>
    </row>
    <row r="284" spans="2:10" ht="18" x14ac:dyDescent="0.25">
      <c r="B284" s="365" t="s">
        <v>1554</v>
      </c>
      <c r="C284" s="366" t="s">
        <v>1210</v>
      </c>
      <c r="D284" s="366">
        <f>2*A_MN</f>
        <v>28.013400000000001</v>
      </c>
      <c r="E284" s="367"/>
      <c r="F284" s="367"/>
      <c r="G284" s="366" t="s">
        <v>1551</v>
      </c>
      <c r="H284" s="368"/>
      <c r="I284" s="368"/>
      <c r="J284" s="366"/>
    </row>
    <row r="285" spans="2:10" ht="18" x14ac:dyDescent="0.25">
      <c r="B285" s="365" t="s">
        <v>1555</v>
      </c>
      <c r="C285" s="366" t="s">
        <v>1211</v>
      </c>
      <c r="D285" s="366">
        <v>12.0107</v>
      </c>
      <c r="E285" s="367"/>
      <c r="F285" s="367"/>
      <c r="G285" s="366" t="s">
        <v>597</v>
      </c>
      <c r="H285" s="368"/>
      <c r="I285" s="368"/>
      <c r="J285" s="366" t="s">
        <v>1556</v>
      </c>
    </row>
    <row r="286" spans="2:10" ht="18" x14ac:dyDescent="0.25">
      <c r="B286" s="365" t="s">
        <v>1557</v>
      </c>
      <c r="C286" s="366" t="s">
        <v>1212</v>
      </c>
      <c r="D286" s="366">
        <f>2*A_MO</f>
        <v>31.998799999999999</v>
      </c>
      <c r="E286" s="367"/>
      <c r="F286" s="367"/>
      <c r="G286" s="366" t="s">
        <v>597</v>
      </c>
      <c r="H286" s="368"/>
      <c r="I286" s="368"/>
      <c r="J286" s="366"/>
    </row>
    <row r="287" spans="2:10" ht="18" x14ac:dyDescent="0.25">
      <c r="B287" s="365" t="s">
        <v>861</v>
      </c>
      <c r="C287" s="366" t="s">
        <v>1213</v>
      </c>
      <c r="D287" s="366">
        <v>63.997599999999998</v>
      </c>
      <c r="E287" s="367"/>
      <c r="F287" s="367"/>
      <c r="G287" s="366" t="s">
        <v>1558</v>
      </c>
      <c r="H287" s="368"/>
      <c r="I287" s="368"/>
      <c r="J287" s="366"/>
    </row>
    <row r="288" spans="2:10" ht="18" x14ac:dyDescent="0.25">
      <c r="B288" s="365" t="s">
        <v>862</v>
      </c>
      <c r="C288" s="366" t="s">
        <v>1214</v>
      </c>
      <c r="D288" s="366">
        <f>2*7.9997</f>
        <v>15.9994</v>
      </c>
      <c r="E288" s="367"/>
      <c r="F288" s="367"/>
      <c r="G288" s="366" t="s">
        <v>1558</v>
      </c>
      <c r="H288" s="368"/>
      <c r="I288" s="368"/>
      <c r="J288" s="366"/>
    </row>
    <row r="289" spans="2:10" ht="18" x14ac:dyDescent="0.25">
      <c r="B289" s="365" t="s">
        <v>1559</v>
      </c>
      <c r="C289" s="366" t="s">
        <v>1560</v>
      </c>
      <c r="D289" s="366">
        <f>A_MS</f>
        <v>32.064999999999998</v>
      </c>
      <c r="E289" s="367"/>
      <c r="F289" s="367"/>
      <c r="G289" s="366" t="s">
        <v>1561</v>
      </c>
      <c r="H289" s="368"/>
      <c r="I289" s="368"/>
      <c r="J289" s="366"/>
    </row>
    <row r="291" spans="2:10" ht="15.75" thickBot="1" x14ac:dyDescent="0.3">
      <c r="C291" s="369" t="s">
        <v>863</v>
      </c>
    </row>
    <row r="292" spans="2:10" ht="15.75" thickBot="1" x14ac:dyDescent="0.3">
      <c r="B292" s="370" t="s">
        <v>0</v>
      </c>
      <c r="C292" s="371" t="s">
        <v>1</v>
      </c>
      <c r="D292" s="372" t="s">
        <v>151</v>
      </c>
      <c r="E292" s="372" t="s">
        <v>534</v>
      </c>
      <c r="F292" s="372" t="s">
        <v>535</v>
      </c>
      <c r="G292" s="372" t="s">
        <v>2</v>
      </c>
      <c r="H292" s="372" t="s">
        <v>406</v>
      </c>
      <c r="I292" s="372" t="s">
        <v>115</v>
      </c>
      <c r="J292" s="373" t="s">
        <v>116</v>
      </c>
    </row>
    <row r="293" spans="2:10" ht="18" x14ac:dyDescent="0.25">
      <c r="B293" s="365" t="s">
        <v>1096</v>
      </c>
      <c r="C293" s="366" t="s">
        <v>1562</v>
      </c>
      <c r="D293" s="366">
        <f>10^-13.997</f>
        <v>1.0069316688518014E-14</v>
      </c>
      <c r="E293" s="367"/>
      <c r="F293" s="367"/>
      <c r="G293" s="366"/>
      <c r="H293" s="368"/>
      <c r="I293" s="368"/>
      <c r="J293" s="366" t="s">
        <v>1563</v>
      </c>
    </row>
    <row r="294" spans="2:10" ht="18" x14ac:dyDescent="0.25">
      <c r="B294" s="365" t="s">
        <v>1564</v>
      </c>
      <c r="C294" s="366" t="s">
        <v>1565</v>
      </c>
      <c r="D294" s="366">
        <f>10^-9.244</f>
        <v>5.7016427228074759E-10</v>
      </c>
      <c r="E294" s="367"/>
      <c r="F294" s="367"/>
      <c r="G294" s="366"/>
      <c r="H294" s="368"/>
      <c r="I294" s="368"/>
      <c r="J294" s="366" t="s">
        <v>1566</v>
      </c>
    </row>
    <row r="295" spans="2:10" ht="18" x14ac:dyDescent="0.25">
      <c r="B295" s="365" t="s">
        <v>1567</v>
      </c>
      <c r="C295" s="366" t="s">
        <v>1568</v>
      </c>
      <c r="D295" s="366">
        <f>10^-3.35</f>
        <v>4.4668359215096267E-4</v>
      </c>
      <c r="E295" s="367"/>
      <c r="F295" s="367"/>
      <c r="G295" s="366"/>
      <c r="H295" s="368"/>
      <c r="I295" s="368"/>
      <c r="J295" s="366" t="s">
        <v>1569</v>
      </c>
    </row>
    <row r="296" spans="2:10" ht="18" x14ac:dyDescent="0.25">
      <c r="B296" s="365" t="s">
        <v>1097</v>
      </c>
      <c r="C296" s="366" t="s">
        <v>1570</v>
      </c>
      <c r="D296" s="366">
        <f>10^-6.352</f>
        <v>4.4463126746910741E-7</v>
      </c>
      <c r="E296" s="367"/>
      <c r="F296" s="367"/>
      <c r="G296" s="366"/>
      <c r="H296" s="368"/>
      <c r="I296" s="368"/>
      <c r="J296" s="366" t="s">
        <v>1571</v>
      </c>
    </row>
    <row r="297" spans="2:10" ht="18" x14ac:dyDescent="0.25">
      <c r="B297" s="365" t="s">
        <v>1098</v>
      </c>
      <c r="C297" s="366" t="s">
        <v>1572</v>
      </c>
      <c r="D297" s="366">
        <f>10^-10.329</f>
        <v>4.6881338214526346E-11</v>
      </c>
      <c r="E297" s="367"/>
      <c r="F297" s="367"/>
      <c r="G297" s="366"/>
      <c r="H297" s="368"/>
      <c r="I297" s="368"/>
      <c r="J297" s="366" t="s">
        <v>1573</v>
      </c>
    </row>
    <row r="298" spans="2:10" ht="18" x14ac:dyDescent="0.25">
      <c r="B298" s="365" t="s">
        <v>1099</v>
      </c>
      <c r="C298" s="366" t="s">
        <v>1574</v>
      </c>
      <c r="D298" s="366">
        <f>10^-2.148</f>
        <v>7.1121351365332815E-3</v>
      </c>
      <c r="E298" s="367"/>
      <c r="F298" s="367"/>
      <c r="G298" s="366"/>
      <c r="H298" s="368"/>
      <c r="I298" s="368"/>
      <c r="J298" s="366" t="s">
        <v>1575</v>
      </c>
    </row>
    <row r="299" spans="2:10" ht="18" x14ac:dyDescent="0.25">
      <c r="B299" s="365" t="s">
        <v>1100</v>
      </c>
      <c r="C299" s="366" t="s">
        <v>1576</v>
      </c>
      <c r="D299" s="366">
        <f>10^-7.198</f>
        <v>6.3386971125692633E-8</v>
      </c>
      <c r="E299" s="367"/>
      <c r="F299" s="367"/>
      <c r="G299" s="366"/>
      <c r="H299" s="368"/>
      <c r="I299" s="368"/>
      <c r="J299" s="366" t="s">
        <v>1577</v>
      </c>
    </row>
    <row r="300" spans="2:10" ht="18" x14ac:dyDescent="0.25">
      <c r="B300" s="365" t="s">
        <v>1101</v>
      </c>
      <c r="C300" s="366" t="s">
        <v>1578</v>
      </c>
      <c r="D300" s="366">
        <f>10^-12.375</f>
        <v>4.216965034285812E-13</v>
      </c>
      <c r="E300" s="367"/>
      <c r="F300" s="367"/>
      <c r="G300" s="366"/>
      <c r="H300" s="368"/>
      <c r="I300" s="368"/>
      <c r="J300" s="366" t="s">
        <v>1579</v>
      </c>
    </row>
    <row r="301" spans="2:10" ht="18" x14ac:dyDescent="0.25">
      <c r="B301" s="365" t="s">
        <v>1580</v>
      </c>
      <c r="C301" s="366" t="s">
        <v>1581</v>
      </c>
      <c r="D301" s="366">
        <f>10^-4.757</f>
        <v>1.7498466886246563E-5</v>
      </c>
      <c r="E301" s="367"/>
      <c r="F301" s="367"/>
      <c r="G301" s="366"/>
      <c r="H301" s="368"/>
      <c r="I301" s="368"/>
      <c r="J301" s="366" t="s">
        <v>1582</v>
      </c>
    </row>
    <row r="302" spans="2:10" ht="18" x14ac:dyDescent="0.25">
      <c r="B302" s="365" t="s">
        <v>1583</v>
      </c>
      <c r="C302" s="366" t="s">
        <v>1584</v>
      </c>
      <c r="D302" s="366">
        <f>10^(-7.02)</f>
        <v>9.5499258602143556E-8</v>
      </c>
      <c r="E302" s="367"/>
      <c r="F302" s="367"/>
      <c r="G302" s="366"/>
      <c r="H302" s="368"/>
      <c r="I302" s="368"/>
      <c r="J302" s="366" t="s">
        <v>1585</v>
      </c>
    </row>
    <row r="303" spans="2:10" ht="18" x14ac:dyDescent="0.25">
      <c r="B303" s="365" t="s">
        <v>1586</v>
      </c>
      <c r="C303" s="366" t="s">
        <v>1587</v>
      </c>
      <c r="D303" s="366">
        <f>10^(-17.3)</f>
        <v>5.0118723362726963E-18</v>
      </c>
      <c r="E303" s="367"/>
      <c r="F303" s="367"/>
      <c r="G303" s="366"/>
      <c r="H303" s="368"/>
      <c r="I303" s="368"/>
      <c r="J303" s="366" t="s">
        <v>1585</v>
      </c>
    </row>
    <row r="304" spans="2:10" ht="18" x14ac:dyDescent="0.25">
      <c r="B304" s="365" t="s">
        <v>1588</v>
      </c>
      <c r="C304" s="366" t="s">
        <v>1589</v>
      </c>
      <c r="D304" s="366">
        <f>10^(3)</f>
        <v>1000</v>
      </c>
      <c r="E304" s="367"/>
      <c r="F304" s="367"/>
      <c r="G304" s="366"/>
      <c r="H304" s="368"/>
      <c r="I304" s="368"/>
      <c r="J304" s="366" t="s">
        <v>1590</v>
      </c>
    </row>
    <row r="305" spans="2:10" ht="18" x14ac:dyDescent="0.25">
      <c r="B305" s="365" t="s">
        <v>1591</v>
      </c>
      <c r="C305" s="366" t="s">
        <v>1592</v>
      </c>
      <c r="D305" s="366">
        <f>10^(-1.99)</f>
        <v>1.0232929922807535E-2</v>
      </c>
      <c r="E305" s="367"/>
      <c r="F305" s="367"/>
      <c r="G305" s="366"/>
      <c r="H305" s="368"/>
      <c r="I305" s="368"/>
      <c r="J305" s="366" t="s">
        <v>1593</v>
      </c>
    </row>
    <row r="306" spans="2:10" ht="18" x14ac:dyDescent="0.25">
      <c r="B306" s="365" t="s">
        <v>1594</v>
      </c>
      <c r="C306" s="366" t="s">
        <v>1584</v>
      </c>
      <c r="D306" s="366">
        <f>10^(-7.02)</f>
        <v>9.5499258602143556E-8</v>
      </c>
      <c r="E306" s="367"/>
      <c r="F306" s="367"/>
      <c r="G306" s="366"/>
      <c r="H306" s="368"/>
      <c r="I306" s="368"/>
      <c r="J306" s="366" t="s">
        <v>1593</v>
      </c>
    </row>
    <row r="308" spans="2:10" ht="15.75" thickBot="1" x14ac:dyDescent="0.3">
      <c r="C308" s="369" t="s">
        <v>1595</v>
      </c>
    </row>
    <row r="309" spans="2:10" ht="15.75" thickBot="1" x14ac:dyDescent="0.3">
      <c r="B309" s="370" t="s">
        <v>0</v>
      </c>
      <c r="C309" s="371" t="s">
        <v>1</v>
      </c>
      <c r="D309" s="372" t="s">
        <v>151</v>
      </c>
      <c r="E309" s="372" t="s">
        <v>534</v>
      </c>
      <c r="F309" s="372" t="s">
        <v>535</v>
      </c>
      <c r="G309" s="372" t="s">
        <v>2</v>
      </c>
      <c r="H309" s="372" t="s">
        <v>406</v>
      </c>
      <c r="I309" s="372" t="s">
        <v>115</v>
      </c>
      <c r="J309" s="373" t="s">
        <v>116</v>
      </c>
    </row>
    <row r="310" spans="2:10" ht="18" x14ac:dyDescent="0.25">
      <c r="B310" s="365" t="s">
        <v>1596</v>
      </c>
      <c r="C310" s="366" t="s">
        <v>1597</v>
      </c>
      <c r="D310" s="366">
        <f>10^(-6.35)</f>
        <v>4.4668359215096327E-7</v>
      </c>
      <c r="E310" s="367"/>
      <c r="F310" s="367"/>
      <c r="G310" s="366"/>
      <c r="H310" s="368"/>
      <c r="I310" s="368"/>
      <c r="J310" s="366"/>
    </row>
    <row r="311" spans="2:10" ht="18" x14ac:dyDescent="0.25">
      <c r="B311" s="365" t="s">
        <v>1598</v>
      </c>
      <c r="C311" s="366" t="s">
        <v>1599</v>
      </c>
      <c r="D311" s="366">
        <v>6.9180000000000002E-14</v>
      </c>
      <c r="E311" s="367"/>
      <c r="F311" s="367"/>
      <c r="G311" s="366"/>
      <c r="H311" s="368"/>
      <c r="I311" s="368"/>
      <c r="J311" s="366"/>
    </row>
    <row r="312" spans="2:10" ht="18" x14ac:dyDescent="0.25">
      <c r="B312" s="365" t="s">
        <v>1600</v>
      </c>
      <c r="C312" s="366" t="s">
        <v>1601</v>
      </c>
      <c r="D312" s="366">
        <v>3.162277660168363E-26</v>
      </c>
      <c r="E312" s="367"/>
      <c r="F312" s="367"/>
      <c r="G312" s="366"/>
      <c r="H312" s="368"/>
      <c r="I312" s="368"/>
      <c r="J312" s="366" t="s">
        <v>1602</v>
      </c>
    </row>
    <row r="313" spans="2:10" ht="18" x14ac:dyDescent="0.25">
      <c r="B313" s="365" t="s">
        <v>1603</v>
      </c>
      <c r="C313" s="366" t="s">
        <v>1604</v>
      </c>
      <c r="D313" s="366">
        <v>9.9999999999999994E-37</v>
      </c>
      <c r="E313" s="367"/>
      <c r="F313" s="367"/>
      <c r="G313" s="366"/>
      <c r="H313" s="368"/>
      <c r="I313" s="368"/>
      <c r="J313" s="366" t="s">
        <v>1605</v>
      </c>
    </row>
    <row r="314" spans="2:10" ht="18" x14ac:dyDescent="0.25">
      <c r="B314" s="365" t="s">
        <v>1606</v>
      </c>
      <c r="C314" s="366" t="s">
        <v>1607</v>
      </c>
      <c r="D314" s="366">
        <f>3.7*10^-19</f>
        <v>3.7000000000000001E-19</v>
      </c>
      <c r="E314" s="367"/>
      <c r="F314" s="367"/>
      <c r="G314" s="366"/>
      <c r="H314" s="368"/>
      <c r="I314" s="368"/>
      <c r="J314" s="366"/>
    </row>
    <row r="315" spans="2:10" ht="18" x14ac:dyDescent="0.25">
      <c r="B315" s="365" t="s">
        <v>1608</v>
      </c>
      <c r="C315" s="366" t="s">
        <v>1609</v>
      </c>
      <c r="D315" s="366">
        <v>2.7500000000000001E-22</v>
      </c>
      <c r="E315" s="367"/>
      <c r="F315" s="367"/>
      <c r="G315" s="366"/>
      <c r="H315" s="368"/>
      <c r="I315" s="368"/>
      <c r="J315" s="366"/>
    </row>
    <row r="316" spans="2:10" ht="18" x14ac:dyDescent="0.25">
      <c r="B316" s="365" t="s">
        <v>1610</v>
      </c>
      <c r="C316" s="366" t="s">
        <v>1611</v>
      </c>
      <c r="D316" s="366">
        <f>10^(-16)</f>
        <v>9.9999999999999998E-17</v>
      </c>
      <c r="E316" s="367"/>
      <c r="F316" s="367"/>
      <c r="G316" s="366"/>
      <c r="H316" s="368"/>
      <c r="I316" s="368"/>
      <c r="J316" s="366"/>
    </row>
    <row r="318" spans="2:10" ht="15.75" thickBot="1" x14ac:dyDescent="0.3">
      <c r="C318" s="369" t="s">
        <v>864</v>
      </c>
    </row>
    <row r="319" spans="2:10" ht="15.75" thickBot="1" x14ac:dyDescent="0.3">
      <c r="B319" s="370" t="s">
        <v>0</v>
      </c>
      <c r="C319" s="371" t="s">
        <v>1</v>
      </c>
      <c r="D319" s="372" t="s">
        <v>151</v>
      </c>
      <c r="E319" s="372" t="s">
        <v>534</v>
      </c>
      <c r="F319" s="372" t="s">
        <v>535</v>
      </c>
      <c r="G319" s="372" t="s">
        <v>2</v>
      </c>
      <c r="H319" s="372" t="s">
        <v>406</v>
      </c>
      <c r="I319" s="372" t="s">
        <v>115</v>
      </c>
      <c r="J319" s="373" t="s">
        <v>116</v>
      </c>
    </row>
    <row r="320" spans="2:10" ht="18" x14ac:dyDescent="0.25">
      <c r="B320" s="365" t="s">
        <v>865</v>
      </c>
      <c r="C320" s="366" t="s">
        <v>866</v>
      </c>
      <c r="D320" s="366">
        <f>3*A_MO/(2*A_MN)</f>
        <v>1.7134014435948508</v>
      </c>
      <c r="E320" s="367"/>
      <c r="F320" s="367"/>
      <c r="G320" s="366" t="s">
        <v>459</v>
      </c>
      <c r="H320" s="368"/>
      <c r="I320" s="368"/>
      <c r="J320" s="366" t="s">
        <v>867</v>
      </c>
    </row>
    <row r="321" spans="2:10" ht="18" x14ac:dyDescent="0.25">
      <c r="B321" s="365" t="s">
        <v>868</v>
      </c>
      <c r="C321" s="366" t="s">
        <v>869</v>
      </c>
      <c r="D321" s="366">
        <f>2*A_MO/(A_MN)</f>
        <v>2.2845352581264677</v>
      </c>
      <c r="E321" s="367"/>
      <c r="F321" s="367"/>
      <c r="G321" s="366" t="s">
        <v>459</v>
      </c>
      <c r="H321" s="368"/>
      <c r="I321" s="368"/>
      <c r="J321" s="366" t="s">
        <v>867</v>
      </c>
    </row>
    <row r="322" spans="2:10" ht="18" x14ac:dyDescent="0.25">
      <c r="B322" s="365" t="s">
        <v>870</v>
      </c>
      <c r="C322" s="366" t="s">
        <v>871</v>
      </c>
      <c r="D322" s="366">
        <f>2.5*A_MO/(A_MN)</f>
        <v>2.8556690726580851</v>
      </c>
      <c r="E322" s="367"/>
      <c r="F322" s="367"/>
      <c r="G322" s="366" t="s">
        <v>459</v>
      </c>
      <c r="H322" s="368"/>
      <c r="I322" s="368"/>
      <c r="J322" s="366" t="s">
        <v>867</v>
      </c>
    </row>
    <row r="323" spans="2:10" ht="18" x14ac:dyDescent="0.25">
      <c r="B323" s="365" t="s">
        <v>872</v>
      </c>
      <c r="C323" s="366" t="s">
        <v>873</v>
      </c>
      <c r="D323" s="366">
        <f>3*A_MO/A_MN</f>
        <v>3.4268028871897016</v>
      </c>
      <c r="E323" s="367"/>
      <c r="F323" s="367"/>
      <c r="G323" s="366" t="s">
        <v>459</v>
      </c>
      <c r="H323" s="368"/>
      <c r="I323" s="368"/>
      <c r="J323" s="366" t="s">
        <v>867</v>
      </c>
    </row>
    <row r="324" spans="2:10" ht="18" x14ac:dyDescent="0.25">
      <c r="B324" s="365" t="s">
        <v>874</v>
      </c>
      <c r="C324" s="366" t="s">
        <v>875</v>
      </c>
      <c r="D324" s="366">
        <f>4*A_MO/A_MN</f>
        <v>4.5690705162529355</v>
      </c>
      <c r="E324" s="367"/>
      <c r="F324" s="367"/>
      <c r="G324" s="366" t="s">
        <v>459</v>
      </c>
      <c r="H324" s="368"/>
      <c r="I324" s="368"/>
      <c r="J324" s="366" t="s">
        <v>867</v>
      </c>
    </row>
    <row r="325" spans="2:10" ht="18" x14ac:dyDescent="0.25">
      <c r="B325" s="365" t="s">
        <v>1102</v>
      </c>
      <c r="C325" s="366" t="s">
        <v>876</v>
      </c>
      <c r="D325" s="366">
        <f>A_MO/A_MN</f>
        <v>1.1422676290632339</v>
      </c>
      <c r="E325" s="367"/>
      <c r="F325" s="367"/>
      <c r="G325" s="366" t="s">
        <v>459</v>
      </c>
      <c r="H325" s="368"/>
      <c r="I325" s="368"/>
      <c r="J325" s="366"/>
    </row>
    <row r="326" spans="2:10" ht="18" x14ac:dyDescent="0.25">
      <c r="B326" s="365" t="s">
        <v>1103</v>
      </c>
      <c r="C326" s="366" t="s">
        <v>877</v>
      </c>
      <c r="D326" s="366">
        <f>3*A_MO/(2*A_MN)</f>
        <v>1.7134014435948508</v>
      </c>
      <c r="E326" s="367"/>
      <c r="F326" s="367"/>
      <c r="G326" s="366" t="s">
        <v>459</v>
      </c>
      <c r="H326" s="368"/>
      <c r="I326" s="368"/>
      <c r="J326" s="366"/>
    </row>
    <row r="327" spans="2:10" ht="18" x14ac:dyDescent="0.25">
      <c r="B327" s="365" t="s">
        <v>1104</v>
      </c>
      <c r="C327" s="366" t="s">
        <v>878</v>
      </c>
      <c r="D327" s="366">
        <f>0.5*A_MO/A_MN</f>
        <v>0.57113381453161693</v>
      </c>
      <c r="E327" s="367"/>
      <c r="F327" s="367"/>
      <c r="G327" s="366" t="s">
        <v>459</v>
      </c>
      <c r="H327" s="368"/>
      <c r="I327" s="368"/>
      <c r="J327" s="366"/>
    </row>
    <row r="328" spans="2:10" ht="18" x14ac:dyDescent="0.25">
      <c r="B328" s="365" t="s">
        <v>1105</v>
      </c>
      <c r="C328" s="366" t="s">
        <v>879</v>
      </c>
      <c r="D328" s="366">
        <f>0.5*A_MO/A_MN</f>
        <v>0.57113381453161693</v>
      </c>
      <c r="E328" s="367"/>
      <c r="F328" s="367"/>
      <c r="G328" s="366" t="s">
        <v>459</v>
      </c>
      <c r="H328" s="368"/>
      <c r="I328" s="368"/>
      <c r="J328" s="366"/>
    </row>
    <row r="329" spans="2:10" ht="18" x14ac:dyDescent="0.25">
      <c r="B329" s="365" t="s">
        <v>1106</v>
      </c>
      <c r="C329" s="366" t="s">
        <v>880</v>
      </c>
      <c r="D329" s="366">
        <f>0.5*A_MO/A_MN</f>
        <v>0.57113381453161693</v>
      </c>
      <c r="E329" s="367"/>
      <c r="F329" s="367"/>
      <c r="G329" s="366" t="s">
        <v>459</v>
      </c>
      <c r="H329" s="368"/>
      <c r="I329" s="368"/>
      <c r="J329" s="366"/>
    </row>
    <row r="330" spans="2:10" ht="18" x14ac:dyDescent="0.25">
      <c r="B330" s="365" t="s">
        <v>1215</v>
      </c>
      <c r="C330" s="366" t="s">
        <v>881</v>
      </c>
      <c r="D330" s="366">
        <f>5*A_MO/(2*A_MN)</f>
        <v>2.8556690726580851</v>
      </c>
      <c r="E330" s="367"/>
      <c r="F330" s="367"/>
      <c r="G330" s="366" t="s">
        <v>459</v>
      </c>
      <c r="H330" s="368"/>
      <c r="I330" s="368"/>
      <c r="J330" s="366"/>
    </row>
    <row r="331" spans="2:10" ht="18" x14ac:dyDescent="0.25">
      <c r="B331" s="365" t="s">
        <v>1612</v>
      </c>
      <c r="C331" s="366" t="s">
        <v>1613</v>
      </c>
      <c r="D331" s="366">
        <f>8/A_MFe</f>
        <v>0.14325364849136002</v>
      </c>
      <c r="E331" s="367"/>
      <c r="F331" s="367"/>
      <c r="G331" s="366" t="s">
        <v>1614</v>
      </c>
      <c r="H331" s="368"/>
      <c r="I331" s="368"/>
      <c r="J331" s="366"/>
    </row>
    <row r="332" spans="2:10" ht="18" x14ac:dyDescent="0.25">
      <c r="B332" s="365" t="s">
        <v>1615</v>
      </c>
      <c r="C332" s="366" t="s">
        <v>1616</v>
      </c>
      <c r="D332" s="366">
        <f>3*A_MO/(A_MS)</f>
        <v>1.4969031654451894</v>
      </c>
      <c r="E332" s="367"/>
      <c r="F332" s="367"/>
      <c r="G332" s="366" t="s">
        <v>1617</v>
      </c>
      <c r="H332" s="368"/>
      <c r="I332" s="368"/>
      <c r="J332" s="366" t="s">
        <v>1618</v>
      </c>
    </row>
    <row r="333" spans="2:10" ht="18" x14ac:dyDescent="0.25">
      <c r="B333" s="365" t="s">
        <v>1256</v>
      </c>
      <c r="C333" s="366" t="s">
        <v>1216</v>
      </c>
      <c r="D333" s="366">
        <f>4*A_MO/(A_MS)</f>
        <v>1.9958708872602526</v>
      </c>
      <c r="E333" s="367"/>
      <c r="F333" s="367"/>
      <c r="G333" s="366" t="s">
        <v>1619</v>
      </c>
      <c r="H333" s="368"/>
      <c r="I333" s="368"/>
      <c r="J333" s="366" t="s">
        <v>1618</v>
      </c>
    </row>
    <row r="335" spans="2:10" ht="15.75" thickBot="1" x14ac:dyDescent="0.3">
      <c r="C335" s="369" t="s">
        <v>1107</v>
      </c>
    </row>
    <row r="336" spans="2:10" ht="15.75" thickBot="1" x14ac:dyDescent="0.3">
      <c r="B336" s="370" t="s">
        <v>0</v>
      </c>
      <c r="C336" s="371" t="s">
        <v>1</v>
      </c>
      <c r="D336" s="372" t="s">
        <v>151</v>
      </c>
      <c r="E336" s="372" t="s">
        <v>534</v>
      </c>
      <c r="F336" s="372" t="s">
        <v>535</v>
      </c>
      <c r="G336" s="372" t="s">
        <v>2</v>
      </c>
      <c r="H336" s="372" t="s">
        <v>406</v>
      </c>
      <c r="I336" s="372" t="s">
        <v>115</v>
      </c>
      <c r="J336" s="373" t="s">
        <v>116</v>
      </c>
    </row>
    <row r="337" spans="2:10" ht="18" x14ac:dyDescent="0.25">
      <c r="B337" s="365" t="s">
        <v>1108</v>
      </c>
      <c r="C337" s="366" t="s">
        <v>1109</v>
      </c>
      <c r="D337" s="366">
        <v>0.5</v>
      </c>
      <c r="E337" s="367"/>
      <c r="F337" s="367"/>
      <c r="G337" s="366"/>
      <c r="H337" s="368"/>
      <c r="I337" s="368"/>
      <c r="J337" s="366" t="s">
        <v>1217</v>
      </c>
    </row>
    <row r="338" spans="2:10" ht="18" x14ac:dyDescent="0.25">
      <c r="B338" s="365" t="s">
        <v>1110</v>
      </c>
      <c r="C338" s="366" t="s">
        <v>1111</v>
      </c>
      <c r="D338" s="366">
        <v>0.5</v>
      </c>
      <c r="E338" s="367"/>
      <c r="F338" s="367"/>
      <c r="G338" s="366"/>
      <c r="H338" s="368"/>
      <c r="I338" s="368"/>
      <c r="J338" s="366" t="s">
        <v>1218</v>
      </c>
    </row>
    <row r="339" spans="2:10" ht="18" x14ac:dyDescent="0.25">
      <c r="B339" s="365" t="s">
        <v>1112</v>
      </c>
      <c r="C339" s="366" t="s">
        <v>1113</v>
      </c>
      <c r="D339" s="366">
        <v>2</v>
      </c>
      <c r="E339" s="367"/>
      <c r="F339" s="367"/>
      <c r="G339" s="366"/>
      <c r="H339" s="368"/>
      <c r="I339" s="368"/>
      <c r="J339" s="366" t="s">
        <v>1219</v>
      </c>
    </row>
    <row r="340" spans="2:10" ht="18" x14ac:dyDescent="0.25">
      <c r="B340" s="365" t="s">
        <v>1114</v>
      </c>
      <c r="C340" s="366" t="s">
        <v>1115</v>
      </c>
      <c r="D340" s="366">
        <v>2</v>
      </c>
      <c r="E340" s="367"/>
      <c r="F340" s="367"/>
      <c r="G340" s="366"/>
      <c r="H340" s="368"/>
      <c r="I340" s="368"/>
      <c r="J340" s="366" t="s">
        <v>1220</v>
      </c>
    </row>
    <row r="341" spans="2:10" ht="18" x14ac:dyDescent="0.25">
      <c r="B341" s="365" t="s">
        <v>1116</v>
      </c>
      <c r="C341" s="366" t="s">
        <v>1117</v>
      </c>
      <c r="D341" s="366">
        <v>4.5</v>
      </c>
      <c r="E341" s="367"/>
      <c r="F341" s="367"/>
      <c r="G341" s="366"/>
      <c r="H341" s="368"/>
      <c r="I341" s="368"/>
      <c r="J341" s="366" t="s">
        <v>1221</v>
      </c>
    </row>
    <row r="342" spans="2:10" ht="18" x14ac:dyDescent="0.25">
      <c r="B342" s="365" t="s">
        <v>1118</v>
      </c>
      <c r="C342" s="366" t="s">
        <v>1119</v>
      </c>
      <c r="D342" s="366">
        <v>4.5</v>
      </c>
      <c r="E342" s="367"/>
      <c r="F342" s="367"/>
      <c r="G342" s="366"/>
      <c r="H342" s="368"/>
      <c r="I342" s="368"/>
      <c r="J342" s="366" t="s">
        <v>1222</v>
      </c>
    </row>
    <row r="344" spans="2:10" ht="15.75" thickBot="1" x14ac:dyDescent="0.3">
      <c r="C344" s="369" t="s">
        <v>1120</v>
      </c>
    </row>
    <row r="345" spans="2:10" ht="15.75" thickBot="1" x14ac:dyDescent="0.3">
      <c r="B345" s="370" t="s">
        <v>0</v>
      </c>
      <c r="C345" s="371" t="s">
        <v>1</v>
      </c>
      <c r="D345" s="372" t="s">
        <v>151</v>
      </c>
      <c r="E345" s="372" t="s">
        <v>534</v>
      </c>
      <c r="F345" s="372" t="s">
        <v>535</v>
      </c>
      <c r="G345" s="372" t="s">
        <v>2</v>
      </c>
      <c r="H345" s="372" t="s">
        <v>406</v>
      </c>
      <c r="I345" s="372" t="s">
        <v>115</v>
      </c>
      <c r="J345" s="373" t="s">
        <v>116</v>
      </c>
    </row>
    <row r="346" spans="2:10" ht="18" x14ac:dyDescent="0.25">
      <c r="B346" s="365" t="s">
        <v>1121</v>
      </c>
      <c r="C346" s="366" t="s">
        <v>1122</v>
      </c>
      <c r="D346" s="366">
        <v>6.4135999999999997E-5</v>
      </c>
      <c r="E346" s="367"/>
      <c r="F346" s="367"/>
      <c r="G346" s="366" t="s">
        <v>1123</v>
      </c>
      <c r="H346" s="368"/>
      <c r="I346" s="368"/>
      <c r="J346" s="366" t="s">
        <v>1620</v>
      </c>
    </row>
    <row r="348" spans="2:10" ht="15.75" thickBot="1" x14ac:dyDescent="0.3">
      <c r="C348" s="369" t="s">
        <v>1120</v>
      </c>
    </row>
    <row r="349" spans="2:10" ht="15.75" thickBot="1" x14ac:dyDescent="0.3">
      <c r="B349" s="370" t="s">
        <v>0</v>
      </c>
      <c r="C349" s="371" t="s">
        <v>1</v>
      </c>
      <c r="D349" s="372" t="s">
        <v>151</v>
      </c>
      <c r="E349" s="372" t="s">
        <v>534</v>
      </c>
      <c r="F349" s="372" t="s">
        <v>535</v>
      </c>
      <c r="G349" s="372" t="s">
        <v>2</v>
      </c>
      <c r="H349" s="372" t="s">
        <v>406</v>
      </c>
      <c r="I349" s="372" t="s">
        <v>115</v>
      </c>
      <c r="J349" s="373" t="s">
        <v>116</v>
      </c>
    </row>
    <row r="350" spans="2:10" ht="18" x14ac:dyDescent="0.25">
      <c r="B350" s="365" t="s">
        <v>1621</v>
      </c>
      <c r="C350" s="366" t="s">
        <v>1622</v>
      </c>
      <c r="D350" s="366">
        <v>0.6</v>
      </c>
      <c r="E350" s="367" t="s">
        <v>1269</v>
      </c>
      <c r="F350" s="367" t="s">
        <v>1623</v>
      </c>
      <c r="G350" s="366" t="s">
        <v>1624</v>
      </c>
      <c r="H350" s="368"/>
      <c r="I350" s="368"/>
      <c r="J350" s="366" t="s">
        <v>1625</v>
      </c>
    </row>
    <row r="352" spans="2:10" ht="15.75" thickBot="1" x14ac:dyDescent="0.3">
      <c r="C352" s="369" t="s">
        <v>1124</v>
      </c>
    </row>
    <row r="353" spans="2:10" ht="15.75" thickBot="1" x14ac:dyDescent="0.3">
      <c r="B353" s="370" t="s">
        <v>0</v>
      </c>
      <c r="C353" s="371" t="s">
        <v>1</v>
      </c>
      <c r="D353" s="372" t="s">
        <v>151</v>
      </c>
      <c r="E353" s="372" t="s">
        <v>534</v>
      </c>
      <c r="F353" s="372" t="s">
        <v>535</v>
      </c>
      <c r="G353" s="372" t="s">
        <v>2</v>
      </c>
      <c r="H353" s="372" t="s">
        <v>406</v>
      </c>
      <c r="I353" s="372" t="s">
        <v>115</v>
      </c>
      <c r="J353" s="373" t="s">
        <v>116</v>
      </c>
    </row>
    <row r="354" spans="2:10" ht="18" x14ac:dyDescent="0.25">
      <c r="B354" s="365" t="s">
        <v>1125</v>
      </c>
      <c r="C354" s="366" t="s">
        <v>1126</v>
      </c>
      <c r="D354" s="366">
        <v>1000000</v>
      </c>
      <c r="E354" s="367"/>
      <c r="F354" s="367"/>
      <c r="G354" s="366" t="s">
        <v>1626</v>
      </c>
      <c r="H354" s="368"/>
      <c r="I354" s="368"/>
      <c r="J354" s="366"/>
    </row>
    <row r="355" spans="2:10" ht="18" x14ac:dyDescent="0.25">
      <c r="B355" s="365" t="s">
        <v>1273</v>
      </c>
      <c r="C355" s="366" t="s">
        <v>1274</v>
      </c>
      <c r="D355" s="366">
        <v>100</v>
      </c>
      <c r="E355" s="367"/>
      <c r="F355" s="367"/>
      <c r="G355" s="366" t="s">
        <v>1627</v>
      </c>
      <c r="H355" s="368"/>
      <c r="I355" s="368"/>
      <c r="J355" s="366"/>
    </row>
    <row r="356" spans="2:10" ht="18" x14ac:dyDescent="0.25">
      <c r="B356" s="365" t="s">
        <v>1275</v>
      </c>
      <c r="C356" s="366" t="s">
        <v>1276</v>
      </c>
      <c r="D356" s="366">
        <v>100</v>
      </c>
      <c r="E356" s="367"/>
      <c r="F356" s="367"/>
      <c r="G356" s="366" t="s">
        <v>1277</v>
      </c>
      <c r="H356" s="368"/>
      <c r="I356" s="368"/>
      <c r="J356" s="366"/>
    </row>
    <row r="357" spans="2:10" ht="18" x14ac:dyDescent="0.25">
      <c r="B357" s="365" t="s">
        <v>1127</v>
      </c>
      <c r="C357" s="366" t="s">
        <v>1628</v>
      </c>
      <c r="D357" s="366">
        <v>86400</v>
      </c>
      <c r="E357" s="367"/>
      <c r="F357" s="367"/>
      <c r="G357" s="366" t="s">
        <v>1629</v>
      </c>
      <c r="H357" s="368"/>
      <c r="I357" s="368"/>
      <c r="J357" s="366"/>
    </row>
    <row r="358" spans="2:10" ht="18" x14ac:dyDescent="0.25">
      <c r="B358" s="365" t="s">
        <v>1630</v>
      </c>
      <c r="C358" s="366" t="s">
        <v>1631</v>
      </c>
      <c r="D358" s="366">
        <v>3600</v>
      </c>
      <c r="E358" s="367"/>
      <c r="F358" s="367"/>
      <c r="G358" s="366" t="s">
        <v>1632</v>
      </c>
      <c r="H358" s="368"/>
      <c r="I358" s="368"/>
      <c r="J358" s="366"/>
    </row>
    <row r="359" spans="2:10" ht="18" x14ac:dyDescent="0.25">
      <c r="B359" s="365" t="s">
        <v>1633</v>
      </c>
      <c r="C359" s="366" t="s">
        <v>1634</v>
      </c>
      <c r="D359" s="366">
        <v>60</v>
      </c>
      <c r="E359" s="367"/>
      <c r="F359" s="367"/>
      <c r="G359" s="366" t="s">
        <v>1635</v>
      </c>
      <c r="H359" s="368"/>
      <c r="I359" s="368"/>
      <c r="J359" s="366"/>
    </row>
    <row r="360" spans="2:10" ht="18" x14ac:dyDescent="0.25">
      <c r="B360" s="365" t="s">
        <v>1636</v>
      </c>
      <c r="C360" s="366" t="s">
        <v>1637</v>
      </c>
      <c r="D360" s="366">
        <v>24</v>
      </c>
      <c r="E360" s="367"/>
      <c r="F360" s="367"/>
      <c r="G360" s="366" t="s">
        <v>1638</v>
      </c>
      <c r="H360" s="368"/>
      <c r="I360" s="368"/>
      <c r="J360" s="366"/>
    </row>
    <row r="361" spans="2:10" ht="18" x14ac:dyDescent="0.25">
      <c r="B361" s="365" t="s">
        <v>1639</v>
      </c>
      <c r="C361" s="366" t="s">
        <v>1640</v>
      </c>
      <c r="D361" s="366">
        <v>86400000</v>
      </c>
      <c r="E361" s="367"/>
      <c r="F361" s="367"/>
      <c r="G361" s="366" t="s">
        <v>1641</v>
      </c>
      <c r="H361" s="368"/>
      <c r="I361" s="368"/>
      <c r="J361" s="366"/>
    </row>
    <row r="362" spans="2:10" ht="18" x14ac:dyDescent="0.25">
      <c r="B362" s="365" t="s">
        <v>1223</v>
      </c>
      <c r="C362" s="366" t="s">
        <v>1224</v>
      </c>
      <c r="D362" s="366">
        <v>3600000</v>
      </c>
      <c r="E362" s="367"/>
      <c r="F362" s="367"/>
      <c r="G362" s="366" t="s">
        <v>1225</v>
      </c>
      <c r="H362" s="368"/>
      <c r="I362" s="368"/>
      <c r="J362" s="366"/>
    </row>
    <row r="363" spans="2:10" ht="18" x14ac:dyDescent="0.25">
      <c r="B363" s="365" t="s">
        <v>1642</v>
      </c>
      <c r="C363" s="366" t="s">
        <v>1643</v>
      </c>
      <c r="D363" s="366">
        <v>60000</v>
      </c>
      <c r="E363" s="367"/>
      <c r="F363" s="367"/>
      <c r="G363" s="366" t="s">
        <v>1644</v>
      </c>
      <c r="H363" s="368"/>
      <c r="I363" s="368"/>
      <c r="J363" s="366"/>
    </row>
    <row r="364" spans="2:10" ht="18" x14ac:dyDescent="0.25">
      <c r="B364" s="365" t="s">
        <v>1645</v>
      </c>
      <c r="C364" s="366" t="s">
        <v>1646</v>
      </c>
      <c r="D364" s="366">
        <v>1000</v>
      </c>
      <c r="E364" s="367"/>
      <c r="F364" s="367"/>
      <c r="G364" s="366" t="s">
        <v>1647</v>
      </c>
      <c r="H364" s="368"/>
      <c r="I364" s="368"/>
      <c r="J364" s="366"/>
    </row>
    <row r="365" spans="2:10" ht="18" x14ac:dyDescent="0.25">
      <c r="B365" s="365" t="s">
        <v>1128</v>
      </c>
      <c r="C365" s="366" t="s">
        <v>1129</v>
      </c>
      <c r="D365" s="366">
        <v>1000</v>
      </c>
      <c r="E365" s="367"/>
      <c r="F365" s="367"/>
      <c r="G365" s="366" t="s">
        <v>1648</v>
      </c>
      <c r="H365" s="368"/>
      <c r="I365" s="368"/>
      <c r="J365" s="366"/>
    </row>
    <row r="366" spans="2:10" ht="18" x14ac:dyDescent="0.25">
      <c r="B366" s="365" t="s">
        <v>1130</v>
      </c>
      <c r="C366" s="366" t="s">
        <v>1131</v>
      </c>
      <c r="D366" s="366">
        <v>1000</v>
      </c>
      <c r="E366" s="367"/>
      <c r="F366" s="367"/>
      <c r="G366" s="366" t="s">
        <v>1649</v>
      </c>
      <c r="H366" s="368"/>
      <c r="I366" s="368"/>
      <c r="J366" s="366"/>
    </row>
    <row r="367" spans="2:10" ht="18" x14ac:dyDescent="0.25">
      <c r="B367" s="365" t="s">
        <v>1132</v>
      </c>
      <c r="C367" s="366" t="s">
        <v>1650</v>
      </c>
      <c r="D367" s="366">
        <v>1000</v>
      </c>
      <c r="E367" s="367"/>
      <c r="F367" s="367"/>
      <c r="G367" s="366" t="s">
        <v>1651</v>
      </c>
      <c r="H367" s="368"/>
      <c r="I367" s="368"/>
      <c r="J367" s="366"/>
    </row>
    <row r="368" spans="2:10" ht="18" x14ac:dyDescent="0.25">
      <c r="B368" s="374" t="s">
        <v>1652</v>
      </c>
      <c r="C368" s="374" t="s">
        <v>1653</v>
      </c>
      <c r="D368" s="374">
        <v>1000</v>
      </c>
      <c r="E368" s="374"/>
      <c r="F368" s="374"/>
      <c r="G368" s="374" t="s">
        <v>1654</v>
      </c>
      <c r="H368" s="374"/>
      <c r="I368" s="374"/>
      <c r="J368" s="374"/>
    </row>
    <row r="369" spans="2:10" ht="18" x14ac:dyDescent="0.25">
      <c r="B369" s="365" t="s">
        <v>1133</v>
      </c>
      <c r="C369" s="366" t="s">
        <v>1655</v>
      </c>
      <c r="D369" s="366">
        <v>133.32236800000001</v>
      </c>
      <c r="E369" s="367"/>
      <c r="F369" s="367"/>
      <c r="G369" s="366" t="s">
        <v>1656</v>
      </c>
      <c r="H369" s="368"/>
      <c r="I369" s="368"/>
      <c r="J369" s="366"/>
    </row>
    <row r="370" spans="2:10" ht="18" x14ac:dyDescent="0.25">
      <c r="B370" s="365" t="s">
        <v>1134</v>
      </c>
      <c r="C370" s="366" t="s">
        <v>1657</v>
      </c>
      <c r="D370" s="366">
        <v>100000</v>
      </c>
      <c r="E370" s="367"/>
      <c r="F370" s="367"/>
      <c r="G370" s="366" t="s">
        <v>1658</v>
      </c>
      <c r="H370" s="368"/>
      <c r="I370" s="368"/>
      <c r="J370" s="366"/>
    </row>
    <row r="371" spans="2:10" ht="18" x14ac:dyDescent="0.25">
      <c r="B371" s="365" t="s">
        <v>1659</v>
      </c>
      <c r="C371" s="366" t="s">
        <v>1660</v>
      </c>
      <c r="D371" s="366">
        <v>100</v>
      </c>
      <c r="E371" s="367"/>
      <c r="F371" s="367"/>
      <c r="G371" s="366" t="s">
        <v>1661</v>
      </c>
      <c r="H371" s="368"/>
      <c r="I371" s="368"/>
      <c r="J371" s="366"/>
    </row>
    <row r="372" spans="2:10" ht="18" x14ac:dyDescent="0.25">
      <c r="B372" s="365" t="s">
        <v>1135</v>
      </c>
      <c r="C372" s="366" t="s">
        <v>1662</v>
      </c>
      <c r="D372" s="366">
        <v>10000</v>
      </c>
      <c r="E372" s="367"/>
      <c r="F372" s="367"/>
      <c r="G372" s="366" t="s">
        <v>1661</v>
      </c>
      <c r="H372" s="368"/>
      <c r="I372" s="368"/>
      <c r="J372" s="366"/>
    </row>
    <row r="373" spans="2:10" ht="18" x14ac:dyDescent="0.25">
      <c r="B373" s="365" t="s">
        <v>1663</v>
      </c>
      <c r="C373" s="366" t="s">
        <v>1664</v>
      </c>
      <c r="D373" s="366">
        <v>1000000</v>
      </c>
      <c r="E373" s="367"/>
      <c r="F373" s="367"/>
      <c r="G373" s="366" t="s">
        <v>1665</v>
      </c>
      <c r="H373" s="368"/>
      <c r="I373" s="368"/>
      <c r="J373" s="366"/>
    </row>
    <row r="375" spans="2:10" ht="15.75" thickBot="1" x14ac:dyDescent="0.3">
      <c r="C375" s="369" t="s">
        <v>1136</v>
      </c>
    </row>
    <row r="376" spans="2:10" ht="15.75" thickBot="1" x14ac:dyDescent="0.3">
      <c r="B376" s="370" t="s">
        <v>0</v>
      </c>
      <c r="C376" s="371" t="s">
        <v>1</v>
      </c>
      <c r="D376" s="372" t="s">
        <v>151</v>
      </c>
      <c r="E376" s="372" t="s">
        <v>534</v>
      </c>
      <c r="F376" s="372" t="s">
        <v>535</v>
      </c>
      <c r="G376" s="372" t="s">
        <v>2</v>
      </c>
      <c r="H376" s="372" t="s">
        <v>406</v>
      </c>
      <c r="I376" s="372" t="s">
        <v>115</v>
      </c>
      <c r="J376" s="373" t="s">
        <v>116</v>
      </c>
    </row>
    <row r="377" spans="2:10" ht="18" x14ac:dyDescent="0.25">
      <c r="B377" s="365" t="s">
        <v>1226</v>
      </c>
      <c r="C377" s="366" t="s">
        <v>1137</v>
      </c>
      <c r="D377" s="366">
        <v>0</v>
      </c>
      <c r="E377" s="367"/>
      <c r="F377" s="367"/>
      <c r="G377" s="366" t="s">
        <v>1666</v>
      </c>
      <c r="H377" s="368"/>
      <c r="I377" s="368"/>
      <c r="J377" s="366" t="s">
        <v>1138</v>
      </c>
    </row>
    <row r="378" spans="2:10" ht="18" x14ac:dyDescent="0.25">
      <c r="B378" s="365" t="s">
        <v>1227</v>
      </c>
      <c r="C378" s="366" t="s">
        <v>1139</v>
      </c>
      <c r="D378" s="366">
        <v>-285840</v>
      </c>
      <c r="E378" s="367"/>
      <c r="F378" s="367"/>
      <c r="G378" s="366" t="s">
        <v>1666</v>
      </c>
      <c r="H378" s="368"/>
      <c r="I378" s="368"/>
      <c r="J378" s="366" t="s">
        <v>1140</v>
      </c>
    </row>
    <row r="379" spans="2:10" ht="18" x14ac:dyDescent="0.25">
      <c r="B379" s="365" t="s">
        <v>1228</v>
      </c>
      <c r="C379" s="366" t="s">
        <v>1141</v>
      </c>
      <c r="D379" s="366">
        <v>-229994</v>
      </c>
      <c r="E379" s="367"/>
      <c r="F379" s="367"/>
      <c r="G379" s="366" t="s">
        <v>1666</v>
      </c>
      <c r="H379" s="368"/>
      <c r="I379" s="368"/>
      <c r="J379" s="366" t="s">
        <v>1138</v>
      </c>
    </row>
    <row r="380" spans="2:10" ht="18" x14ac:dyDescent="0.25">
      <c r="B380" s="365" t="s">
        <v>1229</v>
      </c>
      <c r="C380" s="366" t="s">
        <v>1142</v>
      </c>
      <c r="D380" s="366">
        <v>-80920</v>
      </c>
      <c r="E380" s="367"/>
      <c r="F380" s="367"/>
      <c r="G380" s="366" t="s">
        <v>1666</v>
      </c>
      <c r="H380" s="368"/>
      <c r="I380" s="368"/>
      <c r="J380" s="366" t="s">
        <v>1138</v>
      </c>
    </row>
    <row r="381" spans="2:10" ht="18" x14ac:dyDescent="0.25">
      <c r="B381" s="365" t="s">
        <v>1230</v>
      </c>
      <c r="C381" s="366" t="s">
        <v>1143</v>
      </c>
      <c r="D381" s="366">
        <v>-132510</v>
      </c>
      <c r="E381" s="367"/>
      <c r="F381" s="367"/>
      <c r="G381" s="366" t="s">
        <v>1666</v>
      </c>
      <c r="H381" s="368"/>
      <c r="I381" s="368"/>
      <c r="J381" s="366" t="s">
        <v>1138</v>
      </c>
    </row>
    <row r="382" spans="2:10" ht="18" x14ac:dyDescent="0.25">
      <c r="B382" s="365" t="s">
        <v>1231</v>
      </c>
      <c r="C382" s="366" t="s">
        <v>1144</v>
      </c>
      <c r="D382" s="366">
        <v>-119200</v>
      </c>
      <c r="E382" s="367"/>
      <c r="F382" s="367"/>
      <c r="G382" s="366" t="s">
        <v>1666</v>
      </c>
      <c r="H382" s="368"/>
      <c r="I382" s="368"/>
      <c r="J382" s="366" t="s">
        <v>1138</v>
      </c>
    </row>
    <row r="383" spans="2:10" ht="18" x14ac:dyDescent="0.25">
      <c r="B383" s="365" t="s">
        <v>1232</v>
      </c>
      <c r="C383" s="366" t="s">
        <v>1145</v>
      </c>
      <c r="D383" s="366">
        <v>-106000</v>
      </c>
      <c r="E383" s="367"/>
      <c r="F383" s="367"/>
      <c r="G383" s="366" t="s">
        <v>1666</v>
      </c>
      <c r="H383" s="368"/>
      <c r="I383" s="368"/>
      <c r="J383" s="366" t="s">
        <v>1140</v>
      </c>
    </row>
    <row r="384" spans="2:10" ht="18" x14ac:dyDescent="0.25">
      <c r="B384" s="365" t="s">
        <v>1233</v>
      </c>
      <c r="C384" s="366" t="s">
        <v>1146</v>
      </c>
      <c r="D384" s="366">
        <v>-205000</v>
      </c>
      <c r="E384" s="367"/>
      <c r="F384" s="367"/>
      <c r="G384" s="366" t="s">
        <v>1666</v>
      </c>
      <c r="H384" s="368"/>
      <c r="I384" s="368"/>
      <c r="J384" s="366" t="s">
        <v>1138</v>
      </c>
    </row>
    <row r="385" spans="2:10" ht="18" x14ac:dyDescent="0.25">
      <c r="B385" s="365" t="s">
        <v>1234</v>
      </c>
      <c r="C385" s="366" t="s">
        <v>1147</v>
      </c>
      <c r="D385" s="366">
        <v>-699650</v>
      </c>
      <c r="E385" s="367"/>
      <c r="F385" s="367"/>
      <c r="G385" s="366" t="s">
        <v>1666</v>
      </c>
      <c r="H385" s="368"/>
      <c r="I385" s="368"/>
      <c r="J385" s="366" t="s">
        <v>1138</v>
      </c>
    </row>
    <row r="386" spans="2:10" ht="18" x14ac:dyDescent="0.25">
      <c r="B386" s="365" t="s">
        <v>1235</v>
      </c>
      <c r="C386" s="366" t="s">
        <v>1148</v>
      </c>
      <c r="D386" s="366">
        <v>-691990</v>
      </c>
      <c r="E386" s="367"/>
      <c r="F386" s="367"/>
      <c r="G386" s="366" t="s">
        <v>1666</v>
      </c>
      <c r="H386" s="368"/>
      <c r="I386" s="368"/>
      <c r="J386" s="366" t="s">
        <v>1138</v>
      </c>
    </row>
    <row r="387" spans="2:10" ht="18" x14ac:dyDescent="0.25">
      <c r="B387" s="365" t="s">
        <v>1236</v>
      </c>
      <c r="C387" s="366" t="s">
        <v>1149</v>
      </c>
      <c r="D387" s="366">
        <v>-677140</v>
      </c>
      <c r="E387" s="367"/>
      <c r="F387" s="367"/>
      <c r="G387" s="366" t="s">
        <v>1666</v>
      </c>
      <c r="H387" s="368"/>
      <c r="I387" s="368"/>
      <c r="J387" s="366" t="s">
        <v>1138</v>
      </c>
    </row>
    <row r="388" spans="2:10" ht="18" x14ac:dyDescent="0.25">
      <c r="B388" s="365" t="s">
        <v>1237</v>
      </c>
      <c r="C388" s="366" t="s">
        <v>1150</v>
      </c>
      <c r="D388" s="366">
        <v>-1299144</v>
      </c>
      <c r="E388" s="367"/>
      <c r="F388" s="367"/>
      <c r="G388" s="366" t="s">
        <v>1666</v>
      </c>
      <c r="H388" s="368"/>
      <c r="I388" s="368"/>
      <c r="J388" s="366" t="s">
        <v>1151</v>
      </c>
    </row>
    <row r="389" spans="2:10" ht="18" x14ac:dyDescent="0.25">
      <c r="B389" s="365" t="s">
        <v>1238</v>
      </c>
      <c r="C389" s="366" t="s">
        <v>1152</v>
      </c>
      <c r="D389" s="366">
        <v>1296000</v>
      </c>
      <c r="E389" s="367"/>
      <c r="F389" s="367"/>
      <c r="G389" s="366" t="s">
        <v>1666</v>
      </c>
      <c r="H389" s="368"/>
      <c r="I389" s="368"/>
      <c r="J389" s="366" t="s">
        <v>1153</v>
      </c>
    </row>
    <row r="390" spans="2:10" ht="18" x14ac:dyDescent="0.25">
      <c r="B390" s="365" t="s">
        <v>1239</v>
      </c>
      <c r="C390" s="366" t="s">
        <v>1154</v>
      </c>
      <c r="D390" s="366">
        <v>-1292000</v>
      </c>
      <c r="E390" s="367"/>
      <c r="F390" s="367"/>
      <c r="G390" s="366" t="s">
        <v>1666</v>
      </c>
      <c r="H390" s="368"/>
      <c r="I390" s="368"/>
      <c r="J390" s="366" t="s">
        <v>1153</v>
      </c>
    </row>
    <row r="391" spans="2:10" ht="18" x14ac:dyDescent="0.25">
      <c r="B391" s="365" t="s">
        <v>1240</v>
      </c>
      <c r="C391" s="366" t="s">
        <v>1155</v>
      </c>
      <c r="D391" s="366">
        <v>-1277400</v>
      </c>
      <c r="E391" s="367"/>
      <c r="F391" s="367"/>
      <c r="G391" s="366" t="s">
        <v>1666</v>
      </c>
      <c r="H391" s="368"/>
      <c r="I391" s="368"/>
      <c r="J391" s="366" t="s">
        <v>1138</v>
      </c>
    </row>
    <row r="392" spans="2:10" ht="18" x14ac:dyDescent="0.25">
      <c r="B392" s="365" t="s">
        <v>1241</v>
      </c>
      <c r="C392" s="366" t="s">
        <v>1156</v>
      </c>
      <c r="D392" s="366">
        <v>-488453</v>
      </c>
      <c r="E392" s="367"/>
      <c r="F392" s="367"/>
      <c r="G392" s="366" t="s">
        <v>1666</v>
      </c>
      <c r="H392" s="368"/>
      <c r="I392" s="368"/>
      <c r="J392" s="366" t="s">
        <v>1140</v>
      </c>
    </row>
    <row r="393" spans="2:10" ht="18" x14ac:dyDescent="0.25">
      <c r="B393" s="365" t="s">
        <v>1242</v>
      </c>
      <c r="C393" s="366" t="s">
        <v>1157</v>
      </c>
      <c r="D393" s="366">
        <v>-488871</v>
      </c>
      <c r="E393" s="367"/>
      <c r="F393" s="367"/>
      <c r="G393" s="366" t="s">
        <v>1666</v>
      </c>
      <c r="H393" s="368"/>
      <c r="I393" s="368"/>
      <c r="J393" s="366" t="s">
        <v>1140</v>
      </c>
    </row>
    <row r="394" spans="2:10" ht="18" x14ac:dyDescent="0.25">
      <c r="B394" s="365" t="s">
        <v>1667</v>
      </c>
      <c r="C394" s="366" t="s">
        <v>1668</v>
      </c>
      <c r="D394" s="366">
        <v>-39000</v>
      </c>
      <c r="E394" s="367"/>
      <c r="F394" s="367"/>
      <c r="G394" s="366" t="s">
        <v>1666</v>
      </c>
      <c r="H394" s="368"/>
      <c r="I394" s="368"/>
      <c r="J394" s="366" t="s">
        <v>1140</v>
      </c>
    </row>
    <row r="395" spans="2:10" ht="18" x14ac:dyDescent="0.25">
      <c r="B395" s="365" t="s">
        <v>1669</v>
      </c>
      <c r="C395" s="366" t="s">
        <v>1670</v>
      </c>
      <c r="D395" s="366">
        <v>-17000</v>
      </c>
      <c r="E395" s="367"/>
      <c r="F395" s="367"/>
      <c r="G395" s="366" t="s">
        <v>1666</v>
      </c>
      <c r="H395" s="368"/>
      <c r="I395" s="368"/>
      <c r="J395" s="366" t="s">
        <v>1671</v>
      </c>
    </row>
    <row r="396" spans="2:10" ht="18" x14ac:dyDescent="0.25">
      <c r="B396" s="365" t="s">
        <v>1672</v>
      </c>
      <c r="C396" s="366" t="s">
        <v>1673</v>
      </c>
      <c r="D396" s="366">
        <v>33000</v>
      </c>
      <c r="E396" s="367"/>
      <c r="F396" s="367"/>
      <c r="G396" s="366" t="s">
        <v>1666</v>
      </c>
      <c r="H396" s="368"/>
      <c r="I396" s="368"/>
      <c r="J396" s="366" t="s">
        <v>1140</v>
      </c>
    </row>
    <row r="397" spans="2:10" ht="18" x14ac:dyDescent="0.25">
      <c r="B397" s="365" t="s">
        <v>1674</v>
      </c>
      <c r="C397" s="366" t="s">
        <v>1675</v>
      </c>
      <c r="D397" s="366">
        <v>-909000</v>
      </c>
      <c r="E397" s="367"/>
      <c r="F397" s="367"/>
      <c r="G397" s="366" t="s">
        <v>1666</v>
      </c>
      <c r="H397" s="368"/>
      <c r="I397" s="368"/>
      <c r="J397" s="366" t="s">
        <v>1153</v>
      </c>
    </row>
    <row r="398" spans="2:10" ht="18" x14ac:dyDescent="0.25">
      <c r="B398" s="365" t="s">
        <v>1676</v>
      </c>
      <c r="C398" s="366" t="s">
        <v>1677</v>
      </c>
      <c r="D398" s="366">
        <v>-887000</v>
      </c>
      <c r="E398" s="367"/>
      <c r="F398" s="367"/>
      <c r="G398" s="366" t="s">
        <v>1666</v>
      </c>
      <c r="H398" s="368"/>
      <c r="I398" s="368"/>
      <c r="J398" s="366" t="s">
        <v>1678</v>
      </c>
    </row>
    <row r="399" spans="2:10" ht="18" x14ac:dyDescent="0.25">
      <c r="B399" s="365" t="s">
        <v>1679</v>
      </c>
      <c r="C399" s="366" t="s">
        <v>1680</v>
      </c>
      <c r="D399" s="366">
        <v>-909000</v>
      </c>
      <c r="E399" s="367"/>
      <c r="F399" s="367"/>
      <c r="G399" s="366" t="s">
        <v>1666</v>
      </c>
      <c r="H399" s="368"/>
      <c r="I399" s="368"/>
      <c r="J399" s="366" t="s">
        <v>1153</v>
      </c>
    </row>
    <row r="400" spans="2:10" ht="18" x14ac:dyDescent="0.25">
      <c r="B400" s="365" t="s">
        <v>1681</v>
      </c>
      <c r="C400" s="366" t="s">
        <v>1682</v>
      </c>
      <c r="D400" s="366">
        <v>-542960</v>
      </c>
      <c r="E400" s="367"/>
      <c r="F400" s="367"/>
      <c r="G400" s="366" t="s">
        <v>1666</v>
      </c>
      <c r="H400" s="368"/>
      <c r="I400" s="368"/>
      <c r="J400" s="366" t="s">
        <v>1140</v>
      </c>
    </row>
    <row r="401" spans="2:12" ht="18" x14ac:dyDescent="0.25">
      <c r="B401" s="365" t="s">
        <v>1683</v>
      </c>
      <c r="C401" s="366" t="s">
        <v>1684</v>
      </c>
      <c r="D401" s="366">
        <v>-461960</v>
      </c>
      <c r="E401" s="367"/>
      <c r="F401" s="367"/>
      <c r="G401" s="366" t="s">
        <v>1666</v>
      </c>
      <c r="H401" s="368"/>
      <c r="I401" s="368"/>
      <c r="J401" s="366" t="s">
        <v>1140</v>
      </c>
    </row>
    <row r="402" spans="2:12" ht="18" x14ac:dyDescent="0.25">
      <c r="B402" s="365" t="s">
        <v>1685</v>
      </c>
      <c r="C402" s="366" t="s">
        <v>1686</v>
      </c>
      <c r="D402" s="366">
        <v>-239660</v>
      </c>
      <c r="E402" s="367"/>
      <c r="F402" s="367"/>
      <c r="G402" s="366" t="s">
        <v>1666</v>
      </c>
      <c r="H402" s="368"/>
      <c r="I402" s="368"/>
      <c r="J402" s="366" t="s">
        <v>1140</v>
      </c>
    </row>
    <row r="404" spans="2:12" ht="15.75" thickBot="1" x14ac:dyDescent="0.3">
      <c r="C404" s="369" t="s">
        <v>1158</v>
      </c>
    </row>
    <row r="405" spans="2:12" ht="15.75" thickBot="1" x14ac:dyDescent="0.3">
      <c r="B405" s="370" t="s">
        <v>0</v>
      </c>
      <c r="C405" s="371" t="s">
        <v>1</v>
      </c>
      <c r="D405" s="372" t="s">
        <v>151</v>
      </c>
      <c r="E405" s="372" t="s">
        <v>534</v>
      </c>
      <c r="F405" s="372" t="s">
        <v>535</v>
      </c>
      <c r="G405" s="372" t="s">
        <v>2</v>
      </c>
      <c r="H405" s="372" t="s">
        <v>406</v>
      </c>
      <c r="I405" s="372" t="s">
        <v>115</v>
      </c>
      <c r="J405" s="373" t="s">
        <v>116</v>
      </c>
    </row>
    <row r="406" spans="2:12" ht="18" x14ac:dyDescent="0.25">
      <c r="B406" s="365" t="s">
        <v>1159</v>
      </c>
      <c r="C406" s="366" t="s">
        <v>1160</v>
      </c>
      <c r="D406" s="366">
        <v>-286933.08</v>
      </c>
      <c r="E406" s="367"/>
      <c r="F406" s="367"/>
      <c r="G406" s="366" t="s">
        <v>1666</v>
      </c>
      <c r="H406" s="368"/>
      <c r="I406" s="368"/>
      <c r="J406" s="366" t="s">
        <v>1161</v>
      </c>
    </row>
    <row r="408" spans="2:12" ht="15.75" thickBot="1" x14ac:dyDescent="0.3">
      <c r="C408" s="369" t="s">
        <v>1687</v>
      </c>
    </row>
    <row r="409" spans="2:12" ht="15.75" thickBot="1" x14ac:dyDescent="0.3">
      <c r="B409" s="370" t="s">
        <v>0</v>
      </c>
      <c r="C409" s="371" t="s">
        <v>1</v>
      </c>
      <c r="D409" s="372" t="s">
        <v>151</v>
      </c>
      <c r="E409" s="372" t="s">
        <v>534</v>
      </c>
      <c r="F409" s="372" t="s">
        <v>535</v>
      </c>
      <c r="G409" s="372" t="s">
        <v>2</v>
      </c>
      <c r="H409" s="372" t="s">
        <v>406</v>
      </c>
      <c r="I409" s="372" t="s">
        <v>115</v>
      </c>
      <c r="J409" s="373" t="s">
        <v>116</v>
      </c>
      <c r="L409" s="359" t="s">
        <v>1688</v>
      </c>
    </row>
    <row r="410" spans="2:12" ht="18" x14ac:dyDescent="0.25">
      <c r="B410" s="365" t="s">
        <v>1689</v>
      </c>
      <c r="C410" s="366" t="s">
        <v>1690</v>
      </c>
      <c r="D410" s="366">
        <v>58032.160000000098</v>
      </c>
      <c r="E410" s="367"/>
      <c r="F410" s="367"/>
      <c r="G410" s="366" t="s">
        <v>1666</v>
      </c>
      <c r="H410" s="368">
        <v>1</v>
      </c>
      <c r="I410" s="368"/>
      <c r="J410" s="366" t="s">
        <v>1691</v>
      </c>
      <c r="L410" s="359">
        <f>(H_OHm+H_H3Op) - 2*H_H2O</f>
        <v>58032.160000000033</v>
      </c>
    </row>
    <row r="411" spans="2:12" ht="18" x14ac:dyDescent="0.25">
      <c r="B411" s="365" t="s">
        <v>1692</v>
      </c>
      <c r="C411" s="366" t="s">
        <v>1693</v>
      </c>
      <c r="D411" s="366">
        <v>5349.0800000000099</v>
      </c>
      <c r="E411" s="367"/>
      <c r="F411" s="367"/>
      <c r="G411" s="366" t="s">
        <v>1666</v>
      </c>
      <c r="H411" s="368">
        <v>1</v>
      </c>
      <c r="I411" s="368"/>
      <c r="J411" s="366" t="s">
        <v>1694</v>
      </c>
      <c r="L411" s="359">
        <f>(H_NH4p + H_OHm) - (H_NH3 + H_H2O)</f>
        <v>5349.0800000000163</v>
      </c>
    </row>
    <row r="412" spans="2:12" ht="18" x14ac:dyDescent="0.25">
      <c r="B412" s="365" t="s">
        <v>1695</v>
      </c>
      <c r="C412" s="366" t="s">
        <v>1696</v>
      </c>
      <c r="D412" s="366">
        <v>14293.080000000031</v>
      </c>
      <c r="E412" s="367"/>
      <c r="F412" s="367"/>
      <c r="G412" s="366" t="s">
        <v>1666</v>
      </c>
      <c r="H412" s="368">
        <v>1</v>
      </c>
      <c r="I412" s="368"/>
      <c r="J412" s="366" t="s">
        <v>1697</v>
      </c>
      <c r="L412" s="359">
        <f>(H_H3Op+H_NO2m)-(H_HNO2+H_H2O)</f>
        <v>14293.080000000016</v>
      </c>
    </row>
    <row r="413" spans="2:12" ht="18" x14ac:dyDescent="0.25">
      <c r="B413" s="365" t="s">
        <v>1698</v>
      </c>
      <c r="C413" s="366" t="s">
        <v>1699</v>
      </c>
      <c r="D413" s="366">
        <v>8753.0800000000672</v>
      </c>
      <c r="E413" s="367"/>
      <c r="F413" s="367"/>
      <c r="G413" s="366" t="s">
        <v>1666</v>
      </c>
      <c r="H413" s="368">
        <v>1</v>
      </c>
      <c r="I413" s="368"/>
      <c r="J413" s="366" t="s">
        <v>1700</v>
      </c>
      <c r="L413" s="359">
        <f>(H_HCO3m + H_H3Op) - (H_H2CO3 + H_H2O)</f>
        <v>8753.0800000000745</v>
      </c>
    </row>
    <row r="414" spans="2:12" ht="18" x14ac:dyDescent="0.25">
      <c r="B414" s="365" t="s">
        <v>1701</v>
      </c>
      <c r="C414" s="366" t="s">
        <v>1702</v>
      </c>
      <c r="D414" s="366">
        <v>15943.080000000009</v>
      </c>
      <c r="E414" s="367"/>
      <c r="F414" s="367"/>
      <c r="G414" s="366" t="s">
        <v>1666</v>
      </c>
      <c r="H414" s="368">
        <v>1</v>
      </c>
      <c r="I414" s="368"/>
      <c r="J414" s="366" t="s">
        <v>1703</v>
      </c>
      <c r="L414" s="359">
        <f>(H_H3Op + H_CO32m) - (H_HCO3m + H_H2O)</f>
        <v>15943.080000000075</v>
      </c>
    </row>
    <row r="415" spans="2:12" ht="18" x14ac:dyDescent="0.25">
      <c r="B415" s="365" t="s">
        <v>1704</v>
      </c>
      <c r="C415" s="366" t="s">
        <v>1705</v>
      </c>
      <c r="D415" s="366">
        <v>2596237.08</v>
      </c>
      <c r="E415" s="367"/>
      <c r="F415" s="367"/>
      <c r="G415" s="366" t="s">
        <v>1666</v>
      </c>
      <c r="H415" s="368">
        <v>1</v>
      </c>
      <c r="I415" s="368"/>
      <c r="J415" s="366" t="s">
        <v>1706</v>
      </c>
      <c r="L415" s="359">
        <f>(H_H3Op + H_H2PO4m) - (H_H3PO4 + H_H2O)</f>
        <v>2596237.08</v>
      </c>
    </row>
    <row r="416" spans="2:12" ht="18" x14ac:dyDescent="0.25">
      <c r="B416" s="365" t="s">
        <v>1707</v>
      </c>
      <c r="C416" s="366" t="s">
        <v>1708</v>
      </c>
      <c r="D416" s="366">
        <v>-2586906.92</v>
      </c>
      <c r="E416" s="367"/>
      <c r="F416" s="367"/>
      <c r="G416" s="366" t="s">
        <v>1666</v>
      </c>
      <c r="H416" s="368">
        <v>1</v>
      </c>
      <c r="I416" s="368"/>
      <c r="J416" s="366" t="s">
        <v>1709</v>
      </c>
      <c r="L416" s="359">
        <f>(H_H3Op + H_HPO42m) - (H_H2PO4m + H_H2O)</f>
        <v>-2586906.92</v>
      </c>
    </row>
    <row r="417" spans="2:12" ht="18" x14ac:dyDescent="0.25">
      <c r="B417" s="365" t="s">
        <v>1710</v>
      </c>
      <c r="C417" s="366" t="s">
        <v>1711</v>
      </c>
      <c r="D417" s="366">
        <v>15693.080000000009</v>
      </c>
      <c r="E417" s="367"/>
      <c r="F417" s="367"/>
      <c r="G417" s="366" t="s">
        <v>1666</v>
      </c>
      <c r="H417" s="368">
        <v>1</v>
      </c>
      <c r="I417" s="368"/>
      <c r="J417" s="366" t="s">
        <v>1712</v>
      </c>
      <c r="L417" s="359">
        <f>(H_H3Op + H_PO43m) - (H_HPO42m + H_H2O)</f>
        <v>15693.080000000075</v>
      </c>
    </row>
    <row r="418" spans="2:12" ht="18" x14ac:dyDescent="0.25">
      <c r="B418" s="365" t="s">
        <v>1713</v>
      </c>
      <c r="C418" s="366" t="s">
        <v>1714</v>
      </c>
      <c r="D418" s="366">
        <v>675.07999999997992</v>
      </c>
      <c r="E418" s="367"/>
      <c r="F418" s="367"/>
      <c r="G418" s="366" t="s">
        <v>1666</v>
      </c>
      <c r="H418" s="368">
        <v>1</v>
      </c>
      <c r="I418" s="368"/>
      <c r="J418" s="366" t="s">
        <v>1715</v>
      </c>
      <c r="L418" s="359">
        <f>(H_H3Op + H_Acm) - (H_HAc + H_H2O)</f>
        <v>675.08000000007451</v>
      </c>
    </row>
    <row r="419" spans="2:12" ht="18" x14ac:dyDescent="0.25">
      <c r="B419" s="365" t="s">
        <v>1716</v>
      </c>
      <c r="C419" s="366" t="s">
        <v>1717</v>
      </c>
      <c r="D419" s="366">
        <v>23093.080000000042</v>
      </c>
      <c r="E419" s="367"/>
      <c r="F419" s="367"/>
      <c r="G419" s="366" t="s">
        <v>1666</v>
      </c>
      <c r="H419" s="368">
        <v>1</v>
      </c>
      <c r="I419" s="368"/>
      <c r="J419" s="366" t="s">
        <v>1718</v>
      </c>
      <c r="L419" s="359">
        <f>(H_HSm+H_H3Op)-(H_H2S+H_H2O)</f>
        <v>23093.080000000016</v>
      </c>
    </row>
    <row r="420" spans="2:12" ht="18" x14ac:dyDescent="0.25">
      <c r="B420" s="365" t="s">
        <v>1719</v>
      </c>
      <c r="C420" s="366" t="s">
        <v>1720</v>
      </c>
      <c r="D420" s="366">
        <v>51093.080000000045</v>
      </c>
      <c r="E420" s="367"/>
      <c r="F420" s="367"/>
      <c r="G420" s="366" t="s">
        <v>1666</v>
      </c>
      <c r="H420" s="368">
        <v>1</v>
      </c>
      <c r="I420" s="368"/>
      <c r="J420" s="366" t="s">
        <v>1721</v>
      </c>
      <c r="L420" s="359">
        <f>(H_H3Op+H_S2m)-(H_HSm+H_H2O)</f>
        <v>51093.080000000016</v>
      </c>
    </row>
    <row r="421" spans="2:12" ht="18" x14ac:dyDescent="0.25">
      <c r="B421" s="365" t="s">
        <v>1722</v>
      </c>
      <c r="C421" s="366" t="s">
        <v>1723</v>
      </c>
      <c r="D421" s="366">
        <v>23093.0800000001</v>
      </c>
      <c r="E421" s="367"/>
      <c r="F421" s="367"/>
      <c r="G421" s="366" t="s">
        <v>1666</v>
      </c>
      <c r="H421" s="368">
        <v>1</v>
      </c>
      <c r="I421" s="368"/>
      <c r="J421" s="366" t="s">
        <v>1724</v>
      </c>
      <c r="L421" s="359">
        <f>(H_HSO4m+H_H3Op)-(H_H2SO4+H_H2O)</f>
        <v>23093.080000000075</v>
      </c>
    </row>
    <row r="422" spans="2:12" ht="18" x14ac:dyDescent="0.25">
      <c r="B422" s="365" t="s">
        <v>1725</v>
      </c>
      <c r="C422" s="366" t="s">
        <v>1726</v>
      </c>
      <c r="D422" s="366">
        <v>-20906.9199999999</v>
      </c>
      <c r="E422" s="367"/>
      <c r="F422" s="367"/>
      <c r="G422" s="366" t="s">
        <v>1666</v>
      </c>
      <c r="H422" s="368">
        <v>1</v>
      </c>
      <c r="I422" s="368"/>
      <c r="J422" s="366" t="s">
        <v>1727</v>
      </c>
      <c r="L422" s="359">
        <f>(H_H3Op+H_SO42m)-(H_HSO4m+H_H2O)</f>
        <v>-20906.919999999925</v>
      </c>
    </row>
    <row r="423" spans="2:12" ht="18" x14ac:dyDescent="0.25">
      <c r="B423" s="365" t="s">
        <v>1728</v>
      </c>
      <c r="C423" s="366" t="s">
        <v>1729</v>
      </c>
      <c r="D423" s="366">
        <v>64110</v>
      </c>
      <c r="E423" s="367"/>
      <c r="F423" s="367"/>
      <c r="G423" s="366" t="s">
        <v>1666</v>
      </c>
      <c r="H423" s="368">
        <v>1</v>
      </c>
      <c r="I423" s="368"/>
      <c r="J423" s="366"/>
    </row>
    <row r="424" spans="2:12" ht="18" x14ac:dyDescent="0.25">
      <c r="B424" s="365" t="s">
        <v>1730</v>
      </c>
      <c r="C424" s="366" t="s">
        <v>1731</v>
      </c>
      <c r="D424" s="366">
        <v>16000</v>
      </c>
      <c r="E424" s="367"/>
      <c r="F424" s="367"/>
      <c r="G424" s="366" t="s">
        <v>1666</v>
      </c>
      <c r="H424" s="368">
        <v>1</v>
      </c>
      <c r="I424" s="368"/>
      <c r="J424" s="366"/>
    </row>
    <row r="425" spans="2:12" ht="18" x14ac:dyDescent="0.25">
      <c r="B425" s="365" t="s">
        <v>1732</v>
      </c>
      <c r="C425" s="366" t="s">
        <v>1733</v>
      </c>
      <c r="D425" s="366">
        <v>5400</v>
      </c>
      <c r="E425" s="367"/>
      <c r="F425" s="367"/>
      <c r="G425" s="366" t="s">
        <v>1666</v>
      </c>
      <c r="H425" s="368">
        <v>1</v>
      </c>
      <c r="I425" s="368"/>
      <c r="J425" s="366"/>
    </row>
    <row r="426" spans="2:12" ht="18" x14ac:dyDescent="0.25">
      <c r="B426" s="365" t="s">
        <v>1734</v>
      </c>
      <c r="C426" s="366" t="s">
        <v>1735</v>
      </c>
      <c r="D426" s="366">
        <v>12970.4</v>
      </c>
      <c r="E426" s="367"/>
      <c r="F426" s="367"/>
      <c r="G426" s="366" t="s">
        <v>1666</v>
      </c>
      <c r="H426" s="368">
        <v>1</v>
      </c>
      <c r="I426" s="368"/>
      <c r="J426" s="366"/>
    </row>
    <row r="427" spans="2:12" ht="18" x14ac:dyDescent="0.25">
      <c r="B427" s="365" t="s">
        <v>1736</v>
      </c>
      <c r="C427" s="366" t="s">
        <v>1737</v>
      </c>
      <c r="D427" s="366">
        <v>-3000</v>
      </c>
      <c r="E427" s="367"/>
      <c r="F427" s="367"/>
      <c r="G427" s="366" t="s">
        <v>1666</v>
      </c>
      <c r="H427" s="368">
        <v>1</v>
      </c>
      <c r="I427" s="368"/>
      <c r="J427" s="366"/>
    </row>
    <row r="428" spans="2:12" ht="18" x14ac:dyDescent="0.25">
      <c r="B428" s="365" t="s">
        <v>1738</v>
      </c>
      <c r="C428" s="366" t="s">
        <v>1739</v>
      </c>
      <c r="D428" s="366">
        <v>-6000</v>
      </c>
      <c r="E428" s="367"/>
      <c r="F428" s="367"/>
      <c r="G428" s="366" t="s">
        <v>1666</v>
      </c>
      <c r="H428" s="368">
        <v>1</v>
      </c>
      <c r="I428" s="368"/>
      <c r="J428" s="366"/>
    </row>
    <row r="429" spans="2:12" ht="18" x14ac:dyDescent="0.25">
      <c r="B429" s="365" t="s">
        <v>1740</v>
      </c>
      <c r="C429" s="366" t="s">
        <v>1741</v>
      </c>
      <c r="D429" s="366">
        <v>67810</v>
      </c>
      <c r="E429" s="367"/>
      <c r="F429" s="367"/>
      <c r="G429" s="366" t="s">
        <v>1666</v>
      </c>
      <c r="H429" s="368">
        <v>1</v>
      </c>
      <c r="I429" s="368"/>
      <c r="J429" s="366"/>
    </row>
    <row r="430" spans="2:12" ht="18" x14ac:dyDescent="0.25">
      <c r="B430" s="365" t="s">
        <v>1742</v>
      </c>
      <c r="C430" s="366" t="s">
        <v>1743</v>
      </c>
      <c r="D430" s="366">
        <v>12000</v>
      </c>
      <c r="E430" s="367"/>
      <c r="F430" s="367"/>
      <c r="G430" s="366" t="s">
        <v>1666</v>
      </c>
      <c r="H430" s="368">
        <v>1</v>
      </c>
      <c r="I430" s="368"/>
      <c r="J430" s="366"/>
    </row>
    <row r="431" spans="2:12" ht="18" x14ac:dyDescent="0.25">
      <c r="B431" s="365" t="s">
        <v>1744</v>
      </c>
      <c r="C431" s="366" t="s">
        <v>1745</v>
      </c>
      <c r="D431" s="366">
        <v>-10600</v>
      </c>
      <c r="E431" s="367"/>
      <c r="F431" s="367"/>
      <c r="G431" s="366" t="s">
        <v>1666</v>
      </c>
      <c r="H431" s="368">
        <v>1</v>
      </c>
      <c r="I431" s="368"/>
      <c r="J431" s="366"/>
    </row>
    <row r="432" spans="2:12" ht="18" x14ac:dyDescent="0.25">
      <c r="B432" s="365" t="s">
        <v>1746</v>
      </c>
      <c r="C432" s="366" t="s">
        <v>1747</v>
      </c>
      <c r="D432" s="366">
        <v>-3000</v>
      </c>
      <c r="E432" s="367"/>
      <c r="F432" s="367"/>
      <c r="G432" s="366" t="s">
        <v>1666</v>
      </c>
      <c r="H432" s="368">
        <v>1</v>
      </c>
      <c r="I432" s="368"/>
      <c r="J432" s="366"/>
    </row>
    <row r="433" spans="2:12" ht="18" x14ac:dyDescent="0.25">
      <c r="B433" s="365" t="s">
        <v>1748</v>
      </c>
      <c r="C433" s="366" t="s">
        <v>1749</v>
      </c>
      <c r="D433" s="366">
        <v>12970.4</v>
      </c>
      <c r="E433" s="367"/>
      <c r="F433" s="367"/>
      <c r="G433" s="366" t="s">
        <v>1666</v>
      </c>
      <c r="H433" s="368">
        <v>1</v>
      </c>
      <c r="I433" s="368"/>
      <c r="J433" s="366"/>
    </row>
    <row r="434" spans="2:12" ht="18" x14ac:dyDescent="0.25">
      <c r="B434" s="365" t="s">
        <v>1750</v>
      </c>
      <c r="C434" s="366" t="s">
        <v>1751</v>
      </c>
      <c r="D434" s="366">
        <v>21256.1</v>
      </c>
      <c r="E434" s="367"/>
      <c r="F434" s="367"/>
      <c r="G434" s="366" t="s">
        <v>1666</v>
      </c>
      <c r="H434" s="368">
        <v>1</v>
      </c>
      <c r="I434" s="368"/>
      <c r="J434" s="366"/>
    </row>
    <row r="435" spans="2:12" ht="18" x14ac:dyDescent="0.25">
      <c r="B435" s="365" t="s">
        <v>1752</v>
      </c>
      <c r="C435" s="366" t="s">
        <v>1753</v>
      </c>
      <c r="D435" s="366">
        <v>0</v>
      </c>
      <c r="E435" s="367"/>
      <c r="F435" s="367"/>
      <c r="G435" s="366" t="s">
        <v>1666</v>
      </c>
      <c r="H435" s="368">
        <v>1</v>
      </c>
      <c r="I435" s="368"/>
      <c r="J435" s="366"/>
    </row>
    <row r="437" spans="2:12" ht="15.75" thickBot="1" x14ac:dyDescent="0.3">
      <c r="C437" s="369" t="s">
        <v>1754</v>
      </c>
    </row>
    <row r="438" spans="2:12" ht="15.75" thickBot="1" x14ac:dyDescent="0.3">
      <c r="B438" s="370" t="s">
        <v>0</v>
      </c>
      <c r="C438" s="371" t="s">
        <v>1</v>
      </c>
      <c r="D438" s="372" t="s">
        <v>151</v>
      </c>
      <c r="E438" s="372" t="s">
        <v>534</v>
      </c>
      <c r="F438" s="372" t="s">
        <v>535</v>
      </c>
      <c r="G438" s="372" t="s">
        <v>2</v>
      </c>
      <c r="H438" s="372" t="s">
        <v>406</v>
      </c>
      <c r="I438" s="372" t="s">
        <v>115</v>
      </c>
      <c r="J438" s="373" t="s">
        <v>116</v>
      </c>
      <c r="L438" s="359" t="s">
        <v>1688</v>
      </c>
    </row>
    <row r="439" spans="2:12" ht="18" x14ac:dyDescent="0.25">
      <c r="B439" s="365" t="s">
        <v>1755</v>
      </c>
      <c r="C439" s="366" t="s">
        <v>1756</v>
      </c>
      <c r="D439" s="366">
        <v>2.5000000000000001E-5</v>
      </c>
      <c r="E439" s="367" t="s">
        <v>1269</v>
      </c>
      <c r="F439" s="367" t="s">
        <v>1270</v>
      </c>
      <c r="G439" s="366" t="s">
        <v>1757</v>
      </c>
      <c r="H439" s="368">
        <v>2</v>
      </c>
      <c r="I439" s="368"/>
      <c r="J439" s="366" t="s">
        <v>1758</v>
      </c>
    </row>
    <row r="440" spans="2:12" ht="18" x14ac:dyDescent="0.25">
      <c r="B440" s="365" t="s">
        <v>1759</v>
      </c>
      <c r="C440" s="366" t="s">
        <v>1756</v>
      </c>
      <c r="D440" s="366">
        <v>2.5000000000000001E-5</v>
      </c>
      <c r="E440" s="367" t="s">
        <v>1269</v>
      </c>
      <c r="F440" s="367" t="s">
        <v>1270</v>
      </c>
      <c r="G440" s="366" t="s">
        <v>1757</v>
      </c>
      <c r="H440" s="368">
        <v>2</v>
      </c>
      <c r="I440" s="368"/>
      <c r="J440" s="366" t="s">
        <v>1758</v>
      </c>
    </row>
    <row r="441" spans="2:12" ht="18" x14ac:dyDescent="0.25">
      <c r="B441" s="365" t="s">
        <v>1760</v>
      </c>
      <c r="C441" s="366" t="s">
        <v>1756</v>
      </c>
      <c r="D441" s="366">
        <v>2.5000000000000001E-5</v>
      </c>
      <c r="E441" s="367" t="s">
        <v>1269</v>
      </c>
      <c r="F441" s="367" t="s">
        <v>1270</v>
      </c>
      <c r="G441" s="366" t="s">
        <v>1757</v>
      </c>
      <c r="H441" s="368">
        <v>2</v>
      </c>
      <c r="I441" s="368"/>
      <c r="J441" s="366" t="s">
        <v>1758</v>
      </c>
    </row>
    <row r="442" spans="2:12" ht="18" x14ac:dyDescent="0.25">
      <c r="B442" s="365" t="s">
        <v>1761</v>
      </c>
      <c r="C442" s="366" t="s">
        <v>1762</v>
      </c>
      <c r="D442" s="366">
        <v>1.24E-5</v>
      </c>
      <c r="E442" s="367" t="s">
        <v>1269</v>
      </c>
      <c r="F442" s="367" t="s">
        <v>1270</v>
      </c>
      <c r="G442" s="366" t="s">
        <v>1757</v>
      </c>
      <c r="H442" s="368">
        <v>2</v>
      </c>
      <c r="I442" s="368"/>
      <c r="J442" s="366" t="s">
        <v>1758</v>
      </c>
    </row>
    <row r="443" spans="2:12" ht="18" x14ac:dyDescent="0.25">
      <c r="B443" s="365" t="s">
        <v>1763</v>
      </c>
      <c r="C443" s="366" t="s">
        <v>1764</v>
      </c>
      <c r="D443" s="366">
        <v>1.24E-5</v>
      </c>
      <c r="E443" s="367" t="s">
        <v>1269</v>
      </c>
      <c r="F443" s="367" t="s">
        <v>1270</v>
      </c>
      <c r="G443" s="366" t="s">
        <v>1757</v>
      </c>
      <c r="H443" s="368">
        <v>2</v>
      </c>
      <c r="I443" s="368"/>
      <c r="J443" s="366" t="s">
        <v>1758</v>
      </c>
    </row>
    <row r="444" spans="2:12" ht="18" x14ac:dyDescent="0.25">
      <c r="B444" s="365" t="s">
        <v>1765</v>
      </c>
      <c r="C444" s="366" t="s">
        <v>1766</v>
      </c>
      <c r="D444" s="366">
        <v>1.24E-5</v>
      </c>
      <c r="E444" s="367" t="s">
        <v>1269</v>
      </c>
      <c r="F444" s="367" t="s">
        <v>1270</v>
      </c>
      <c r="G444" s="366" t="s">
        <v>1757</v>
      </c>
      <c r="H444" s="368">
        <v>2</v>
      </c>
      <c r="I444" s="368"/>
      <c r="J444" s="366" t="s">
        <v>1758</v>
      </c>
    </row>
    <row r="445" spans="2:12" ht="18" x14ac:dyDescent="0.25">
      <c r="B445" s="365" t="s">
        <v>1767</v>
      </c>
      <c r="C445" s="366" t="s">
        <v>1762</v>
      </c>
      <c r="D445" s="366">
        <v>1.24E-5</v>
      </c>
      <c r="E445" s="367" t="s">
        <v>1269</v>
      </c>
      <c r="F445" s="367" t="s">
        <v>1270</v>
      </c>
      <c r="G445" s="366" t="s">
        <v>1757</v>
      </c>
      <c r="H445" s="368">
        <v>2</v>
      </c>
      <c r="I445" s="368"/>
      <c r="J445" s="366" t="s">
        <v>1758</v>
      </c>
    </row>
    <row r="446" spans="2:12" ht="18" x14ac:dyDescent="0.25">
      <c r="B446" s="365" t="s">
        <v>1768</v>
      </c>
      <c r="C446" s="366" t="s">
        <v>1769</v>
      </c>
      <c r="D446" s="366">
        <v>1.24E-5</v>
      </c>
      <c r="E446" s="367" t="s">
        <v>1269</v>
      </c>
      <c r="F446" s="367" t="s">
        <v>1270</v>
      </c>
      <c r="G446" s="366" t="s">
        <v>1757</v>
      </c>
      <c r="H446" s="368">
        <v>2</v>
      </c>
      <c r="I446" s="368"/>
      <c r="J446" s="366" t="s">
        <v>1758</v>
      </c>
    </row>
    <row r="447" spans="2:12" ht="18" x14ac:dyDescent="0.25">
      <c r="B447" s="365" t="s">
        <v>1770</v>
      </c>
      <c r="C447" s="366" t="s">
        <v>1769</v>
      </c>
      <c r="D447" s="366">
        <v>1.24E-5</v>
      </c>
      <c r="E447" s="367" t="s">
        <v>1269</v>
      </c>
      <c r="F447" s="367" t="s">
        <v>1270</v>
      </c>
      <c r="G447" s="366" t="s">
        <v>1757</v>
      </c>
      <c r="H447" s="368">
        <v>2</v>
      </c>
      <c r="I447" s="368"/>
      <c r="J447" s="366" t="s">
        <v>1758</v>
      </c>
    </row>
    <row r="448" spans="2:12" ht="18" x14ac:dyDescent="0.25">
      <c r="B448" s="365" t="s">
        <v>1771</v>
      </c>
      <c r="C448" s="366" t="s">
        <v>1772</v>
      </c>
      <c r="D448" s="366">
        <v>1.24E-5</v>
      </c>
      <c r="E448" s="367" t="s">
        <v>1269</v>
      </c>
      <c r="F448" s="367" t="s">
        <v>1270</v>
      </c>
      <c r="G448" s="366" t="s">
        <v>1757</v>
      </c>
      <c r="H448" s="368">
        <v>2</v>
      </c>
      <c r="I448" s="368"/>
      <c r="J448" s="366" t="s">
        <v>1758</v>
      </c>
    </row>
    <row r="449" spans="2:10" ht="18" x14ac:dyDescent="0.25">
      <c r="B449" s="365" t="s">
        <v>1773</v>
      </c>
      <c r="C449" s="366" t="s">
        <v>1774</v>
      </c>
      <c r="D449" s="366">
        <v>1.0000000000000001E-5</v>
      </c>
      <c r="E449" s="367" t="s">
        <v>1269</v>
      </c>
      <c r="F449" s="367" t="s">
        <v>1270</v>
      </c>
      <c r="G449" s="366" t="s">
        <v>1757</v>
      </c>
      <c r="H449" s="368">
        <v>2</v>
      </c>
      <c r="I449" s="368"/>
      <c r="J449" s="366"/>
    </row>
    <row r="450" spans="2:10" ht="18" x14ac:dyDescent="0.25">
      <c r="B450" s="365" t="s">
        <v>1775</v>
      </c>
      <c r="C450" s="366" t="s">
        <v>1774</v>
      </c>
      <c r="D450" s="366">
        <v>1.0000000000000001E-5</v>
      </c>
      <c r="E450" s="367" t="s">
        <v>1269</v>
      </c>
      <c r="F450" s="367" t="s">
        <v>1270</v>
      </c>
      <c r="G450" s="366" t="s">
        <v>1757</v>
      </c>
      <c r="H450" s="368">
        <v>2</v>
      </c>
      <c r="I450" s="368"/>
      <c r="J450" s="366"/>
    </row>
    <row r="451" spans="2:10" ht="18" x14ac:dyDescent="0.25">
      <c r="B451" s="365" t="s">
        <v>1776</v>
      </c>
      <c r="C451" s="366" t="s">
        <v>1777</v>
      </c>
      <c r="D451" s="366">
        <v>2.5000000000000002E-6</v>
      </c>
      <c r="E451" s="367" t="s">
        <v>1269</v>
      </c>
      <c r="F451" s="367" t="s">
        <v>1270</v>
      </c>
      <c r="G451" s="366" t="s">
        <v>1757</v>
      </c>
      <c r="H451" s="368">
        <v>2</v>
      </c>
      <c r="I451" s="368"/>
      <c r="J451" s="366" t="s">
        <v>1758</v>
      </c>
    </row>
    <row r="452" spans="2:10" ht="18" x14ac:dyDescent="0.25">
      <c r="B452" s="365" t="s">
        <v>1778</v>
      </c>
      <c r="C452" s="366" t="s">
        <v>1779</v>
      </c>
      <c r="D452" s="366">
        <v>2.5000000000000002E-6</v>
      </c>
      <c r="E452" s="367" t="s">
        <v>1269</v>
      </c>
      <c r="F452" s="367" t="s">
        <v>1270</v>
      </c>
      <c r="G452" s="366" t="s">
        <v>1757</v>
      </c>
      <c r="H452" s="368">
        <v>2</v>
      </c>
      <c r="I452" s="368"/>
      <c r="J452" s="366" t="s">
        <v>1758</v>
      </c>
    </row>
    <row r="453" spans="2:10" ht="18" x14ac:dyDescent="0.25">
      <c r="B453" s="365" t="s">
        <v>1780</v>
      </c>
      <c r="C453" s="366" t="s">
        <v>1781</v>
      </c>
      <c r="D453" s="366">
        <v>2.0000000000000002E-5</v>
      </c>
      <c r="E453" s="367" t="s">
        <v>1269</v>
      </c>
      <c r="F453" s="367" t="s">
        <v>1270</v>
      </c>
      <c r="G453" s="366" t="s">
        <v>1757</v>
      </c>
      <c r="H453" s="368">
        <v>2</v>
      </c>
      <c r="I453" s="368"/>
      <c r="J453" s="366" t="s">
        <v>1782</v>
      </c>
    </row>
    <row r="454" spans="2:10" ht="18" x14ac:dyDescent="0.25">
      <c r="B454" s="365" t="s">
        <v>1783</v>
      </c>
      <c r="C454" s="366" t="s">
        <v>1781</v>
      </c>
      <c r="D454" s="366">
        <v>2.0000000000000002E-5</v>
      </c>
      <c r="E454" s="367" t="s">
        <v>1269</v>
      </c>
      <c r="F454" s="367" t="s">
        <v>1270</v>
      </c>
      <c r="G454" s="366" t="s">
        <v>1757</v>
      </c>
      <c r="H454" s="368">
        <v>2</v>
      </c>
      <c r="I454" s="368"/>
      <c r="J454" s="366" t="s">
        <v>1782</v>
      </c>
    </row>
    <row r="455" spans="2:10" ht="18" x14ac:dyDescent="0.25">
      <c r="B455" s="365" t="s">
        <v>1784</v>
      </c>
      <c r="C455" s="366" t="s">
        <v>1781</v>
      </c>
      <c r="D455" s="366">
        <v>2.0000000000000002E-5</v>
      </c>
      <c r="E455" s="367" t="s">
        <v>1269</v>
      </c>
      <c r="F455" s="367" t="s">
        <v>1270</v>
      </c>
      <c r="G455" s="366" t="s">
        <v>1757</v>
      </c>
      <c r="H455" s="368">
        <v>2</v>
      </c>
      <c r="I455" s="368"/>
      <c r="J455" s="366" t="s">
        <v>1782</v>
      </c>
    </row>
    <row r="456" spans="2:10" ht="18" x14ac:dyDescent="0.25">
      <c r="B456" s="365" t="s">
        <v>1785</v>
      </c>
      <c r="C456" s="366" t="s">
        <v>1786</v>
      </c>
      <c r="D456" s="366">
        <v>2.0000000000000002E-5</v>
      </c>
      <c r="E456" s="367" t="s">
        <v>1269</v>
      </c>
      <c r="F456" s="367" t="s">
        <v>1623</v>
      </c>
      <c r="G456" s="366" t="s">
        <v>1757</v>
      </c>
      <c r="H456" s="368">
        <v>2</v>
      </c>
      <c r="I456" s="368"/>
      <c r="J456" s="366" t="s">
        <v>1787</v>
      </c>
    </row>
    <row r="457" spans="2:10" ht="18" x14ac:dyDescent="0.25">
      <c r="B457" s="365" t="s">
        <v>1788</v>
      </c>
      <c r="C457" s="366" t="s">
        <v>1789</v>
      </c>
      <c r="D457" s="366">
        <v>1.0000000000000001E-5</v>
      </c>
      <c r="E457" s="367" t="s">
        <v>1269</v>
      </c>
      <c r="F457" s="367" t="s">
        <v>1623</v>
      </c>
      <c r="G457" s="366" t="s">
        <v>1757</v>
      </c>
      <c r="H457" s="368">
        <v>2</v>
      </c>
      <c r="I457" s="368"/>
      <c r="J457" s="366" t="s">
        <v>1758</v>
      </c>
    </row>
    <row r="458" spans="2:10" ht="18" x14ac:dyDescent="0.25">
      <c r="B458" s="365" t="s">
        <v>1790</v>
      </c>
      <c r="C458" s="366" t="s">
        <v>1791</v>
      </c>
      <c r="D458" s="366">
        <v>1.24E-5</v>
      </c>
      <c r="E458" s="367" t="s">
        <v>1269</v>
      </c>
      <c r="F458" s="367" t="s">
        <v>1623</v>
      </c>
      <c r="G458" s="366" t="s">
        <v>1757</v>
      </c>
      <c r="H458" s="368">
        <v>2</v>
      </c>
      <c r="I458" s="368"/>
      <c r="J458" s="366" t="s">
        <v>1758</v>
      </c>
    </row>
    <row r="459" spans="2:10" ht="18" x14ac:dyDescent="0.25">
      <c r="B459" s="365" t="s">
        <v>1792</v>
      </c>
      <c r="C459" s="366" t="s">
        <v>1793</v>
      </c>
      <c r="D459" s="366">
        <v>1.9000000000000001E-5</v>
      </c>
      <c r="E459" s="367" t="s">
        <v>1269</v>
      </c>
      <c r="F459" s="367" t="s">
        <v>1623</v>
      </c>
      <c r="G459" s="366" t="s">
        <v>1757</v>
      </c>
      <c r="H459" s="368">
        <v>2</v>
      </c>
      <c r="I459" s="368"/>
      <c r="J459" s="366" t="s">
        <v>1794</v>
      </c>
    </row>
    <row r="460" spans="2:10" ht="18" x14ac:dyDescent="0.25">
      <c r="B460" s="365" t="s">
        <v>1795</v>
      </c>
      <c r="C460" s="366" t="s">
        <v>1796</v>
      </c>
      <c r="D460" s="366">
        <v>1.24E-5</v>
      </c>
      <c r="E460" s="367" t="s">
        <v>1269</v>
      </c>
      <c r="F460" s="367" t="s">
        <v>1623</v>
      </c>
      <c r="G460" s="366" t="s">
        <v>1757</v>
      </c>
      <c r="H460" s="368">
        <v>2</v>
      </c>
      <c r="I460" s="368"/>
      <c r="J460" s="366" t="s">
        <v>1797</v>
      </c>
    </row>
    <row r="461" spans="2:10" ht="18" x14ac:dyDescent="0.25">
      <c r="B461" s="365" t="s">
        <v>1798</v>
      </c>
      <c r="C461" s="366" t="s">
        <v>1799</v>
      </c>
      <c r="D461" s="366">
        <v>1.24E-5</v>
      </c>
      <c r="E461" s="367" t="s">
        <v>1269</v>
      </c>
      <c r="F461" s="367" t="s">
        <v>1623</v>
      </c>
      <c r="G461" s="366" t="s">
        <v>1757</v>
      </c>
      <c r="H461" s="368">
        <v>2</v>
      </c>
      <c r="I461" s="368"/>
      <c r="J461" s="366" t="s">
        <v>1797</v>
      </c>
    </row>
    <row r="462" spans="2:10" ht="18" x14ac:dyDescent="0.25">
      <c r="B462" s="365" t="s">
        <v>1800</v>
      </c>
      <c r="C462" s="366" t="s">
        <v>1774</v>
      </c>
      <c r="D462" s="366">
        <v>1.0000000000000001E-5</v>
      </c>
      <c r="E462" s="367" t="s">
        <v>1269</v>
      </c>
      <c r="F462" s="367" t="s">
        <v>1623</v>
      </c>
      <c r="G462" s="366" t="s">
        <v>1757</v>
      </c>
      <c r="H462" s="368">
        <v>2</v>
      </c>
      <c r="I462" s="368"/>
      <c r="J462" s="366" t="s">
        <v>1758</v>
      </c>
    </row>
    <row r="463" spans="2:10" ht="18" x14ac:dyDescent="0.25">
      <c r="B463" s="365" t="s">
        <v>1801</v>
      </c>
      <c r="C463" s="366" t="s">
        <v>1789</v>
      </c>
      <c r="D463" s="366">
        <v>1.0000000000000001E-5</v>
      </c>
      <c r="E463" s="367" t="s">
        <v>1269</v>
      </c>
      <c r="F463" s="367" t="s">
        <v>1270</v>
      </c>
      <c r="G463" s="366" t="s">
        <v>1757</v>
      </c>
      <c r="H463" s="368">
        <v>2</v>
      </c>
      <c r="I463" s="368"/>
      <c r="J463" s="366"/>
    </row>
    <row r="464" spans="2:10" ht="18" x14ac:dyDescent="0.25">
      <c r="B464" s="365" t="s">
        <v>1802</v>
      </c>
      <c r="C464" s="366" t="s">
        <v>1789</v>
      </c>
      <c r="D464" s="366">
        <v>1.0000000000000001E-5</v>
      </c>
      <c r="E464" s="367" t="s">
        <v>1269</v>
      </c>
      <c r="F464" s="367" t="s">
        <v>1270</v>
      </c>
      <c r="G464" s="366" t="s">
        <v>1757</v>
      </c>
      <c r="H464" s="368">
        <v>2</v>
      </c>
      <c r="I464" s="368"/>
      <c r="J464" s="366"/>
    </row>
    <row r="465" spans="2:10" ht="18" x14ac:dyDescent="0.25">
      <c r="B465" s="365" t="s">
        <v>1803</v>
      </c>
      <c r="C465" s="366" t="s">
        <v>1804</v>
      </c>
      <c r="D465" s="366">
        <v>1.0000000000000001E-5</v>
      </c>
      <c r="E465" s="367" t="s">
        <v>1269</v>
      </c>
      <c r="F465" s="367" t="s">
        <v>1623</v>
      </c>
      <c r="G465" s="366" t="s">
        <v>1757</v>
      </c>
      <c r="H465" s="368">
        <v>2</v>
      </c>
      <c r="I465" s="368"/>
      <c r="J465" s="366"/>
    </row>
    <row r="466" spans="2:10" ht="18" x14ac:dyDescent="0.25">
      <c r="B466" s="365" t="s">
        <v>1805</v>
      </c>
      <c r="C466" s="366" t="s">
        <v>1806</v>
      </c>
      <c r="D466" s="366">
        <v>1.0000000000000001E-5</v>
      </c>
      <c r="E466" s="367" t="s">
        <v>1269</v>
      </c>
      <c r="F466" s="367" t="s">
        <v>1623</v>
      </c>
      <c r="G466" s="366" t="s">
        <v>1757</v>
      </c>
      <c r="H466" s="368">
        <v>2</v>
      </c>
      <c r="I466" s="368"/>
      <c r="J466" s="366"/>
    </row>
    <row r="467" spans="2:10" ht="18" x14ac:dyDescent="0.25">
      <c r="B467" s="365" t="s">
        <v>1807</v>
      </c>
      <c r="C467" s="366" t="s">
        <v>1808</v>
      </c>
      <c r="D467" s="366">
        <v>1.24E-5</v>
      </c>
      <c r="E467" s="367" t="s">
        <v>1269</v>
      </c>
      <c r="F467" s="367" t="s">
        <v>1270</v>
      </c>
      <c r="G467" s="366" t="s">
        <v>1757</v>
      </c>
      <c r="H467" s="368">
        <v>2</v>
      </c>
      <c r="I467" s="368"/>
      <c r="J467" s="366" t="s">
        <v>1797</v>
      </c>
    </row>
    <row r="468" spans="2:10" ht="18" x14ac:dyDescent="0.25">
      <c r="B468" s="365" t="s">
        <v>1809</v>
      </c>
      <c r="C468" s="366" t="s">
        <v>1808</v>
      </c>
      <c r="D468" s="366">
        <v>1.24E-5</v>
      </c>
      <c r="E468" s="367" t="s">
        <v>1269</v>
      </c>
      <c r="F468" s="367" t="s">
        <v>1270</v>
      </c>
      <c r="G468" s="366" t="s">
        <v>1757</v>
      </c>
      <c r="H468" s="368">
        <v>2</v>
      </c>
      <c r="I468" s="368"/>
      <c r="J468" s="366" t="s">
        <v>1797</v>
      </c>
    </row>
    <row r="469" spans="2:10" ht="18" x14ac:dyDescent="0.25">
      <c r="B469" s="365" t="s">
        <v>1810</v>
      </c>
      <c r="C469" s="366" t="s">
        <v>1791</v>
      </c>
      <c r="D469" s="366">
        <v>1.24E-5</v>
      </c>
      <c r="E469" s="367" t="s">
        <v>1269</v>
      </c>
      <c r="F469" s="367" t="s">
        <v>1270</v>
      </c>
      <c r="G469" s="366" t="s">
        <v>1757</v>
      </c>
      <c r="H469" s="368">
        <v>2</v>
      </c>
      <c r="I469" s="368"/>
      <c r="J469" s="366" t="s">
        <v>1758</v>
      </c>
    </row>
    <row r="470" spans="2:10" ht="18" x14ac:dyDescent="0.25">
      <c r="B470" s="365" t="s">
        <v>1811</v>
      </c>
      <c r="C470" s="366" t="s">
        <v>1791</v>
      </c>
      <c r="D470" s="366">
        <v>1.24E-5</v>
      </c>
      <c r="E470" s="367" t="s">
        <v>1269</v>
      </c>
      <c r="F470" s="367" t="s">
        <v>1270</v>
      </c>
      <c r="G470" s="366" t="s">
        <v>1757</v>
      </c>
      <c r="H470" s="368">
        <v>2</v>
      </c>
      <c r="I470" s="368"/>
      <c r="J470" s="366" t="s">
        <v>1758</v>
      </c>
    </row>
    <row r="471" spans="2:10" ht="18" x14ac:dyDescent="0.25">
      <c r="B471" s="365" t="s">
        <v>1812</v>
      </c>
      <c r="C471" s="366" t="s">
        <v>1813</v>
      </c>
      <c r="D471" s="366">
        <v>1.24E-5</v>
      </c>
      <c r="E471" s="367" t="s">
        <v>1269</v>
      </c>
      <c r="F471" s="367" t="s">
        <v>1270</v>
      </c>
      <c r="G471" s="366" t="s">
        <v>1757</v>
      </c>
      <c r="H471" s="368">
        <v>2</v>
      </c>
      <c r="I471" s="368"/>
      <c r="J471" s="366" t="s">
        <v>1797</v>
      </c>
    </row>
    <row r="472" spans="2:10" ht="18" x14ac:dyDescent="0.25">
      <c r="B472" s="365" t="s">
        <v>1814</v>
      </c>
      <c r="C472" s="366" t="s">
        <v>1815</v>
      </c>
      <c r="D472" s="366">
        <v>2.5000000000000001E-5</v>
      </c>
      <c r="E472" s="367" t="s">
        <v>1269</v>
      </c>
      <c r="F472" s="367" t="s">
        <v>1270</v>
      </c>
      <c r="G472" s="366" t="s">
        <v>1757</v>
      </c>
      <c r="H472" s="368">
        <v>2</v>
      </c>
      <c r="I472" s="368"/>
      <c r="J472" s="366" t="s">
        <v>1816</v>
      </c>
    </row>
    <row r="473" spans="2:10" ht="18" x14ac:dyDescent="0.25">
      <c r="B473" s="365" t="s">
        <v>1817</v>
      </c>
      <c r="C473" s="366" t="s">
        <v>1818</v>
      </c>
      <c r="D473" s="366">
        <v>2.5000000000000001E-5</v>
      </c>
      <c r="E473" s="367" t="s">
        <v>1269</v>
      </c>
      <c r="F473" s="367" t="s">
        <v>1270</v>
      </c>
      <c r="G473" s="366" t="s">
        <v>1757</v>
      </c>
      <c r="H473" s="368">
        <v>2</v>
      </c>
      <c r="I473" s="368"/>
      <c r="J473" s="366" t="s">
        <v>1758</v>
      </c>
    </row>
    <row r="474" spans="2:10" ht="18" x14ac:dyDescent="0.25">
      <c r="B474" s="365" t="s">
        <v>1819</v>
      </c>
      <c r="C474" s="366" t="s">
        <v>1820</v>
      </c>
      <c r="D474" s="366">
        <v>2.5000000000000001E-5</v>
      </c>
      <c r="E474" s="367" t="s">
        <v>1269</v>
      </c>
      <c r="F474" s="367" t="s">
        <v>1270</v>
      </c>
      <c r="G474" s="366" t="s">
        <v>1757</v>
      </c>
      <c r="H474" s="368">
        <v>2</v>
      </c>
      <c r="I474" s="368"/>
      <c r="J474" s="366" t="s">
        <v>1758</v>
      </c>
    </row>
    <row r="475" spans="2:10" ht="18" x14ac:dyDescent="0.25">
      <c r="B475" s="365" t="s">
        <v>1821</v>
      </c>
      <c r="C475" s="366" t="s">
        <v>1822</v>
      </c>
      <c r="D475" s="366">
        <v>1.0000000000000001E-5</v>
      </c>
      <c r="E475" s="367" t="s">
        <v>1269</v>
      </c>
      <c r="F475" s="367" t="s">
        <v>1270</v>
      </c>
      <c r="G475" s="366" t="s">
        <v>1757</v>
      </c>
      <c r="H475" s="368">
        <v>2</v>
      </c>
      <c r="I475" s="368"/>
      <c r="J475" s="366" t="s">
        <v>1758</v>
      </c>
    </row>
    <row r="476" spans="2:10" ht="18" x14ac:dyDescent="0.25">
      <c r="B476" s="365" t="s">
        <v>1823</v>
      </c>
      <c r="C476" s="366" t="s">
        <v>1824</v>
      </c>
      <c r="D476" s="366">
        <v>1.9000000000000001E-5</v>
      </c>
      <c r="E476" s="367" t="s">
        <v>1269</v>
      </c>
      <c r="F476" s="367" t="s">
        <v>1270</v>
      </c>
      <c r="G476" s="366" t="s">
        <v>1757</v>
      </c>
      <c r="H476" s="368">
        <v>2</v>
      </c>
      <c r="I476" s="368"/>
      <c r="J476" s="366" t="s">
        <v>1758</v>
      </c>
    </row>
    <row r="477" spans="2:10" ht="18" x14ac:dyDescent="0.25">
      <c r="B477" s="365" t="s">
        <v>1825</v>
      </c>
      <c r="C477" s="366" t="s">
        <v>1826</v>
      </c>
      <c r="D477" s="366">
        <v>1.9000000000000001E-5</v>
      </c>
      <c r="E477" s="367" t="s">
        <v>1269</v>
      </c>
      <c r="F477" s="367" t="s">
        <v>1270</v>
      </c>
      <c r="G477" s="366" t="s">
        <v>1757</v>
      </c>
      <c r="H477" s="368">
        <v>2</v>
      </c>
      <c r="I477" s="368"/>
      <c r="J477" s="366" t="s">
        <v>1758</v>
      </c>
    </row>
    <row r="478" spans="2:10" ht="18" x14ac:dyDescent="0.25">
      <c r="B478" s="365" t="s">
        <v>1827</v>
      </c>
      <c r="C478" s="366" t="s">
        <v>1828</v>
      </c>
      <c r="D478" s="366">
        <v>1.9000000000000001E-5</v>
      </c>
      <c r="E478" s="367" t="s">
        <v>1269</v>
      </c>
      <c r="F478" s="367" t="s">
        <v>1270</v>
      </c>
      <c r="G478" s="366" t="s">
        <v>1757</v>
      </c>
      <c r="H478" s="368">
        <v>2</v>
      </c>
      <c r="I478" s="368"/>
      <c r="J478" s="366" t="s">
        <v>1758</v>
      </c>
    </row>
    <row r="479" spans="2:10" ht="18" x14ac:dyDescent="0.25">
      <c r="B479" s="365" t="s">
        <v>1829</v>
      </c>
      <c r="C479" s="366" t="s">
        <v>1830</v>
      </c>
      <c r="D479" s="366">
        <v>1.9000000000000001E-5</v>
      </c>
      <c r="E479" s="367" t="s">
        <v>1269</v>
      </c>
      <c r="F479" s="367" t="s">
        <v>1270</v>
      </c>
      <c r="G479" s="366" t="s">
        <v>1757</v>
      </c>
      <c r="H479" s="368">
        <v>2</v>
      </c>
      <c r="I479" s="368"/>
      <c r="J479" s="366" t="s">
        <v>1758</v>
      </c>
    </row>
    <row r="480" spans="2:10" ht="18" x14ac:dyDescent="0.25">
      <c r="B480" s="365" t="s">
        <v>1831</v>
      </c>
      <c r="C480" s="366" t="s">
        <v>1832</v>
      </c>
      <c r="D480" s="366">
        <v>1.9000000000000001E-5</v>
      </c>
      <c r="E480" s="367" t="s">
        <v>1269</v>
      </c>
      <c r="F480" s="367" t="s">
        <v>1270</v>
      </c>
      <c r="G480" s="366" t="s">
        <v>1757</v>
      </c>
      <c r="H480" s="368">
        <v>2</v>
      </c>
      <c r="I480" s="368"/>
      <c r="J480" s="366" t="s">
        <v>1758</v>
      </c>
    </row>
    <row r="481" spans="2:10" ht="18" x14ac:dyDescent="0.25">
      <c r="B481" s="365" t="s">
        <v>1833</v>
      </c>
      <c r="C481" s="366" t="s">
        <v>1834</v>
      </c>
      <c r="D481" s="366">
        <v>1.9000000000000001E-5</v>
      </c>
      <c r="E481" s="367" t="s">
        <v>1269</v>
      </c>
      <c r="F481" s="367" t="s">
        <v>1270</v>
      </c>
      <c r="G481" s="366" t="s">
        <v>1757</v>
      </c>
      <c r="H481" s="368">
        <v>2</v>
      </c>
      <c r="I481" s="368"/>
      <c r="J481" s="366" t="s">
        <v>1758</v>
      </c>
    </row>
    <row r="482" spans="2:10" ht="18" x14ac:dyDescent="0.25">
      <c r="B482" s="365" t="s">
        <v>1835</v>
      </c>
      <c r="C482" s="366" t="s">
        <v>1836</v>
      </c>
      <c r="D482" s="366">
        <v>1.9000000000000001E-5</v>
      </c>
      <c r="E482" s="367" t="s">
        <v>1269</v>
      </c>
      <c r="F482" s="367" t="s">
        <v>1270</v>
      </c>
      <c r="G482" s="366" t="s">
        <v>1757</v>
      </c>
      <c r="H482" s="368">
        <v>2</v>
      </c>
      <c r="I482" s="368"/>
      <c r="J482" s="366" t="s">
        <v>1758</v>
      </c>
    </row>
    <row r="483" spans="2:10" ht="18" x14ac:dyDescent="0.25">
      <c r="B483" s="365" t="s">
        <v>1837</v>
      </c>
      <c r="C483" s="366" t="s">
        <v>1838</v>
      </c>
      <c r="D483" s="366">
        <v>1.9000000000000001E-5</v>
      </c>
      <c r="E483" s="367" t="s">
        <v>1269</v>
      </c>
      <c r="F483" s="367" t="s">
        <v>1270</v>
      </c>
      <c r="G483" s="366" t="s">
        <v>1757</v>
      </c>
      <c r="H483" s="368">
        <v>2</v>
      </c>
      <c r="I483" s="368"/>
      <c r="J483" s="366" t="s">
        <v>1758</v>
      </c>
    </row>
    <row r="484" spans="2:10" ht="18" x14ac:dyDescent="0.25">
      <c r="B484" s="365" t="s">
        <v>1839</v>
      </c>
      <c r="C484" s="366" t="s">
        <v>1840</v>
      </c>
      <c r="D484" s="366">
        <v>1.0000000000000001E-5</v>
      </c>
      <c r="E484" s="367" t="s">
        <v>1269</v>
      </c>
      <c r="F484" s="367" t="s">
        <v>1623</v>
      </c>
      <c r="G484" s="366" t="s">
        <v>1757</v>
      </c>
      <c r="H484" s="368"/>
      <c r="I484" s="368"/>
      <c r="J484" s="366"/>
    </row>
    <row r="485" spans="2:10" ht="18" x14ac:dyDescent="0.25">
      <c r="B485" s="365" t="s">
        <v>1841</v>
      </c>
      <c r="C485" s="366" t="s">
        <v>1842</v>
      </c>
      <c r="D485" s="366">
        <v>1.9000000000000001E-5</v>
      </c>
      <c r="E485" s="367" t="s">
        <v>1269</v>
      </c>
      <c r="F485" s="367" t="s">
        <v>1623</v>
      </c>
      <c r="G485" s="366" t="s">
        <v>1757</v>
      </c>
      <c r="H485" s="368">
        <v>2</v>
      </c>
      <c r="I485" s="368"/>
      <c r="J485" s="366" t="s">
        <v>1758</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9"/>
  <sheetViews>
    <sheetView zoomScaleNormal="100" workbookViewId="0">
      <selection activeCell="C8" sqref="C8"/>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1" customWidth="1"/>
    <col min="9" max="9" width="22.7109375" customWidth="1"/>
  </cols>
  <sheetData>
    <row r="1" spans="2:8" ht="53.25" customHeight="1" thickBot="1" x14ac:dyDescent="0.3"/>
    <row r="2" spans="2:8" ht="15.75" thickBot="1" x14ac:dyDescent="0.3">
      <c r="C2" s="187" t="s">
        <v>510</v>
      </c>
      <c r="D2" s="1"/>
      <c r="E2" s="1"/>
    </row>
    <row r="3" spans="2:8" ht="15.75" thickBot="1" x14ac:dyDescent="0.3">
      <c r="B3" s="224" t="s">
        <v>0</v>
      </c>
      <c r="C3" s="225" t="s">
        <v>1</v>
      </c>
      <c r="D3" s="226" t="s">
        <v>4</v>
      </c>
      <c r="E3" s="226" t="s">
        <v>115</v>
      </c>
      <c r="F3" s="227" t="s">
        <v>2</v>
      </c>
      <c r="H3" s="188" t="s">
        <v>511</v>
      </c>
    </row>
    <row r="4" spans="2:8" ht="18.75" customHeight="1" x14ac:dyDescent="0.25">
      <c r="B4" s="189" t="s">
        <v>164</v>
      </c>
      <c r="C4" s="184" t="s">
        <v>165</v>
      </c>
      <c r="D4" s="190" t="s">
        <v>166</v>
      </c>
      <c r="E4" s="190"/>
      <c r="F4" s="191"/>
    </row>
    <row r="5" spans="2:8" x14ac:dyDescent="0.25">
      <c r="B5" s="193" t="s">
        <v>1043</v>
      </c>
      <c r="C5" s="161" t="s">
        <v>512</v>
      </c>
      <c r="D5" s="192" t="s">
        <v>1044</v>
      </c>
      <c r="E5" s="192"/>
      <c r="F5" s="195"/>
    </row>
    <row r="6" spans="2:8" x14ac:dyDescent="0.25">
      <c r="B6" s="193" t="s">
        <v>167</v>
      </c>
      <c r="C6" s="194" t="s">
        <v>168</v>
      </c>
      <c r="D6" s="194" t="s">
        <v>169</v>
      </c>
      <c r="E6" s="194"/>
      <c r="F6" s="195"/>
    </row>
    <row r="7" spans="2:8" x14ac:dyDescent="0.25">
      <c r="B7" s="193" t="s">
        <v>1045</v>
      </c>
      <c r="C7" s="161" t="s">
        <v>513</v>
      </c>
      <c r="D7" s="192" t="s">
        <v>1046</v>
      </c>
      <c r="E7" s="194"/>
      <c r="F7" s="195"/>
    </row>
    <row r="8" spans="2:8" x14ac:dyDescent="0.25">
      <c r="B8" s="193" t="s">
        <v>514</v>
      </c>
      <c r="C8" s="194" t="s">
        <v>515</v>
      </c>
      <c r="D8" s="194" t="s">
        <v>516</v>
      </c>
      <c r="E8" s="194"/>
      <c r="F8" s="195"/>
    </row>
    <row r="9" spans="2:8" x14ac:dyDescent="0.25">
      <c r="B9" s="193" t="s">
        <v>517</v>
      </c>
      <c r="C9" s="194" t="s">
        <v>518</v>
      </c>
      <c r="D9" s="194" t="s">
        <v>1257</v>
      </c>
      <c r="E9" s="194"/>
      <c r="F9" s="195"/>
    </row>
    <row r="10" spans="2:8" x14ac:dyDescent="0.25">
      <c r="B10" s="193" t="s">
        <v>170</v>
      </c>
      <c r="C10" s="194" t="s">
        <v>171</v>
      </c>
      <c r="D10" s="194" t="s">
        <v>172</v>
      </c>
      <c r="E10" s="194"/>
      <c r="F10" s="195"/>
    </row>
    <row r="11" spans="2:8" x14ac:dyDescent="0.25">
      <c r="B11" s="193" t="s">
        <v>519</v>
      </c>
      <c r="C11" s="161" t="s">
        <v>520</v>
      </c>
      <c r="D11" s="192" t="s">
        <v>952</v>
      </c>
      <c r="E11" s="194"/>
      <c r="F11" s="195"/>
    </row>
    <row r="12" spans="2:8" x14ac:dyDescent="0.25">
      <c r="B12" s="193" t="s">
        <v>173</v>
      </c>
      <c r="C12" s="194" t="s">
        <v>174</v>
      </c>
      <c r="D12" s="194" t="s">
        <v>1180</v>
      </c>
      <c r="E12" s="194"/>
      <c r="F12" s="195"/>
    </row>
    <row r="13" spans="2:8" x14ac:dyDescent="0.25">
      <c r="B13" s="193" t="s">
        <v>1047</v>
      </c>
      <c r="C13" s="194" t="s">
        <v>1048</v>
      </c>
      <c r="D13" s="194" t="s">
        <v>1049</v>
      </c>
      <c r="E13" s="194"/>
      <c r="F13" s="195"/>
    </row>
    <row r="14" spans="2:8" x14ac:dyDescent="0.25">
      <c r="B14" s="193" t="s">
        <v>176</v>
      </c>
      <c r="C14" s="194" t="s">
        <v>177</v>
      </c>
      <c r="D14" s="194" t="s">
        <v>1181</v>
      </c>
      <c r="E14" s="194"/>
      <c r="F14" s="195"/>
    </row>
    <row r="15" spans="2:8" x14ac:dyDescent="0.25">
      <c r="B15" s="193" t="s">
        <v>1182</v>
      </c>
      <c r="C15" s="194" t="s">
        <v>1183</v>
      </c>
      <c r="D15" s="194" t="s">
        <v>1184</v>
      </c>
      <c r="E15" s="194"/>
      <c r="F15" s="195"/>
    </row>
    <row r="16" spans="2:8" x14ac:dyDescent="0.25">
      <c r="B16" s="228" t="s">
        <v>1185</v>
      </c>
      <c r="C16" s="229" t="s">
        <v>1186</v>
      </c>
      <c r="D16" s="229" t="s">
        <v>1258</v>
      </c>
      <c r="E16" s="229"/>
      <c r="F16" s="230"/>
    </row>
    <row r="17" spans="2:8" x14ac:dyDescent="0.25">
      <c r="B17" s="193" t="s">
        <v>1187</v>
      </c>
      <c r="C17" s="229" t="s">
        <v>1188</v>
      </c>
      <c r="D17" s="229" t="s">
        <v>1189</v>
      </c>
      <c r="E17" s="229"/>
      <c r="F17" s="230"/>
    </row>
    <row r="18" spans="2:8" x14ac:dyDescent="0.25">
      <c r="B18" s="193" t="s">
        <v>179</v>
      </c>
      <c r="C18" s="194" t="s">
        <v>180</v>
      </c>
      <c r="D18" s="194" t="s">
        <v>181</v>
      </c>
      <c r="E18" s="194"/>
      <c r="F18" s="195"/>
      <c r="H18" s="197" t="s">
        <v>525</v>
      </c>
    </row>
    <row r="19" spans="2:8" x14ac:dyDescent="0.25">
      <c r="B19" s="193" t="s">
        <v>182</v>
      </c>
      <c r="C19" s="194" t="s">
        <v>183</v>
      </c>
      <c r="D19" s="194" t="s">
        <v>521</v>
      </c>
      <c r="E19" s="194"/>
      <c r="F19" s="195"/>
    </row>
    <row r="20" spans="2:8" x14ac:dyDescent="0.25">
      <c r="B20" s="193" t="s">
        <v>150</v>
      </c>
      <c r="C20" s="194" t="s">
        <v>148</v>
      </c>
      <c r="D20" s="194" t="s">
        <v>149</v>
      </c>
      <c r="E20" s="194"/>
      <c r="F20" s="195"/>
    </row>
    <row r="21" spans="2:8" x14ac:dyDescent="0.25">
      <c r="B21" s="193" t="s">
        <v>522</v>
      </c>
      <c r="C21" s="196" t="s">
        <v>523</v>
      </c>
      <c r="D21" s="192" t="s">
        <v>524</v>
      </c>
      <c r="E21" s="194"/>
      <c r="F21" s="195"/>
    </row>
    <row r="22" spans="2:8" ht="18" x14ac:dyDescent="0.35">
      <c r="B22" s="193" t="s">
        <v>1050</v>
      </c>
      <c r="C22" s="196" t="s">
        <v>526</v>
      </c>
      <c r="D22" s="192" t="s">
        <v>1259</v>
      </c>
      <c r="E22" s="194"/>
      <c r="F22" s="195"/>
    </row>
    <row r="23" spans="2:8" ht="18" x14ac:dyDescent="0.35">
      <c r="B23" s="193" t="s">
        <v>1051</v>
      </c>
      <c r="C23" s="196" t="s">
        <v>527</v>
      </c>
      <c r="D23" s="192" t="s">
        <v>1260</v>
      </c>
      <c r="E23" s="194"/>
      <c r="F23" s="195"/>
    </row>
    <row r="24" spans="2:8" ht="18" x14ac:dyDescent="0.35">
      <c r="B24" s="193" t="s">
        <v>1052</v>
      </c>
      <c r="C24" s="196" t="s">
        <v>528</v>
      </c>
      <c r="D24" s="192" t="s">
        <v>1261</v>
      </c>
      <c r="E24" s="194"/>
      <c r="F24" s="195"/>
    </row>
    <row r="25" spans="2:8" ht="18" x14ac:dyDescent="0.35">
      <c r="B25" s="193" t="s">
        <v>1053</v>
      </c>
      <c r="C25" s="196" t="s">
        <v>529</v>
      </c>
      <c r="D25" s="192" t="s">
        <v>1262</v>
      </c>
      <c r="E25" s="194"/>
      <c r="F25" s="195"/>
    </row>
    <row r="26" spans="2:8" ht="18" x14ac:dyDescent="0.35">
      <c r="B26" s="193" t="s">
        <v>1054</v>
      </c>
      <c r="C26" s="196" t="s">
        <v>530</v>
      </c>
      <c r="D26" s="192" t="s">
        <v>1263</v>
      </c>
      <c r="E26" s="194"/>
      <c r="F26" s="195"/>
    </row>
    <row r="27" spans="2:8" ht="15.75" customHeight="1" x14ac:dyDescent="0.35">
      <c r="B27" s="193" t="s">
        <v>1055</v>
      </c>
      <c r="C27" s="196" t="s">
        <v>531</v>
      </c>
      <c r="D27" s="192" t="s">
        <v>1264</v>
      </c>
      <c r="E27" s="194"/>
      <c r="F27" s="195"/>
    </row>
    <row r="28" spans="2:8" ht="16.5" customHeight="1" thickBot="1" x14ac:dyDescent="0.4">
      <c r="B28" s="231" t="s">
        <v>1056</v>
      </c>
      <c r="C28" s="178" t="s">
        <v>532</v>
      </c>
      <c r="D28" s="232" t="s">
        <v>1265</v>
      </c>
      <c r="E28" s="198"/>
      <c r="F28" s="153"/>
    </row>
    <row r="29" spans="2:8" ht="16.5" customHeight="1" x14ac:dyDescent="0.25"/>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200"/>
    <col min="2" max="2" width="19.28515625" style="200" bestFit="1" customWidth="1"/>
    <col min="3" max="3" width="43.140625" style="200" bestFit="1" customWidth="1"/>
    <col min="4" max="5" width="9.140625" style="200"/>
    <col min="6" max="6" width="17.85546875" style="200" customWidth="1"/>
    <col min="7" max="8" width="9.140625" style="200"/>
    <col min="9" max="9" width="12.85546875" style="200" bestFit="1" customWidth="1"/>
    <col min="10" max="16384" width="9.140625" style="200"/>
  </cols>
  <sheetData>
    <row r="1" spans="2:9" ht="15.75" thickBot="1" x14ac:dyDescent="0.3"/>
    <row r="2" spans="2:9" ht="15.75" thickBot="1" x14ac:dyDescent="0.3">
      <c r="B2" s="166"/>
      <c r="C2" s="167" t="s">
        <v>882</v>
      </c>
      <c r="D2" s="166"/>
      <c r="E2" s="166"/>
      <c r="F2" s="166"/>
      <c r="G2" s="166"/>
      <c r="H2" s="166"/>
      <c r="I2" s="166"/>
    </row>
    <row r="3" spans="2:9" ht="15.75" thickBot="1" x14ac:dyDescent="0.3">
      <c r="B3" s="233" t="s">
        <v>0</v>
      </c>
      <c r="C3" s="234" t="s">
        <v>1</v>
      </c>
      <c r="D3" s="234" t="s">
        <v>151</v>
      </c>
      <c r="E3" s="235" t="s">
        <v>534</v>
      </c>
      <c r="F3" s="235" t="s">
        <v>535</v>
      </c>
      <c r="G3" s="234" t="s">
        <v>2</v>
      </c>
      <c r="H3" s="234" t="s">
        <v>406</v>
      </c>
      <c r="I3" s="236" t="s">
        <v>115</v>
      </c>
    </row>
    <row r="4" spans="2:9" ht="15.75" thickBot="1" x14ac:dyDescent="0.3">
      <c r="B4" s="141"/>
      <c r="C4" s="237"/>
      <c r="D4" s="238"/>
      <c r="E4" s="239"/>
      <c r="F4" s="240"/>
      <c r="G4" s="238"/>
      <c r="H4" s="238"/>
      <c r="I4" s="241"/>
    </row>
    <row r="5" spans="2:9" ht="15.75" thickBot="1" x14ac:dyDescent="0.3">
      <c r="B5" s="141"/>
      <c r="C5" s="167" t="s">
        <v>1248</v>
      </c>
      <c r="D5" s="238"/>
      <c r="E5" s="239"/>
      <c r="F5" s="240"/>
      <c r="G5" s="238"/>
      <c r="H5" s="238"/>
      <c r="I5" s="241"/>
    </row>
    <row r="6" spans="2:9" ht="15.75" thickBot="1" x14ac:dyDescent="0.3">
      <c r="B6" s="233" t="s">
        <v>0</v>
      </c>
      <c r="C6" s="234" t="s">
        <v>1</v>
      </c>
      <c r="D6" s="234" t="s">
        <v>151</v>
      </c>
      <c r="E6" s="235" t="s">
        <v>534</v>
      </c>
      <c r="F6" s="235" t="s">
        <v>535</v>
      </c>
      <c r="G6" s="234" t="s">
        <v>2</v>
      </c>
      <c r="H6" s="234" t="s">
        <v>406</v>
      </c>
      <c r="I6" s="236" t="s">
        <v>115</v>
      </c>
    </row>
    <row r="7" spans="2:9" ht="15.75" thickBot="1" x14ac:dyDescent="0.3">
      <c r="B7" s="242" t="s">
        <v>953</v>
      </c>
      <c r="C7" s="243" t="s">
        <v>883</v>
      </c>
      <c r="D7" s="244" t="b">
        <v>0</v>
      </c>
      <c r="E7" s="243"/>
      <c r="F7" s="243"/>
      <c r="G7" s="243"/>
      <c r="H7" s="243"/>
      <c r="I7" s="245" t="s">
        <v>884</v>
      </c>
    </row>
    <row r="8" spans="2:9" ht="15.75" thickBot="1" x14ac:dyDescent="0.3"/>
    <row r="9" spans="2:9" ht="15.75" thickBot="1" x14ac:dyDescent="0.3">
      <c r="B9" s="246" t="s">
        <v>1249</v>
      </c>
      <c r="C9" s="167" t="s">
        <v>1250</v>
      </c>
      <c r="D9" s="166"/>
      <c r="E9" s="166"/>
      <c r="F9" s="166"/>
      <c r="G9" s="166"/>
      <c r="H9" s="166"/>
      <c r="I9" s="166"/>
    </row>
    <row r="10" spans="2:9" ht="15.75" thickBot="1" x14ac:dyDescent="0.3">
      <c r="B10" s="233" t="s">
        <v>0</v>
      </c>
      <c r="C10" s="234" t="s">
        <v>1</v>
      </c>
      <c r="D10" s="234" t="s">
        <v>151</v>
      </c>
      <c r="E10" s="235" t="s">
        <v>534</v>
      </c>
      <c r="F10" s="235" t="s">
        <v>535</v>
      </c>
      <c r="G10" s="234" t="s">
        <v>2</v>
      </c>
      <c r="H10" s="234" t="s">
        <v>406</v>
      </c>
      <c r="I10" s="236" t="s">
        <v>115</v>
      </c>
    </row>
    <row r="11" spans="2:9" x14ac:dyDescent="0.25">
      <c r="B11" s="201" t="s">
        <v>1246</v>
      </c>
      <c r="C11" s="202"/>
      <c r="D11" s="202" t="b">
        <v>0</v>
      </c>
      <c r="E11" s="202"/>
      <c r="F11" s="202"/>
      <c r="G11" s="202"/>
      <c r="H11" s="202"/>
      <c r="I11" s="203" t="s">
        <v>1252</v>
      </c>
    </row>
    <row r="12" spans="2:9" x14ac:dyDescent="0.25">
      <c r="B12" s="201" t="s">
        <v>1251</v>
      </c>
      <c r="C12" s="202"/>
      <c r="D12" s="202" t="b">
        <v>0</v>
      </c>
      <c r="E12" s="202"/>
      <c r="F12" s="202"/>
      <c r="G12" s="202"/>
      <c r="H12" s="202"/>
      <c r="I12" s="203" t="s">
        <v>1252</v>
      </c>
    </row>
    <row r="13" spans="2:9" x14ac:dyDescent="0.25">
      <c r="B13" s="247" t="s">
        <v>1253</v>
      </c>
      <c r="C13" s="248"/>
      <c r="D13" s="248" t="b">
        <v>1</v>
      </c>
      <c r="E13" s="248"/>
      <c r="F13" s="248"/>
      <c r="G13" s="248"/>
      <c r="H13" s="248"/>
      <c r="I13" s="249" t="s">
        <v>1252</v>
      </c>
    </row>
    <row r="14" spans="2:9" ht="15.75" thickBot="1" x14ac:dyDescent="0.3">
      <c r="B14" s="250" t="s">
        <v>398</v>
      </c>
      <c r="C14" s="251"/>
      <c r="D14" s="251" t="b">
        <v>1</v>
      </c>
      <c r="E14" s="251"/>
      <c r="F14" s="251"/>
      <c r="G14" s="251"/>
      <c r="H14" s="251"/>
      <c r="I14" s="252" t="s">
        <v>1252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B21" sqref="B21"/>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6" customFormat="1" ht="44.25" customHeight="1" thickBot="1" x14ac:dyDescent="0.3"/>
    <row r="2" spans="2:7" ht="16.5" customHeight="1" thickBot="1" x14ac:dyDescent="0.3">
      <c r="B2" s="4"/>
      <c r="C2" s="60"/>
      <c r="D2" s="59"/>
      <c r="E2" s="4"/>
      <c r="F2" s="4"/>
      <c r="G2" s="4"/>
    </row>
    <row r="3" spans="2:7" ht="13.5" customHeight="1" thickBot="1" x14ac:dyDescent="0.3">
      <c r="B3" s="62"/>
      <c r="C3" s="63" t="s">
        <v>1</v>
      </c>
      <c r="D3" s="63" t="s">
        <v>4</v>
      </c>
      <c r="E3" s="65" t="s">
        <v>2</v>
      </c>
      <c r="F3" s="66" t="s">
        <v>115</v>
      </c>
      <c r="G3" s="64" t="s">
        <v>116</v>
      </c>
    </row>
    <row r="4" spans="2:7" ht="20.25" customHeight="1" x14ac:dyDescent="0.25">
      <c r="B4" s="41"/>
      <c r="C4" s="41"/>
      <c r="D4" s="40"/>
      <c r="E4" s="42"/>
      <c r="F4" s="43"/>
      <c r="G4" s="43"/>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B10" sqref="B10:G18"/>
    </sheetView>
  </sheetViews>
  <sheetFormatPr defaultColWidth="9.140625" defaultRowHeight="15" x14ac:dyDescent="0.25"/>
  <cols>
    <col min="1" max="1" width="9.140625" style="7"/>
    <col min="2" max="7" width="16.42578125" style="7" customWidth="1"/>
    <col min="8" max="73" width="9.140625" style="7"/>
  </cols>
  <sheetData>
    <row r="1" spans="2:7" ht="15.75" thickBot="1" x14ac:dyDescent="0.3"/>
    <row r="2" spans="2:7" x14ac:dyDescent="0.25">
      <c r="B2" s="8"/>
      <c r="C2" s="9"/>
      <c r="D2" s="9"/>
      <c r="E2" s="9"/>
      <c r="F2" s="9"/>
      <c r="G2" s="10"/>
    </row>
    <row r="3" spans="2:7" x14ac:dyDescent="0.25">
      <c r="B3" s="453" t="s">
        <v>108</v>
      </c>
      <c r="C3" s="454"/>
      <c r="D3" s="454"/>
      <c r="E3" s="454"/>
      <c r="F3" s="454"/>
      <c r="G3" s="455"/>
    </row>
    <row r="4" spans="2:7" x14ac:dyDescent="0.25">
      <c r="B4" s="453"/>
      <c r="C4" s="454"/>
      <c r="D4" s="454"/>
      <c r="E4" s="454"/>
      <c r="F4" s="454"/>
      <c r="G4" s="455"/>
    </row>
    <row r="5" spans="2:7" x14ac:dyDescent="0.25">
      <c r="B5" s="453"/>
      <c r="C5" s="454"/>
      <c r="D5" s="454"/>
      <c r="E5" s="454"/>
      <c r="F5" s="454"/>
      <c r="G5" s="455"/>
    </row>
    <row r="6" spans="2:7" x14ac:dyDescent="0.25">
      <c r="B6" s="453"/>
      <c r="C6" s="454"/>
      <c r="D6" s="454"/>
      <c r="E6" s="454"/>
      <c r="F6" s="454"/>
      <c r="G6" s="455"/>
    </row>
    <row r="7" spans="2:7" x14ac:dyDescent="0.25">
      <c r="B7" s="453"/>
      <c r="C7" s="454"/>
      <c r="D7" s="454"/>
      <c r="E7" s="454"/>
      <c r="F7" s="454"/>
      <c r="G7" s="455"/>
    </row>
    <row r="8" spans="2:7" ht="15.75" thickBot="1" x14ac:dyDescent="0.3">
      <c r="B8" s="456"/>
      <c r="C8" s="457"/>
      <c r="D8" s="457"/>
      <c r="E8" s="457"/>
      <c r="F8" s="457"/>
      <c r="G8" s="458"/>
    </row>
    <row r="10" spans="2:7" x14ac:dyDescent="0.25">
      <c r="B10" s="459"/>
      <c r="C10" s="459"/>
      <c r="D10" s="459"/>
      <c r="E10" s="459"/>
      <c r="F10" s="459"/>
      <c r="G10" s="459"/>
    </row>
    <row r="11" spans="2:7" x14ac:dyDescent="0.25">
      <c r="B11" s="459"/>
      <c r="C11" s="459"/>
      <c r="D11" s="459"/>
      <c r="E11" s="459"/>
      <c r="F11" s="459"/>
      <c r="G11" s="459"/>
    </row>
    <row r="12" spans="2:7" x14ac:dyDescent="0.25">
      <c r="B12" s="459"/>
      <c r="C12" s="459"/>
      <c r="D12" s="459"/>
      <c r="E12" s="459"/>
      <c r="F12" s="459"/>
      <c r="G12" s="459"/>
    </row>
    <row r="13" spans="2:7" x14ac:dyDescent="0.25">
      <c r="B13" s="459"/>
      <c r="C13" s="459"/>
      <c r="D13" s="459"/>
      <c r="E13" s="459"/>
      <c r="F13" s="459"/>
      <c r="G13" s="459"/>
    </row>
    <row r="14" spans="2:7" x14ac:dyDescent="0.25">
      <c r="B14" s="459"/>
      <c r="C14" s="459"/>
      <c r="D14" s="459"/>
      <c r="E14" s="459"/>
      <c r="F14" s="459"/>
      <c r="G14" s="459"/>
    </row>
    <row r="15" spans="2:7" x14ac:dyDescent="0.25">
      <c r="B15" s="459"/>
      <c r="C15" s="459"/>
      <c r="D15" s="459"/>
      <c r="E15" s="459"/>
      <c r="F15" s="459"/>
      <c r="G15" s="459"/>
    </row>
    <row r="16" spans="2:7" x14ac:dyDescent="0.25">
      <c r="B16" s="459"/>
      <c r="C16" s="459"/>
      <c r="D16" s="459"/>
      <c r="E16" s="459"/>
      <c r="F16" s="459"/>
      <c r="G16" s="459"/>
    </row>
    <row r="17" spans="2:7" x14ac:dyDescent="0.25">
      <c r="B17" s="459"/>
      <c r="C17" s="459"/>
      <c r="D17" s="459"/>
      <c r="E17" s="459"/>
      <c r="F17" s="459"/>
      <c r="G17" s="459"/>
    </row>
    <row r="18" spans="2:7" x14ac:dyDescent="0.25">
      <c r="B18" s="459"/>
      <c r="C18" s="459"/>
      <c r="D18" s="459"/>
      <c r="E18" s="459"/>
      <c r="F18" s="459"/>
      <c r="G18" s="459"/>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106</v>
      </c>
      <c r="B1" s="6">
        <v>387</v>
      </c>
    </row>
    <row r="2" spans="1:3" x14ac:dyDescent="0.25">
      <c r="A2" t="s">
        <v>107</v>
      </c>
      <c r="B2" s="6">
        <v>441</v>
      </c>
    </row>
    <row r="3" spans="1:3" x14ac:dyDescent="0.25">
      <c r="A3" t="s">
        <v>109</v>
      </c>
      <c r="B3">
        <v>517</v>
      </c>
    </row>
    <row r="4" spans="1:3" x14ac:dyDescent="0.25">
      <c r="A4" t="s">
        <v>112</v>
      </c>
      <c r="B4">
        <v>444</v>
      </c>
    </row>
    <row r="5" spans="1:3" x14ac:dyDescent="0.25">
      <c r="A5" t="s">
        <v>119</v>
      </c>
      <c r="B5">
        <v>364</v>
      </c>
    </row>
    <row r="6" spans="1:3" x14ac:dyDescent="0.25">
      <c r="A6" t="s">
        <v>125</v>
      </c>
      <c r="B6">
        <v>418</v>
      </c>
    </row>
    <row r="7" spans="1:3" x14ac:dyDescent="0.25">
      <c r="A7" t="s">
        <v>126</v>
      </c>
      <c r="B7">
        <v>510</v>
      </c>
    </row>
    <row r="8" spans="1:3" x14ac:dyDescent="0.25">
      <c r="A8" t="s">
        <v>128</v>
      </c>
      <c r="B8">
        <v>452</v>
      </c>
      <c r="C8" t="s">
        <v>129</v>
      </c>
    </row>
    <row r="9" spans="1:3" x14ac:dyDescent="0.25">
      <c r="A9" t="s">
        <v>130</v>
      </c>
      <c r="B9">
        <v>611</v>
      </c>
      <c r="C9" t="s">
        <v>131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C6" sqref="C6"/>
    </sheetView>
  </sheetViews>
  <sheetFormatPr defaultColWidth="9.140625" defaultRowHeight="15" x14ac:dyDescent="0.25"/>
  <cols>
    <col min="3" max="3" width="24" customWidth="1"/>
    <col min="6" max="6" width="10.7109375" customWidth="1"/>
    <col min="8" max="8" width="20.140625" customWidth="1"/>
  </cols>
  <sheetData>
    <row r="1" spans="2:8" s="46" customFormat="1" ht="46.5" customHeight="1" thickBot="1" x14ac:dyDescent="0.3"/>
    <row r="2" spans="2:8" ht="15.75" thickBot="1" x14ac:dyDescent="0.3">
      <c r="B2" s="168"/>
      <c r="C2" s="169" t="s">
        <v>8</v>
      </c>
      <c r="D2" s="168"/>
      <c r="E2" s="168"/>
      <c r="F2" s="168"/>
      <c r="G2" s="149"/>
      <c r="H2" s="149"/>
    </row>
    <row r="3" spans="2:8" ht="15.75" thickBot="1" x14ac:dyDescent="0.3">
      <c r="B3" s="157" t="s">
        <v>0</v>
      </c>
      <c r="C3" s="158" t="s">
        <v>1</v>
      </c>
      <c r="D3" s="159" t="s">
        <v>151</v>
      </c>
      <c r="E3" s="158" t="s">
        <v>2</v>
      </c>
      <c r="F3" s="158" t="s">
        <v>406</v>
      </c>
      <c r="G3" s="158" t="s">
        <v>115</v>
      </c>
      <c r="H3" s="160" t="s">
        <v>116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970</vt:i4>
      </vt:variant>
    </vt:vector>
  </HeadingPairs>
  <TitlesOfParts>
    <vt:vector size="985" baseType="lpstr">
      <vt:lpstr>Help</vt:lpstr>
      <vt:lpstr>Parameters</vt:lpstr>
      <vt:lpstr>Model</vt:lpstr>
      <vt:lpstr>pH</vt:lpstr>
      <vt:lpstr>Tableau</vt:lpstr>
      <vt:lpstr>Components</vt:lpstr>
      <vt:lpstr>Algebraic model</vt:lpstr>
      <vt:lpstr>Expert knowledge</vt:lpstr>
      <vt:lpstr>Functions</vt:lpstr>
      <vt:lpstr>Calculated variables</vt:lpstr>
      <vt:lpstr>systemcode_constants</vt:lpstr>
      <vt:lpstr>systemcode_functions</vt:lpstr>
      <vt:lpstr>other parameters</vt:lpstr>
      <vt:lpstr>Code</vt:lpstr>
      <vt:lpstr>Species</vt:lpstr>
      <vt:lpstr>A_dvanced</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vt:lpstr>
      <vt:lpstr>b_H</vt:lpstr>
      <vt:lpstr>B_H2O</vt:lpstr>
      <vt:lpstr>b_PAO</vt:lpstr>
      <vt:lpstr>b_PHA</vt:lpstr>
      <vt:lpstr>b_PP</vt:lpstr>
      <vt:lpstr>b_Sto</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f_di_IS_an</vt:lpstr>
      <vt:lpstr>f_di_IS_cat</vt:lpstr>
      <vt:lpstr>f_mono_IS_an</vt:lpstr>
      <vt:lpstr>f_mono_IS_cat</vt:lpstr>
      <vt:lpstr>f_N2_air</vt:lpstr>
      <vt:lpstr>f_O2_air</vt:lpstr>
      <vt:lpstr>f_SI</vt:lpstr>
      <vt:lpstr>f_tri_IS_an</vt:lpstr>
      <vt:lpstr>f_tri_IS_cat</vt:lpstr>
      <vt:lpstr>f_XI</vt:lpstr>
      <vt:lpstr>G_CH4_atm</vt:lpstr>
      <vt:lpstr>G_CO2_atm</vt:lpstr>
      <vt:lpstr>g_grav</vt:lpstr>
      <vt:lpstr>G_H2_atm</vt:lpstr>
      <vt:lpstr>G_H2S_atm</vt:lpstr>
      <vt:lpstr>G_N2_atm</vt:lpstr>
      <vt:lpstr>G_NH3_atm</vt:lpstr>
      <vt:lpstr>G_O2_atm</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i_Charge_SNHx</vt:lpstr>
      <vt:lpstr>i_Charge_SNOx</vt:lpstr>
      <vt:lpstr>i_Charge_SPO4</vt:lpstr>
      <vt:lpstr>i_Charge_XPAO_PP</vt:lpstr>
      <vt:lpstr>i_COD_N2</vt:lpstr>
      <vt:lpstr>i_COD_NO3</vt:lpstr>
      <vt:lpstr>i_CV</vt:lpstr>
      <vt:lpstr>i_CV_SI</vt:lpstr>
      <vt:lpstr>i_CV_SS</vt:lpstr>
      <vt:lpstr>i_N_BM</vt:lpstr>
      <vt:lpstr>i_N_SI</vt:lpstr>
      <vt:lpstr>i_N_SS</vt:lpstr>
      <vt:lpstr>i_N_XI</vt:lpstr>
      <vt:lpstr>i_N_XS</vt:lpstr>
      <vt:lpstr>i_NO3_N2</vt:lpstr>
      <vt:lpstr>i_P_BM</vt:lpstr>
      <vt:lpstr>i_P_SI</vt:lpstr>
      <vt:lpstr>i_P_SS</vt:lpstr>
      <vt:lpstr>i_P_XI</vt:lpstr>
      <vt:lpstr>i_P_XS</vt:lpstr>
      <vt:lpstr>i_TSS_BM</vt:lpstr>
      <vt:lpstr>i_TSS_XI</vt:lpstr>
      <vt:lpstr>i_TSS_XPP</vt:lpstr>
      <vt:lpstr>i_TSS_XS</vt:lpstr>
      <vt:lpstr>i_TSS_XSTO</vt:lpstr>
      <vt:lpstr>K_Ac_param</vt:lpstr>
      <vt:lpstr>K_C1_param</vt:lpstr>
      <vt:lpstr>K_C2_param</vt:lpstr>
      <vt:lpstr>k_H</vt:lpstr>
      <vt:lpstr>K_H2S_param</vt:lpstr>
      <vt:lpstr>K_HCO_A</vt:lpstr>
      <vt:lpstr>K_HCO_H</vt:lpstr>
      <vt:lpstr>K_HCO_PAO</vt:lpstr>
      <vt:lpstr>K_iPP_PAO</vt:lpstr>
      <vt:lpstr>K_max_PAO</vt:lpstr>
      <vt:lpstr>K_NH_A</vt:lpstr>
      <vt:lpstr>K_NH_H</vt:lpstr>
      <vt:lpstr>K_NH_PAO</vt:lpstr>
      <vt:lpstr>K_NH3_param</vt:lpstr>
      <vt:lpstr>K_NO_H</vt:lpstr>
      <vt:lpstr>K_NO_PAO</vt:lpstr>
      <vt:lpstr>K_NO2_param</vt:lpstr>
      <vt:lpstr>K_O_A</vt:lpstr>
      <vt:lpstr>K_O_H</vt:lpstr>
      <vt:lpstr>K_O_PAO</vt:lpstr>
      <vt:lpstr>K_P1_param</vt:lpstr>
      <vt:lpstr>K_P2_param</vt:lpstr>
      <vt:lpstr>K_P3_param</vt:lpstr>
      <vt:lpstr>K_PHA</vt:lpstr>
      <vt:lpstr>K_PO4_A</vt:lpstr>
      <vt:lpstr>K_PO4_H</vt:lpstr>
      <vt:lpstr>K_PO4_PAO</vt:lpstr>
      <vt:lpstr>K_PO4_PP</vt:lpstr>
      <vt:lpstr>K_PP_PAO</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K_SS_H</vt:lpstr>
      <vt:lpstr>K_SS_PAO</vt:lpstr>
      <vt:lpstr>k_STO</vt:lpstr>
      <vt:lpstr>K_STO_H</vt:lpstr>
      <vt:lpstr>K_W_param</vt:lpstr>
      <vt:lpstr>K_X</vt:lpstr>
      <vt:lpstr>M_inhSO_KO_A</vt:lpstr>
      <vt:lpstr>M_inhSO_KO_H</vt:lpstr>
      <vt:lpstr>M_inhSO_KO_PAO</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M_RinhXPP_XPAO_KiPP_PAO</vt:lpstr>
      <vt:lpstr>M_RsatXPHA_XPAO_KPHA</vt:lpstr>
      <vt:lpstr>M_RsatXPP_XPAO_KPP_PAO</vt:lpstr>
      <vt:lpstr>M_RsatXS_XH_KX</vt:lpstr>
      <vt:lpstr>M_RsatXSTO_XH_KSTO_H</vt:lpstr>
      <vt:lpstr>M_satSHCO_KHCO_A</vt:lpstr>
      <vt:lpstr>M_satSHCO_KHCO_H</vt:lpstr>
      <vt:lpstr>M_satSHCO_KHCO_PAO</vt:lpstr>
      <vt:lpstr>M_satSNH4_KNH_A</vt:lpstr>
      <vt:lpstr>M_satSNH4_KNH_H</vt:lpstr>
      <vt:lpstr>M_satSNH4_KNH_PAO</vt:lpstr>
      <vt:lpstr>M_satSNO_KNO_H</vt:lpstr>
      <vt:lpstr>M_satSNO_KNO_PAO</vt:lpstr>
      <vt:lpstr>M_satSO_KO_A</vt:lpstr>
      <vt:lpstr>M_satSO_KO_H</vt:lpstr>
      <vt:lpstr>M_satSO_KO_PAO</vt:lpstr>
      <vt:lpstr>M_satSPO4_KPO4_A</vt:lpstr>
      <vt:lpstr>M_satSPO4_KPO4_H</vt:lpstr>
      <vt:lpstr>M_satSPO4_KPO4_PAO</vt:lpstr>
      <vt:lpstr>M_satSPO4_KPO4_PP</vt:lpstr>
      <vt:lpstr>M_satSS_KSS_H</vt:lpstr>
      <vt:lpstr>M_satSS_KSS_PAO</vt:lpstr>
      <vt:lpstr>N_UR</vt:lpstr>
      <vt:lpstr>O_UR</vt:lpstr>
      <vt:lpstr>p_i</vt:lpstr>
      <vt:lpstr>p_N</vt:lpstr>
      <vt:lpstr>p_St</vt:lpstr>
      <vt:lpstr>p_STP</vt:lpstr>
      <vt:lpstr>q_PHA</vt:lpstr>
      <vt:lpstr>q_PP</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r_3</vt:lpstr>
      <vt:lpstr>r_4</vt:lpstr>
      <vt:lpstr>r_5</vt:lpstr>
      <vt:lpstr>r_6</vt:lpstr>
      <vt:lpstr>r_7</vt:lpstr>
      <vt:lpstr>r_8</vt:lpstr>
      <vt:lpstr>r_9</vt:lpstr>
      <vt:lpstr>R_air</vt:lpstr>
      <vt:lpstr>S_BOD_5</vt:lpstr>
      <vt:lpstr>S_BOD_ult</vt:lpstr>
      <vt:lpstr>S_COD</vt:lpstr>
      <vt:lpstr>S_HCO</vt:lpstr>
      <vt:lpstr>S_I</vt:lpstr>
      <vt:lpstr>S_N2</vt:lpstr>
      <vt:lpstr>S_NH4</vt:lpstr>
      <vt:lpstr>S_NO</vt:lpstr>
      <vt:lpstr>S_O</vt:lpstr>
      <vt:lpstr>S_PO4</vt:lpstr>
      <vt:lpstr>S_S</vt:lpstr>
      <vt:lpstr>S_umo__pHEffects</vt:lpstr>
      <vt:lpstr>T_BOD_5</vt:lpstr>
      <vt:lpstr>T_BOD_ult</vt:lpstr>
      <vt:lpstr>T_COD</vt:lpstr>
      <vt:lpstr>T_KN</vt:lpstr>
      <vt:lpstr>T_N</vt:lpstr>
      <vt:lpstr>T_NTP_K</vt:lpstr>
      <vt:lpstr>T_null</vt:lpstr>
      <vt:lpstr>T_st_K</vt:lpstr>
      <vt:lpstr>T_STP_K</vt:lpstr>
      <vt:lpstr>v_1_SHCO</vt:lpstr>
      <vt:lpstr>v_1_SI</vt:lpstr>
      <vt:lpstr>v_1_SN2</vt:lpstr>
      <vt:lpstr>v_1_SNH4</vt:lpstr>
      <vt:lpstr>v_1_SNO</vt:lpstr>
      <vt:lpstr>v_1_SO</vt:lpstr>
      <vt:lpstr>v_1_SPO4</vt:lpstr>
      <vt:lpstr>v_1_SS</vt:lpstr>
      <vt:lpstr>v_1_XA</vt:lpstr>
      <vt:lpstr>v_1_XH</vt:lpstr>
      <vt:lpstr>v_1_XI</vt:lpstr>
      <vt:lpstr>v_1_XPAO</vt:lpstr>
      <vt:lpstr>v_1_XPHA</vt:lpstr>
      <vt:lpstr>v_1_XPP</vt:lpstr>
      <vt:lpstr>v_1_XS</vt:lpstr>
      <vt:lpstr>v_1_XSTO</vt:lpstr>
      <vt:lpstr>v_1_XTSS</vt:lpstr>
      <vt:lpstr>v_10_SHCO</vt:lpstr>
      <vt:lpstr>v_10_SI</vt:lpstr>
      <vt:lpstr>v_10_SN2</vt:lpstr>
      <vt:lpstr>v_10_SNH4</vt:lpstr>
      <vt:lpstr>v_10_SNO</vt:lpstr>
      <vt:lpstr>v_10_SO</vt:lpstr>
      <vt:lpstr>v_10_SPO4</vt:lpstr>
      <vt:lpstr>v_10_SS</vt:lpstr>
      <vt:lpstr>v_10_XA</vt:lpstr>
      <vt:lpstr>v_10_XH</vt:lpstr>
      <vt:lpstr>v_10_XI</vt:lpstr>
      <vt:lpstr>v_10_XPAO</vt:lpstr>
      <vt:lpstr>v_10_XPHA</vt:lpstr>
      <vt:lpstr>v_10_XPP</vt:lpstr>
      <vt:lpstr>v_10_XS</vt:lpstr>
      <vt:lpstr>v_10_XSTO</vt:lpstr>
      <vt:lpstr>v_10_XTSS</vt:lpstr>
      <vt:lpstr>v_11_SHCO</vt:lpstr>
      <vt:lpstr>v_11_SI</vt:lpstr>
      <vt:lpstr>v_11_SN2</vt:lpstr>
      <vt:lpstr>v_11_SNH4</vt:lpstr>
      <vt:lpstr>v_11_SNO</vt:lpstr>
      <vt:lpstr>v_11_SO</vt:lpstr>
      <vt:lpstr>v_11_SPO4</vt:lpstr>
      <vt:lpstr>v_11_SS</vt:lpstr>
      <vt:lpstr>v_11_XA</vt:lpstr>
      <vt:lpstr>v_11_XH</vt:lpstr>
      <vt:lpstr>v_11_XI</vt:lpstr>
      <vt:lpstr>v_11_XPAO</vt:lpstr>
      <vt:lpstr>v_11_XPHA</vt:lpstr>
      <vt:lpstr>v_11_XPP</vt:lpstr>
      <vt:lpstr>v_11_XS</vt:lpstr>
      <vt:lpstr>v_11_XSTO</vt:lpstr>
      <vt:lpstr>v_11_XTSS</vt:lpstr>
      <vt:lpstr>v_12_SHCO</vt:lpstr>
      <vt:lpstr>v_12_SI</vt:lpstr>
      <vt:lpstr>v_12_SN2</vt:lpstr>
      <vt:lpstr>v_12_SNH4</vt:lpstr>
      <vt:lpstr>v_12_SNO</vt:lpstr>
      <vt:lpstr>v_12_SO</vt:lpstr>
      <vt:lpstr>v_12_SPO4</vt:lpstr>
      <vt:lpstr>v_12_SS</vt:lpstr>
      <vt:lpstr>v_12_XA</vt:lpstr>
      <vt:lpstr>v_12_XH</vt:lpstr>
      <vt:lpstr>v_12_XI</vt:lpstr>
      <vt:lpstr>v_12_XPAO</vt:lpstr>
      <vt:lpstr>v_12_XPHA</vt:lpstr>
      <vt:lpstr>v_12_XPP</vt:lpstr>
      <vt:lpstr>v_12_XS</vt:lpstr>
      <vt:lpstr>v_12_XSTO</vt:lpstr>
      <vt:lpstr>v_12_XTSS</vt:lpstr>
      <vt:lpstr>v_13_SHCO</vt:lpstr>
      <vt:lpstr>v_13_SI</vt:lpstr>
      <vt:lpstr>v_13_SN2</vt:lpstr>
      <vt:lpstr>v_13_SNH4</vt:lpstr>
      <vt:lpstr>v_13_SNO</vt:lpstr>
      <vt:lpstr>v_13_SO</vt:lpstr>
      <vt:lpstr>v_13_SPO4</vt:lpstr>
      <vt:lpstr>v_13_SS</vt:lpstr>
      <vt:lpstr>v_13_XA</vt:lpstr>
      <vt:lpstr>v_13_XH</vt:lpstr>
      <vt:lpstr>v_13_XI</vt:lpstr>
      <vt:lpstr>v_13_XPAO</vt:lpstr>
      <vt:lpstr>v_13_XPHA</vt:lpstr>
      <vt:lpstr>v_13_XPP</vt:lpstr>
      <vt:lpstr>v_13_XS</vt:lpstr>
      <vt:lpstr>v_13_XSTO</vt:lpstr>
      <vt:lpstr>v_13_XTSS</vt:lpstr>
      <vt:lpstr>v_14_SHCO</vt:lpstr>
      <vt:lpstr>v_14_SI</vt:lpstr>
      <vt:lpstr>v_14_SN2</vt:lpstr>
      <vt:lpstr>v_14_SNH4</vt:lpstr>
      <vt:lpstr>v_14_SNO</vt:lpstr>
      <vt:lpstr>v_14_SO</vt:lpstr>
      <vt:lpstr>v_14_SPO4</vt:lpstr>
      <vt:lpstr>v_14_SS</vt:lpstr>
      <vt:lpstr>v_14_XA</vt:lpstr>
      <vt:lpstr>v_14_XH</vt:lpstr>
      <vt:lpstr>v_14_XI</vt:lpstr>
      <vt:lpstr>v_14_XPAO</vt:lpstr>
      <vt:lpstr>v_14_XPHA</vt:lpstr>
      <vt:lpstr>v_14_XPP</vt:lpstr>
      <vt:lpstr>v_14_XS</vt:lpstr>
      <vt:lpstr>v_14_XSTO</vt:lpstr>
      <vt:lpstr>v_14_XTSS</vt:lpstr>
      <vt:lpstr>v_15_SHCO</vt:lpstr>
      <vt:lpstr>v_15_SI</vt:lpstr>
      <vt:lpstr>v_15_SN2</vt:lpstr>
      <vt:lpstr>v_15_SNH4</vt:lpstr>
      <vt:lpstr>v_15_SNO</vt:lpstr>
      <vt:lpstr>v_15_SO</vt:lpstr>
      <vt:lpstr>v_15_SPO4</vt:lpstr>
      <vt:lpstr>v_15_SS</vt:lpstr>
      <vt:lpstr>v_15_XA</vt:lpstr>
      <vt:lpstr>v_15_XH</vt:lpstr>
      <vt:lpstr>v_15_XI</vt:lpstr>
      <vt:lpstr>v_15_XPAO</vt:lpstr>
      <vt:lpstr>v_15_XPHA</vt:lpstr>
      <vt:lpstr>v_15_XPP</vt:lpstr>
      <vt:lpstr>v_15_XS</vt:lpstr>
      <vt:lpstr>v_15_XSTO</vt:lpstr>
      <vt:lpstr>v_15_XTSS</vt:lpstr>
      <vt:lpstr>v_16_SHCO</vt:lpstr>
      <vt:lpstr>v_16_SI</vt:lpstr>
      <vt:lpstr>v_16_SN2</vt:lpstr>
      <vt:lpstr>v_16_SNH4</vt:lpstr>
      <vt:lpstr>v_16_SNO</vt:lpstr>
      <vt:lpstr>v_16_SO</vt:lpstr>
      <vt:lpstr>v_16_SPO4</vt:lpstr>
      <vt:lpstr>v_16_SS</vt:lpstr>
      <vt:lpstr>v_16_XA</vt:lpstr>
      <vt:lpstr>v_16_XH</vt:lpstr>
      <vt:lpstr>v_16_XI</vt:lpstr>
      <vt:lpstr>v_16_XPAO</vt:lpstr>
      <vt:lpstr>v_16_XPHA</vt:lpstr>
      <vt:lpstr>v_16_XPP</vt:lpstr>
      <vt:lpstr>v_16_XS</vt:lpstr>
      <vt:lpstr>v_16_XSTO</vt:lpstr>
      <vt:lpstr>v_16_XTSS</vt:lpstr>
      <vt:lpstr>v_17_SHCO</vt:lpstr>
      <vt:lpstr>v_17_SI</vt:lpstr>
      <vt:lpstr>v_17_SN2</vt:lpstr>
      <vt:lpstr>v_17_SNH4</vt:lpstr>
      <vt:lpstr>v_17_SNO</vt:lpstr>
      <vt:lpstr>v_17_SO</vt:lpstr>
      <vt:lpstr>v_17_SPO4</vt:lpstr>
      <vt:lpstr>v_17_SS</vt:lpstr>
      <vt:lpstr>v_17_XA</vt:lpstr>
      <vt:lpstr>v_17_XH</vt:lpstr>
      <vt:lpstr>v_17_XI</vt:lpstr>
      <vt:lpstr>v_17_XPAO</vt:lpstr>
      <vt:lpstr>v_17_XPHA</vt:lpstr>
      <vt:lpstr>v_17_XPP</vt:lpstr>
      <vt:lpstr>v_17_XS</vt:lpstr>
      <vt:lpstr>v_17_XSTO</vt:lpstr>
      <vt:lpstr>v_17_XTSS</vt:lpstr>
      <vt:lpstr>v_18_SHCO</vt:lpstr>
      <vt:lpstr>v_18_SI</vt:lpstr>
      <vt:lpstr>v_18_SN2</vt:lpstr>
      <vt:lpstr>v_18_SNH4</vt:lpstr>
      <vt:lpstr>v_18_SNO</vt:lpstr>
      <vt:lpstr>v_18_SO</vt:lpstr>
      <vt:lpstr>v_18_SPO4</vt:lpstr>
      <vt:lpstr>v_18_SS</vt:lpstr>
      <vt:lpstr>v_18_XA</vt:lpstr>
      <vt:lpstr>v_18_XH</vt:lpstr>
      <vt:lpstr>v_18_XI</vt:lpstr>
      <vt:lpstr>v_18_XPAO</vt:lpstr>
      <vt:lpstr>v_18_XPHA</vt:lpstr>
      <vt:lpstr>v_18_XPP</vt:lpstr>
      <vt:lpstr>v_18_XS</vt:lpstr>
      <vt:lpstr>v_18_XSTO</vt:lpstr>
      <vt:lpstr>v_18_XTSS</vt:lpstr>
      <vt:lpstr>v_19_SHCO</vt:lpstr>
      <vt:lpstr>v_19_SI</vt:lpstr>
      <vt:lpstr>v_19_SN2</vt:lpstr>
      <vt:lpstr>v_19_SNH4</vt:lpstr>
      <vt:lpstr>v_19_SNO</vt:lpstr>
      <vt:lpstr>v_19_SO</vt:lpstr>
      <vt:lpstr>v_19_SPO4</vt:lpstr>
      <vt:lpstr>v_19_SS</vt:lpstr>
      <vt:lpstr>v_19_XA</vt:lpstr>
      <vt:lpstr>v_19_XH</vt:lpstr>
      <vt:lpstr>v_19_XI</vt:lpstr>
      <vt:lpstr>v_19_XPAO</vt:lpstr>
      <vt:lpstr>v_19_XPHA</vt:lpstr>
      <vt:lpstr>v_19_XPP</vt:lpstr>
      <vt:lpstr>v_19_XS</vt:lpstr>
      <vt:lpstr>v_19_XSTO</vt:lpstr>
      <vt:lpstr>v_19_XTSS</vt:lpstr>
      <vt:lpstr>v_2_SHCO</vt:lpstr>
      <vt:lpstr>v_2_SI</vt:lpstr>
      <vt:lpstr>v_2_SN2</vt:lpstr>
      <vt:lpstr>v_2_SNH4</vt:lpstr>
      <vt:lpstr>v_2_SNO</vt:lpstr>
      <vt:lpstr>v_2_SO</vt:lpstr>
      <vt:lpstr>v_2_SPO4</vt:lpstr>
      <vt:lpstr>v_2_SS</vt:lpstr>
      <vt:lpstr>v_2_XA</vt:lpstr>
      <vt:lpstr>v_2_XH</vt:lpstr>
      <vt:lpstr>v_2_XI</vt:lpstr>
      <vt:lpstr>v_2_XPAO</vt:lpstr>
      <vt:lpstr>v_2_XPHA</vt:lpstr>
      <vt:lpstr>v_2_XPP</vt:lpstr>
      <vt:lpstr>v_2_XS</vt:lpstr>
      <vt:lpstr>v_2_XSTO</vt:lpstr>
      <vt:lpstr>v_2_XTSS</vt:lpstr>
      <vt:lpstr>v_20_SHCO</vt:lpstr>
      <vt:lpstr>v_20_SI</vt:lpstr>
      <vt:lpstr>v_20_SN2</vt:lpstr>
      <vt:lpstr>v_20_SNH4</vt:lpstr>
      <vt:lpstr>v_20_SNO</vt:lpstr>
      <vt:lpstr>v_20_SO</vt:lpstr>
      <vt:lpstr>v_20_SPO4</vt:lpstr>
      <vt:lpstr>v_20_SS</vt:lpstr>
      <vt:lpstr>v_20_XA</vt:lpstr>
      <vt:lpstr>v_20_XH</vt:lpstr>
      <vt:lpstr>v_20_XI</vt:lpstr>
      <vt:lpstr>v_20_XPAO</vt:lpstr>
      <vt:lpstr>v_20_XPHA</vt:lpstr>
      <vt:lpstr>v_20_XPP</vt:lpstr>
      <vt:lpstr>v_20_XS</vt:lpstr>
      <vt:lpstr>v_20_XSTO</vt:lpstr>
      <vt:lpstr>v_20_XTSS</vt:lpstr>
      <vt:lpstr>v_21_SHCO</vt:lpstr>
      <vt:lpstr>v_21_SI</vt:lpstr>
      <vt:lpstr>v_21_SN2</vt:lpstr>
      <vt:lpstr>v_21_SNH4</vt:lpstr>
      <vt:lpstr>v_21_SNO</vt:lpstr>
      <vt:lpstr>v_21_SO</vt:lpstr>
      <vt:lpstr>v_21_SPO4</vt:lpstr>
      <vt:lpstr>v_21_SS</vt:lpstr>
      <vt:lpstr>v_21_XA</vt:lpstr>
      <vt:lpstr>v_21_XH</vt:lpstr>
      <vt:lpstr>v_21_XI</vt:lpstr>
      <vt:lpstr>v_21_XPAO</vt:lpstr>
      <vt:lpstr>v_21_XPHA</vt:lpstr>
      <vt:lpstr>v_21_XPP</vt:lpstr>
      <vt:lpstr>v_21_XS</vt:lpstr>
      <vt:lpstr>v_21_XSTO</vt:lpstr>
      <vt:lpstr>v_21_XTSS</vt:lpstr>
      <vt:lpstr>v_22_SHCO</vt:lpstr>
      <vt:lpstr>v_22_SI</vt:lpstr>
      <vt:lpstr>v_22_SN2</vt:lpstr>
      <vt:lpstr>v_22_SNH4</vt:lpstr>
      <vt:lpstr>v_22_SNO</vt:lpstr>
      <vt:lpstr>v_22_SO</vt:lpstr>
      <vt:lpstr>v_22_SPO4</vt:lpstr>
      <vt:lpstr>v_22_SS</vt:lpstr>
      <vt:lpstr>v_22_XA</vt:lpstr>
      <vt:lpstr>v_22_XH</vt:lpstr>
      <vt:lpstr>v_22_XI</vt:lpstr>
      <vt:lpstr>v_22_XPAO</vt:lpstr>
      <vt:lpstr>v_22_XPHA</vt:lpstr>
      <vt:lpstr>v_22_XPP</vt:lpstr>
      <vt:lpstr>v_22_XS</vt:lpstr>
      <vt:lpstr>v_22_XSTO</vt:lpstr>
      <vt:lpstr>v_22_XTSS</vt:lpstr>
      <vt:lpstr>v_23_SHCO</vt:lpstr>
      <vt:lpstr>v_23_SI</vt:lpstr>
      <vt:lpstr>v_23_SN2</vt:lpstr>
      <vt:lpstr>v_23_SNH4</vt:lpstr>
      <vt:lpstr>v_23_SNO</vt:lpstr>
      <vt:lpstr>v_23_SO</vt:lpstr>
      <vt:lpstr>v_23_SPO4</vt:lpstr>
      <vt:lpstr>v_23_SS</vt:lpstr>
      <vt:lpstr>v_23_XA</vt:lpstr>
      <vt:lpstr>v_23_XH</vt:lpstr>
      <vt:lpstr>v_23_XI</vt:lpstr>
      <vt:lpstr>v_23_XPAO</vt:lpstr>
      <vt:lpstr>v_23_XPHA</vt:lpstr>
      <vt:lpstr>v_23_XPP</vt:lpstr>
      <vt:lpstr>v_23_XS</vt:lpstr>
      <vt:lpstr>v_23_XSTO</vt:lpstr>
      <vt:lpstr>v_23_XTSS</vt:lpstr>
      <vt:lpstr>v_3_SHCO</vt:lpstr>
      <vt:lpstr>v_3_SI</vt:lpstr>
      <vt:lpstr>v_3_SN2</vt:lpstr>
      <vt:lpstr>v_3_SNH4</vt:lpstr>
      <vt:lpstr>v_3_SNO</vt:lpstr>
      <vt:lpstr>v_3_SO</vt:lpstr>
      <vt:lpstr>v_3_SPO4</vt:lpstr>
      <vt:lpstr>v_3_SS</vt:lpstr>
      <vt:lpstr>v_3_XA</vt:lpstr>
      <vt:lpstr>v_3_XH</vt:lpstr>
      <vt:lpstr>v_3_XI</vt:lpstr>
      <vt:lpstr>v_3_XPAO</vt:lpstr>
      <vt:lpstr>v_3_XPHA</vt:lpstr>
      <vt:lpstr>v_3_XPP</vt:lpstr>
      <vt:lpstr>v_3_XS</vt:lpstr>
      <vt:lpstr>v_3_XSTO</vt:lpstr>
      <vt:lpstr>v_3_XTSS</vt:lpstr>
      <vt:lpstr>v_4_SHCO</vt:lpstr>
      <vt:lpstr>v_4_SI</vt:lpstr>
      <vt:lpstr>v_4_SN2</vt:lpstr>
      <vt:lpstr>v_4_SNH4</vt:lpstr>
      <vt:lpstr>v_4_SNO</vt:lpstr>
      <vt:lpstr>v_4_SO</vt:lpstr>
      <vt:lpstr>v_4_SPO4</vt:lpstr>
      <vt:lpstr>v_4_SS</vt:lpstr>
      <vt:lpstr>v_4_XA</vt:lpstr>
      <vt:lpstr>v_4_XH</vt:lpstr>
      <vt:lpstr>v_4_XI</vt:lpstr>
      <vt:lpstr>v_4_XPAO</vt:lpstr>
      <vt:lpstr>v_4_XPHA</vt:lpstr>
      <vt:lpstr>v_4_XPP</vt:lpstr>
      <vt:lpstr>v_4_XS</vt:lpstr>
      <vt:lpstr>v_4_XSTO</vt:lpstr>
      <vt:lpstr>v_4_XTSS</vt:lpstr>
      <vt:lpstr>v_5_SHCO</vt:lpstr>
      <vt:lpstr>v_5_SI</vt:lpstr>
      <vt:lpstr>v_5_SN2</vt:lpstr>
      <vt:lpstr>v_5_SNH4</vt:lpstr>
      <vt:lpstr>v_5_SNO</vt:lpstr>
      <vt:lpstr>v_5_SO</vt:lpstr>
      <vt:lpstr>v_5_SPO4</vt:lpstr>
      <vt:lpstr>v_5_SS</vt:lpstr>
      <vt:lpstr>v_5_XA</vt:lpstr>
      <vt:lpstr>v_5_XH</vt:lpstr>
      <vt:lpstr>v_5_XI</vt:lpstr>
      <vt:lpstr>v_5_XPAO</vt:lpstr>
      <vt:lpstr>v_5_XPHA</vt:lpstr>
      <vt:lpstr>v_5_XPP</vt:lpstr>
      <vt:lpstr>v_5_XS</vt:lpstr>
      <vt:lpstr>v_5_XSTO</vt:lpstr>
      <vt:lpstr>v_5_XTSS</vt:lpstr>
      <vt:lpstr>v_6_SHCO</vt:lpstr>
      <vt:lpstr>v_6_SI</vt:lpstr>
      <vt:lpstr>v_6_SN2</vt:lpstr>
      <vt:lpstr>v_6_SNH4</vt:lpstr>
      <vt:lpstr>v_6_SNO</vt:lpstr>
      <vt:lpstr>v_6_SO</vt:lpstr>
      <vt:lpstr>v_6_SPO4</vt:lpstr>
      <vt:lpstr>v_6_SS</vt:lpstr>
      <vt:lpstr>v_6_XA</vt:lpstr>
      <vt:lpstr>v_6_XH</vt:lpstr>
      <vt:lpstr>v_6_XI</vt:lpstr>
      <vt:lpstr>v_6_XPAO</vt:lpstr>
      <vt:lpstr>v_6_XPHA</vt:lpstr>
      <vt:lpstr>v_6_XPP</vt:lpstr>
      <vt:lpstr>v_6_XS</vt:lpstr>
      <vt:lpstr>v_6_XSTO</vt:lpstr>
      <vt:lpstr>v_6_XTSS</vt:lpstr>
      <vt:lpstr>v_7_SHCO</vt:lpstr>
      <vt:lpstr>v_7_SI</vt:lpstr>
      <vt:lpstr>v_7_SN2</vt:lpstr>
      <vt:lpstr>v_7_SNH4</vt:lpstr>
      <vt:lpstr>v_7_SNO</vt:lpstr>
      <vt:lpstr>v_7_SO</vt:lpstr>
      <vt:lpstr>v_7_SPO4</vt:lpstr>
      <vt:lpstr>v_7_SS</vt:lpstr>
      <vt:lpstr>v_7_XA</vt:lpstr>
      <vt:lpstr>v_7_XH</vt:lpstr>
      <vt:lpstr>v_7_XI</vt:lpstr>
      <vt:lpstr>v_7_XPAO</vt:lpstr>
      <vt:lpstr>v_7_XPHA</vt:lpstr>
      <vt:lpstr>v_7_XPP</vt:lpstr>
      <vt:lpstr>v_7_XS</vt:lpstr>
      <vt:lpstr>v_7_XSTO</vt:lpstr>
      <vt:lpstr>v_7_XTSS</vt:lpstr>
      <vt:lpstr>v_8_SHCO</vt:lpstr>
      <vt:lpstr>v_8_SI</vt:lpstr>
      <vt:lpstr>v_8_SN2</vt:lpstr>
      <vt:lpstr>v_8_SNH4</vt:lpstr>
      <vt:lpstr>v_8_SNO</vt:lpstr>
      <vt:lpstr>v_8_SO</vt:lpstr>
      <vt:lpstr>v_8_SPO4</vt:lpstr>
      <vt:lpstr>v_8_SS</vt:lpstr>
      <vt:lpstr>v_8_XA</vt:lpstr>
      <vt:lpstr>v_8_XH</vt:lpstr>
      <vt:lpstr>v_8_XI</vt:lpstr>
      <vt:lpstr>v_8_XPAO</vt:lpstr>
      <vt:lpstr>v_8_XPHA</vt:lpstr>
      <vt:lpstr>v_8_XPP</vt:lpstr>
      <vt:lpstr>v_8_XS</vt:lpstr>
      <vt:lpstr>v_8_XSTO</vt:lpstr>
      <vt:lpstr>v_8_XTSS</vt:lpstr>
      <vt:lpstr>v_9_SHCO</vt:lpstr>
      <vt:lpstr>v_9_SI</vt:lpstr>
      <vt:lpstr>v_9_SN2</vt:lpstr>
      <vt:lpstr>v_9_SNH4</vt:lpstr>
      <vt:lpstr>v_9_SNO</vt:lpstr>
      <vt:lpstr>v_9_SO</vt:lpstr>
      <vt:lpstr>v_9_SPO4</vt:lpstr>
      <vt:lpstr>v_9_SS</vt:lpstr>
      <vt:lpstr>v_9_XA</vt:lpstr>
      <vt:lpstr>v_9_XH</vt:lpstr>
      <vt:lpstr>v_9_XI</vt:lpstr>
      <vt:lpstr>v_9_XPAO</vt:lpstr>
      <vt:lpstr>v_9_XPHA</vt:lpstr>
      <vt:lpstr>v_9_XPP</vt:lpstr>
      <vt:lpstr>v_9_XS</vt:lpstr>
      <vt:lpstr>v_9_XSTO</vt:lpstr>
      <vt:lpstr>v_9_XTSS</vt:lpstr>
      <vt:lpstr>V_mol_N</vt:lpstr>
      <vt:lpstr>X_A</vt:lpstr>
      <vt:lpstr>X_BOD_5</vt:lpstr>
      <vt:lpstr>X_BOD_ult</vt:lpstr>
      <vt:lpstr>X_COD</vt:lpstr>
      <vt:lpstr>X_DM</vt:lpstr>
      <vt:lpstr>X_H</vt:lpstr>
      <vt:lpstr>X_I</vt:lpstr>
      <vt:lpstr>X_ISS</vt:lpstr>
      <vt:lpstr>X_PAO</vt:lpstr>
      <vt:lpstr>X_PHA</vt:lpstr>
      <vt:lpstr>X_PP</vt:lpstr>
      <vt:lpstr>X_S</vt:lpstr>
      <vt:lpstr>X_STO</vt:lpstr>
      <vt:lpstr>X_TSS</vt:lpstr>
      <vt:lpstr>X_VSS</vt:lpstr>
      <vt:lpstr>Y_AUT</vt:lpstr>
      <vt:lpstr>Y_H_NO</vt:lpstr>
      <vt:lpstr>Y_H_O2</vt:lpstr>
      <vt:lpstr>Y_PAO_NO</vt:lpstr>
      <vt:lpstr>Y_PAO_O2</vt:lpstr>
      <vt:lpstr>Y_PHA</vt:lpstr>
      <vt:lpstr>Y_PO4</vt:lpstr>
      <vt:lpstr>Y_STO_NO</vt:lpstr>
      <vt:lpstr>Y_STO_O2</vt:lpstr>
      <vt:lpstr>Δ_atm</vt:lpstr>
      <vt:lpstr>η_H2O</vt:lpstr>
      <vt:lpstr>η_NO_end_A</vt:lpstr>
      <vt:lpstr>η_NO_end_H</vt:lpstr>
      <vt:lpstr>η_NO_end_PAO</vt:lpstr>
      <vt:lpstr>η_NO_H</vt:lpstr>
      <vt:lpstr>η_NO_lys_PP</vt:lpstr>
      <vt:lpstr>η_NO_PAO</vt:lpstr>
      <vt:lpstr>η_NO_resp_PHA</vt:lpstr>
      <vt:lpstr>κ__</vt:lpstr>
      <vt:lpstr>λ_H</vt:lpstr>
      <vt:lpstr>μ_A</vt:lpstr>
      <vt:lpstr>μ_H</vt:lpstr>
      <vt:lpstr>μ_PAO</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2023-09-05T13:44:04Z</dcterms:modified>
</cp:coreProperties>
</file>