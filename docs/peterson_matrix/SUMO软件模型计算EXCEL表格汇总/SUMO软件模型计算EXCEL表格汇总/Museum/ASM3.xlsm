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120" yWindow="-120" windowWidth="29040" windowHeight="15840" tabRatio="815"/>
  </bookViews>
  <sheets>
    <sheet name="Help" sheetId="22" r:id="rId1"/>
    <sheet name="Parameters" sheetId="9" r:id="rId2"/>
    <sheet name="Model" sheetId="1" r:id="rId3"/>
    <sheet name="pH" sheetId="4" state="hidden" r:id="rId4"/>
    <sheet name="Tableau" sheetId="17" state="hidden" r:id="rId5"/>
    <sheet name="Components" sheetId="2" r:id="rId6"/>
    <sheet name="Algebraic model" sheetId="13" state="hidden" r:id="rId7"/>
    <sheet name="Expert knowledge" sheetId="14" state="hidden" r:id="rId8"/>
    <sheet name="Functions" sheetId="3" state="hidden" r:id="rId9"/>
    <sheet name="Calculated variables" sheetId="5" r:id="rId10"/>
    <sheet name="systemcode_constants" sheetId="23" state="hidden" r:id="rId11"/>
    <sheet name="systemcode_functions" sheetId="18"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A_dvanced">Parameters!$D$3</definedName>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variables'!$E$24</definedName>
    <definedName name="b_A_NOX">Parameters!$D$33</definedName>
    <definedName name="b_A_O2">Parameters!$D$32</definedName>
    <definedName name="b_H_NOX">Parameters!$D$23</definedName>
    <definedName name="b_H_O2">Parameters!$D$22</definedName>
    <definedName name="B_H2O">systemcode_constants!$D$44</definedName>
    <definedName name="b_STO_NOX">Parameters!$D$15</definedName>
    <definedName name="b_STO_O2">Parameters!$D$14</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Parameters!$D$79</definedName>
    <definedName name="f_CO2_air">systemcode_constants!$D$55</definedName>
    <definedName name="f_di_IS_an">systemcode_constants!$D$340</definedName>
    <definedName name="f_di_IS_cat">systemcode_constants!$D$339</definedName>
    <definedName name="f_mono_IS_an">systemcode_constants!$D$338</definedName>
    <definedName name="f_mono_IS_cat">systemcode_constants!$D$337</definedName>
    <definedName name="f_N2_air">systemcode_constants!$D$53</definedName>
    <definedName name="f_O2_air">systemcode_constants!$D$52</definedName>
    <definedName name="f_SI">Parameters!$D$48</definedName>
    <definedName name="f_tri_IS_an">systemcode_constants!$D$342</definedName>
    <definedName name="f_tri_IS_cat">systemcode_constants!$D$341</definedName>
    <definedName name="f_XI">Parameters!$D$49</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harge_SNHx">Parameters!$D$71</definedName>
    <definedName name="i_Charge_SNOx">Parameters!$D$72</definedName>
    <definedName name="i_COD_N2">Parameters!$D$70</definedName>
    <definedName name="i_COD_NO3">Parameters!$D$69</definedName>
    <definedName name="i_CV">Parameters!$D$76</definedName>
    <definedName name="i_CV_SI">Parameters!$D$78</definedName>
    <definedName name="i_CV_SS">Parameters!$D$77</definedName>
    <definedName name="i_N_BM">Parameters!$D$57</definedName>
    <definedName name="i_N_SI">Parameters!$D$54</definedName>
    <definedName name="i_N_SS">Parameters!$D$53</definedName>
    <definedName name="i_N_XI">Parameters!$D$55</definedName>
    <definedName name="i_N_XS">Parameters!$D$56</definedName>
    <definedName name="i_NO3_N2">Parameters!$D$68</definedName>
    <definedName name="i_SS_BM">Parameters!$D$63</definedName>
    <definedName name="i_SS_STO">Parameters!$D$64</definedName>
    <definedName name="i_SS_XI">Parameters!$D$61</definedName>
    <definedName name="i_SS_XS">Parameters!$D$62</definedName>
    <definedName name="K_A_ALK">Parameters!$D$36</definedName>
    <definedName name="K_A_NH4">Parameters!$D$35</definedName>
    <definedName name="K_A_O2">Parameters!$D$34</definedName>
    <definedName name="K_Ac_param">systemcode_constants!$D$301</definedName>
    <definedName name="K_ALK">Parameters!$D$27</definedName>
    <definedName name="K_C1_param">systemcode_constants!$D$296</definedName>
    <definedName name="K_C2_param">systemcode_constants!$D$297</definedName>
    <definedName name="k_H">Parameters!$D$7</definedName>
    <definedName name="K_H2S_param">systemcode_constants!$D$306</definedName>
    <definedName name="K_NH3_param">systemcode_constants!$D$294</definedName>
    <definedName name="K_NH4">Parameters!$D$26</definedName>
    <definedName name="K_NO2_param">systemcode_constants!$D$295</definedName>
    <definedName name="K_NOX">Parameters!$D$25</definedName>
    <definedName name="K_O2">Parameters!$D$24</definedName>
    <definedName name="K_P1_param">systemcode_constants!$D$298</definedName>
    <definedName name="K_P2_param">systemcode_constants!$D$299</definedName>
    <definedName name="K_P3_param">systemcode_constants!$D$300</definedName>
    <definedName name="K_S">Parameters!$D$21</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STO">Parameters!$D$13</definedName>
    <definedName name="K_W_param">systemcode_constants!$D$293</definedName>
    <definedName name="K_X">Parameters!$D$8</definedName>
    <definedName name="M_inhSO2_KA_O2">'Calculated variables'!$E$39</definedName>
    <definedName name="M_inhSO2_KO2">'Calculated variables'!$E$38</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RsatXS_XH_KX">'Calculated variables'!$E$36</definedName>
    <definedName name="M_RsatXSTO_XH_KSTO">'Calculated variables'!$E$37</definedName>
    <definedName name="M_satSALK_KA_ALK">'Calculated variables'!$E$35</definedName>
    <definedName name="M_satSALK_KALK">'Calculated variables'!$E$32</definedName>
    <definedName name="M_satSNH4_KA_NH4">'Calculated variables'!$E$34</definedName>
    <definedName name="M_satSNH4_KNH4">'Calculated variables'!$E$31</definedName>
    <definedName name="M_satSNOX_KNOX">'Calculated variables'!$E$30</definedName>
    <definedName name="M_satSO2_KA_O2">'Calculated variables'!$E$33</definedName>
    <definedName name="M_satSO2_KO2">'Calculated variables'!$E$29</definedName>
    <definedName name="M_satSS_KS">'Calculated variables'!$E$28</definedName>
    <definedName name="N_UR">'Calculated variables'!$E$23</definedName>
    <definedName name="O_UR">'Calculated variables'!$E$22</definedName>
    <definedName name="p_i">systemcode_constants!$D$87</definedName>
    <definedName name="p_N">systemcode_constants!$D$58</definedName>
    <definedName name="p_St">systemcode_constants!$D$5</definedName>
    <definedName name="p_STP">systemcode_constants!$D$57</definedName>
    <definedName name="q_STO">Parameters!$D$12</definedName>
    <definedName name="R__">systemcode_constants!$D$73</definedName>
    <definedName name="r_1">Model!$R$28</definedName>
    <definedName name="r_10">Model!$R$37</definedName>
    <definedName name="r_11">Model!$R$38</definedName>
    <definedName name="r_12">Model!$R$39</definedName>
    <definedName name="r_2">Model!$R$29</definedName>
    <definedName name="r_3">Model!$R$30</definedName>
    <definedName name="r_4">Model!$R$31</definedName>
    <definedName name="r_5">Model!$R$32</definedName>
    <definedName name="r_6">Model!$R$33</definedName>
    <definedName name="r_7">Model!$R$34</definedName>
    <definedName name="r_8">Model!$R$35</definedName>
    <definedName name="r_9">Model!$R$36</definedName>
    <definedName name="R_air">systemcode_constants!$D$74</definedName>
    <definedName name="S_ALK">Components!$E$9</definedName>
    <definedName name="S_BOD_5">'Calculated variables'!$E$7</definedName>
    <definedName name="S_BOD_ult">'Calculated variables'!$E$4</definedName>
    <definedName name="S_COD">'Calculated variables'!$E$10</definedName>
    <definedName name="S_I">Components!$E$10</definedName>
    <definedName name="S_N2">Components!$E$8</definedName>
    <definedName name="S_NH4">Components!$E$6</definedName>
    <definedName name="S_NOX">Components!$E$7</definedName>
    <definedName name="S_O2">Components!$E$4</definedName>
    <definedName name="S_S">Components!$E$5</definedName>
    <definedName name="S_umo__pHEffects">'other parameters'!$D$7</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TP_K">systemcode_constants!$D$81</definedName>
    <definedName name="T_null">systemcode_constants!$D$4</definedName>
    <definedName name="T_st_K">systemcode_constants!$D$80</definedName>
    <definedName name="T_STP_K">systemcode_constants!$D$82</definedName>
    <definedName name="v_1_SALK">Model!$J$28</definedName>
    <definedName name="v_1_SI">Model!$K$28</definedName>
    <definedName name="v_1_SN2">Model!$I$28</definedName>
    <definedName name="v_1_SNH4">Model!$G$28</definedName>
    <definedName name="v_1_SNOX">Model!$H$28</definedName>
    <definedName name="v_1_SO2">Model!$E$28</definedName>
    <definedName name="v_1_SS">Model!$F$28</definedName>
    <definedName name="v_1_XA">Model!$P$28</definedName>
    <definedName name="v_1_XH">Model!$N$28</definedName>
    <definedName name="v_1_XI">Model!$L$28</definedName>
    <definedName name="v_1_XS">Model!$M$28</definedName>
    <definedName name="v_1_XSS">Model!$Q$28</definedName>
    <definedName name="v_1_XSTO">Model!$O$28</definedName>
    <definedName name="v_10_SALK">Model!$J$37</definedName>
    <definedName name="v_10_SI">Model!$K$37</definedName>
    <definedName name="v_10_SN2">Model!$I$37</definedName>
    <definedName name="v_10_SNH4">Model!$G$37</definedName>
    <definedName name="v_10_SNOX">Model!$H$37</definedName>
    <definedName name="v_10_SO2">Model!$E$37</definedName>
    <definedName name="v_10_SS">Model!$F$37</definedName>
    <definedName name="v_10_XA">Model!$P$37</definedName>
    <definedName name="v_10_XH">Model!$N$37</definedName>
    <definedName name="v_10_XI">Model!$L$37</definedName>
    <definedName name="v_10_XS">Model!$M$37</definedName>
    <definedName name="v_10_XSS">Model!$Q$37</definedName>
    <definedName name="v_10_XSTO">Model!$O$37</definedName>
    <definedName name="v_11_SALK">Model!$J$38</definedName>
    <definedName name="v_11_SI">Model!$K$38</definedName>
    <definedName name="v_11_SN2">Model!$I$38</definedName>
    <definedName name="v_11_SNH4">Model!$G$38</definedName>
    <definedName name="v_11_SNOX">Model!$H$38</definedName>
    <definedName name="v_11_SO2">Model!$E$38</definedName>
    <definedName name="v_11_SS">Model!$F$38</definedName>
    <definedName name="v_11_XA">Model!$P$38</definedName>
    <definedName name="v_11_XH">Model!$N$38</definedName>
    <definedName name="v_11_XI">Model!$L$38</definedName>
    <definedName name="v_11_XS">Model!$M$38</definedName>
    <definedName name="v_11_XSS">Model!$Q$38</definedName>
    <definedName name="v_11_XSTO">Model!$O$38</definedName>
    <definedName name="v_12_SALK">Model!$J$39</definedName>
    <definedName name="v_12_SI">Model!$K$39</definedName>
    <definedName name="v_12_SN2">Model!$I$39</definedName>
    <definedName name="v_12_SNH4">Model!$G$39</definedName>
    <definedName name="v_12_SNOX">Model!$H$39</definedName>
    <definedName name="v_12_SO2">Model!$E$39</definedName>
    <definedName name="v_12_SS">Model!$F$39</definedName>
    <definedName name="v_12_XA">Model!$P$39</definedName>
    <definedName name="v_12_XH">Model!$N$39</definedName>
    <definedName name="v_12_XI">Model!$L$39</definedName>
    <definedName name="v_12_XS">Model!$M$39</definedName>
    <definedName name="v_12_XSS">Model!$Q$39</definedName>
    <definedName name="v_12_XSTO">Model!$O$39</definedName>
    <definedName name="v_2_SALK">Model!$J$29</definedName>
    <definedName name="v_2_SI">Model!$K$29</definedName>
    <definedName name="v_2_SN2">Model!$I$29</definedName>
    <definedName name="v_2_SNH4">Model!$G$29</definedName>
    <definedName name="v_2_SNOX">Model!$H$29</definedName>
    <definedName name="v_2_SO2">Model!$E$29</definedName>
    <definedName name="v_2_SS">Model!$F$29</definedName>
    <definedName name="v_2_XA">Model!$P$29</definedName>
    <definedName name="v_2_XH">Model!$N$29</definedName>
    <definedName name="v_2_XI">Model!$L$29</definedName>
    <definedName name="v_2_XS">Model!$M$29</definedName>
    <definedName name="v_2_XSS">Model!$Q$29</definedName>
    <definedName name="v_2_XSTO">Model!$O$29</definedName>
    <definedName name="v_3_SALK">Model!$J$30</definedName>
    <definedName name="v_3_SI">Model!$K$30</definedName>
    <definedName name="v_3_SN2">Model!$I$30</definedName>
    <definedName name="v_3_SNH4">Model!$G$30</definedName>
    <definedName name="v_3_SNOX">Model!$H$30</definedName>
    <definedName name="v_3_SO2">Model!$E$30</definedName>
    <definedName name="v_3_SS">Model!$F$30</definedName>
    <definedName name="v_3_XA">Model!$P$30</definedName>
    <definedName name="v_3_XH">Model!$N$30</definedName>
    <definedName name="v_3_XI">Model!$L$30</definedName>
    <definedName name="v_3_XS">Model!$M$30</definedName>
    <definedName name="v_3_XSS">Model!$Q$30</definedName>
    <definedName name="v_3_XSTO">Model!$O$30</definedName>
    <definedName name="v_4_SALK">Model!$J$31</definedName>
    <definedName name="v_4_SI">Model!$K$31</definedName>
    <definedName name="v_4_SN2">Model!$I$31</definedName>
    <definedName name="v_4_SNH4">Model!$G$31</definedName>
    <definedName name="v_4_SNOX">Model!$H$31</definedName>
    <definedName name="v_4_SO2">Model!$E$31</definedName>
    <definedName name="v_4_SS">Model!$F$31</definedName>
    <definedName name="v_4_XA">Model!$P$31</definedName>
    <definedName name="v_4_XH">Model!$N$31</definedName>
    <definedName name="v_4_XI">Model!$L$31</definedName>
    <definedName name="v_4_XS">Model!$M$31</definedName>
    <definedName name="v_4_XSS">Model!$Q$31</definedName>
    <definedName name="v_4_XSTO">Model!$O$31</definedName>
    <definedName name="v_5_SALK">Model!$J$32</definedName>
    <definedName name="v_5_SI">Model!$K$32</definedName>
    <definedName name="v_5_SN2">Model!$I$32</definedName>
    <definedName name="v_5_SNH4">Model!$G$32</definedName>
    <definedName name="v_5_SNOX">Model!$H$32</definedName>
    <definedName name="v_5_SO2">Model!$E$32</definedName>
    <definedName name="v_5_SS">Model!$F$32</definedName>
    <definedName name="v_5_XA">Model!$P$32</definedName>
    <definedName name="v_5_XH">Model!$N$32</definedName>
    <definedName name="v_5_XI">Model!$L$32</definedName>
    <definedName name="v_5_XS">Model!$M$32</definedName>
    <definedName name="v_5_XSS">Model!$Q$32</definedName>
    <definedName name="v_5_XSTO">Model!$O$32</definedName>
    <definedName name="v_6_SALK">Model!$J$33</definedName>
    <definedName name="v_6_SI">Model!$K$33</definedName>
    <definedName name="v_6_SN2">Model!$I$33</definedName>
    <definedName name="v_6_SNH4">Model!$G$33</definedName>
    <definedName name="v_6_SNOX">Model!$H$33</definedName>
    <definedName name="v_6_SO2">Model!$E$33</definedName>
    <definedName name="v_6_SS">Model!$F$33</definedName>
    <definedName name="v_6_XA">Model!$P$33</definedName>
    <definedName name="v_6_XH">Model!$N$33</definedName>
    <definedName name="v_6_XI">Model!$L$33</definedName>
    <definedName name="v_6_XS">Model!$M$33</definedName>
    <definedName name="v_6_XSS">Model!$Q$33</definedName>
    <definedName name="v_6_XSTO">Model!$O$33</definedName>
    <definedName name="v_7_SALK">Model!$J$34</definedName>
    <definedName name="v_7_SI">Model!$K$34</definedName>
    <definedName name="v_7_SN2">Model!$I$34</definedName>
    <definedName name="v_7_SNH4">Model!$G$34</definedName>
    <definedName name="v_7_SNOX">Model!$H$34</definedName>
    <definedName name="v_7_SO2">Model!$E$34</definedName>
    <definedName name="v_7_SS">Model!$F$34</definedName>
    <definedName name="v_7_XA">Model!$P$34</definedName>
    <definedName name="v_7_XH">Model!$N$34</definedName>
    <definedName name="v_7_XI">Model!$L$34</definedName>
    <definedName name="v_7_XS">Model!$M$34</definedName>
    <definedName name="v_7_XSS">Model!$Q$34</definedName>
    <definedName name="v_7_XSTO">Model!$O$34</definedName>
    <definedName name="v_8_SALK">Model!$J$35</definedName>
    <definedName name="v_8_SI">Model!$K$35</definedName>
    <definedName name="v_8_SN2">Model!$I$35</definedName>
    <definedName name="v_8_SNH4">Model!$G$35</definedName>
    <definedName name="v_8_SNOX">Model!$H$35</definedName>
    <definedName name="v_8_SO2">Model!$E$35</definedName>
    <definedName name="v_8_SS">Model!$F$35</definedName>
    <definedName name="v_8_XA">Model!$P$35</definedName>
    <definedName name="v_8_XH">Model!$N$35</definedName>
    <definedName name="v_8_XI">Model!$L$35</definedName>
    <definedName name="v_8_XS">Model!$M$35</definedName>
    <definedName name="v_8_XSS">Model!$Q$35</definedName>
    <definedName name="v_8_XSTO">Model!$O$35</definedName>
    <definedName name="v_9_SALK">Model!$J$36</definedName>
    <definedName name="v_9_SI">Model!$K$36</definedName>
    <definedName name="v_9_SN2">Model!$I$36</definedName>
    <definedName name="v_9_SNH4">Model!$G$36</definedName>
    <definedName name="v_9_SNOX">Model!$H$36</definedName>
    <definedName name="v_9_SO2">Model!$E$36</definedName>
    <definedName name="v_9_SS">Model!$F$36</definedName>
    <definedName name="v_9_XA">Model!$P$36</definedName>
    <definedName name="v_9_XH">Model!$N$36</definedName>
    <definedName name="v_9_XI">Model!$L$36</definedName>
    <definedName name="v_9_XS">Model!$M$36</definedName>
    <definedName name="v_9_XSS">Model!$Q$36</definedName>
    <definedName name="v_9_XSTO">Model!$O$36</definedName>
    <definedName name="V_mol_N">systemcode_constants!$D$75</definedName>
    <definedName name="X_A">Components!$E$15</definedName>
    <definedName name="X_BOD_5">'Calculated variables'!$E$8</definedName>
    <definedName name="X_BOD_ult">'Calculated variables'!$E$5</definedName>
    <definedName name="X_COD">'Calculated variables'!$E$11</definedName>
    <definedName name="X_DM">'Calculated variables'!$E$18</definedName>
    <definedName name="X_H">Components!$E$13</definedName>
    <definedName name="X_I">Components!$E$11</definedName>
    <definedName name="X_ISS">'Calculated variables'!$E$17</definedName>
    <definedName name="X_S">Components!$E$12</definedName>
    <definedName name="X_SS">Components!$E$16</definedName>
    <definedName name="X_STO">Components!$E$14</definedName>
    <definedName name="X_TSS">'Calculated variables'!$E$16</definedName>
    <definedName name="X_VSS">'Calculated variables'!$E$15</definedName>
    <definedName name="Y_A">Parameters!$D$44</definedName>
    <definedName name="Y_H_NOX">Parameters!$D$41</definedName>
    <definedName name="Y_H_O2">Parameters!$D$40</definedName>
    <definedName name="Y_STO_NOX">Parameters!$D$43</definedName>
    <definedName name="Y_STO_O2">Parameters!$D$42</definedName>
    <definedName name="Δ_atm">systemcode_constants!$D$69</definedName>
    <definedName name="η_H2O">systemcode_constants!$D$48</definedName>
    <definedName name="η_NOX">Parameters!$D$20</definedName>
    <definedName name="κ__">systemcode_constants!$D$76</definedName>
    <definedName name="λ_H">systemcode_constants!$D$350</definedName>
    <definedName name="μ_A">Parameters!$D$31</definedName>
    <definedName name="μ_H">Parameters!$D$19</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9" i="5" l="1"/>
  <c r="E38" i="5"/>
  <c r="E37" i="5"/>
  <c r="E36" i="5"/>
  <c r="R28" i="1" s="1"/>
  <c r="E35" i="5"/>
  <c r="E34" i="5"/>
  <c r="R37" i="1" s="1"/>
  <c r="E33" i="5"/>
  <c r="R38" i="1" s="1"/>
  <c r="E32" i="5"/>
  <c r="E31" i="5"/>
  <c r="E30" i="5"/>
  <c r="E29" i="5"/>
  <c r="R29" i="1" s="1"/>
  <c r="E28" i="5"/>
  <c r="R30" i="1" s="1"/>
  <c r="E18" i="5"/>
  <c r="E17" i="5"/>
  <c r="E16" i="5"/>
  <c r="E15" i="5"/>
  <c r="E14" i="5"/>
  <c r="E13" i="5"/>
  <c r="E12" i="5"/>
  <c r="E11" i="5"/>
  <c r="E10" i="5"/>
  <c r="E9" i="5"/>
  <c r="E8" i="5"/>
  <c r="E7" i="5"/>
  <c r="E6" i="5"/>
  <c r="E5" i="5"/>
  <c r="E4" i="5"/>
  <c r="W39" i="1"/>
  <c r="V39" i="1"/>
  <c r="U39" i="1"/>
  <c r="T39" i="1"/>
  <c r="W38" i="1"/>
  <c r="V38" i="1"/>
  <c r="U38" i="1"/>
  <c r="T38" i="1"/>
  <c r="W37" i="1"/>
  <c r="V37" i="1"/>
  <c r="U37" i="1"/>
  <c r="T37" i="1"/>
  <c r="W36" i="1"/>
  <c r="V36" i="1"/>
  <c r="U36" i="1"/>
  <c r="T36" i="1"/>
  <c r="W35" i="1"/>
  <c r="V35" i="1"/>
  <c r="U35" i="1"/>
  <c r="T35" i="1"/>
  <c r="W34" i="1"/>
  <c r="V34" i="1"/>
  <c r="U34" i="1"/>
  <c r="T34" i="1"/>
  <c r="W33" i="1"/>
  <c r="V33" i="1"/>
  <c r="U33" i="1"/>
  <c r="T33" i="1"/>
  <c r="W32" i="1"/>
  <c r="V32" i="1"/>
  <c r="U32" i="1"/>
  <c r="T32" i="1"/>
  <c r="W31" i="1"/>
  <c r="V31" i="1"/>
  <c r="U31" i="1"/>
  <c r="T31" i="1"/>
  <c r="W30" i="1"/>
  <c r="V30" i="1"/>
  <c r="U30" i="1"/>
  <c r="T30" i="1"/>
  <c r="W29" i="1"/>
  <c r="V29" i="1"/>
  <c r="U29" i="1"/>
  <c r="T29" i="1"/>
  <c r="W28" i="1"/>
  <c r="V28" i="1"/>
  <c r="U28" i="1"/>
  <c r="T28" i="1"/>
  <c r="P46" i="1"/>
  <c r="O46" i="1"/>
  <c r="N46" i="1"/>
  <c r="M46" i="1"/>
  <c r="L46" i="1"/>
  <c r="H45" i="1"/>
  <c r="G45" i="1"/>
  <c r="P44" i="1"/>
  <c r="N44" i="1"/>
  <c r="M44" i="1"/>
  <c r="L44" i="1"/>
  <c r="K44" i="1"/>
  <c r="F44" i="1"/>
  <c r="I43" i="1"/>
  <c r="H43" i="1"/>
  <c r="R39" i="1"/>
  <c r="R34" i="1"/>
  <c r="R32" i="1"/>
  <c r="Q39" i="1"/>
  <c r="Q38" i="1"/>
  <c r="Q37" i="1"/>
  <c r="Q36" i="1"/>
  <c r="Q35" i="1"/>
  <c r="Q34" i="1"/>
  <c r="Q33" i="1"/>
  <c r="Q32" i="1"/>
  <c r="Q31" i="1"/>
  <c r="Q30" i="1"/>
  <c r="Q29" i="1"/>
  <c r="Q28" i="1"/>
  <c r="P39" i="1"/>
  <c r="P38" i="1"/>
  <c r="P37" i="1"/>
  <c r="P36" i="1"/>
  <c r="P35" i="1"/>
  <c r="P34" i="1"/>
  <c r="P33" i="1"/>
  <c r="P32" i="1"/>
  <c r="P31" i="1"/>
  <c r="P30" i="1"/>
  <c r="P29" i="1"/>
  <c r="P28" i="1"/>
  <c r="O39" i="1"/>
  <c r="O38" i="1"/>
  <c r="O37" i="1"/>
  <c r="O36" i="1"/>
  <c r="O35" i="1"/>
  <c r="O34" i="1"/>
  <c r="O33" i="1"/>
  <c r="O32" i="1"/>
  <c r="O31" i="1"/>
  <c r="O30" i="1"/>
  <c r="O29" i="1"/>
  <c r="O28" i="1"/>
  <c r="N39" i="1"/>
  <c r="N38" i="1"/>
  <c r="N37" i="1"/>
  <c r="N36" i="1"/>
  <c r="N35" i="1"/>
  <c r="N34" i="1"/>
  <c r="N33" i="1"/>
  <c r="N32" i="1"/>
  <c r="N31" i="1"/>
  <c r="N30" i="1"/>
  <c r="N29" i="1"/>
  <c r="N28" i="1"/>
  <c r="M39" i="1"/>
  <c r="M38" i="1"/>
  <c r="M37" i="1"/>
  <c r="M36" i="1"/>
  <c r="M35" i="1"/>
  <c r="M34" i="1"/>
  <c r="M33" i="1"/>
  <c r="M32" i="1"/>
  <c r="M31" i="1"/>
  <c r="M30" i="1"/>
  <c r="M29" i="1"/>
  <c r="M28" i="1"/>
  <c r="L39" i="1"/>
  <c r="L38" i="1"/>
  <c r="L37" i="1"/>
  <c r="L36" i="1"/>
  <c r="L35" i="1"/>
  <c r="L34" i="1"/>
  <c r="L33" i="1"/>
  <c r="L32" i="1"/>
  <c r="L31" i="1"/>
  <c r="L30" i="1"/>
  <c r="L29" i="1"/>
  <c r="L28" i="1"/>
  <c r="K39" i="1"/>
  <c r="K38" i="1"/>
  <c r="K37" i="1"/>
  <c r="K36" i="1"/>
  <c r="K35" i="1"/>
  <c r="K34" i="1"/>
  <c r="K33" i="1"/>
  <c r="K32" i="1"/>
  <c r="K31" i="1"/>
  <c r="K30" i="1"/>
  <c r="K29" i="1"/>
  <c r="K28" i="1"/>
  <c r="J39" i="1"/>
  <c r="J38" i="1"/>
  <c r="J37" i="1"/>
  <c r="J36" i="1"/>
  <c r="J35" i="1"/>
  <c r="J34" i="1"/>
  <c r="J33" i="1"/>
  <c r="J32" i="1"/>
  <c r="J31" i="1"/>
  <c r="J30" i="1"/>
  <c r="J29" i="1"/>
  <c r="J28" i="1"/>
  <c r="I39" i="1"/>
  <c r="I38" i="1"/>
  <c r="I37" i="1"/>
  <c r="I36" i="1"/>
  <c r="I35" i="1"/>
  <c r="I34" i="1"/>
  <c r="I33" i="1"/>
  <c r="I32" i="1"/>
  <c r="I31" i="1"/>
  <c r="I30" i="1"/>
  <c r="I29" i="1"/>
  <c r="I28" i="1"/>
  <c r="H39" i="1"/>
  <c r="H38" i="1"/>
  <c r="H37" i="1"/>
  <c r="H36" i="1"/>
  <c r="H35" i="1"/>
  <c r="H34" i="1"/>
  <c r="H33" i="1"/>
  <c r="H32" i="1"/>
  <c r="H31" i="1"/>
  <c r="H30" i="1"/>
  <c r="H29" i="1"/>
  <c r="H28" i="1"/>
  <c r="G39" i="1"/>
  <c r="G38" i="1"/>
  <c r="G37" i="1"/>
  <c r="G36" i="1"/>
  <c r="G35" i="1"/>
  <c r="G34" i="1"/>
  <c r="G33" i="1"/>
  <c r="G32" i="1"/>
  <c r="G31" i="1"/>
  <c r="G30" i="1"/>
  <c r="G29" i="1"/>
  <c r="G28" i="1"/>
  <c r="F39" i="1"/>
  <c r="F38" i="1"/>
  <c r="F37" i="1"/>
  <c r="F36" i="1"/>
  <c r="F35" i="1"/>
  <c r="F34" i="1"/>
  <c r="F33" i="1"/>
  <c r="F32" i="1"/>
  <c r="F31" i="1"/>
  <c r="F30" i="1"/>
  <c r="F29" i="1"/>
  <c r="F28" i="1"/>
  <c r="E39" i="1"/>
  <c r="E38" i="1"/>
  <c r="E37" i="1"/>
  <c r="E36" i="1"/>
  <c r="E35" i="1"/>
  <c r="E34" i="1"/>
  <c r="E33" i="1"/>
  <c r="E32" i="1"/>
  <c r="E31" i="1"/>
  <c r="E30" i="1"/>
  <c r="E29" i="1"/>
  <c r="E28" i="1"/>
  <c r="R36" i="1" l="1"/>
  <c r="R31" i="1"/>
  <c r="E24" i="5" s="1"/>
  <c r="R33" i="1"/>
  <c r="R35" i="1"/>
  <c r="E23" i="5"/>
  <c r="L422" i="23"/>
  <c r="L421" i="23"/>
  <c r="L420" i="23"/>
  <c r="L419" i="23"/>
  <c r="L418" i="23"/>
  <c r="L417" i="23"/>
  <c r="L416" i="23"/>
  <c r="L415" i="23"/>
  <c r="L414" i="23"/>
  <c r="L413" i="23"/>
  <c r="L412" i="23"/>
  <c r="L411" i="23"/>
  <c r="L410" i="23"/>
  <c r="D333" i="23"/>
  <c r="D332" i="23"/>
  <c r="D331" i="23"/>
  <c r="D330" i="23"/>
  <c r="D329" i="23"/>
  <c r="D328" i="23"/>
  <c r="D327" i="23"/>
  <c r="D326" i="23"/>
  <c r="D325" i="23"/>
  <c r="D324" i="23"/>
  <c r="D323" i="23"/>
  <c r="D322" i="23"/>
  <c r="D321" i="23"/>
  <c r="D320" i="23"/>
  <c r="D316" i="23"/>
  <c r="D314" i="23"/>
  <c r="D310" i="23"/>
  <c r="D306" i="23"/>
  <c r="D305" i="23"/>
  <c r="D304" i="23"/>
  <c r="D303" i="23"/>
  <c r="D302" i="23"/>
  <c r="D301" i="23"/>
  <c r="D300" i="23"/>
  <c r="D299" i="23"/>
  <c r="D298" i="23"/>
  <c r="D297" i="23"/>
  <c r="D296" i="23"/>
  <c r="D295" i="23"/>
  <c r="D294" i="23"/>
  <c r="D293" i="23"/>
  <c r="D289" i="23"/>
  <c r="D288" i="23"/>
  <c r="D286" i="23"/>
  <c r="D284" i="23"/>
  <c r="D283" i="23"/>
  <c r="D282" i="23"/>
  <c r="D281" i="23"/>
  <c r="D277" i="23"/>
  <c r="D276" i="23"/>
  <c r="D275" i="23"/>
  <c r="D274" i="23"/>
  <c r="D273" i="23"/>
  <c r="D272" i="23"/>
  <c r="D271" i="23"/>
  <c r="D270" i="23"/>
  <c r="D269" i="23"/>
  <c r="D268" i="23"/>
  <c r="D267" i="23"/>
  <c r="D266" i="23"/>
  <c r="D265" i="23"/>
  <c r="D264" i="23"/>
  <c r="D263" i="23"/>
  <c r="D262" i="23"/>
  <c r="D261" i="23"/>
  <c r="D260" i="23"/>
  <c r="D259" i="23"/>
  <c r="D258" i="23"/>
  <c r="D257" i="23"/>
  <c r="D255" i="23"/>
  <c r="D254" i="23"/>
  <c r="D253" i="23"/>
  <c r="D251" i="23"/>
  <c r="D248" i="23"/>
  <c r="D247" i="23"/>
  <c r="D246" i="23"/>
  <c r="D245" i="23"/>
  <c r="D244" i="23"/>
  <c r="D221" i="23" s="1"/>
  <c r="D243" i="23"/>
  <c r="D242" i="23"/>
  <c r="D241" i="23"/>
  <c r="D256" i="23" s="1"/>
  <c r="D240" i="23"/>
  <c r="D239" i="23"/>
  <c r="D238" i="23"/>
  <c r="D237" i="23"/>
  <c r="D236" i="23"/>
  <c r="D235" i="23"/>
  <c r="D234" i="23"/>
  <c r="D233" i="23"/>
  <c r="D232" i="23"/>
  <c r="D231" i="23"/>
  <c r="D230" i="23"/>
  <c r="D229" i="23"/>
  <c r="D228" i="23"/>
  <c r="D227" i="23"/>
  <c r="D226" i="23"/>
  <c r="D225" i="23"/>
  <c r="D250" i="23" s="1"/>
  <c r="D220" i="23"/>
  <c r="D219" i="23"/>
  <c r="D218" i="23"/>
  <c r="D217" i="23"/>
  <c r="D216" i="23"/>
  <c r="D215" i="23"/>
  <c r="D214" i="23"/>
  <c r="D213" i="23"/>
  <c r="D75" i="23"/>
  <c r="D48" i="23"/>
  <c r="D33" i="23"/>
  <c r="E22" i="5" l="1"/>
  <c r="D252" i="23"/>
  <c r="D249" i="23"/>
</calcChain>
</file>

<file path=xl/comments1.xml><?xml version="1.0" encoding="utf-8"?>
<comments xmlns="http://schemas.openxmlformats.org/spreadsheetml/2006/main">
  <authors>
    <author>Szerző</author>
  </authors>
  <commentList>
    <comment ref="D17" authorId="0" shapeId="0">
      <text>
        <r>
          <rPr>
            <sz val="9"/>
            <color indexed="81"/>
            <rFont val="Tahoma"/>
            <family val="2"/>
          </rPr>
          <t>COD, N, P, O, H, Charge, etc)</t>
        </r>
      </text>
    </comment>
    <comment ref="D42" authorId="0" shapeId="0">
      <text>
        <r>
          <rPr>
            <sz val="9"/>
            <color indexed="81"/>
            <rFont val="Tahoma"/>
            <family val="2"/>
          </rPr>
          <t>COD, N, P, O, H, Charge, etc)</t>
        </r>
      </text>
    </comment>
  </commentList>
</comments>
</file>

<file path=xl/sharedStrings.xml><?xml version="1.0" encoding="utf-8"?>
<sst xmlns="http://schemas.openxmlformats.org/spreadsheetml/2006/main" count="2937" uniqueCount="1652">
  <si>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</si>
  <si>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</si>
  <si>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</si>
  <si>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</si>
  <si>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</si>
  <si>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</si>
  <si>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</si>
  <si>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</si>
  <si>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</si>
  <si>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</si>
  <si>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</si>
  <si>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</si>
  <si>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</si>
  <si>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</si>
  <si>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</si>
  <si>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</si>
  <si>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</si>
  <si>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</si>
  <si>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</si>
  <si>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</si>
  <si>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</si>
  <si>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</si>
  <si>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</si>
  <si>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</si>
  <si>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</si>
  <si>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</si>
  <si>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</si>
  <si>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</si>
  <si>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</si>
  <si>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</si>
  <si>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</si>
  <si>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</si>
  <si>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</si>
  <si>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</si>
  <si>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</si>
  <si>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</si>
  <si>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</si>
  <si>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</si>
  <si>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</si>
  <si>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</si>
  <si>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</si>
  <si>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</si>
  <si>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</si>
  <si>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</si>
  <si>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</si>
  <si>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</si>
  <si>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</si>
  <si>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</si>
  <si>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</si>
  <si>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</si>
  <si>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</si>
  <si>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</si>
  <si>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</si>
  <si>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</si>
  <si>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</si>
  <si>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</si>
  <si>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</si>
  <si>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</si>
  <si>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</si>
  <si>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</si>
  <si>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</si>
  <si>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</si>
  <si>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</si>
  <si>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</si>
  <si>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</si>
  <si>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</si>
  <si>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</si>
  <si>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</si>
  <si>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</si>
  <si>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</si>
  <si>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</si>
  <si>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</si>
  <si>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</si>
  <si>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</si>
  <si>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</si>
  <si>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</si>
  <si>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</si>
  <si>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</si>
  <si>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</si>
  <si>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</si>
  <si>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</si>
  <si>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</si>
  <si>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</si>
  <si>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</si>
  <si>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</si>
  <si>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</si>
  <si>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</si>
  <si>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</si>
  <si>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</si>
  <si>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</si>
  <si>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</si>
  <si>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</si>
  <si>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</si>
  <si>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</si>
  <si>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</si>
  <si>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</si>
  <si>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</si>
  <si>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</si>
  <si>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</si>
  <si>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</si>
  <si>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</si>
  <si>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</si>
  <si>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</si>
  <si>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</si>
  <si>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</si>
  <si>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</si>
  <si>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</si>
  <si>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</si>
  <si>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</si>
  <si>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</si>
  <si>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</si>
  <si>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</si>
  <si>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</si>
  <si>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</si>
  <si>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</si>
  <si>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</si>
  <si>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</si>
  <si>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</si>
  <si>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</si>
  <si>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</si>
  <si>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</si>
  <si>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</si>
  <si>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</si>
  <si>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</si>
  <si>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</si>
  <si>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</si>
  <si>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</si>
  <si>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</si>
  <si>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</si>
  <si>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</si>
  <si>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</si>
  <si>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</si>
  <si>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</si>
  <si>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</si>
  <si>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</si>
  <si>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</si>
  <si>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</si>
  <si>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</si>
  <si>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</si>
  <si>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</si>
  <si>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</si>
  <si>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</si>
  <si>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</si>
  <si>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</si>
  <si>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</si>
  <si>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</si>
  <si>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</si>
  <si>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</si>
  <si>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</si>
  <si>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</si>
  <si>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</si>
  <si>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</si>
  <si>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</si>
  <si>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</si>
  <si>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</si>
  <si>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</si>
  <si>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</si>
  <si>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</si>
  <si>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</si>
  <si>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</si>
  <si>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</si>
  <si>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</si>
  <si>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</si>
  <si>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</si>
  <si>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</si>
  <si>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</si>
  <si>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</si>
  <si>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</si>
  <si>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</si>
  <si>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</si>
  <si>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</si>
  <si>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</si>
  <si>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</si>
  <si>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</si>
  <si>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</si>
  <si>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</si>
  <si>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</si>
  <si>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</si>
  <si>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</si>
  <si>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</si>
  <si>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</si>
  <si>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</si>
  <si>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</si>
  <si>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</si>
  <si>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</si>
  <si>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</si>
  <si>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</si>
  <si>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</si>
  <si>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</si>
  <si>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</si>
  <si>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</si>
  <si>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</si>
  <si>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</si>
  <si>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</si>
  <si>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</si>
  <si>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</si>
  <si>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</si>
  <si>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</si>
  <si>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</si>
  <si>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</si>
  <si>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</si>
  <si>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</si>
  <si>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</si>
  <si>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</si>
  <si>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</si>
  <si>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</si>
  <si>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</si>
  <si>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</si>
  <si>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</si>
  <si>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</si>
  <si>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</si>
  <si>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</si>
  <si>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ASM3</t>
  </si>
  <si>
    <t>Maximum specific hydrolysis rate</t>
  </si>
  <si>
    <t>-</t>
  </si>
  <si>
    <r>
      <t>f</t>
    </r>
    <r>
      <rPr>
        <vertAlign val="subscript"/>
        <sz val="12"/>
        <rFont val="Arial"/>
        <family val="2"/>
      </rPr>
      <t>SI</t>
    </r>
  </si>
  <si>
    <t>Fraction of inert COD generated in hydrolysis</t>
  </si>
  <si>
    <r>
      <t>Y</t>
    </r>
    <r>
      <rPr>
        <vertAlign val="subscript"/>
        <sz val="12"/>
        <rFont val="Arial"/>
        <family val="2"/>
      </rPr>
      <t>STO,O2</t>
    </r>
  </si>
  <si>
    <r>
      <t>Y</t>
    </r>
    <r>
      <rPr>
        <vertAlign val="subscript"/>
        <sz val="12"/>
        <rFont val="Arial"/>
        <family val="2"/>
      </rPr>
      <t>STO,NOX</t>
    </r>
  </si>
  <si>
    <r>
      <t>f</t>
    </r>
    <r>
      <rPr>
        <vertAlign val="subscript"/>
        <sz val="12"/>
        <rFont val="Arial"/>
        <family val="2"/>
      </rPr>
      <t>XI</t>
    </r>
  </si>
  <si>
    <r>
      <t>i</t>
    </r>
    <r>
      <rPr>
        <vertAlign val="subscript"/>
        <sz val="12"/>
        <rFont val="Arial"/>
        <family val="2"/>
      </rPr>
      <t>N,SS</t>
    </r>
  </si>
  <si>
    <r>
      <t>i</t>
    </r>
    <r>
      <rPr>
        <vertAlign val="subscript"/>
        <sz val="12"/>
        <rFont val="Arial"/>
        <family val="2"/>
      </rPr>
      <t>N,SI</t>
    </r>
  </si>
  <si>
    <r>
      <t>i</t>
    </r>
    <r>
      <rPr>
        <vertAlign val="subscript"/>
        <sz val="12"/>
        <rFont val="Arial"/>
        <family val="2"/>
      </rPr>
      <t>N,XI</t>
    </r>
  </si>
  <si>
    <r>
      <t>i</t>
    </r>
    <r>
      <rPr>
        <vertAlign val="subscript"/>
        <sz val="12"/>
        <rFont val="Arial"/>
        <family val="2"/>
      </rPr>
      <t>N,XS</t>
    </r>
  </si>
  <si>
    <r>
      <t>i</t>
    </r>
    <r>
      <rPr>
        <vertAlign val="subscript"/>
        <sz val="12"/>
        <rFont val="Arial"/>
        <family val="2"/>
      </rPr>
      <t>N,BM</t>
    </r>
  </si>
  <si>
    <r>
      <t>i</t>
    </r>
    <r>
      <rPr>
        <vertAlign val="subscript"/>
        <sz val="12"/>
        <rFont val="Arial"/>
        <family val="2"/>
      </rPr>
      <t>SS,XI</t>
    </r>
  </si>
  <si>
    <r>
      <t>i</t>
    </r>
    <r>
      <rPr>
        <vertAlign val="subscript"/>
        <sz val="12"/>
        <rFont val="Arial"/>
        <family val="2"/>
      </rPr>
      <t>SS,XS</t>
    </r>
  </si>
  <si>
    <r>
      <t>i</t>
    </r>
    <r>
      <rPr>
        <vertAlign val="subscript"/>
        <sz val="12"/>
        <rFont val="Arial"/>
        <family val="2"/>
      </rPr>
      <t>SS,BM</t>
    </r>
  </si>
  <si>
    <t>Conversion factor biomass into TSS</t>
  </si>
  <si>
    <r>
      <t>i</t>
    </r>
    <r>
      <rPr>
        <vertAlign val="subscript"/>
        <sz val="12"/>
        <rFont val="Arial"/>
        <family val="2"/>
      </rPr>
      <t>SS,STO</t>
    </r>
  </si>
  <si>
    <r>
      <t>i</t>
    </r>
    <r>
      <rPr>
        <vertAlign val="subscript"/>
        <sz val="12"/>
        <rFont val="Arial"/>
        <family val="2"/>
      </rPr>
      <t>COD_NO3</t>
    </r>
  </si>
  <si>
    <r>
      <t>i</t>
    </r>
    <r>
      <rPr>
        <vertAlign val="subscript"/>
        <sz val="12"/>
        <rFont val="Arial"/>
        <family val="2"/>
      </rPr>
      <t>COD_N2</t>
    </r>
  </si>
  <si>
    <r>
      <t>i</t>
    </r>
    <r>
      <rPr>
        <vertAlign val="subscript"/>
        <sz val="12"/>
        <rFont val="Arial"/>
        <family val="2"/>
      </rPr>
      <t>Charge_SNHx</t>
    </r>
  </si>
  <si>
    <r>
      <t>i</t>
    </r>
    <r>
      <rPr>
        <vertAlign val="subscript"/>
        <sz val="12"/>
        <rFont val="Arial"/>
        <family val="2"/>
      </rPr>
      <t>Charge_SNOx</t>
    </r>
  </si>
  <si>
    <t>Particulate COD to VSS ratio</t>
  </si>
  <si>
    <r>
      <t>S</t>
    </r>
    <r>
      <rPr>
        <b/>
        <vertAlign val="subscript"/>
        <sz val="12"/>
        <rFont val="Arial"/>
        <family val="2"/>
      </rPr>
      <t>O2</t>
    </r>
  </si>
  <si>
    <r>
      <t>S</t>
    </r>
    <r>
      <rPr>
        <b/>
        <vertAlign val="subscript"/>
        <sz val="12"/>
        <rFont val="Arial"/>
        <family val="2"/>
      </rPr>
      <t>S</t>
    </r>
  </si>
  <si>
    <r>
      <t>S</t>
    </r>
    <r>
      <rPr>
        <b/>
        <vertAlign val="subscript"/>
        <sz val="12"/>
        <rFont val="Arial"/>
        <family val="2"/>
      </rPr>
      <t>NH4</t>
    </r>
  </si>
  <si>
    <r>
      <t>S</t>
    </r>
    <r>
      <rPr>
        <b/>
        <vertAlign val="subscript"/>
        <sz val="12"/>
        <rFont val="Arial"/>
        <family val="2"/>
      </rPr>
      <t>NOX</t>
    </r>
  </si>
  <si>
    <r>
      <t>S</t>
    </r>
    <r>
      <rPr>
        <b/>
        <vertAlign val="subscript"/>
        <sz val="12"/>
        <rFont val="Arial"/>
        <family val="2"/>
      </rPr>
      <t>N2</t>
    </r>
  </si>
  <si>
    <r>
      <t>S</t>
    </r>
    <r>
      <rPr>
        <b/>
        <vertAlign val="subscript"/>
        <sz val="12"/>
        <rFont val="Arial"/>
        <family val="2"/>
      </rPr>
      <t>ALK</t>
    </r>
  </si>
  <si>
    <r>
      <t>S</t>
    </r>
    <r>
      <rPr>
        <b/>
        <vertAlign val="subscript"/>
        <sz val="12"/>
        <rFont val="Arial"/>
        <family val="2"/>
      </rPr>
      <t>I</t>
    </r>
  </si>
  <si>
    <r>
      <t>X</t>
    </r>
    <r>
      <rPr>
        <b/>
        <vertAlign val="subscript"/>
        <sz val="12"/>
        <rFont val="Arial"/>
        <family val="2"/>
      </rPr>
      <t>I</t>
    </r>
  </si>
  <si>
    <r>
      <t>X</t>
    </r>
    <r>
      <rPr>
        <b/>
        <vertAlign val="subscript"/>
        <sz val="12"/>
        <rFont val="Arial"/>
        <family val="2"/>
      </rPr>
      <t>S</t>
    </r>
  </si>
  <si>
    <r>
      <t>X</t>
    </r>
    <r>
      <rPr>
        <b/>
        <vertAlign val="subscript"/>
        <sz val="12"/>
        <rFont val="Arial"/>
        <family val="2"/>
      </rPr>
      <t>H</t>
    </r>
  </si>
  <si>
    <r>
      <t>X</t>
    </r>
    <r>
      <rPr>
        <b/>
        <vertAlign val="subscript"/>
        <sz val="12"/>
        <rFont val="Arial"/>
        <family val="2"/>
      </rPr>
      <t>STO</t>
    </r>
  </si>
  <si>
    <r>
      <t>X</t>
    </r>
    <r>
      <rPr>
        <b/>
        <vertAlign val="subscript"/>
        <sz val="12"/>
        <rFont val="Arial"/>
        <family val="2"/>
      </rPr>
      <t>A</t>
    </r>
  </si>
  <si>
    <r>
      <t>X</t>
    </r>
    <r>
      <rPr>
        <b/>
        <vertAlign val="subscript"/>
        <sz val="12"/>
        <rFont val="Arial"/>
        <family val="2"/>
      </rPr>
      <t>SS</t>
    </r>
  </si>
  <si>
    <t>r1</t>
  </si>
  <si>
    <t>Hydrolysis</t>
  </si>
  <si>
    <r>
      <t>1-</t>
    </r>
    <r>
      <rPr>
        <i/>
        <sz val="12"/>
        <rFont val="Arial"/>
        <family val="2"/>
      </rPr>
      <t>f</t>
    </r>
    <r>
      <rPr>
        <vertAlign val="subscript"/>
        <sz val="12"/>
        <rFont val="Arial"/>
        <family val="2"/>
      </rPr>
      <t>SI</t>
    </r>
  </si>
  <si>
    <r>
      <t>-(1-</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N,SS</t>
    </r>
    <r>
      <rPr>
        <sz val="12"/>
        <rFont val="Arial"/>
        <family val="2"/>
      </rPr>
      <t>-</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N,SI</t>
    </r>
    <r>
      <rPr>
        <sz val="12"/>
        <rFont val="Arial"/>
        <family val="2"/>
      </rPr>
      <t>+</t>
    </r>
    <r>
      <rPr>
        <i/>
        <sz val="12"/>
        <rFont val="Arial"/>
        <family val="2"/>
      </rPr>
      <t>i</t>
    </r>
    <r>
      <rPr>
        <vertAlign val="subscript"/>
        <sz val="12"/>
        <rFont val="Arial"/>
        <family val="2"/>
      </rPr>
      <t>N,XS</t>
    </r>
  </si>
  <si>
    <r>
      <t>v</t>
    </r>
    <r>
      <rPr>
        <vertAlign val="subscript"/>
        <sz val="12"/>
        <rFont val="Arial"/>
        <family val="2"/>
      </rPr>
      <t>1_SNH4</t>
    </r>
    <r>
      <rPr>
        <sz val="12"/>
        <rFont val="Arial"/>
        <family val="2"/>
      </rPr>
      <t>*</t>
    </r>
    <r>
      <rPr>
        <i/>
        <sz val="12"/>
        <rFont val="Arial"/>
        <family val="2"/>
      </rPr>
      <t>i</t>
    </r>
    <r>
      <rPr>
        <vertAlign val="subscript"/>
        <sz val="12"/>
        <rFont val="Arial"/>
        <family val="2"/>
      </rPr>
      <t>Charge_SNHx</t>
    </r>
  </si>
  <si>
    <r>
      <t>-</t>
    </r>
    <r>
      <rPr>
        <i/>
        <sz val="12"/>
        <rFont val="Arial"/>
        <family val="2"/>
      </rPr>
      <t>i</t>
    </r>
    <r>
      <rPr>
        <vertAlign val="subscript"/>
        <sz val="12"/>
        <rFont val="Arial"/>
        <family val="2"/>
      </rPr>
      <t>SS,XS</t>
    </r>
  </si>
  <si>
    <t>r2</t>
  </si>
  <si>
    <r>
      <t>Aerobic storage of X</t>
    </r>
    <r>
      <rPr>
        <b/>
        <vertAlign val="subscript"/>
        <sz val="11"/>
        <rFont val="Arial"/>
        <family val="2"/>
      </rPr>
      <t>STO</t>
    </r>
  </si>
  <si>
    <r>
      <t>-(1-</t>
    </r>
    <r>
      <rPr>
        <i/>
        <sz val="12"/>
        <rFont val="Arial"/>
        <family val="2"/>
      </rPr>
      <t>Y</t>
    </r>
    <r>
      <rPr>
        <vertAlign val="subscript"/>
        <sz val="12"/>
        <rFont val="Arial"/>
        <family val="2"/>
      </rPr>
      <t>STO,O2</t>
    </r>
    <r>
      <rPr>
        <sz val="12"/>
        <rFont val="Arial"/>
        <family val="2"/>
      </rPr>
      <t>)</t>
    </r>
  </si>
  <si>
    <r>
      <t>v</t>
    </r>
    <r>
      <rPr>
        <vertAlign val="subscript"/>
        <sz val="12"/>
        <rFont val="Arial"/>
        <family val="2"/>
      </rPr>
      <t>2_SNH4</t>
    </r>
    <r>
      <rPr>
        <sz val="12"/>
        <rFont val="Arial"/>
        <family val="2"/>
      </rPr>
      <t>*</t>
    </r>
    <r>
      <rPr>
        <i/>
        <sz val="12"/>
        <rFont val="Arial"/>
        <family val="2"/>
      </rPr>
      <t>i</t>
    </r>
    <r>
      <rPr>
        <vertAlign val="subscript"/>
        <sz val="12"/>
        <rFont val="Arial"/>
        <family val="2"/>
      </rPr>
      <t>Charge_SNHx</t>
    </r>
  </si>
  <si>
    <r>
      <t>Y</t>
    </r>
    <r>
      <rPr>
        <vertAlign val="subscript"/>
        <sz val="12"/>
        <rFont val="Arial"/>
        <family val="2"/>
      </rPr>
      <t>STO,O2</t>
    </r>
    <r>
      <rPr>
        <sz val="12"/>
        <rFont val="Arial"/>
        <family val="2"/>
      </rPr>
      <t>*</t>
    </r>
    <r>
      <rPr>
        <i/>
        <sz val="12"/>
        <rFont val="Arial"/>
        <family val="2"/>
      </rPr>
      <t>i</t>
    </r>
    <r>
      <rPr>
        <vertAlign val="subscript"/>
        <sz val="12"/>
        <rFont val="Arial"/>
        <family val="2"/>
      </rPr>
      <t>SS,STO</t>
    </r>
  </si>
  <si>
    <t>r3</t>
  </si>
  <si>
    <r>
      <t>Anoxic storage of X</t>
    </r>
    <r>
      <rPr>
        <b/>
        <vertAlign val="subscript"/>
        <sz val="11"/>
        <rFont val="Arial"/>
        <family val="2"/>
      </rPr>
      <t>STO</t>
    </r>
  </si>
  <si>
    <r>
      <t>v</t>
    </r>
    <r>
      <rPr>
        <vertAlign val="subscript"/>
        <sz val="12"/>
        <rFont val="Arial"/>
        <family val="2"/>
      </rPr>
      <t>3_SNH4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3_SNOX</t>
    </r>
    <r>
      <rPr>
        <sz val="12"/>
        <rFont val="Arial"/>
        <family val="2"/>
      </rPr>
      <t>*</t>
    </r>
    <r>
      <rPr>
        <i/>
        <sz val="12"/>
        <rFont val="Arial"/>
        <family val="2"/>
      </rPr>
      <t>i</t>
    </r>
    <r>
      <rPr>
        <vertAlign val="subscript"/>
        <sz val="12"/>
        <rFont val="Arial"/>
        <family val="2"/>
      </rPr>
      <t>Charge_SNOx</t>
    </r>
  </si>
  <si>
    <r>
      <t>Y</t>
    </r>
    <r>
      <rPr>
        <vertAlign val="subscript"/>
        <sz val="12"/>
        <rFont val="Arial"/>
        <family val="2"/>
      </rPr>
      <t>STO,NOX</t>
    </r>
    <r>
      <rPr>
        <sz val="12"/>
        <rFont val="Arial"/>
        <family val="2"/>
      </rPr>
      <t>*</t>
    </r>
    <r>
      <rPr>
        <i/>
        <sz val="12"/>
        <rFont val="Arial"/>
        <family val="2"/>
      </rPr>
      <t>i</t>
    </r>
    <r>
      <rPr>
        <vertAlign val="subscript"/>
        <sz val="12"/>
        <rFont val="Arial"/>
        <family val="2"/>
      </rPr>
      <t>SS,STO</t>
    </r>
  </si>
  <si>
    <t>r4</t>
  </si>
  <si>
    <r>
      <t>Aerobic growth of X</t>
    </r>
    <r>
      <rPr>
        <b/>
        <vertAlign val="subscript"/>
        <sz val="11"/>
        <rFont val="Arial"/>
        <family val="2"/>
      </rPr>
      <t>H</t>
    </r>
  </si>
  <si>
    <r>
      <t>-(1-</t>
    </r>
    <r>
      <rPr>
        <i/>
        <sz val="12"/>
        <rFont val="Arial"/>
        <family val="2"/>
      </rPr>
      <t>Y</t>
    </r>
    <r>
      <rPr>
        <vertAlign val="subscript"/>
        <sz val="12"/>
        <rFont val="Arial"/>
        <family val="2"/>
      </rPr>
      <t>H,O2</t>
    </r>
    <r>
      <rPr>
        <sz val="12"/>
        <rFont val="Arial"/>
        <family val="2"/>
      </rPr>
      <t>)/</t>
    </r>
    <r>
      <rPr>
        <i/>
        <sz val="12"/>
        <rFont val="Arial"/>
        <family val="2"/>
      </rPr>
      <t>Y</t>
    </r>
    <r>
      <rPr>
        <vertAlign val="subscript"/>
        <sz val="12"/>
        <rFont val="Arial"/>
        <family val="2"/>
      </rPr>
      <t>H,O2</t>
    </r>
  </si>
  <si>
    <r>
      <t>-</t>
    </r>
    <r>
      <rPr>
        <i/>
        <sz val="12"/>
        <rFont val="Arial"/>
        <family val="2"/>
      </rPr>
      <t>i</t>
    </r>
    <r>
      <rPr>
        <vertAlign val="subscript"/>
        <sz val="12"/>
        <rFont val="Arial"/>
        <family val="2"/>
      </rPr>
      <t>N,BM</t>
    </r>
  </si>
  <si>
    <r>
      <t>v</t>
    </r>
    <r>
      <rPr>
        <vertAlign val="subscript"/>
        <sz val="12"/>
        <rFont val="Arial"/>
        <family val="2"/>
      </rPr>
      <t>4_SNH4</t>
    </r>
    <r>
      <rPr>
        <sz val="12"/>
        <rFont val="Arial"/>
        <family val="2"/>
      </rPr>
      <t>*</t>
    </r>
    <r>
      <rPr>
        <i/>
        <sz val="12"/>
        <rFont val="Arial"/>
        <family val="2"/>
      </rPr>
      <t>i</t>
    </r>
    <r>
      <rPr>
        <vertAlign val="subscript"/>
        <sz val="12"/>
        <rFont val="Arial"/>
        <family val="2"/>
      </rPr>
      <t>Charge_SNHx</t>
    </r>
  </si>
  <si>
    <r>
      <t>-1/</t>
    </r>
    <r>
      <rPr>
        <i/>
        <sz val="12"/>
        <rFont val="Arial"/>
        <family val="2"/>
      </rPr>
      <t>Y</t>
    </r>
    <r>
      <rPr>
        <vertAlign val="subscript"/>
        <sz val="12"/>
        <rFont val="Arial"/>
        <family val="2"/>
      </rPr>
      <t>H,O2</t>
    </r>
  </si>
  <si>
    <r>
      <t>(-1/</t>
    </r>
    <r>
      <rPr>
        <i/>
        <sz val="12"/>
        <rFont val="Arial"/>
        <family val="2"/>
      </rPr>
      <t>Y</t>
    </r>
    <r>
      <rPr>
        <vertAlign val="subscript"/>
        <sz val="12"/>
        <rFont val="Arial"/>
        <family val="2"/>
      </rPr>
      <t>H,O2</t>
    </r>
    <r>
      <rPr>
        <sz val="12"/>
        <rFont val="Arial"/>
        <family val="2"/>
      </rPr>
      <t>)*</t>
    </r>
    <r>
      <rPr>
        <i/>
        <sz val="12"/>
        <rFont val="Arial"/>
        <family val="2"/>
      </rPr>
      <t>i</t>
    </r>
    <r>
      <rPr>
        <vertAlign val="subscript"/>
        <sz val="12"/>
        <rFont val="Arial"/>
        <family val="2"/>
      </rPr>
      <t>SS,STO</t>
    </r>
    <r>
      <rPr>
        <sz val="12"/>
        <rFont val="Arial"/>
        <family val="2"/>
      </rPr>
      <t>+</t>
    </r>
    <r>
      <rPr>
        <i/>
        <sz val="12"/>
        <rFont val="Arial"/>
        <family val="2"/>
      </rPr>
      <t>i</t>
    </r>
    <r>
      <rPr>
        <vertAlign val="subscript"/>
        <sz val="12"/>
        <rFont val="Arial"/>
        <family val="2"/>
      </rPr>
      <t>SS,BM</t>
    </r>
  </si>
  <si>
    <t>r5</t>
  </si>
  <si>
    <r>
      <t>Anoxic growth of X</t>
    </r>
    <r>
      <rPr>
        <b/>
        <vertAlign val="subscript"/>
        <sz val="11"/>
        <rFont val="Arial"/>
        <family val="2"/>
      </rPr>
      <t xml:space="preserve">H </t>
    </r>
    <r>
      <rPr>
        <b/>
        <sz val="11"/>
        <rFont val="Arial"/>
        <family val="2"/>
      </rPr>
      <t>(denitrification)</t>
    </r>
  </si>
  <si>
    <r>
      <t>-(1-Y</t>
    </r>
    <r>
      <rPr>
        <vertAlign val="subscript"/>
        <sz val="12"/>
        <rFont val="Arial"/>
        <family val="2"/>
      </rPr>
      <t>H,NOX</t>
    </r>
    <r>
      <rPr>
        <sz val="12"/>
        <rFont val="Arial"/>
        <family val="2"/>
      </rPr>
      <t>)/Y</t>
    </r>
    <r>
      <rPr>
        <vertAlign val="subscript"/>
        <sz val="12"/>
        <rFont val="Arial"/>
        <family val="2"/>
      </rPr>
      <t>H,NOX</t>
    </r>
    <r>
      <rPr>
        <sz val="12"/>
        <rFont val="Arial"/>
        <family val="2"/>
      </rPr>
      <t>*(1/i</t>
    </r>
    <r>
      <rPr>
        <vertAlign val="subscript"/>
        <sz val="12"/>
        <rFont val="Arial"/>
        <family val="2"/>
      </rPr>
      <t>NO3,N2</t>
    </r>
    <r>
      <rPr>
        <sz val="12"/>
        <rFont val="Arial"/>
        <family val="2"/>
      </rPr>
      <t>)</t>
    </r>
  </si>
  <si>
    <r>
      <t>(1-Y</t>
    </r>
    <r>
      <rPr>
        <vertAlign val="subscript"/>
        <sz val="12"/>
        <rFont val="Arial"/>
        <family val="2"/>
      </rPr>
      <t>H,NOX</t>
    </r>
    <r>
      <rPr>
        <sz val="12"/>
        <rFont val="Arial"/>
        <family val="2"/>
      </rPr>
      <t>)/Y</t>
    </r>
    <r>
      <rPr>
        <vertAlign val="subscript"/>
        <sz val="12"/>
        <rFont val="Arial"/>
        <family val="2"/>
      </rPr>
      <t>H,NOX</t>
    </r>
    <r>
      <rPr>
        <sz val="12"/>
        <rFont val="Arial"/>
        <family val="2"/>
      </rPr>
      <t>*(1/i</t>
    </r>
    <r>
      <rPr>
        <vertAlign val="subscript"/>
        <sz val="12"/>
        <rFont val="Arial"/>
        <family val="2"/>
      </rPr>
      <t>NO3,N2</t>
    </r>
    <r>
      <rPr>
        <sz val="12"/>
        <rFont val="Arial"/>
        <family val="2"/>
      </rPr>
      <t>)</t>
    </r>
  </si>
  <si>
    <r>
      <t>v</t>
    </r>
    <r>
      <rPr>
        <vertAlign val="subscript"/>
        <sz val="12"/>
        <rFont val="Arial"/>
        <family val="2"/>
      </rPr>
      <t>5_SNH4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5_SNOX</t>
    </r>
    <r>
      <rPr>
        <sz val="12"/>
        <rFont val="Arial"/>
        <family val="2"/>
      </rPr>
      <t>*</t>
    </r>
    <r>
      <rPr>
        <i/>
        <sz val="12"/>
        <rFont val="Arial"/>
        <family val="2"/>
      </rPr>
      <t>i</t>
    </r>
    <r>
      <rPr>
        <vertAlign val="subscript"/>
        <sz val="12"/>
        <rFont val="Arial"/>
        <family val="2"/>
      </rPr>
      <t>Charge_SNOx</t>
    </r>
  </si>
  <si>
    <r>
      <t>-1/</t>
    </r>
    <r>
      <rPr>
        <i/>
        <sz val="12"/>
        <rFont val="Arial"/>
        <family val="2"/>
      </rPr>
      <t>Y</t>
    </r>
    <r>
      <rPr>
        <vertAlign val="subscript"/>
        <sz val="12"/>
        <rFont val="Arial"/>
        <family val="2"/>
      </rPr>
      <t>H,NOX</t>
    </r>
  </si>
  <si>
    <r>
      <t>(-1/</t>
    </r>
    <r>
      <rPr>
        <i/>
        <sz val="12"/>
        <rFont val="Arial"/>
        <family val="2"/>
      </rPr>
      <t>Y</t>
    </r>
    <r>
      <rPr>
        <vertAlign val="subscript"/>
        <sz val="12"/>
        <rFont val="Arial"/>
        <family val="2"/>
      </rPr>
      <t>H,NOX</t>
    </r>
    <r>
      <rPr>
        <sz val="12"/>
        <rFont val="Arial"/>
        <family val="2"/>
      </rPr>
      <t>)*</t>
    </r>
    <r>
      <rPr>
        <i/>
        <sz val="12"/>
        <rFont val="Arial"/>
        <family val="2"/>
      </rPr>
      <t>i</t>
    </r>
    <r>
      <rPr>
        <vertAlign val="subscript"/>
        <sz val="12"/>
        <rFont val="Arial"/>
        <family val="2"/>
      </rPr>
      <t>SS,STO</t>
    </r>
    <r>
      <rPr>
        <sz val="12"/>
        <rFont val="Arial"/>
        <family val="2"/>
      </rPr>
      <t>+</t>
    </r>
    <r>
      <rPr>
        <i/>
        <sz val="12"/>
        <rFont val="Arial"/>
        <family val="2"/>
      </rPr>
      <t>i</t>
    </r>
    <r>
      <rPr>
        <vertAlign val="subscript"/>
        <sz val="12"/>
        <rFont val="Arial"/>
        <family val="2"/>
      </rPr>
      <t>SS,BM</t>
    </r>
  </si>
  <si>
    <t>r6</t>
  </si>
  <si>
    <r>
      <t>Aerobic endogenous respiration of X</t>
    </r>
    <r>
      <rPr>
        <b/>
        <vertAlign val="subscript"/>
        <sz val="11"/>
        <rFont val="Arial"/>
        <family val="2"/>
      </rPr>
      <t>H</t>
    </r>
  </si>
  <si>
    <r>
      <t>-(1-</t>
    </r>
    <r>
      <rPr>
        <i/>
        <sz val="12"/>
        <rFont val="Arial"/>
        <family val="2"/>
      </rPr>
      <t>f</t>
    </r>
    <r>
      <rPr>
        <vertAlign val="subscript"/>
        <sz val="12"/>
        <rFont val="Arial"/>
        <family val="2"/>
      </rPr>
      <t>XI</t>
    </r>
    <r>
      <rPr>
        <sz val="12"/>
        <rFont val="Arial"/>
        <family val="2"/>
      </rPr>
      <t>)</t>
    </r>
  </si>
  <si>
    <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N,XI</t>
    </r>
    <r>
      <rPr>
        <sz val="12"/>
        <rFont val="Arial"/>
        <family val="2"/>
      </rPr>
      <t>+</t>
    </r>
    <r>
      <rPr>
        <i/>
        <sz val="12"/>
        <rFont val="Arial"/>
        <family val="2"/>
      </rPr>
      <t>i</t>
    </r>
    <r>
      <rPr>
        <vertAlign val="subscript"/>
        <sz val="12"/>
        <rFont val="Arial"/>
        <family val="2"/>
      </rPr>
      <t>N,BM</t>
    </r>
  </si>
  <si>
    <r>
      <t>v</t>
    </r>
    <r>
      <rPr>
        <vertAlign val="subscript"/>
        <sz val="12"/>
        <rFont val="Arial"/>
        <family val="2"/>
      </rPr>
      <t>6_SNH4</t>
    </r>
    <r>
      <rPr>
        <sz val="12"/>
        <rFont val="Arial"/>
        <family val="2"/>
      </rPr>
      <t>*</t>
    </r>
    <r>
      <rPr>
        <i/>
        <sz val="12"/>
        <rFont val="Arial"/>
        <family val="2"/>
      </rPr>
      <t>i</t>
    </r>
    <r>
      <rPr>
        <vertAlign val="subscript"/>
        <sz val="12"/>
        <rFont val="Arial"/>
        <family val="2"/>
      </rPr>
      <t>Charge_SNHx</t>
    </r>
  </si>
  <si>
    <r>
      <t>-</t>
    </r>
    <r>
      <rPr>
        <i/>
        <sz val="12"/>
        <rFont val="Arial"/>
        <family val="2"/>
      </rPr>
      <t>i</t>
    </r>
    <r>
      <rPr>
        <vertAlign val="subscript"/>
        <sz val="12"/>
        <rFont val="Arial"/>
        <family val="2"/>
      </rPr>
      <t>SS,BM</t>
    </r>
    <r>
      <rPr>
        <sz val="12"/>
        <rFont val="Arial"/>
        <family val="2"/>
      </rP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SS,XI</t>
    </r>
  </si>
  <si>
    <t>r7</t>
  </si>
  <si>
    <r>
      <t>Anoxic endogenous respiration of X</t>
    </r>
    <r>
      <rPr>
        <b/>
        <vertAlign val="subscript"/>
        <sz val="11"/>
        <rFont val="Arial"/>
        <family val="2"/>
      </rPr>
      <t>H</t>
    </r>
  </si>
  <si>
    <r>
      <t>v</t>
    </r>
    <r>
      <rPr>
        <vertAlign val="subscript"/>
        <sz val="12"/>
        <rFont val="Arial"/>
        <family val="2"/>
      </rPr>
      <t>7_SNOX</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7_SNH4</t>
    </r>
    <r>
      <rPr>
        <sz val="12"/>
        <rFont val="Arial"/>
        <family val="2"/>
      </rPr>
      <t>*</t>
    </r>
    <r>
      <rPr>
        <i/>
        <sz val="12"/>
        <rFont val="Arial"/>
        <family val="2"/>
      </rPr>
      <t>i</t>
    </r>
    <r>
      <rPr>
        <vertAlign val="subscript"/>
        <sz val="12"/>
        <rFont val="Arial"/>
        <family val="2"/>
      </rPr>
      <t>Charge_SNHx</t>
    </r>
  </si>
  <si>
    <t>r8</t>
  </si>
  <si>
    <r>
      <t>Aerobic respiration of X</t>
    </r>
    <r>
      <rPr>
        <b/>
        <vertAlign val="subscript"/>
        <sz val="11"/>
        <rFont val="Arial"/>
        <family val="2"/>
      </rPr>
      <t>STO</t>
    </r>
  </si>
  <si>
    <t>-1</t>
  </si>
  <si>
    <r>
      <t>-</t>
    </r>
    <r>
      <rPr>
        <i/>
        <sz val="12"/>
        <rFont val="Arial"/>
        <family val="2"/>
      </rPr>
      <t>i</t>
    </r>
    <r>
      <rPr>
        <vertAlign val="subscript"/>
        <sz val="12"/>
        <rFont val="Arial"/>
        <family val="2"/>
      </rPr>
      <t>SS,STO</t>
    </r>
  </si>
  <si>
    <t>r9</t>
  </si>
  <si>
    <r>
      <t>Anoxic respiration of X</t>
    </r>
    <r>
      <rPr>
        <b/>
        <vertAlign val="subscript"/>
        <sz val="11"/>
        <rFont val="Arial"/>
        <family val="2"/>
      </rPr>
      <t>STO</t>
    </r>
  </si>
  <si>
    <r>
      <t>v</t>
    </r>
    <r>
      <rPr>
        <vertAlign val="subscript"/>
        <sz val="12"/>
        <rFont val="Arial"/>
        <family val="2"/>
      </rPr>
      <t>9_SNOX</t>
    </r>
    <r>
      <rPr>
        <sz val="12"/>
        <rFont val="Arial"/>
        <family val="2"/>
      </rPr>
      <t>*</t>
    </r>
    <r>
      <rPr>
        <i/>
        <sz val="12"/>
        <rFont val="Arial"/>
        <family val="2"/>
      </rPr>
      <t>i</t>
    </r>
    <r>
      <rPr>
        <vertAlign val="subscript"/>
        <sz val="12"/>
        <rFont val="Arial"/>
        <family val="2"/>
      </rPr>
      <t>Charge_SNOx</t>
    </r>
  </si>
  <si>
    <t>r10</t>
  </si>
  <si>
    <t>Growth of autotrophic nitrifying organisms</t>
  </si>
  <si>
    <r>
      <t>-(-</t>
    </r>
    <r>
      <rPr>
        <i/>
        <sz val="12"/>
        <rFont val="Arial"/>
        <family val="2"/>
      </rPr>
      <t>i</t>
    </r>
    <r>
      <rPr>
        <vertAlign val="subscript"/>
        <sz val="12"/>
        <rFont val="Arial"/>
        <family val="2"/>
      </rPr>
      <t>COD_NO3</t>
    </r>
    <r>
      <rPr>
        <sz val="12"/>
        <rFont val="Arial"/>
        <family val="2"/>
      </rPr>
      <t>-</t>
    </r>
    <r>
      <rPr>
        <i/>
        <sz val="12"/>
        <rFont val="Arial"/>
        <family val="2"/>
      </rPr>
      <t>Y</t>
    </r>
    <r>
      <rPr>
        <vertAlign val="subscript"/>
        <sz val="12"/>
        <rFont val="Arial"/>
        <family val="2"/>
      </rPr>
      <t>A</t>
    </r>
    <r>
      <rPr>
        <sz val="12"/>
        <rFont val="Arial"/>
        <family val="2"/>
      </rPr>
      <t>)/</t>
    </r>
    <r>
      <rPr>
        <i/>
        <sz val="12"/>
        <rFont val="Arial"/>
        <family val="2"/>
      </rPr>
      <t>Y</t>
    </r>
    <r>
      <rPr>
        <vertAlign val="subscript"/>
        <sz val="12"/>
        <rFont val="Arial"/>
        <family val="2"/>
      </rPr>
      <t>A</t>
    </r>
  </si>
  <si>
    <r>
      <t>-1/</t>
    </r>
    <r>
      <rPr>
        <i/>
        <sz val="12"/>
        <rFont val="Arial"/>
        <family val="2"/>
      </rPr>
      <t>Y</t>
    </r>
    <r>
      <rPr>
        <vertAlign val="subscript"/>
        <sz val="12"/>
        <rFont val="Arial"/>
        <family val="2"/>
      </rPr>
      <t>A</t>
    </r>
    <r>
      <rPr>
        <sz val="12"/>
        <rFont val="Arial"/>
        <family val="2"/>
      </rPr>
      <t>-</t>
    </r>
    <r>
      <rPr>
        <i/>
        <sz val="12"/>
        <rFont val="Arial"/>
        <family val="2"/>
      </rPr>
      <t>i</t>
    </r>
    <r>
      <rPr>
        <vertAlign val="subscript"/>
        <sz val="12"/>
        <rFont val="Arial"/>
        <family val="2"/>
      </rPr>
      <t>N,BM</t>
    </r>
  </si>
  <si>
    <r>
      <t>1/</t>
    </r>
    <r>
      <rPr>
        <i/>
        <sz val="12"/>
        <rFont val="Arial"/>
        <family val="2"/>
      </rPr>
      <t>Y</t>
    </r>
    <r>
      <rPr>
        <vertAlign val="subscript"/>
        <sz val="12"/>
        <rFont val="Arial"/>
        <family val="2"/>
      </rPr>
      <t>A</t>
    </r>
  </si>
  <si>
    <r>
      <t>v</t>
    </r>
    <r>
      <rPr>
        <vertAlign val="subscript"/>
        <sz val="12"/>
        <rFont val="Arial"/>
        <family val="2"/>
      </rPr>
      <t>10_SNH4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10_SNOX</t>
    </r>
    <r>
      <rPr>
        <sz val="12"/>
        <rFont val="Arial"/>
        <family val="2"/>
      </rPr>
      <t>*</t>
    </r>
    <r>
      <rPr>
        <i/>
        <sz val="12"/>
        <rFont val="Arial"/>
        <family val="2"/>
      </rPr>
      <t>i</t>
    </r>
    <r>
      <rPr>
        <vertAlign val="subscript"/>
        <sz val="12"/>
        <rFont val="Arial"/>
        <family val="2"/>
      </rPr>
      <t>Charge_SNOx</t>
    </r>
  </si>
  <si>
    <t>r11</t>
  </si>
  <si>
    <r>
      <t>Aerobic endogenous respiration of X</t>
    </r>
    <r>
      <rPr>
        <b/>
        <vertAlign val="subscript"/>
        <sz val="11"/>
        <rFont val="Arial"/>
        <family val="2"/>
      </rPr>
      <t>A</t>
    </r>
  </si>
  <si>
    <r>
      <t>v</t>
    </r>
    <r>
      <rPr>
        <vertAlign val="subscript"/>
        <sz val="12"/>
        <rFont val="Arial"/>
        <family val="2"/>
      </rPr>
      <t>11_SNH4</t>
    </r>
    <r>
      <rPr>
        <sz val="12"/>
        <rFont val="Arial"/>
        <family val="2"/>
      </rPr>
      <t>*</t>
    </r>
    <r>
      <rPr>
        <i/>
        <sz val="12"/>
        <rFont val="Arial"/>
        <family val="2"/>
      </rPr>
      <t>i</t>
    </r>
    <r>
      <rPr>
        <vertAlign val="subscript"/>
        <sz val="12"/>
        <rFont val="Arial"/>
        <family val="2"/>
      </rPr>
      <t>Charge_SNHx</t>
    </r>
  </si>
  <si>
    <t>r12</t>
  </si>
  <si>
    <r>
      <t>Anoxic endogenous respiration of X</t>
    </r>
    <r>
      <rPr>
        <b/>
        <vertAlign val="subscript"/>
        <sz val="11"/>
        <rFont val="Arial"/>
        <family val="2"/>
      </rPr>
      <t>A</t>
    </r>
  </si>
  <si>
    <r>
      <t>v</t>
    </r>
    <r>
      <rPr>
        <vertAlign val="subscript"/>
        <sz val="12"/>
        <rFont val="Arial"/>
        <family val="2"/>
      </rPr>
      <t>12_SNH4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12_SNOX</t>
    </r>
    <r>
      <rPr>
        <sz val="12"/>
        <rFont val="Arial"/>
        <family val="2"/>
      </rPr>
      <t>*</t>
    </r>
    <r>
      <rPr>
        <i/>
        <sz val="12"/>
        <rFont val="Arial"/>
        <family val="2"/>
      </rPr>
      <t>i</t>
    </r>
    <r>
      <rPr>
        <vertAlign val="subscript"/>
        <sz val="12"/>
        <rFont val="Arial"/>
        <family val="2"/>
      </rPr>
      <t>Charge_SNOx</t>
    </r>
  </si>
  <si>
    <t>N</t>
  </si>
  <si>
    <t>Total suspended solids (TSS)</t>
  </si>
  <si>
    <r>
      <t>Dissolved oxygen (O</t>
    </r>
    <r>
      <rPr>
        <vertAlign val="subscript"/>
        <sz val="11"/>
        <color rgb="FF000000"/>
        <rFont val="Calibri"/>
        <family val="2"/>
        <scheme val="minor"/>
      </rPr>
      <t>2</t>
    </r>
    <r>
      <rPr>
        <sz val="11"/>
        <color rgb="FF000000"/>
        <rFont val="Calibri"/>
        <family val="2"/>
        <charset val="238"/>
        <scheme val="minor"/>
      </rPr>
      <t>)</t>
    </r>
  </si>
  <si>
    <t>L</t>
  </si>
  <si>
    <t>S</t>
  </si>
  <si>
    <t>Soluble biodegradable organics</t>
  </si>
  <si>
    <t>Integrated</t>
  </si>
  <si>
    <r>
      <t>Ammonia (NH4</t>
    </r>
    <r>
      <rPr>
        <vertAlign val="superscript"/>
        <sz val="11"/>
        <color rgb="FF000000"/>
        <rFont val="Calibri"/>
        <family val="2"/>
        <scheme val="minor"/>
      </rPr>
      <t>+</t>
    </r>
    <r>
      <rPr>
        <sz val="11"/>
        <color rgb="FF000000"/>
        <rFont val="Calibri"/>
        <family val="2"/>
        <charset val="238"/>
        <scheme val="minor"/>
      </rPr>
      <t xml:space="preserve"> + NH3)</t>
    </r>
  </si>
  <si>
    <r>
      <t>Dissolved nitrogen (N</t>
    </r>
    <r>
      <rPr>
        <vertAlign val="subscript"/>
        <sz val="11"/>
        <color rgb="FF000000"/>
        <rFont val="Calibri"/>
        <family val="2"/>
        <scheme val="minor"/>
      </rPr>
      <t>2</t>
    </r>
    <r>
      <rPr>
        <sz val="11"/>
        <color rgb="FF000000"/>
        <rFont val="Calibri"/>
        <family val="2"/>
        <charset val="238"/>
        <scheme val="minor"/>
      </rPr>
      <t>)</t>
    </r>
  </si>
  <si>
    <t>Soluble undegradable organics</t>
  </si>
  <si>
    <t>X</t>
  </si>
  <si>
    <t>Particulate biodegradable organics</t>
  </si>
  <si>
    <t>Ordinary heterotrophic organisms (OHO)</t>
  </si>
  <si>
    <t>Storage compound in OHOs</t>
  </si>
  <si>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</si>
  <si>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t>Total suspended solids (TSS)</t>
  </si>
  <si>
    <t>Balances per processes</t>
  </si>
  <si>
    <t>OUR</t>
  </si>
  <si>
    <t>Reactive</t>
  </si>
  <si>
    <t>COD of particulates</t>
  </si>
  <si>
    <t>Volatile suspended solids (VSS)</t>
  </si>
  <si>
    <t>Half-saturation of oxygen</t>
  </si>
  <si>
    <t>Half-saturation of nitrate</t>
  </si>
  <si>
    <t>Half-saturation of alkalinity</t>
  </si>
  <si>
    <t>Conversion factor XSTO into TSS</t>
  </si>
  <si>
    <t>Conversion factor for NO3 reduction to N2</t>
  </si>
  <si>
    <t>Conversion factor for NO3 into COD</t>
  </si>
  <si>
    <t>Conversion factor for N2 into COD</t>
  </si>
  <si>
    <t>Conversion factor for NHx into charge</t>
  </si>
  <si>
    <t>Conversion factor for NO3 into charge</t>
  </si>
  <si>
    <r>
      <t>g COD.g VSS</t>
    </r>
    <r>
      <rPr>
        <vertAlign val="superscript"/>
        <sz val="11"/>
        <rFont val="Calibri"/>
        <family val="2"/>
        <scheme val="minor"/>
      </rPr>
      <t>-1</t>
    </r>
  </si>
  <si>
    <r>
      <t>k</t>
    </r>
    <r>
      <rPr>
        <vertAlign val="subscript"/>
        <sz val="11"/>
        <rFont val="Calibri"/>
        <family val="2"/>
        <scheme val="minor"/>
      </rPr>
      <t>H</t>
    </r>
  </si>
  <si>
    <r>
      <t>K</t>
    </r>
    <r>
      <rPr>
        <vertAlign val="subscript"/>
        <sz val="11"/>
        <rFont val="Calibri"/>
        <family val="2"/>
        <scheme val="minor"/>
      </rPr>
      <t>X</t>
    </r>
  </si>
  <si>
    <r>
      <rPr>
        <sz val="11"/>
        <rFont val="Calibri"/>
        <family val="2"/>
        <scheme val="minor"/>
      </rPr>
      <t>q</t>
    </r>
    <r>
      <rPr>
        <vertAlign val="subscript"/>
        <sz val="11"/>
        <rFont val="Calibri"/>
        <family val="2"/>
        <scheme val="minor"/>
      </rPr>
      <t>STO</t>
    </r>
  </si>
  <si>
    <r>
      <t>μ</t>
    </r>
    <r>
      <rPr>
        <vertAlign val="subscript"/>
        <sz val="11"/>
        <rFont val="Calibri"/>
        <family val="2"/>
        <scheme val="minor"/>
      </rPr>
      <t>H</t>
    </r>
  </si>
  <si>
    <r>
      <t>d</t>
    </r>
    <r>
      <rPr>
        <vertAlign val="superscript"/>
        <sz val="11"/>
        <rFont val="Calibri"/>
        <family val="2"/>
        <scheme val="minor"/>
      </rPr>
      <t>-1</t>
    </r>
  </si>
  <si>
    <r>
      <t>η</t>
    </r>
    <r>
      <rPr>
        <vertAlign val="subscript"/>
        <sz val="11"/>
        <rFont val="Calibri"/>
        <family val="2"/>
        <scheme val="minor"/>
      </rPr>
      <t>NOX</t>
    </r>
  </si>
  <si>
    <r>
      <t>K</t>
    </r>
    <r>
      <rPr>
        <vertAlign val="subscript"/>
        <sz val="11"/>
        <rFont val="Calibri"/>
        <family val="2"/>
        <scheme val="minor"/>
      </rPr>
      <t>S</t>
    </r>
  </si>
  <si>
    <r>
      <t>K</t>
    </r>
    <r>
      <rPr>
        <vertAlign val="subscript"/>
        <sz val="11"/>
        <rFont val="Calibri"/>
        <family val="2"/>
        <scheme val="minor"/>
      </rPr>
      <t>STO</t>
    </r>
  </si>
  <si>
    <r>
      <t>b</t>
    </r>
    <r>
      <rPr>
        <vertAlign val="subscript"/>
        <sz val="11"/>
        <rFont val="Calibri"/>
        <family val="2"/>
        <scheme val="minor"/>
      </rPr>
      <t>H,O2</t>
    </r>
  </si>
  <si>
    <r>
      <t>b</t>
    </r>
    <r>
      <rPr>
        <vertAlign val="subscript"/>
        <sz val="11"/>
        <rFont val="Calibri"/>
        <family val="2"/>
        <scheme val="minor"/>
      </rPr>
      <t>H,NOX</t>
    </r>
  </si>
  <si>
    <r>
      <t>b</t>
    </r>
    <r>
      <rPr>
        <vertAlign val="subscript"/>
        <sz val="11"/>
        <rFont val="Calibri"/>
        <family val="2"/>
        <scheme val="minor"/>
      </rPr>
      <t>STO,O2</t>
    </r>
  </si>
  <si>
    <r>
      <t>b</t>
    </r>
    <r>
      <rPr>
        <vertAlign val="subscript"/>
        <sz val="11"/>
        <rFont val="Calibri"/>
        <family val="2"/>
        <scheme val="minor"/>
      </rPr>
      <t>STO,NOX</t>
    </r>
  </si>
  <si>
    <r>
      <t>K</t>
    </r>
    <r>
      <rPr>
        <vertAlign val="subscript"/>
        <sz val="11"/>
        <rFont val="Calibri"/>
        <family val="2"/>
        <scheme val="minor"/>
      </rPr>
      <t>O2</t>
    </r>
  </si>
  <si>
    <r>
      <t>K</t>
    </r>
    <r>
      <rPr>
        <vertAlign val="subscript"/>
        <sz val="11"/>
        <rFont val="Calibri"/>
        <family val="2"/>
        <scheme val="minor"/>
      </rPr>
      <t>NOX</t>
    </r>
  </si>
  <si>
    <r>
      <t>K</t>
    </r>
    <r>
      <rPr>
        <vertAlign val="subscript"/>
        <sz val="11"/>
        <rFont val="Calibri"/>
        <family val="2"/>
        <scheme val="minor"/>
      </rPr>
      <t>NH4</t>
    </r>
  </si>
  <si>
    <r>
      <t>K</t>
    </r>
    <r>
      <rPr>
        <vertAlign val="subscript"/>
        <sz val="11"/>
        <rFont val="Calibri"/>
        <family val="2"/>
        <scheme val="minor"/>
      </rPr>
      <t>ALK</t>
    </r>
  </si>
  <si>
    <r>
      <t>kmol HCO</t>
    </r>
    <r>
      <rPr>
        <vertAlign val="subscript"/>
        <sz val="11"/>
        <rFont val="Calibri"/>
        <family val="2"/>
        <scheme val="minor"/>
      </rPr>
      <t>3</t>
    </r>
    <r>
      <rPr>
        <vertAlign val="superscript"/>
        <sz val="11"/>
        <rFont val="Calibri"/>
        <family val="2"/>
        <scheme val="minor"/>
      </rPr>
      <t>-</t>
    </r>
    <r>
      <rPr>
        <sz val="11"/>
        <rFont val="Calibri"/>
        <family val="2"/>
        <scheme val="minor"/>
      </rPr>
      <t>.m</t>
    </r>
    <r>
      <rPr>
        <vertAlign val="superscript"/>
        <sz val="11"/>
        <rFont val="Calibri"/>
        <family val="2"/>
        <scheme val="minor"/>
      </rPr>
      <t>-3</t>
    </r>
  </si>
  <si>
    <r>
      <t>μ</t>
    </r>
    <r>
      <rPr>
        <vertAlign val="subscript"/>
        <sz val="11"/>
        <rFont val="Calibri"/>
        <family val="2"/>
        <scheme val="minor"/>
      </rPr>
      <t>A</t>
    </r>
  </si>
  <si>
    <r>
      <t>b</t>
    </r>
    <r>
      <rPr>
        <vertAlign val="subscript"/>
        <sz val="11"/>
        <rFont val="Calibri"/>
        <family val="2"/>
        <scheme val="minor"/>
      </rPr>
      <t>A,O2</t>
    </r>
  </si>
  <si>
    <r>
      <t>b</t>
    </r>
    <r>
      <rPr>
        <vertAlign val="subscript"/>
        <sz val="11"/>
        <rFont val="Calibri"/>
        <family val="2"/>
        <scheme val="minor"/>
      </rPr>
      <t>A,NOX</t>
    </r>
  </si>
  <si>
    <r>
      <t>f</t>
    </r>
    <r>
      <rPr>
        <vertAlign val="subscript"/>
        <sz val="11"/>
        <rFont val="Calibri"/>
        <family val="2"/>
        <scheme val="minor"/>
      </rPr>
      <t>SI</t>
    </r>
  </si>
  <si>
    <r>
      <t>Y</t>
    </r>
    <r>
      <rPr>
        <vertAlign val="subscript"/>
        <sz val="11"/>
        <rFont val="Calibri"/>
        <family val="2"/>
        <scheme val="minor"/>
      </rPr>
      <t>H,O2</t>
    </r>
  </si>
  <si>
    <r>
      <t>Y</t>
    </r>
    <r>
      <rPr>
        <vertAlign val="subscript"/>
        <sz val="11"/>
        <rFont val="Calibri"/>
        <family val="2"/>
        <scheme val="minor"/>
      </rPr>
      <t>H,NOX</t>
    </r>
  </si>
  <si>
    <r>
      <t>Y</t>
    </r>
    <r>
      <rPr>
        <vertAlign val="subscript"/>
        <sz val="11"/>
        <rFont val="Calibri"/>
        <family val="2"/>
        <scheme val="minor"/>
      </rPr>
      <t>STO,O2</t>
    </r>
  </si>
  <si>
    <r>
      <t>Y</t>
    </r>
    <r>
      <rPr>
        <vertAlign val="subscript"/>
        <sz val="11"/>
        <rFont val="Calibri"/>
        <family val="2"/>
        <scheme val="minor"/>
      </rPr>
      <t>STO,NOX</t>
    </r>
  </si>
  <si>
    <r>
      <t>f</t>
    </r>
    <r>
      <rPr>
        <vertAlign val="subscript"/>
        <sz val="11"/>
        <rFont val="Calibri"/>
        <family val="2"/>
        <scheme val="minor"/>
      </rPr>
      <t>XI</t>
    </r>
  </si>
  <si>
    <r>
      <t>Y</t>
    </r>
    <r>
      <rPr>
        <vertAlign val="subscript"/>
        <sz val="11"/>
        <rFont val="Calibri"/>
        <family val="2"/>
        <scheme val="minor"/>
      </rPr>
      <t>A</t>
    </r>
  </si>
  <si>
    <r>
      <t>i</t>
    </r>
    <r>
      <rPr>
        <vertAlign val="subscript"/>
        <sz val="11"/>
        <rFont val="Calibri"/>
        <family val="2"/>
        <scheme val="minor"/>
      </rPr>
      <t>N,SS</t>
    </r>
  </si>
  <si>
    <r>
      <t>i</t>
    </r>
    <r>
      <rPr>
        <vertAlign val="subscript"/>
        <sz val="11"/>
        <rFont val="Calibri"/>
        <family val="2"/>
        <scheme val="minor"/>
      </rPr>
      <t>N,SI</t>
    </r>
  </si>
  <si>
    <r>
      <t>i</t>
    </r>
    <r>
      <rPr>
        <vertAlign val="subscript"/>
        <sz val="11"/>
        <rFont val="Calibri"/>
        <family val="2"/>
        <scheme val="minor"/>
      </rPr>
      <t>N,XI</t>
    </r>
  </si>
  <si>
    <r>
      <t>i</t>
    </r>
    <r>
      <rPr>
        <vertAlign val="subscript"/>
        <sz val="11"/>
        <rFont val="Calibri"/>
        <family val="2"/>
        <scheme val="minor"/>
      </rPr>
      <t>N,XS</t>
    </r>
  </si>
  <si>
    <r>
      <t>i</t>
    </r>
    <r>
      <rPr>
        <vertAlign val="subscript"/>
        <sz val="11"/>
        <rFont val="Calibri"/>
        <family val="2"/>
        <scheme val="minor"/>
      </rPr>
      <t>N,BM</t>
    </r>
  </si>
  <si>
    <r>
      <t>i</t>
    </r>
    <r>
      <rPr>
        <vertAlign val="subscript"/>
        <sz val="11"/>
        <rFont val="Calibri"/>
        <family val="2"/>
        <scheme val="minor"/>
      </rPr>
      <t>SS,XI</t>
    </r>
  </si>
  <si>
    <r>
      <t>i</t>
    </r>
    <r>
      <rPr>
        <vertAlign val="subscript"/>
        <sz val="11"/>
        <rFont val="Calibri"/>
        <family val="2"/>
        <scheme val="minor"/>
      </rPr>
      <t>SS,XS</t>
    </r>
  </si>
  <si>
    <r>
      <t>i</t>
    </r>
    <r>
      <rPr>
        <vertAlign val="subscript"/>
        <sz val="11"/>
        <rFont val="Calibri"/>
        <family val="2"/>
        <scheme val="minor"/>
      </rPr>
      <t>SS,BM</t>
    </r>
  </si>
  <si>
    <r>
      <t>i</t>
    </r>
    <r>
      <rPr>
        <vertAlign val="subscript"/>
        <sz val="11"/>
        <rFont val="Calibri"/>
        <family val="2"/>
        <scheme val="minor"/>
      </rPr>
      <t>SS,STO</t>
    </r>
  </si>
  <si>
    <r>
      <t>i</t>
    </r>
    <r>
      <rPr>
        <vertAlign val="subscript"/>
        <sz val="11"/>
        <rFont val="Calibri"/>
        <family val="2"/>
        <scheme val="minor"/>
      </rPr>
      <t>NO3,N2</t>
    </r>
  </si>
  <si>
    <r>
      <t>g COD.g N</t>
    </r>
    <r>
      <rPr>
        <vertAlign val="superscript"/>
        <sz val="11"/>
        <rFont val="Calibri"/>
        <family val="2"/>
        <scheme val="minor"/>
      </rPr>
      <t>-1</t>
    </r>
  </si>
  <si>
    <r>
      <t>i</t>
    </r>
    <r>
      <rPr>
        <vertAlign val="subscript"/>
        <sz val="11"/>
        <rFont val="Calibri"/>
        <family val="2"/>
        <scheme val="minor"/>
      </rPr>
      <t>COD_NO3</t>
    </r>
  </si>
  <si>
    <r>
      <t>i</t>
    </r>
    <r>
      <rPr>
        <vertAlign val="subscript"/>
        <sz val="11"/>
        <rFont val="Calibri"/>
        <family val="2"/>
        <scheme val="minor"/>
      </rPr>
      <t>COD_N2</t>
    </r>
  </si>
  <si>
    <r>
      <t>i</t>
    </r>
    <r>
      <rPr>
        <vertAlign val="subscript"/>
        <sz val="11"/>
        <rFont val="Calibri"/>
        <family val="2"/>
        <scheme val="minor"/>
      </rPr>
      <t>Charge_SNHx</t>
    </r>
  </si>
  <si>
    <r>
      <t>Charge.g N</t>
    </r>
    <r>
      <rPr>
        <vertAlign val="superscript"/>
        <sz val="11"/>
        <rFont val="Calibri"/>
        <family val="2"/>
        <scheme val="minor"/>
      </rPr>
      <t>-1</t>
    </r>
  </si>
  <si>
    <r>
      <t>i</t>
    </r>
    <r>
      <rPr>
        <vertAlign val="subscript"/>
        <sz val="11"/>
        <rFont val="Calibri"/>
        <family val="2"/>
        <scheme val="minor"/>
      </rPr>
      <t>Charge_SNOx</t>
    </r>
  </si>
  <si>
    <r>
      <t>i</t>
    </r>
    <r>
      <rPr>
        <i/>
        <vertAlign val="subscript"/>
        <sz val="11"/>
        <rFont val="Calibri"/>
        <family val="2"/>
        <scheme val="minor"/>
      </rPr>
      <t>CV</t>
    </r>
  </si>
  <si>
    <t>Decimals</t>
  </si>
  <si>
    <t>Type(Kinetic)</t>
  </si>
  <si>
    <t>Storage</t>
  </si>
  <si>
    <t>Growth and decay of heterotrophic organisms</t>
  </si>
  <si>
    <t>Growth and decay of autotrophic nitrifying organisms</t>
  </si>
  <si>
    <t>Type(Stoichiometric)</t>
  </si>
  <si>
    <t>Yields</t>
  </si>
  <si>
    <t>Inert fractions</t>
  </si>
  <si>
    <t>Nitrogen contents</t>
  </si>
  <si>
    <t>TSS contents</t>
  </si>
  <si>
    <t>Conversion factors for electron acceptors and charge</t>
  </si>
  <si>
    <t>Calculated variable ratios</t>
  </si>
  <si>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</si>
  <si>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</si>
  <si>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r>
      <t>X</t>
    </r>
    <r>
      <rPr>
        <vertAlign val="subscript"/>
        <sz val="11"/>
        <rFont val="Calibri"/>
        <family val="2"/>
      </rPr>
      <t>COD</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</si>
  <si>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</si>
  <si>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</si>
  <si>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r>
      <t>X</t>
    </r>
    <r>
      <rPr>
        <vertAlign val="subscript"/>
        <sz val="11"/>
        <rFont val="Calibri"/>
        <family val="2"/>
      </rPr>
      <t>TSS</t>
    </r>
  </si>
  <si>
    <r>
      <t>X</t>
    </r>
    <r>
      <rPr>
        <vertAlign val="subscript"/>
        <sz val="11"/>
        <rFont val="Calibri"/>
        <family val="2"/>
      </rPr>
      <t>SS</t>
    </r>
  </si>
  <si>
    <t>NUR</t>
  </si>
  <si>
    <t>AUR</t>
  </si>
  <si>
    <t>Oxygen uptake rate (OUR)</t>
  </si>
  <si>
    <t>Ammonia uptake rate (AUR)</t>
  </si>
  <si>
    <t>Filtered ultimate biochemical oxygen demand</t>
  </si>
  <si>
    <r>
      <t>g COD.m</t>
    </r>
    <r>
      <rPr>
        <vertAlign val="superscript"/>
        <sz val="11"/>
        <rFont val="Calibri"/>
        <family val="2"/>
      </rPr>
      <t>-3</t>
    </r>
  </si>
  <si>
    <t>Particulate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</si>
  <si>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</si>
  <si>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</si>
  <si>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</si>
  <si>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</si>
  <si>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Filtered flocculated chemical oxygen demand</t>
  </si>
  <si>
    <r>
      <t>T</t>
    </r>
    <r>
      <rPr>
        <vertAlign val="subscript"/>
        <sz val="11"/>
        <rFont val="Calibri"/>
        <family val="2"/>
      </rPr>
      <t>COD</t>
    </r>
  </si>
  <si>
    <t>Total chemical oxygen demand</t>
  </si>
  <si>
    <r>
      <t>T</t>
    </r>
    <r>
      <rPr>
        <vertAlign val="subscript"/>
        <sz val="11"/>
        <rFont val="Calibri"/>
        <family val="2"/>
      </rPr>
      <t>KN</t>
    </r>
  </si>
  <si>
    <t>Total Kjeldahl nitrogen (TKN)</t>
  </si>
  <si>
    <r>
      <t>g N.m</t>
    </r>
    <r>
      <rPr>
        <vertAlign val="superscript"/>
        <sz val="11"/>
        <rFont val="Calibri"/>
        <family val="2"/>
      </rPr>
      <t>-3</t>
    </r>
  </si>
  <si>
    <r>
      <t>T</t>
    </r>
    <r>
      <rPr>
        <vertAlign val="subscript"/>
        <sz val="11"/>
        <rFont val="Calibri"/>
        <family val="2"/>
      </rPr>
      <t>N</t>
    </r>
  </si>
  <si>
    <t>Total nitrogen</t>
  </si>
  <si>
    <r>
      <t>S</t>
    </r>
    <r>
      <rPr>
        <vertAlign val="subscript"/>
        <sz val="11"/>
        <rFont val="Calibri"/>
        <family val="2"/>
        <scheme val="minor"/>
      </rPr>
      <t>S</t>
    </r>
  </si>
  <si>
    <r>
      <t>S</t>
    </r>
    <r>
      <rPr>
        <vertAlign val="subscript"/>
        <sz val="11"/>
        <rFont val="Calibri"/>
        <family val="2"/>
        <scheme val="minor"/>
      </rPr>
      <t>NH4</t>
    </r>
    <r>
      <rPr>
        <sz val="11"/>
        <rFont val="Calibri"/>
        <family val="2"/>
        <scheme val="minor"/>
      </rPr>
      <t xml:space="preserve"> + i</t>
    </r>
    <r>
      <rPr>
        <vertAlign val="subscript"/>
        <sz val="11"/>
        <rFont val="Calibri"/>
        <family val="2"/>
        <scheme val="minor"/>
      </rPr>
      <t>N,SS</t>
    </r>
    <r>
      <rPr>
        <sz val="11"/>
        <rFont val="Calibri"/>
        <family val="2"/>
        <scheme val="minor"/>
      </rPr>
      <t>*S</t>
    </r>
    <r>
      <rPr>
        <vertAlign val="subscript"/>
        <sz val="11"/>
        <rFont val="Calibri"/>
        <family val="2"/>
        <scheme val="minor"/>
      </rPr>
      <t>S</t>
    </r>
    <r>
      <rPr>
        <sz val="11"/>
        <rFont val="Calibri"/>
        <family val="2"/>
        <scheme val="minor"/>
      </rPr>
      <t xml:space="preserve"> + i</t>
    </r>
    <r>
      <rPr>
        <vertAlign val="subscript"/>
        <sz val="11"/>
        <rFont val="Calibri"/>
        <family val="2"/>
        <scheme val="minor"/>
      </rPr>
      <t>N,SI</t>
    </r>
    <r>
      <rPr>
        <sz val="11"/>
        <rFont val="Calibri"/>
        <family val="2"/>
        <scheme val="minor"/>
      </rPr>
      <t>*S</t>
    </r>
    <r>
      <rPr>
        <vertAlign val="subscript"/>
        <sz val="11"/>
        <rFont val="Calibri"/>
        <family val="2"/>
        <scheme val="minor"/>
      </rPr>
      <t>I</t>
    </r>
    <r>
      <rPr>
        <sz val="11"/>
        <rFont val="Calibri"/>
        <family val="2"/>
        <scheme val="minor"/>
      </rPr>
      <t xml:space="preserve"> + i</t>
    </r>
    <r>
      <rPr>
        <vertAlign val="subscript"/>
        <sz val="11"/>
        <rFont val="Calibri"/>
        <family val="2"/>
        <scheme val="minor"/>
      </rPr>
      <t>N,XI</t>
    </r>
    <r>
      <rPr>
        <sz val="11"/>
        <rFont val="Calibri"/>
        <family val="2"/>
        <scheme val="minor"/>
      </rPr>
      <t>*X</t>
    </r>
    <r>
      <rPr>
        <vertAlign val="subscript"/>
        <sz val="11"/>
        <rFont val="Calibri"/>
        <family val="2"/>
        <scheme val="minor"/>
      </rPr>
      <t>I</t>
    </r>
    <r>
      <rPr>
        <sz val="11"/>
        <rFont val="Calibri"/>
        <family val="2"/>
        <scheme val="minor"/>
      </rPr>
      <t xml:space="preserve"> + i</t>
    </r>
    <r>
      <rPr>
        <vertAlign val="subscript"/>
        <sz val="11"/>
        <rFont val="Calibri"/>
        <family val="2"/>
        <scheme val="minor"/>
      </rPr>
      <t>N,XS</t>
    </r>
    <r>
      <rPr>
        <sz val="11"/>
        <rFont val="Calibri"/>
        <family val="2"/>
        <scheme val="minor"/>
      </rPr>
      <t>*X</t>
    </r>
    <r>
      <rPr>
        <vertAlign val="subscript"/>
        <sz val="11"/>
        <rFont val="Calibri"/>
        <family val="2"/>
        <scheme val="minor"/>
      </rPr>
      <t>S</t>
    </r>
    <r>
      <rPr>
        <sz val="11"/>
        <rFont val="Calibri"/>
        <family val="2"/>
        <scheme val="minor"/>
      </rPr>
      <t xml:space="preserve"> + i</t>
    </r>
    <r>
      <rPr>
        <vertAlign val="subscript"/>
        <sz val="11"/>
        <rFont val="Calibri"/>
        <family val="2"/>
        <scheme val="minor"/>
      </rPr>
      <t>N,BM</t>
    </r>
    <r>
      <rPr>
        <sz val="11"/>
        <rFont val="Calibri"/>
        <family val="2"/>
        <scheme val="minor"/>
      </rPr>
      <t>*(X</t>
    </r>
    <r>
      <rPr>
        <vertAlign val="subscript"/>
        <sz val="11"/>
        <rFont val="Calibri"/>
        <family val="2"/>
        <scheme val="minor"/>
      </rPr>
      <t>H</t>
    </r>
    <r>
      <rPr>
        <sz val="11"/>
        <rFont val="Calibri"/>
        <family val="2"/>
        <scheme val="minor"/>
      </rPr>
      <t xml:space="preserve"> + X</t>
    </r>
    <r>
      <rPr>
        <vertAlign val="subscript"/>
        <sz val="11"/>
        <rFont val="Calibri"/>
        <family val="2"/>
        <scheme val="minor"/>
      </rPr>
      <t>A</t>
    </r>
    <r>
      <rPr>
        <sz val="11"/>
        <rFont val="Calibri"/>
        <family val="2"/>
        <scheme val="minor"/>
      </rPr>
      <t>)</t>
    </r>
  </si>
  <si>
    <r>
      <t>g.m</t>
    </r>
    <r>
      <rPr>
        <vertAlign val="superscript"/>
        <sz val="11"/>
        <rFont val="Calibri"/>
        <family val="2"/>
      </rPr>
      <t>-3</t>
    </r>
  </si>
  <si>
    <t>Uptake rates</t>
  </si>
  <si>
    <r>
      <t>COD, BOD</t>
    </r>
    <r>
      <rPr>
        <vertAlign val="subscript"/>
        <sz val="11"/>
        <color rgb="FF000000"/>
        <rFont val="Calibri"/>
        <family val="2"/>
        <scheme val="minor"/>
      </rPr>
      <t>5</t>
    </r>
    <r>
      <rPr>
        <sz val="11"/>
        <color rgb="FF000000"/>
        <rFont val="Calibri"/>
        <family val="2"/>
        <charset val="238"/>
        <scheme val="minor"/>
      </rPr>
      <t xml:space="preserve"> components</t>
    </r>
  </si>
  <si>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</si>
  <si>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</si>
  <si>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</si>
  <si>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</si>
  <si>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</si>
  <si>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</si>
  <si>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</si>
  <si>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</si>
  <si>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</si>
  <si>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</si>
  <si>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</si>
  <si>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</si>
  <si>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</si>
  <si>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</si>
  <si>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</si>
  <si>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</si>
  <si>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</si>
  <si>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</si>
  <si>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</si>
  <si>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</si>
  <si>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</si>
  <si>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</si>
  <si>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</si>
  <si>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</si>
  <si>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</si>
  <si>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</si>
  <si>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</si>
  <si>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</si>
  <si>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</si>
  <si>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</si>
  <si>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</si>
  <si>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</si>
  <si>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</si>
  <si>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</si>
  <si>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</si>
  <si>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</si>
  <si>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</si>
  <si>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</si>
  <si>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</si>
  <si>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</si>
  <si>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</si>
  <si>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</si>
  <si>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</si>
  <si>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</si>
  <si>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</si>
  <si>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</si>
  <si>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</si>
  <si>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</si>
  <si>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</si>
  <si>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</si>
  <si>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</si>
  <si>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</si>
  <si>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</si>
  <si>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</si>
  <si>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</si>
  <si>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</si>
  <si>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</si>
  <si>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</si>
  <si>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</si>
  <si>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</si>
  <si>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</si>
  <si>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</si>
  <si>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</si>
  <si>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</si>
  <si>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</si>
  <si>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</si>
  <si>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</si>
  <si>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</si>
  <si>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</si>
  <si>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</si>
  <si>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</si>
  <si>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</si>
  <si>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</si>
  <si>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</si>
  <si>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</si>
  <si>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</si>
  <si>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</si>
  <si>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</si>
  <si>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</si>
  <si>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</si>
  <si>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</si>
  <si>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</si>
  <si>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</si>
  <si>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</si>
  <si>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</si>
  <si>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</si>
  <si>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</si>
  <si>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</si>
  <si>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</si>
  <si>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</si>
  <si>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</si>
  <si>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</si>
  <si>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</si>
  <si>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</si>
  <si>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</si>
  <si>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</si>
  <si>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</si>
  <si>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</si>
  <si>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</si>
  <si>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</si>
  <si>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</si>
  <si>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</si>
  <si>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</si>
  <si>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</si>
  <si>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</si>
  <si>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</si>
  <si>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</si>
  <si>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</si>
  <si>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</si>
  <si>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</si>
  <si>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</si>
  <si>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</si>
  <si>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</si>
  <si>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</si>
  <si>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</si>
  <si>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</si>
  <si>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</si>
  <si>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</si>
  <si>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</si>
  <si>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</si>
  <si>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</si>
  <si>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</si>
  <si>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</si>
  <si>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</si>
  <si>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</si>
  <si>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</si>
  <si>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</si>
  <si>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</si>
  <si>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</si>
  <si>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</si>
  <si>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</si>
  <si>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</si>
  <si>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</si>
  <si>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</si>
  <si>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</si>
  <si>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</si>
  <si>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</si>
  <si>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</si>
  <si>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</si>
  <si>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</si>
  <si>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</si>
  <si>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</si>
  <si>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</si>
  <si>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</si>
  <si>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</si>
  <si>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</si>
  <si>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</si>
  <si>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</si>
  <si>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</si>
  <si>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</si>
  <si>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</si>
  <si>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</si>
  <si>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</si>
  <si>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</si>
  <si>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</si>
  <si>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</si>
  <si>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</si>
  <si>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</si>
  <si>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</si>
  <si>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</si>
  <si>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</si>
  <si>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</si>
  <si>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</si>
  <si>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</si>
  <si>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</si>
  <si>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</si>
  <si>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</si>
  <si>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</si>
  <si>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</si>
  <si>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</si>
  <si>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</si>
  <si>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</si>
  <si>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</si>
  <si>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</si>
  <si>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</si>
  <si>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</si>
  <si>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</si>
  <si>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</si>
  <si>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</si>
  <si>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</si>
  <si>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</si>
  <si>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</si>
  <si>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</si>
  <si>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</si>
  <si>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</si>
  <si>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</si>
  <si>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</si>
  <si>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</si>
  <si>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</si>
  <si>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</si>
  <si>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</si>
  <si>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</si>
  <si>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</si>
  <si>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</si>
  <si>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</si>
  <si>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</si>
  <si>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</si>
  <si>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</si>
  <si>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</si>
  <si>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</si>
  <si>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</si>
  <si>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</si>
  <si>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</si>
  <si>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</si>
  <si>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</si>
  <si>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</si>
  <si>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</si>
  <si>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</si>
  <si>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</si>
  <si>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</si>
  <si>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</si>
  <si>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</si>
  <si>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</si>
  <si>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</si>
  <si>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</si>
  <si>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</si>
  <si>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</si>
  <si>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</si>
  <si>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</si>
  <si>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</si>
  <si>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</si>
  <si>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</si>
  <si>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</si>
  <si>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</si>
  <si>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</si>
  <si>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</si>
  <si>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</si>
  <si>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</si>
  <si>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</si>
  <si>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</si>
  <si>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</si>
  <si>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</si>
  <si>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</si>
  <si>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</si>
  <si>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</si>
  <si>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</si>
  <si>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</si>
  <si>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</si>
  <si>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</si>
  <si>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</si>
  <si>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</si>
  <si>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</si>
  <si>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</si>
  <si>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</si>
  <si>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</si>
  <si>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</si>
  <si>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</si>
  <si>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</si>
  <si>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</si>
  <si>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</si>
  <si>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</si>
  <si>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</si>
  <si>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</si>
  <si>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</si>
  <si>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</si>
  <si>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</si>
  <si>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</si>
  <si>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</si>
  <si>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</si>
  <si>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</si>
  <si>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</si>
  <si>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</si>
  <si>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</si>
  <si>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</si>
  <si>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</si>
  <si>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</si>
  <si>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</si>
  <si>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</si>
  <si>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</si>
  <si>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</si>
  <si>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</si>
  <si>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</si>
  <si>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</si>
  <si>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</si>
  <si>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</si>
  <si>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</si>
  <si>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</si>
  <si>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</si>
  <si>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</si>
  <si>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</si>
  <si>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</si>
  <si>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</si>
  <si>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</si>
  <si>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</si>
  <si>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</si>
  <si>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</si>
  <si>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</si>
  <si>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</si>
  <si>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</si>
  <si>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</si>
  <si>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</si>
  <si>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</si>
  <si>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</si>
  <si>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</si>
  <si>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</si>
  <si>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</si>
  <si>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</si>
  <si>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</si>
  <si>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</si>
  <si>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</si>
  <si>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</si>
  <si>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</si>
  <si>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</si>
  <si>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</si>
  <si>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</si>
  <si>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</si>
  <si>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</si>
  <si>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</si>
  <si>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</si>
  <si>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</si>
  <si>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</si>
  <si>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</si>
  <si>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</si>
  <si>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</si>
  <si>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</si>
  <si>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</si>
  <si>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</si>
  <si>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</si>
  <si>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</si>
  <si>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</si>
  <si>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</si>
  <si>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</si>
  <si>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</si>
  <si>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</si>
  <si>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</si>
  <si>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</si>
  <si>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</si>
  <si>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</si>
  <si>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</si>
  <si>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</si>
  <si>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</si>
  <si>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</si>
  <si>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</si>
  <si>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</si>
  <si>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</si>
  <si>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</si>
  <si>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</si>
  <si>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</si>
  <si>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</si>
  <si>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</si>
  <si>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</si>
  <si>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</si>
  <si>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</si>
  <si>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</si>
  <si>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</si>
  <si>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</si>
  <si>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</si>
  <si>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</si>
  <si>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</si>
  <si>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</si>
  <si>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</si>
  <si>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</si>
  <si>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</si>
  <si>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</si>
  <si>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</si>
  <si>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</si>
  <si>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</si>
  <si>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</si>
  <si>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</si>
  <si>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</si>
  <si>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</si>
  <si>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</si>
  <si>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</si>
  <si>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</si>
  <si>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</si>
  <si>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</si>
  <si>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</si>
  <si>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</si>
  <si>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</si>
  <si>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</si>
  <si>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</si>
  <si>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</si>
  <si>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</si>
  <si>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</si>
  <si>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</si>
  <si>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r>
      <t>g COD</t>
    </r>
    <r>
      <rPr>
        <sz val="11"/>
        <rFont val="Calibri"/>
        <family val="2"/>
        <scheme val="minor"/>
      </rPr>
      <t>.g COD</t>
    </r>
    <r>
      <rPr>
        <vertAlign val="superscript"/>
        <sz val="11"/>
        <rFont val="Calibri"/>
        <family val="2"/>
        <scheme val="minor"/>
      </rPr>
      <t>-1</t>
    </r>
  </si>
  <si>
    <r>
      <t>Half-saturation of X</t>
    </r>
    <r>
      <rPr>
        <vertAlign val="subscript"/>
        <sz val="11"/>
        <color rgb="FF000000"/>
        <rFont val="Calibri"/>
        <family val="2"/>
        <scheme val="minor"/>
      </rPr>
      <t>COD</t>
    </r>
    <r>
      <rPr>
        <sz val="11"/>
        <color rgb="FF000000"/>
        <rFont val="Calibri"/>
        <family val="2"/>
        <charset val="238"/>
        <scheme val="minor"/>
      </rPr>
      <t>/X</t>
    </r>
    <r>
      <rPr>
        <vertAlign val="subscript"/>
        <sz val="11"/>
        <color rgb="FF000000"/>
        <rFont val="Calibri"/>
        <family val="2"/>
        <scheme val="minor"/>
      </rPr>
      <t>H</t>
    </r>
  </si>
  <si>
    <r>
      <t>Rate of S</t>
    </r>
    <r>
      <rPr>
        <vertAlign val="subscript"/>
        <sz val="11"/>
        <color rgb="FF000000"/>
        <rFont val="Calibri"/>
        <family val="2"/>
        <scheme val="minor"/>
      </rPr>
      <t>S</t>
    </r>
    <r>
      <rPr>
        <sz val="11"/>
        <color rgb="FF000000"/>
        <rFont val="Calibri"/>
        <family val="2"/>
        <charset val="238"/>
        <scheme val="minor"/>
      </rPr>
      <t xml:space="preserve"> storage into X</t>
    </r>
    <r>
      <rPr>
        <vertAlign val="subscript"/>
        <sz val="11"/>
        <color rgb="FF000000"/>
        <rFont val="Calibri"/>
        <family val="2"/>
        <scheme val="minor"/>
      </rPr>
      <t>STO</t>
    </r>
  </si>
  <si>
    <r>
      <t>g COD.g COD</t>
    </r>
    <r>
      <rPr>
        <vertAlign val="superscript"/>
        <sz val="11"/>
        <rFont val="Calibri"/>
        <family val="2"/>
        <scheme val="minor"/>
      </rPr>
      <t>-1</t>
    </r>
    <r>
      <rPr>
        <sz val="11"/>
        <rFont val="Calibri"/>
        <family val="2"/>
        <scheme val="minor"/>
      </rPr>
      <t>.d</t>
    </r>
    <r>
      <rPr>
        <vertAlign val="superscript"/>
        <sz val="11"/>
        <rFont val="Calibri"/>
        <family val="2"/>
        <scheme val="minor"/>
      </rPr>
      <t>-1</t>
    </r>
  </si>
  <si>
    <r>
      <t>g COD.g COD</t>
    </r>
    <r>
      <rPr>
        <vertAlign val="superscript"/>
        <sz val="11"/>
        <rFont val="Calibri"/>
        <family val="2"/>
        <scheme val="minor"/>
      </rPr>
      <t>-1</t>
    </r>
  </si>
  <si>
    <r>
      <t>Half-saturation of X</t>
    </r>
    <r>
      <rPr>
        <vertAlign val="subscript"/>
        <sz val="11"/>
        <color rgb="FF000000"/>
        <rFont val="Calibri"/>
        <family val="2"/>
        <scheme val="minor"/>
      </rPr>
      <t>STOR</t>
    </r>
    <r>
      <rPr>
        <sz val="11"/>
        <color rgb="FF000000"/>
        <rFont val="Calibri"/>
        <family val="2"/>
        <charset val="238"/>
        <scheme val="minor"/>
      </rPr>
      <t>/X</t>
    </r>
    <r>
      <rPr>
        <vertAlign val="subscript"/>
        <sz val="11"/>
        <color rgb="FF000000"/>
        <rFont val="Calibri"/>
        <family val="2"/>
        <scheme val="minor"/>
      </rPr>
      <t>H</t>
    </r>
  </si>
  <si>
    <r>
      <t>Endogenous respiration rate of X</t>
    </r>
    <r>
      <rPr>
        <vertAlign val="subscript"/>
        <sz val="11"/>
        <rFont val="Calibri"/>
        <family val="2"/>
        <scheme val="minor"/>
      </rPr>
      <t>STOR</t>
    </r>
    <r>
      <rPr>
        <sz val="11"/>
        <rFont val="Calibri"/>
        <family val="2"/>
        <scheme val="minor"/>
      </rPr>
      <t xml:space="preserve"> (Aerobic)</t>
    </r>
  </si>
  <si>
    <r>
      <t>Endogenous respiration rate of X</t>
    </r>
    <r>
      <rPr>
        <vertAlign val="subscript"/>
        <sz val="11"/>
        <rFont val="Calibri"/>
        <family val="2"/>
        <scheme val="minor"/>
      </rPr>
      <t>STOR</t>
    </r>
    <r>
      <rPr>
        <sz val="11"/>
        <rFont val="Calibri"/>
        <family val="2"/>
        <scheme val="minor"/>
      </rPr>
      <t xml:space="preserve"> (Anoxic)</t>
    </r>
  </si>
  <si>
    <t>Maximum specific growth rate of heterotrophs</t>
  </si>
  <si>
    <t>Reduction factor for anoxic growth of heterotrophs</t>
  </si>
  <si>
    <t>Half-saturation of SS</t>
  </si>
  <si>
    <r>
      <t>g COD</t>
    </r>
    <r>
      <rPr>
        <sz val="11"/>
        <rFont val="Calibri"/>
        <family val="2"/>
        <scheme val="minor"/>
      </rPr>
      <t>.m</t>
    </r>
    <r>
      <rPr>
        <vertAlign val="superscript"/>
        <sz val="11"/>
        <rFont val="Calibri"/>
        <family val="2"/>
        <scheme val="minor"/>
      </rPr>
      <t>-3</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</si>
  <si>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</si>
  <si>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N</t>
    </r>
    <r>
      <rPr>
        <sz val="11"/>
        <rFont val="Calibri"/>
        <family val="2"/>
        <scheme val="minor"/>
      </rPr>
      <t>.m</t>
    </r>
    <r>
      <rPr>
        <vertAlign val="superscript"/>
        <sz val="11"/>
        <rFont val="Calibri"/>
        <family val="2"/>
        <scheme val="minor"/>
      </rPr>
      <t>-3</t>
    </r>
  </si>
  <si>
    <t>Endogenous respiration rate of heterotrophs (aerobic)</t>
  </si>
  <si>
    <t>Endogenous respiration rate of heterotrophs (anoxic)</t>
  </si>
  <si>
    <t>Half-saturation of ammonia</t>
  </si>
  <si>
    <t>Maximum specific growth rate of autotrophs</t>
  </si>
  <si>
    <t>Endogenous respiration rate of autotrophs (aerobic)</t>
  </si>
  <si>
    <t>Endogenous respiration rate of autotrophs (anoxic)</t>
  </si>
  <si>
    <r>
      <t>Yield for X</t>
    </r>
    <r>
      <rPr>
        <vertAlign val="subscript"/>
        <sz val="11"/>
        <rFont val="Calibri"/>
        <family val="2"/>
        <scheme val="minor"/>
      </rPr>
      <t>H</t>
    </r>
    <r>
      <rPr>
        <sz val="11"/>
        <rFont val="Calibri"/>
        <family val="2"/>
        <scheme val="minor"/>
      </rPr>
      <t xml:space="preserve"> growth per X</t>
    </r>
    <r>
      <rPr>
        <vertAlign val="subscript"/>
        <sz val="11"/>
        <rFont val="Calibri"/>
        <family val="2"/>
        <scheme val="minor"/>
      </rPr>
      <t xml:space="preserve">STOR </t>
    </r>
    <r>
      <rPr>
        <sz val="11"/>
        <rFont val="Calibri"/>
        <family val="2"/>
        <scheme val="minor"/>
      </rPr>
      <t>(Aerobic )</t>
    </r>
  </si>
  <si>
    <r>
      <t>Yield for X</t>
    </r>
    <r>
      <rPr>
        <vertAlign val="subscript"/>
        <sz val="11"/>
        <rFont val="Calibri"/>
        <family val="2"/>
        <scheme val="minor"/>
      </rPr>
      <t>H</t>
    </r>
    <r>
      <rPr>
        <sz val="11"/>
        <rFont val="Calibri"/>
        <family val="2"/>
        <scheme val="minor"/>
      </rPr>
      <t xml:space="preserve"> growth per X</t>
    </r>
    <r>
      <rPr>
        <vertAlign val="subscript"/>
        <sz val="11"/>
        <rFont val="Calibri"/>
        <family val="2"/>
        <scheme val="minor"/>
      </rPr>
      <t xml:space="preserve">STOR </t>
    </r>
    <r>
      <rPr>
        <sz val="11"/>
        <rFont val="Calibri"/>
        <family val="2"/>
        <scheme val="minor"/>
      </rPr>
      <t>(Anoxic)</t>
    </r>
  </si>
  <si>
    <r>
      <t>Yield for X</t>
    </r>
    <r>
      <rPr>
        <vertAlign val="subscript"/>
        <sz val="11"/>
        <rFont val="Calibri"/>
        <family val="2"/>
        <scheme val="minor"/>
      </rPr>
      <t>STOR</t>
    </r>
    <r>
      <rPr>
        <sz val="11"/>
        <rFont val="Calibri"/>
        <family val="2"/>
        <scheme val="minor"/>
      </rPr>
      <t xml:space="preserve"> formation per S</t>
    </r>
    <r>
      <rPr>
        <vertAlign val="subscript"/>
        <sz val="11"/>
        <rFont val="Calibri"/>
        <family val="2"/>
        <scheme val="minor"/>
      </rPr>
      <t xml:space="preserve">S </t>
    </r>
    <r>
      <rPr>
        <sz val="11"/>
        <rFont val="Calibri"/>
        <family val="2"/>
        <scheme val="minor"/>
      </rPr>
      <t>(Aerobic )</t>
    </r>
  </si>
  <si>
    <r>
      <t>Yield for X</t>
    </r>
    <r>
      <rPr>
        <vertAlign val="subscript"/>
        <sz val="11"/>
        <rFont val="Calibri"/>
        <family val="2"/>
        <scheme val="minor"/>
      </rPr>
      <t>STOR</t>
    </r>
    <r>
      <rPr>
        <sz val="11"/>
        <rFont val="Calibri"/>
        <family val="2"/>
        <scheme val="minor"/>
      </rPr>
      <t xml:space="preserve"> formation per S</t>
    </r>
    <r>
      <rPr>
        <vertAlign val="subscript"/>
        <sz val="11"/>
        <rFont val="Calibri"/>
        <family val="2"/>
        <scheme val="minor"/>
      </rPr>
      <t xml:space="preserve">S </t>
    </r>
    <r>
      <rPr>
        <sz val="11"/>
        <rFont val="Calibri"/>
        <family val="2"/>
        <scheme val="minor"/>
      </rPr>
      <t>(Anoxic)</t>
    </r>
  </si>
  <si>
    <r>
      <t>Yield of X</t>
    </r>
    <r>
      <rPr>
        <vertAlign val="subscript"/>
        <sz val="11"/>
        <rFont val="Calibri"/>
        <family val="2"/>
        <scheme val="minor"/>
      </rPr>
      <t>A</t>
    </r>
    <r>
      <rPr>
        <sz val="11"/>
        <rFont val="Calibri"/>
        <family val="2"/>
        <scheme val="minor"/>
      </rPr>
      <t xml:space="preserve"> growth per S</t>
    </r>
    <r>
      <rPr>
        <vertAlign val="subscript"/>
        <sz val="11"/>
        <rFont val="Calibri"/>
        <family val="2"/>
        <scheme val="minor"/>
      </rPr>
      <t>NOx</t>
    </r>
  </si>
  <si>
    <r>
      <t>Fraction of X</t>
    </r>
    <r>
      <rPr>
        <vertAlign val="subscript"/>
        <sz val="11"/>
        <rFont val="Calibri"/>
        <family val="2"/>
        <scheme val="minor"/>
      </rPr>
      <t>I</t>
    </r>
    <r>
      <rPr>
        <sz val="11"/>
        <rFont val="Calibri"/>
        <family val="2"/>
        <scheme val="minor"/>
      </rPr>
      <t xml:space="preserve"> generated in biomass decay</t>
    </r>
  </si>
  <si>
    <r>
      <t>N content of S</t>
    </r>
    <r>
      <rPr>
        <vertAlign val="subscript"/>
        <sz val="11"/>
        <rFont val="Calibri"/>
        <family val="2"/>
        <scheme val="minor"/>
      </rPr>
      <t>S</t>
    </r>
  </si>
  <si>
    <r>
      <t>N content of S</t>
    </r>
    <r>
      <rPr>
        <vertAlign val="subscript"/>
        <sz val="11"/>
        <rFont val="Calibri"/>
        <family val="2"/>
        <scheme val="minor"/>
      </rPr>
      <t>I</t>
    </r>
  </si>
  <si>
    <r>
      <t>N content of X</t>
    </r>
    <r>
      <rPr>
        <vertAlign val="subscript"/>
        <sz val="11"/>
        <rFont val="Calibri"/>
        <family val="2"/>
        <scheme val="minor"/>
      </rPr>
      <t>I</t>
    </r>
  </si>
  <si>
    <r>
      <t>N content of X</t>
    </r>
    <r>
      <rPr>
        <vertAlign val="subscript"/>
        <sz val="11"/>
        <rFont val="Calibri"/>
        <family val="2"/>
        <scheme val="minor"/>
      </rPr>
      <t>S</t>
    </r>
  </si>
  <si>
    <r>
      <t>g N.g COD</t>
    </r>
    <r>
      <rPr>
        <vertAlign val="superscript"/>
        <sz val="11"/>
        <rFont val="Calibri"/>
        <family val="2"/>
        <scheme val="minor"/>
      </rPr>
      <t>-1</t>
    </r>
  </si>
  <si>
    <t>N content of biomasses</t>
  </si>
  <si>
    <t>Conversion factor XI into TSS</t>
  </si>
  <si>
    <t>Conversion factor XS into TSS</t>
  </si>
  <si>
    <r>
      <t>g TSS.g COD</t>
    </r>
    <r>
      <rPr>
        <vertAlign val="superscript"/>
        <sz val="11"/>
        <rFont val="Calibri"/>
        <family val="2"/>
        <scheme val="minor"/>
      </rPr>
      <t>-1</t>
    </r>
  </si>
  <si>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</si>
  <si>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</si>
  <si>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</si>
  <si>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</si>
  <si>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</si>
  <si>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</si>
  <si>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</si>
  <si>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</si>
  <si>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</si>
  <si>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Particle size</t>
  </si>
  <si>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</si>
  <si>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Alkalinity (HCO3</t>
    </r>
    <r>
      <rPr>
        <vertAlign val="superscript"/>
        <sz val="11"/>
        <rFont val="Calibri"/>
        <family val="2"/>
        <scheme val="minor"/>
      </rPr>
      <t>-</t>
    </r>
    <r>
      <rPr>
        <sz val="11"/>
        <rFont val="Calibri"/>
        <family val="2"/>
        <scheme val="minor"/>
      </rPr>
      <t>)</t>
    </r>
  </si>
  <si>
    <r>
      <t>S</t>
    </r>
    <r>
      <rPr>
        <vertAlign val="subscript"/>
        <sz val="11"/>
        <rFont val="Calibri"/>
        <family val="2"/>
        <scheme val="minor"/>
      </rPr>
      <t>O2</t>
    </r>
  </si>
  <si>
    <r>
      <t>g COD.m</t>
    </r>
    <r>
      <rPr>
        <vertAlign val="superscript"/>
        <sz val="11"/>
        <rFont val="Calibri"/>
        <family val="2"/>
        <scheme val="minor"/>
      </rPr>
      <t>-3</t>
    </r>
  </si>
  <si>
    <r>
      <t>S</t>
    </r>
    <r>
      <rPr>
        <vertAlign val="subscript"/>
        <sz val="11"/>
        <rFont val="Calibri"/>
        <family val="2"/>
        <scheme val="minor"/>
      </rPr>
      <t>NH4</t>
    </r>
  </si>
  <si>
    <r>
      <t>g N.m</t>
    </r>
    <r>
      <rPr>
        <vertAlign val="superscript"/>
        <sz val="11"/>
        <rFont val="Calibri"/>
        <family val="2"/>
        <scheme val="minor"/>
      </rPr>
      <t>-3</t>
    </r>
  </si>
  <si>
    <r>
      <t>S</t>
    </r>
    <r>
      <rPr>
        <vertAlign val="subscript"/>
        <sz val="11"/>
        <rFont val="Calibri"/>
        <family val="2"/>
        <scheme val="minor"/>
      </rPr>
      <t>NOX</t>
    </r>
  </si>
  <si>
    <r>
      <t>S</t>
    </r>
    <r>
      <rPr>
        <vertAlign val="subscript"/>
        <sz val="11"/>
        <rFont val="Calibri"/>
        <family val="2"/>
        <scheme val="minor"/>
      </rPr>
      <t>N2</t>
    </r>
  </si>
  <si>
    <r>
      <t>S</t>
    </r>
    <r>
      <rPr>
        <vertAlign val="subscript"/>
        <sz val="11"/>
        <rFont val="Calibri"/>
        <family val="2"/>
        <scheme val="minor"/>
      </rPr>
      <t>ALK</t>
    </r>
  </si>
  <si>
    <r>
      <t>S</t>
    </r>
    <r>
      <rPr>
        <vertAlign val="subscript"/>
        <sz val="11"/>
        <rFont val="Calibri"/>
        <family val="2"/>
        <scheme val="minor"/>
      </rPr>
      <t>I</t>
    </r>
  </si>
  <si>
    <r>
      <t>X</t>
    </r>
    <r>
      <rPr>
        <vertAlign val="subscript"/>
        <sz val="11"/>
        <rFont val="Calibri"/>
        <family val="2"/>
        <scheme val="minor"/>
      </rPr>
      <t>I</t>
    </r>
  </si>
  <si>
    <r>
      <t>X</t>
    </r>
    <r>
      <rPr>
        <vertAlign val="subscript"/>
        <sz val="11"/>
        <rFont val="Calibri"/>
        <family val="2"/>
        <scheme val="minor"/>
      </rPr>
      <t>S</t>
    </r>
  </si>
  <si>
    <r>
      <t>X</t>
    </r>
    <r>
      <rPr>
        <vertAlign val="subscript"/>
        <sz val="11"/>
        <rFont val="Calibri"/>
        <family val="2"/>
        <scheme val="minor"/>
      </rPr>
      <t>H</t>
    </r>
  </si>
  <si>
    <r>
      <t>X</t>
    </r>
    <r>
      <rPr>
        <vertAlign val="subscript"/>
        <sz val="11"/>
        <rFont val="Calibri"/>
        <family val="2"/>
        <scheme val="minor"/>
      </rPr>
      <t>STO</t>
    </r>
  </si>
  <si>
    <r>
      <t>X</t>
    </r>
    <r>
      <rPr>
        <vertAlign val="subscript"/>
        <sz val="11"/>
        <rFont val="Calibri"/>
        <family val="2"/>
        <scheme val="minor"/>
      </rPr>
      <t>A</t>
    </r>
  </si>
  <si>
    <r>
      <t>X</t>
    </r>
    <r>
      <rPr>
        <vertAlign val="subscript"/>
        <sz val="11"/>
        <rFont val="Calibri"/>
        <family val="2"/>
        <scheme val="minor"/>
      </rPr>
      <t>SS</t>
    </r>
  </si>
  <si>
    <r>
      <t>g TSS.m</t>
    </r>
    <r>
      <rPr>
        <vertAlign val="superscript"/>
        <sz val="11"/>
        <rFont val="Calibri"/>
        <family val="2"/>
        <scheme val="minor"/>
      </rPr>
      <t>-3</t>
    </r>
  </si>
  <si>
    <t>Default</t>
  </si>
  <si>
    <t>Components</t>
  </si>
  <si>
    <t>Saturation/inhibition terms</t>
  </si>
  <si>
    <r>
      <t>Msat</t>
    </r>
    <r>
      <rPr>
        <vertAlign val="subscript"/>
        <sz val="11"/>
        <rFont val="Calibri"/>
        <family val="2"/>
        <scheme val="minor"/>
      </rPr>
      <t>SS,KS</t>
    </r>
  </si>
  <si>
    <r>
      <t>S</t>
    </r>
    <r>
      <rPr>
        <vertAlign val="subscript"/>
        <sz val="11"/>
        <rFont val="Calibri"/>
        <family val="2"/>
        <scheme val="minor"/>
      </rPr>
      <t>S</t>
    </r>
    <r>
      <rPr>
        <sz val="11"/>
        <rFont val="Calibri"/>
        <family val="2"/>
        <scheme val="minor"/>
      </rPr>
      <t>/(S</t>
    </r>
    <r>
      <rPr>
        <vertAlign val="subscript"/>
        <sz val="11"/>
        <rFont val="Calibri"/>
        <family val="2"/>
        <scheme val="minor"/>
      </rPr>
      <t>S</t>
    </r>
    <r>
      <rPr>
        <sz val="11"/>
        <rFont val="Calibri"/>
        <family val="2"/>
        <scheme val="minor"/>
      </rPr>
      <t>+K</t>
    </r>
    <r>
      <rPr>
        <vertAlign val="subscript"/>
        <sz val="11"/>
        <rFont val="Calibri"/>
        <family val="2"/>
        <scheme val="minor"/>
      </rPr>
      <t>S</t>
    </r>
    <r>
      <rPr>
        <sz val="11"/>
        <rFont val="Calibri"/>
        <family val="2"/>
        <scheme val="minor"/>
      </rPr>
      <t>)</t>
    </r>
  </si>
  <si>
    <r>
      <t>Msat</t>
    </r>
    <r>
      <rPr>
        <vertAlign val="subscript"/>
        <sz val="11"/>
        <rFont val="Calibri"/>
        <family val="2"/>
        <scheme val="minor"/>
      </rPr>
      <t>SO2,KO2</t>
    </r>
  </si>
  <si>
    <r>
      <t>S</t>
    </r>
    <r>
      <rPr>
        <vertAlign val="subscript"/>
        <sz val="11"/>
        <rFont val="Calibri"/>
        <family val="2"/>
        <scheme val="minor"/>
      </rPr>
      <t>O2</t>
    </r>
    <r>
      <rPr>
        <sz val="11"/>
        <rFont val="Calibri"/>
        <family val="2"/>
        <scheme val="minor"/>
      </rPr>
      <t>/(K</t>
    </r>
    <r>
      <rPr>
        <vertAlign val="subscript"/>
        <sz val="11"/>
        <rFont val="Calibri"/>
        <family val="2"/>
        <scheme val="minor"/>
      </rPr>
      <t>O2</t>
    </r>
    <r>
      <rPr>
        <sz val="11"/>
        <rFont val="Calibri"/>
        <family val="2"/>
        <scheme val="minor"/>
      </rPr>
      <t>+S</t>
    </r>
    <r>
      <rPr>
        <vertAlign val="subscript"/>
        <sz val="11"/>
        <rFont val="Calibri"/>
        <family val="2"/>
        <scheme val="minor"/>
      </rPr>
      <t>O2</t>
    </r>
    <r>
      <rPr>
        <sz val="11"/>
        <rFont val="Calibri"/>
        <family val="2"/>
        <scheme val="minor"/>
      </rPr>
      <t>)</t>
    </r>
  </si>
  <si>
    <r>
      <t>Msat</t>
    </r>
    <r>
      <rPr>
        <vertAlign val="subscript"/>
        <sz val="11"/>
        <rFont val="Calibri"/>
        <family val="2"/>
        <scheme val="minor"/>
      </rPr>
      <t>SNOX,KNOX</t>
    </r>
  </si>
  <si>
    <r>
      <t>S</t>
    </r>
    <r>
      <rPr>
        <vertAlign val="subscript"/>
        <sz val="11"/>
        <rFont val="Calibri"/>
        <family val="2"/>
        <scheme val="minor"/>
      </rPr>
      <t>NOX</t>
    </r>
    <r>
      <rPr>
        <sz val="11"/>
        <rFont val="Calibri"/>
        <family val="2"/>
        <scheme val="minor"/>
      </rPr>
      <t>/(K</t>
    </r>
    <r>
      <rPr>
        <vertAlign val="subscript"/>
        <sz val="11"/>
        <rFont val="Calibri"/>
        <family val="2"/>
        <scheme val="minor"/>
      </rPr>
      <t>NOX</t>
    </r>
    <r>
      <rPr>
        <sz val="11"/>
        <rFont val="Calibri"/>
        <family val="2"/>
        <scheme val="minor"/>
      </rPr>
      <t>+S</t>
    </r>
    <r>
      <rPr>
        <vertAlign val="subscript"/>
        <sz val="11"/>
        <rFont val="Calibri"/>
        <family val="2"/>
        <scheme val="minor"/>
      </rPr>
      <t>NOX</t>
    </r>
    <r>
      <rPr>
        <sz val="11"/>
        <rFont val="Calibri"/>
        <family val="2"/>
        <scheme val="minor"/>
      </rPr>
      <t>)</t>
    </r>
  </si>
  <si>
    <r>
      <t>Msat</t>
    </r>
    <r>
      <rPr>
        <vertAlign val="subscript"/>
        <sz val="11"/>
        <rFont val="Calibri"/>
        <family val="2"/>
        <scheme val="minor"/>
      </rPr>
      <t>SNH4,KNH4</t>
    </r>
  </si>
  <si>
    <r>
      <t>S</t>
    </r>
    <r>
      <rPr>
        <vertAlign val="subscript"/>
        <sz val="11"/>
        <rFont val="Calibri"/>
        <family val="2"/>
        <scheme val="minor"/>
      </rPr>
      <t>NH4</t>
    </r>
    <r>
      <rPr>
        <sz val="11"/>
        <rFont val="Calibri"/>
        <family val="2"/>
        <scheme val="minor"/>
      </rPr>
      <t>/(K</t>
    </r>
    <r>
      <rPr>
        <vertAlign val="subscript"/>
        <sz val="11"/>
        <rFont val="Calibri"/>
        <family val="2"/>
        <scheme val="minor"/>
      </rPr>
      <t>NH4</t>
    </r>
    <r>
      <rPr>
        <sz val="11"/>
        <rFont val="Calibri"/>
        <family val="2"/>
        <scheme val="minor"/>
      </rPr>
      <t>+S</t>
    </r>
    <r>
      <rPr>
        <vertAlign val="subscript"/>
        <sz val="11"/>
        <rFont val="Calibri"/>
        <family val="2"/>
        <scheme val="minor"/>
      </rPr>
      <t>NH4</t>
    </r>
    <r>
      <rPr>
        <sz val="11"/>
        <rFont val="Calibri"/>
        <family val="2"/>
        <scheme val="minor"/>
      </rPr>
      <t>)</t>
    </r>
  </si>
  <si>
    <r>
      <t>Msat</t>
    </r>
    <r>
      <rPr>
        <vertAlign val="subscript"/>
        <sz val="11"/>
        <rFont val="Calibri"/>
        <family val="2"/>
        <scheme val="minor"/>
      </rPr>
      <t>SALK,KALK</t>
    </r>
  </si>
  <si>
    <r>
      <t>S</t>
    </r>
    <r>
      <rPr>
        <vertAlign val="subscript"/>
        <sz val="11"/>
        <rFont val="Calibri"/>
        <family val="2"/>
        <scheme val="minor"/>
      </rPr>
      <t>ALK</t>
    </r>
    <r>
      <rPr>
        <sz val="11"/>
        <rFont val="Calibri"/>
        <family val="2"/>
        <scheme val="minor"/>
      </rPr>
      <t>/(K</t>
    </r>
    <r>
      <rPr>
        <vertAlign val="subscript"/>
        <sz val="11"/>
        <rFont val="Calibri"/>
        <family val="2"/>
        <scheme val="minor"/>
      </rPr>
      <t>ALK</t>
    </r>
    <r>
      <rPr>
        <sz val="11"/>
        <rFont val="Calibri"/>
        <family val="2"/>
        <scheme val="minor"/>
      </rPr>
      <t>+S</t>
    </r>
    <r>
      <rPr>
        <vertAlign val="subscript"/>
        <sz val="11"/>
        <rFont val="Calibri"/>
        <family val="2"/>
        <scheme val="minor"/>
      </rPr>
      <t>ALK</t>
    </r>
    <r>
      <rPr>
        <sz val="11"/>
        <rFont val="Calibri"/>
        <family val="2"/>
        <scheme val="minor"/>
      </rPr>
      <t>)</t>
    </r>
  </si>
  <si>
    <r>
      <t>Msat</t>
    </r>
    <r>
      <rPr>
        <vertAlign val="subscript"/>
        <sz val="11"/>
        <rFont val="Calibri"/>
        <family val="2"/>
        <scheme val="minor"/>
      </rPr>
      <t>SO2,KA,O2</t>
    </r>
  </si>
  <si>
    <r>
      <t>S</t>
    </r>
    <r>
      <rPr>
        <vertAlign val="subscript"/>
        <sz val="11"/>
        <rFont val="Calibri"/>
        <family val="2"/>
        <scheme val="minor"/>
      </rPr>
      <t>O2</t>
    </r>
    <r>
      <rPr>
        <sz val="11"/>
        <rFont val="Calibri"/>
        <family val="2"/>
        <scheme val="minor"/>
      </rPr>
      <t>/(K</t>
    </r>
    <r>
      <rPr>
        <vertAlign val="subscript"/>
        <sz val="11"/>
        <rFont val="Calibri"/>
        <family val="2"/>
        <scheme val="minor"/>
      </rPr>
      <t>A,O2</t>
    </r>
    <r>
      <rPr>
        <sz val="11"/>
        <rFont val="Calibri"/>
        <family val="2"/>
        <scheme val="minor"/>
      </rPr>
      <t>+S</t>
    </r>
    <r>
      <rPr>
        <vertAlign val="subscript"/>
        <sz val="11"/>
        <rFont val="Calibri"/>
        <family val="2"/>
        <scheme val="minor"/>
      </rPr>
      <t>O2</t>
    </r>
    <r>
      <rPr>
        <sz val="11"/>
        <rFont val="Calibri"/>
        <family val="2"/>
        <scheme val="minor"/>
      </rPr>
      <t>)</t>
    </r>
  </si>
  <si>
    <r>
      <t>Minh</t>
    </r>
    <r>
      <rPr>
        <vertAlign val="subscript"/>
        <sz val="11"/>
        <rFont val="Calibri"/>
        <family val="2"/>
        <scheme val="minor"/>
      </rPr>
      <t>SO2,KO2</t>
    </r>
  </si>
  <si>
    <r>
      <t>K</t>
    </r>
    <r>
      <rPr>
        <vertAlign val="subscript"/>
        <sz val="11"/>
        <rFont val="Calibri"/>
        <family val="2"/>
        <scheme val="minor"/>
      </rPr>
      <t>O2</t>
    </r>
    <r>
      <rPr>
        <sz val="11"/>
        <rFont val="Calibri"/>
        <family val="2"/>
        <scheme val="minor"/>
      </rPr>
      <t>/(K</t>
    </r>
    <r>
      <rPr>
        <vertAlign val="subscript"/>
        <sz val="11"/>
        <rFont val="Calibri"/>
        <family val="2"/>
        <scheme val="minor"/>
      </rPr>
      <t>O2</t>
    </r>
    <r>
      <rPr>
        <sz val="11"/>
        <rFont val="Calibri"/>
        <family val="2"/>
        <scheme val="minor"/>
      </rPr>
      <t>+S</t>
    </r>
    <r>
      <rPr>
        <vertAlign val="subscript"/>
        <sz val="11"/>
        <rFont val="Calibri"/>
        <family val="2"/>
        <scheme val="minor"/>
      </rPr>
      <t>O2</t>
    </r>
    <r>
      <rPr>
        <sz val="11"/>
        <rFont val="Calibri"/>
        <family val="2"/>
        <scheme val="minor"/>
      </rPr>
      <t>)</t>
    </r>
  </si>
  <si>
    <r>
      <t>q</t>
    </r>
    <r>
      <rPr>
        <i/>
        <vertAlign val="subscript"/>
        <sz val="12"/>
        <rFont val="Arial"/>
        <family val="2"/>
      </rPr>
      <t>STO</t>
    </r>
    <r>
      <rPr>
        <i/>
        <sz val="12"/>
        <rFont val="Arial"/>
        <family val="2"/>
      </rPr>
      <t>*Msat</t>
    </r>
    <r>
      <rPr>
        <i/>
        <vertAlign val="subscript"/>
        <sz val="12"/>
        <rFont val="Arial"/>
        <family val="2"/>
      </rPr>
      <t>SO2,KO2</t>
    </r>
    <r>
      <rPr>
        <i/>
        <sz val="12"/>
        <rFont val="Arial"/>
        <family val="2"/>
      </rPr>
      <t>*Msat</t>
    </r>
    <r>
      <rPr>
        <i/>
        <vertAlign val="subscript"/>
        <sz val="12"/>
        <rFont val="Arial"/>
        <family val="2"/>
      </rPr>
      <t>SS,KS</t>
    </r>
    <r>
      <rPr>
        <i/>
        <sz val="12"/>
        <rFont val="Arial"/>
        <family val="2"/>
      </rPr>
      <t>*X</t>
    </r>
    <r>
      <rPr>
        <i/>
        <vertAlign val="subscript"/>
        <sz val="12"/>
        <rFont val="Arial"/>
        <family val="2"/>
      </rPr>
      <t>H</t>
    </r>
  </si>
  <si>
    <r>
      <t>q</t>
    </r>
    <r>
      <rPr>
        <i/>
        <vertAlign val="subscript"/>
        <sz val="12"/>
        <rFont val="Arial"/>
        <family val="2"/>
      </rPr>
      <t>STO</t>
    </r>
    <r>
      <rPr>
        <i/>
        <sz val="12"/>
        <rFont val="Arial"/>
        <family val="2"/>
      </rPr>
      <t>*η</t>
    </r>
    <r>
      <rPr>
        <i/>
        <vertAlign val="subscript"/>
        <sz val="12"/>
        <rFont val="Arial"/>
        <family val="2"/>
      </rPr>
      <t>NOX</t>
    </r>
    <r>
      <rPr>
        <i/>
        <sz val="12"/>
        <rFont val="Arial"/>
        <family val="2"/>
      </rPr>
      <t>*Minh</t>
    </r>
    <r>
      <rPr>
        <i/>
        <vertAlign val="subscript"/>
        <sz val="12"/>
        <rFont val="Arial"/>
        <family val="2"/>
      </rPr>
      <t>SO2,KO2</t>
    </r>
    <r>
      <rPr>
        <i/>
        <sz val="12"/>
        <rFont val="Arial"/>
        <family val="2"/>
      </rPr>
      <t>*Msat</t>
    </r>
    <r>
      <rPr>
        <i/>
        <vertAlign val="subscript"/>
        <sz val="12"/>
        <rFont val="Arial"/>
        <family val="2"/>
      </rPr>
      <t>SNOX,KNOX</t>
    </r>
    <r>
      <rPr>
        <i/>
        <sz val="12"/>
        <rFont val="Arial"/>
        <family val="2"/>
      </rPr>
      <t>*Msat</t>
    </r>
    <r>
      <rPr>
        <i/>
        <vertAlign val="subscript"/>
        <sz val="12"/>
        <rFont val="Arial"/>
        <family val="2"/>
      </rPr>
      <t>SS,KS</t>
    </r>
    <r>
      <rPr>
        <i/>
        <sz val="12"/>
        <rFont val="Arial"/>
        <family val="2"/>
      </rPr>
      <t>*X</t>
    </r>
    <r>
      <rPr>
        <i/>
        <vertAlign val="subscript"/>
        <sz val="12"/>
        <rFont val="Arial"/>
        <family val="2"/>
      </rPr>
      <t>H</t>
    </r>
  </si>
  <si>
    <r>
      <t>b</t>
    </r>
    <r>
      <rPr>
        <i/>
        <vertAlign val="subscript"/>
        <sz val="12"/>
        <rFont val="Arial"/>
        <family val="2"/>
      </rPr>
      <t>H,O2</t>
    </r>
    <r>
      <rPr>
        <i/>
        <sz val="12"/>
        <rFont val="Arial"/>
        <family val="2"/>
      </rPr>
      <t>*Msat</t>
    </r>
    <r>
      <rPr>
        <i/>
        <vertAlign val="subscript"/>
        <sz val="12"/>
        <rFont val="Arial"/>
        <family val="2"/>
      </rPr>
      <t>SO2,KO2</t>
    </r>
    <r>
      <rPr>
        <i/>
        <sz val="12"/>
        <rFont val="Arial"/>
        <family val="2"/>
      </rPr>
      <t>*X</t>
    </r>
    <r>
      <rPr>
        <i/>
        <vertAlign val="subscript"/>
        <sz val="12"/>
        <rFont val="Arial"/>
        <family val="2"/>
      </rPr>
      <t>H</t>
    </r>
  </si>
  <si>
    <r>
      <t>b</t>
    </r>
    <r>
      <rPr>
        <i/>
        <vertAlign val="subscript"/>
        <sz val="12"/>
        <rFont val="Arial"/>
        <family val="2"/>
      </rPr>
      <t>H,NOX</t>
    </r>
    <r>
      <rPr>
        <i/>
        <sz val="12"/>
        <rFont val="Arial"/>
        <family val="2"/>
      </rPr>
      <t>*Minh</t>
    </r>
    <r>
      <rPr>
        <i/>
        <vertAlign val="subscript"/>
        <sz val="12"/>
        <rFont val="Arial"/>
        <family val="2"/>
      </rPr>
      <t>SO2,KO2</t>
    </r>
    <r>
      <rPr>
        <i/>
        <sz val="12"/>
        <rFont val="Arial"/>
        <family val="2"/>
      </rPr>
      <t>*Msat</t>
    </r>
    <r>
      <rPr>
        <i/>
        <vertAlign val="subscript"/>
        <sz val="12"/>
        <rFont val="Arial"/>
        <family val="2"/>
      </rPr>
      <t>SNOX,KNOX</t>
    </r>
    <r>
      <rPr>
        <i/>
        <sz val="12"/>
        <rFont val="Arial"/>
        <family val="2"/>
      </rPr>
      <t>*X</t>
    </r>
    <r>
      <rPr>
        <i/>
        <vertAlign val="subscript"/>
        <sz val="12"/>
        <rFont val="Arial"/>
        <family val="2"/>
      </rPr>
      <t>H</t>
    </r>
  </si>
  <si>
    <r>
      <t>b</t>
    </r>
    <r>
      <rPr>
        <i/>
        <vertAlign val="subscript"/>
        <sz val="12"/>
        <rFont val="Arial"/>
        <family val="2"/>
      </rPr>
      <t>STO,O2</t>
    </r>
    <r>
      <rPr>
        <i/>
        <sz val="12"/>
        <rFont val="Arial"/>
        <family val="2"/>
      </rPr>
      <t>*Msat</t>
    </r>
    <r>
      <rPr>
        <i/>
        <vertAlign val="subscript"/>
        <sz val="12"/>
        <rFont val="Arial"/>
        <family val="2"/>
      </rPr>
      <t>SO2,KO2</t>
    </r>
    <r>
      <rPr>
        <i/>
        <sz val="12"/>
        <rFont val="Arial"/>
        <family val="2"/>
      </rPr>
      <t>*X</t>
    </r>
    <r>
      <rPr>
        <i/>
        <vertAlign val="subscript"/>
        <sz val="12"/>
        <rFont val="Arial"/>
        <family val="2"/>
      </rPr>
      <t>STO</t>
    </r>
  </si>
  <si>
    <r>
      <t>b</t>
    </r>
    <r>
      <rPr>
        <i/>
        <vertAlign val="subscript"/>
        <sz val="12"/>
        <rFont val="Arial"/>
        <family val="2"/>
      </rPr>
      <t>STO,NOX</t>
    </r>
    <r>
      <rPr>
        <i/>
        <sz val="12"/>
        <rFont val="Arial"/>
        <family val="2"/>
      </rPr>
      <t>*Minh</t>
    </r>
    <r>
      <rPr>
        <i/>
        <vertAlign val="subscript"/>
        <sz val="12"/>
        <rFont val="Arial"/>
        <family val="2"/>
      </rPr>
      <t>SO2,KO2</t>
    </r>
    <r>
      <rPr>
        <i/>
        <sz val="12"/>
        <rFont val="Arial"/>
        <family val="2"/>
      </rPr>
      <t>*Msat</t>
    </r>
    <r>
      <rPr>
        <i/>
        <vertAlign val="subscript"/>
        <sz val="12"/>
        <rFont val="Arial"/>
        <family val="2"/>
      </rPr>
      <t>SNOX,KNOX</t>
    </r>
    <r>
      <rPr>
        <i/>
        <sz val="12"/>
        <rFont val="Arial"/>
        <family val="2"/>
      </rPr>
      <t>*X</t>
    </r>
    <r>
      <rPr>
        <i/>
        <vertAlign val="subscript"/>
        <sz val="12"/>
        <rFont val="Arial"/>
        <family val="2"/>
      </rPr>
      <t>STO</t>
    </r>
  </si>
  <si>
    <r>
      <t>b</t>
    </r>
    <r>
      <rPr>
        <i/>
        <vertAlign val="subscript"/>
        <sz val="12"/>
        <rFont val="Arial"/>
        <family val="2"/>
      </rPr>
      <t>A,O2</t>
    </r>
    <r>
      <rPr>
        <i/>
        <sz val="12"/>
        <rFont val="Arial"/>
        <family val="2"/>
      </rPr>
      <t>*Msat</t>
    </r>
    <r>
      <rPr>
        <i/>
        <vertAlign val="subscript"/>
        <sz val="12"/>
        <rFont val="Arial"/>
        <family val="2"/>
      </rPr>
      <t>SO2,KA,O2</t>
    </r>
    <r>
      <rPr>
        <i/>
        <sz val="12"/>
        <rFont val="Arial"/>
        <family val="2"/>
      </rPr>
      <t>*X</t>
    </r>
    <r>
      <rPr>
        <i/>
        <vertAlign val="subscript"/>
        <sz val="12"/>
        <rFont val="Arial"/>
        <family val="2"/>
      </rPr>
      <t>A</t>
    </r>
  </si>
  <si>
    <t>Saturation term for soluble biodegradable organics</t>
  </si>
  <si>
    <t>Saturation term for dissolved oxygen (heterotrophs)</t>
  </si>
  <si>
    <t>Saturation term for nitrate and nitrite (heterotrophs)</t>
  </si>
  <si>
    <t>Saturation term for ammonia (heterotrophs)</t>
  </si>
  <si>
    <t>Saturation term for alkalinity (heterotrophs)</t>
  </si>
  <si>
    <t>Saturation term for dissolved oxygen (autotrophs)</t>
  </si>
  <si>
    <t>Inhibition term for dissolved oxygen (heterotrophs)</t>
  </si>
  <si>
    <r>
      <t>(X</t>
    </r>
    <r>
      <rPr>
        <vertAlign val="subscript"/>
        <sz val="11"/>
        <rFont val="Calibri"/>
        <family val="2"/>
        <scheme val="minor"/>
      </rPr>
      <t>STO</t>
    </r>
    <r>
      <rPr>
        <sz val="11"/>
        <rFont val="Calibri"/>
        <family val="2"/>
        <scheme val="minor"/>
      </rPr>
      <t>/X</t>
    </r>
    <r>
      <rPr>
        <vertAlign val="subscript"/>
        <sz val="11"/>
        <rFont val="Calibri"/>
        <family val="2"/>
        <scheme val="minor"/>
      </rPr>
      <t>H</t>
    </r>
    <r>
      <rPr>
        <sz val="11"/>
        <rFont val="Calibri"/>
        <family val="2"/>
        <scheme val="minor"/>
      </rPr>
      <t>)/(K</t>
    </r>
    <r>
      <rPr>
        <vertAlign val="subscript"/>
        <sz val="11"/>
        <rFont val="Calibri"/>
        <family val="2"/>
        <scheme val="minor"/>
      </rPr>
      <t>STO</t>
    </r>
    <r>
      <rPr>
        <sz val="11"/>
        <rFont val="Calibri"/>
        <family val="2"/>
        <scheme val="minor"/>
      </rPr>
      <t>+X</t>
    </r>
    <r>
      <rPr>
        <vertAlign val="subscript"/>
        <sz val="11"/>
        <rFont val="Calibri"/>
        <family val="2"/>
        <scheme val="minor"/>
      </rPr>
      <t>STO</t>
    </r>
    <r>
      <rPr>
        <sz val="11"/>
        <rFont val="Calibri"/>
        <family val="2"/>
        <scheme val="minor"/>
      </rPr>
      <t>/X</t>
    </r>
    <r>
      <rPr>
        <vertAlign val="subscript"/>
        <sz val="11"/>
        <rFont val="Calibri"/>
        <family val="2"/>
        <scheme val="minor"/>
      </rPr>
      <t>H</t>
    </r>
    <r>
      <rPr>
        <sz val="11"/>
        <rFont val="Calibri"/>
        <family val="2"/>
        <scheme val="minor"/>
      </rPr>
      <t>)</t>
    </r>
  </si>
  <si>
    <r>
      <t>MRsat</t>
    </r>
    <r>
      <rPr>
        <vertAlign val="subscript"/>
        <sz val="11"/>
        <rFont val="Calibri"/>
        <family val="2"/>
        <scheme val="minor"/>
      </rPr>
      <t>XSTO,XH,KSTO</t>
    </r>
  </si>
  <si>
    <t>Saturation term for storage compounds (heterotrophs)</t>
  </si>
  <si>
    <r>
      <t>μ</t>
    </r>
    <r>
      <rPr>
        <i/>
        <vertAlign val="subscript"/>
        <sz val="12"/>
        <rFont val="Arial"/>
        <family val="2"/>
      </rPr>
      <t>H</t>
    </r>
    <r>
      <rPr>
        <i/>
        <sz val="12"/>
        <rFont val="Arial"/>
        <family val="2"/>
      </rPr>
      <t>*Msat</t>
    </r>
    <r>
      <rPr>
        <i/>
        <vertAlign val="subscript"/>
        <sz val="12"/>
        <rFont val="Arial"/>
        <family val="2"/>
      </rPr>
      <t>SO2,KO2</t>
    </r>
    <r>
      <rPr>
        <i/>
        <sz val="12"/>
        <rFont val="Arial"/>
        <family val="2"/>
      </rPr>
      <t>*Msat</t>
    </r>
    <r>
      <rPr>
        <i/>
        <vertAlign val="subscript"/>
        <sz val="12"/>
        <rFont val="Arial"/>
        <family val="2"/>
      </rPr>
      <t>SNH4,KNH4</t>
    </r>
    <r>
      <rPr>
        <i/>
        <sz val="12"/>
        <rFont val="Arial"/>
        <family val="2"/>
      </rPr>
      <t>*Msat</t>
    </r>
    <r>
      <rPr>
        <i/>
        <vertAlign val="subscript"/>
        <sz val="12"/>
        <rFont val="Arial"/>
        <family val="2"/>
      </rPr>
      <t>SALK,KALK</t>
    </r>
    <r>
      <rPr>
        <i/>
        <sz val="12"/>
        <rFont val="Arial"/>
        <family val="2"/>
      </rPr>
      <t>*MRsat</t>
    </r>
    <r>
      <rPr>
        <i/>
        <vertAlign val="subscript"/>
        <sz val="12"/>
        <rFont val="Arial"/>
        <family val="2"/>
      </rPr>
      <t>XSTO,XH,KSTO</t>
    </r>
    <r>
      <rPr>
        <i/>
        <sz val="12"/>
        <rFont val="Arial"/>
        <family val="2"/>
      </rPr>
      <t>*X</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</si>
  <si>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NOX</t>
    </r>
    <r>
      <rPr>
        <i/>
        <sz val="12"/>
        <rFont val="Arial"/>
        <family val="2"/>
      </rPr>
      <t>*Minh</t>
    </r>
    <r>
      <rPr>
        <i/>
        <vertAlign val="subscript"/>
        <sz val="12"/>
        <rFont val="Arial"/>
        <family val="2"/>
      </rPr>
      <t>SO2,KO2</t>
    </r>
    <r>
      <rPr>
        <i/>
        <sz val="12"/>
        <rFont val="Arial"/>
        <family val="2"/>
      </rPr>
      <t>*Msat</t>
    </r>
    <r>
      <rPr>
        <i/>
        <vertAlign val="subscript"/>
        <sz val="12"/>
        <rFont val="Arial"/>
        <family val="2"/>
      </rPr>
      <t>SNOX,KNOX</t>
    </r>
    <r>
      <rPr>
        <i/>
        <sz val="12"/>
        <rFont val="Arial"/>
        <family val="2"/>
      </rPr>
      <t>*Msat</t>
    </r>
    <r>
      <rPr>
        <i/>
        <vertAlign val="subscript"/>
        <sz val="12"/>
        <rFont val="Arial"/>
        <family val="2"/>
      </rPr>
      <t>SNH4,KNH4</t>
    </r>
    <r>
      <rPr>
        <i/>
        <sz val="12"/>
        <rFont val="Arial"/>
        <family val="2"/>
      </rPr>
      <t>*Msat</t>
    </r>
    <r>
      <rPr>
        <i/>
        <vertAlign val="subscript"/>
        <sz val="12"/>
        <rFont val="Arial"/>
        <family val="2"/>
      </rPr>
      <t>SALK,KALK</t>
    </r>
    <r>
      <rPr>
        <i/>
        <sz val="12"/>
        <rFont val="Arial"/>
        <family val="2"/>
      </rPr>
      <t>*MRsat</t>
    </r>
    <r>
      <rPr>
        <i/>
        <vertAlign val="subscript"/>
        <sz val="12"/>
        <rFont val="Arial"/>
        <family val="2"/>
      </rPr>
      <t>XSTO,XH,KSTO</t>
    </r>
    <r>
      <rPr>
        <i/>
        <sz val="12"/>
        <rFont val="Arial"/>
        <family val="2"/>
      </rPr>
      <t>*X</t>
    </r>
    <r>
      <rPr>
        <i/>
        <vertAlign val="subscript"/>
        <sz val="12"/>
        <rFont val="Arial"/>
        <family val="2"/>
      </rPr>
      <t>H</t>
    </r>
  </si>
  <si>
    <r>
      <t>MRsat</t>
    </r>
    <r>
      <rPr>
        <vertAlign val="subscript"/>
        <sz val="11"/>
        <rFont val="Calibri"/>
        <family val="2"/>
        <scheme val="minor"/>
      </rPr>
      <t>XS,XH,KX</t>
    </r>
  </si>
  <si>
    <t>Saturation term for particulate biodegradable organics</t>
  </si>
  <si>
    <r>
      <t>(X</t>
    </r>
    <r>
      <rPr>
        <vertAlign val="subscript"/>
        <sz val="11"/>
        <rFont val="Calibri"/>
        <family val="2"/>
        <scheme val="minor"/>
      </rPr>
      <t>S</t>
    </r>
    <r>
      <rPr>
        <sz val="11"/>
        <rFont val="Calibri"/>
        <family val="2"/>
        <scheme val="minor"/>
      </rPr>
      <t>/X</t>
    </r>
    <r>
      <rPr>
        <vertAlign val="subscript"/>
        <sz val="11"/>
        <rFont val="Calibri"/>
        <family val="2"/>
        <scheme val="minor"/>
      </rPr>
      <t>H</t>
    </r>
    <r>
      <rPr>
        <sz val="11"/>
        <rFont val="Calibri"/>
        <family val="2"/>
        <scheme val="minor"/>
      </rPr>
      <t>)/(K</t>
    </r>
    <r>
      <rPr>
        <vertAlign val="subscript"/>
        <sz val="11"/>
        <rFont val="Calibri"/>
        <family val="2"/>
        <scheme val="minor"/>
      </rPr>
      <t>X</t>
    </r>
    <r>
      <rPr>
        <sz val="11"/>
        <rFont val="Calibri"/>
        <family val="2"/>
        <scheme val="minor"/>
      </rPr>
      <t>+X</t>
    </r>
    <r>
      <rPr>
        <vertAlign val="subscript"/>
        <sz val="11"/>
        <rFont val="Calibri"/>
        <family val="2"/>
        <scheme val="minor"/>
      </rPr>
      <t>S</t>
    </r>
    <r>
      <rPr>
        <sz val="11"/>
        <rFont val="Calibri"/>
        <family val="2"/>
        <scheme val="minor"/>
      </rPr>
      <t>/X</t>
    </r>
    <r>
      <rPr>
        <vertAlign val="subscript"/>
        <sz val="11"/>
        <rFont val="Calibri"/>
        <family val="2"/>
        <scheme val="minor"/>
      </rPr>
      <t>H</t>
    </r>
    <r>
      <rPr>
        <sz val="11"/>
        <rFont val="Calibri"/>
        <family val="2"/>
        <scheme val="minor"/>
      </rPr>
      <t>)</t>
    </r>
  </si>
  <si>
    <r>
      <t>k</t>
    </r>
    <r>
      <rPr>
        <vertAlign val="subscript"/>
        <sz val="12"/>
        <rFont val="Arial"/>
        <family val="2"/>
      </rPr>
      <t>H</t>
    </r>
    <r>
      <rPr>
        <sz val="12"/>
        <rFont val="Arial"/>
        <family val="2"/>
      </rPr>
      <t>*</t>
    </r>
    <r>
      <rPr>
        <sz val="12"/>
        <rFont val="Arial"/>
        <family val="2"/>
      </rPr>
      <t>MRsat</t>
    </r>
    <r>
      <rPr>
        <vertAlign val="subscript"/>
        <sz val="12"/>
        <rFont val="Arial"/>
        <family val="2"/>
      </rPr>
      <t>XS,XH,KX</t>
    </r>
    <r>
      <rPr>
        <sz val="12"/>
        <rFont val="Arial"/>
        <family val="2"/>
      </rPr>
      <t>*</t>
    </r>
    <r>
      <rPr>
        <i/>
        <sz val="12"/>
        <rFont val="Arial"/>
        <family val="2"/>
      </rPr>
      <t>X</t>
    </r>
    <r>
      <rPr>
        <vertAlign val="subscript"/>
        <sz val="12"/>
        <rFont val="Arial"/>
        <family val="2"/>
      </rPr>
      <t>H</t>
    </r>
  </si>
  <si>
    <r>
      <t>Msat</t>
    </r>
    <r>
      <rPr>
        <vertAlign val="subscript"/>
        <sz val="11"/>
        <rFont val="Calibri"/>
        <family val="2"/>
        <scheme val="minor"/>
      </rPr>
      <t>SNH4,KA,NH4</t>
    </r>
  </si>
  <si>
    <r>
      <t>S</t>
    </r>
    <r>
      <rPr>
        <vertAlign val="subscript"/>
        <sz val="11"/>
        <rFont val="Calibri"/>
        <family val="2"/>
        <scheme val="minor"/>
      </rPr>
      <t>NH4</t>
    </r>
    <r>
      <rPr>
        <sz val="11"/>
        <rFont val="Calibri"/>
        <family val="2"/>
        <scheme val="minor"/>
      </rPr>
      <t>/(K</t>
    </r>
    <r>
      <rPr>
        <vertAlign val="subscript"/>
        <sz val="11"/>
        <rFont val="Calibri"/>
        <family val="2"/>
        <scheme val="minor"/>
      </rPr>
      <t>A,NH4</t>
    </r>
    <r>
      <rPr>
        <sz val="11"/>
        <rFont val="Calibri"/>
        <family val="2"/>
        <scheme val="minor"/>
      </rPr>
      <t>+S</t>
    </r>
    <r>
      <rPr>
        <vertAlign val="subscript"/>
        <sz val="11"/>
        <rFont val="Calibri"/>
        <family val="2"/>
        <scheme val="minor"/>
      </rPr>
      <t>NH4</t>
    </r>
    <r>
      <rPr>
        <sz val="11"/>
        <rFont val="Calibri"/>
        <family val="2"/>
        <scheme val="minor"/>
      </rPr>
      <t>)</t>
    </r>
  </si>
  <si>
    <r>
      <t>Msat</t>
    </r>
    <r>
      <rPr>
        <vertAlign val="subscript"/>
        <sz val="11"/>
        <rFont val="Calibri"/>
        <family val="2"/>
        <scheme val="minor"/>
      </rPr>
      <t>SALK,KA,ALK</t>
    </r>
  </si>
  <si>
    <r>
      <t>S</t>
    </r>
    <r>
      <rPr>
        <vertAlign val="subscript"/>
        <sz val="11"/>
        <rFont val="Calibri"/>
        <family val="2"/>
        <scheme val="minor"/>
      </rPr>
      <t>ALK</t>
    </r>
    <r>
      <rPr>
        <sz val="11"/>
        <rFont val="Calibri"/>
        <family val="2"/>
        <scheme val="minor"/>
      </rPr>
      <t>/(K</t>
    </r>
    <r>
      <rPr>
        <vertAlign val="subscript"/>
        <sz val="11"/>
        <rFont val="Calibri"/>
        <family val="2"/>
        <scheme val="minor"/>
      </rPr>
      <t>A,ALK</t>
    </r>
    <r>
      <rPr>
        <sz val="11"/>
        <rFont val="Calibri"/>
        <family val="2"/>
        <scheme val="minor"/>
      </rPr>
      <t>+S</t>
    </r>
    <r>
      <rPr>
        <vertAlign val="subscript"/>
        <sz val="11"/>
        <rFont val="Calibri"/>
        <family val="2"/>
        <scheme val="minor"/>
      </rPr>
      <t>ALK</t>
    </r>
    <r>
      <rPr>
        <sz val="11"/>
        <rFont val="Calibri"/>
        <family val="2"/>
        <scheme val="minor"/>
      </rPr>
      <t>)</t>
    </r>
  </si>
  <si>
    <r>
      <t>μ</t>
    </r>
    <r>
      <rPr>
        <i/>
        <vertAlign val="subscript"/>
        <sz val="12"/>
        <rFont val="Arial"/>
        <family val="2"/>
      </rPr>
      <t>A</t>
    </r>
    <r>
      <rPr>
        <i/>
        <sz val="12"/>
        <rFont val="Arial"/>
        <family val="2"/>
      </rPr>
      <t>*Msat</t>
    </r>
    <r>
      <rPr>
        <i/>
        <vertAlign val="subscript"/>
        <sz val="12"/>
        <rFont val="Arial"/>
        <family val="2"/>
      </rPr>
      <t>SO2,KA,O2</t>
    </r>
    <r>
      <rPr>
        <i/>
        <sz val="12"/>
        <rFont val="Arial"/>
        <family val="2"/>
      </rPr>
      <t>*</t>
    </r>
    <r>
      <rPr>
        <i/>
        <sz val="12"/>
        <rFont val="Arial"/>
        <family val="2"/>
      </rPr>
      <t>Msat</t>
    </r>
    <r>
      <rPr>
        <i/>
        <vertAlign val="subscript"/>
        <sz val="12"/>
        <rFont val="Arial"/>
        <family val="2"/>
      </rPr>
      <t>SNH4,KA,NH4</t>
    </r>
    <r>
      <rPr>
        <i/>
        <sz val="12"/>
        <rFont val="Arial"/>
        <family val="2"/>
      </rPr>
      <t>*Msat</t>
    </r>
    <r>
      <rPr>
        <i/>
        <vertAlign val="subscript"/>
        <sz val="12"/>
        <rFont val="Arial"/>
        <family val="2"/>
      </rPr>
      <t>SALK,KA,ALK</t>
    </r>
    <r>
      <rPr>
        <i/>
        <sz val="12"/>
        <rFont val="Arial"/>
        <family val="2"/>
      </rPr>
      <t>*X</t>
    </r>
    <r>
      <rPr>
        <i/>
        <vertAlign val="subscript"/>
        <sz val="12"/>
        <rFont val="Arial"/>
        <family val="2"/>
      </rPr>
      <t>A</t>
    </r>
  </si>
  <si>
    <r>
      <t>K</t>
    </r>
    <r>
      <rPr>
        <vertAlign val="subscript"/>
        <sz val="11"/>
        <rFont val="Calibri"/>
        <family val="2"/>
        <scheme val="minor"/>
      </rPr>
      <t>A,O2</t>
    </r>
    <r>
      <rPr>
        <sz val="11"/>
        <rFont val="Calibri"/>
        <family val="2"/>
        <scheme val="minor"/>
      </rPr>
      <t>/(K</t>
    </r>
    <r>
      <rPr>
        <vertAlign val="subscript"/>
        <sz val="11"/>
        <rFont val="Calibri"/>
        <family val="2"/>
        <scheme val="minor"/>
      </rPr>
      <t>A,O2</t>
    </r>
    <r>
      <rPr>
        <sz val="11"/>
        <rFont val="Calibri"/>
        <family val="2"/>
        <scheme val="minor"/>
      </rPr>
      <t>+S</t>
    </r>
    <r>
      <rPr>
        <vertAlign val="subscript"/>
        <sz val="11"/>
        <rFont val="Calibri"/>
        <family val="2"/>
        <scheme val="minor"/>
      </rPr>
      <t>O2</t>
    </r>
    <r>
      <rPr>
        <sz val="11"/>
        <rFont val="Calibri"/>
        <family val="2"/>
        <scheme val="minor"/>
      </rPr>
      <t>)</t>
    </r>
  </si>
  <si>
    <r>
      <t>b</t>
    </r>
    <r>
      <rPr>
        <i/>
        <vertAlign val="subscript"/>
        <sz val="12"/>
        <rFont val="Arial"/>
        <family val="2"/>
      </rPr>
      <t>A,NOX</t>
    </r>
    <r>
      <rPr>
        <i/>
        <sz val="12"/>
        <rFont val="Arial"/>
        <family val="2"/>
      </rPr>
      <t>*</t>
    </r>
    <r>
      <rPr>
        <i/>
        <sz val="12"/>
        <rFont val="Arial"/>
        <family val="2"/>
      </rPr>
      <t>Minh</t>
    </r>
    <r>
      <rPr>
        <i/>
        <vertAlign val="subscript"/>
        <sz val="12"/>
        <rFont val="Arial"/>
        <family val="2"/>
      </rPr>
      <t>SO2,KA,O2</t>
    </r>
    <r>
      <rPr>
        <i/>
        <sz val="12"/>
        <rFont val="Arial"/>
        <family val="2"/>
      </rPr>
      <t>*Msat</t>
    </r>
    <r>
      <rPr>
        <i/>
        <vertAlign val="subscript"/>
        <sz val="12"/>
        <rFont val="Arial"/>
        <family val="2"/>
      </rPr>
      <t>SNOX,KNOX</t>
    </r>
    <r>
      <rPr>
        <i/>
        <sz val="12"/>
        <rFont val="Arial"/>
        <family val="2"/>
      </rPr>
      <t>*X</t>
    </r>
    <r>
      <rPr>
        <i/>
        <vertAlign val="subscript"/>
        <sz val="12"/>
        <rFont val="Arial"/>
        <family val="2"/>
      </rPr>
      <t>A</t>
    </r>
  </si>
  <si>
    <r>
      <t>Minh</t>
    </r>
    <r>
      <rPr>
        <vertAlign val="subscript"/>
        <sz val="11"/>
        <rFont val="Calibri"/>
        <family val="2"/>
        <scheme val="minor"/>
      </rPr>
      <t>SO2,KA,O2</t>
    </r>
  </si>
  <si>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</si>
  <si>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</si>
  <si>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</si>
  <si>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</si>
  <si>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</si>
  <si>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</si>
  <si>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</si>
  <si>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</si>
  <si>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</si>
  <si>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</si>
  <si>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</si>
  <si>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</si>
  <si>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</si>
  <si>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</si>
  <si>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</si>
  <si>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</si>
  <si>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</si>
  <si>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</si>
  <si>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</si>
  <si>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</si>
  <si>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</si>
  <si>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</si>
  <si>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</si>
  <si>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</si>
  <si>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</si>
  <si>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</si>
  <si>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</si>
  <si>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</si>
  <si>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</si>
  <si>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</si>
  <si>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</si>
  <si>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</si>
  <si>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</si>
  <si>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</si>
  <si>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</si>
  <si>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</si>
  <si>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</si>
  <si>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</si>
  <si>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</si>
  <si>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</si>
  <si>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</si>
  <si>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</si>
  <si>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</si>
  <si>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</si>
  <si>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</si>
  <si>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</si>
  <si>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</si>
  <si>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</si>
  <si>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</si>
  <si>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</si>
  <si>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</si>
  <si>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</si>
  <si>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</si>
  <si>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</si>
  <si>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</si>
  <si>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</si>
  <si>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</si>
  <si>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</si>
  <si>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</si>
  <si>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</si>
  <si>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</si>
  <si>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</si>
  <si>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</si>
  <si>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</si>
  <si>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</si>
  <si>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</si>
  <si>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</si>
  <si>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</si>
  <si>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</si>
  <si>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</si>
  <si>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</si>
  <si>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</si>
  <si>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</si>
  <si>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</si>
  <si>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</si>
  <si>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</si>
  <si>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</si>
  <si>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</si>
  <si>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</si>
  <si>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</si>
  <si>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</si>
  <si>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</si>
  <si>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</si>
  <si>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</si>
  <si>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</si>
  <si>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</si>
  <si>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</si>
  <si>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</si>
  <si>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</si>
  <si>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</si>
  <si>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</si>
  <si>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</si>
  <si>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</si>
  <si>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</si>
  <si>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</si>
  <si>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</si>
  <si>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</si>
  <si>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</si>
  <si>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</si>
  <si>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</si>
  <si>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</si>
  <si>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</si>
  <si>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</si>
  <si>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</si>
  <si>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</si>
  <si>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</si>
  <si>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</si>
  <si>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</si>
  <si>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</si>
  <si>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</si>
  <si>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</si>
  <si>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</si>
  <si>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</si>
  <si>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</si>
  <si>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</si>
  <si>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</si>
  <si>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</si>
  <si>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</si>
  <si>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</si>
  <si>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unused</t>
  </si>
  <si>
    <r>
      <t>-1/( i</t>
    </r>
    <r>
      <rPr>
        <vertAlign val="subscript"/>
        <sz val="12"/>
        <rFont val="Arial"/>
        <family val="2"/>
      </rPr>
      <t xml:space="preserve">NO3,N2 </t>
    </r>
    <r>
      <rPr>
        <sz val="12"/>
        <rFont val="Arial"/>
        <family val="2"/>
      </rPr>
      <t>)</t>
    </r>
  </si>
  <si>
    <r>
      <t>-(1-f</t>
    </r>
    <r>
      <rPr>
        <vertAlign val="subscript"/>
        <sz val="12"/>
        <rFont val="Arial"/>
        <family val="2"/>
      </rPr>
      <t>XI</t>
    </r>
    <r>
      <rPr>
        <sz val="12"/>
        <rFont val="Arial"/>
        <family val="2"/>
      </rPr>
      <t>)/( i</t>
    </r>
    <r>
      <rPr>
        <vertAlign val="subscript"/>
        <sz val="12"/>
        <rFont val="Arial"/>
        <family val="2"/>
      </rPr>
      <t xml:space="preserve">NO3,N2 </t>
    </r>
    <r>
      <rPr>
        <sz val="12"/>
        <rFont val="Arial"/>
        <family val="2"/>
      </rPr>
      <t>)</t>
    </r>
  </si>
  <si>
    <r>
      <t>(1-Y</t>
    </r>
    <r>
      <rPr>
        <vertAlign val="subscript"/>
        <sz val="12"/>
        <rFont val="Arial"/>
        <family val="2"/>
      </rPr>
      <t>STO,NOX</t>
    </r>
    <r>
      <rPr>
        <sz val="12"/>
        <rFont val="Arial"/>
        <family val="2"/>
      </rPr>
      <t>)/( i</t>
    </r>
    <r>
      <rPr>
        <vertAlign val="subscript"/>
        <sz val="12"/>
        <rFont val="Arial"/>
        <family val="2"/>
      </rPr>
      <t xml:space="preserve">NO3,N2 </t>
    </r>
    <r>
      <rPr>
        <sz val="12"/>
        <rFont val="Arial"/>
        <family val="2"/>
      </rPr>
      <t>)</t>
    </r>
  </si>
  <si>
    <r>
      <t>(1-f</t>
    </r>
    <r>
      <rPr>
        <vertAlign val="subscript"/>
        <sz val="12"/>
        <rFont val="Arial"/>
        <family val="2"/>
      </rPr>
      <t>XI</t>
    </r>
    <r>
      <rPr>
        <sz val="12"/>
        <rFont val="Arial"/>
        <family val="2"/>
      </rPr>
      <t>)/( i</t>
    </r>
    <r>
      <rPr>
        <vertAlign val="subscript"/>
        <sz val="12"/>
        <rFont val="Arial"/>
        <family val="2"/>
      </rPr>
      <t xml:space="preserve">NO3,N2 </t>
    </r>
    <r>
      <rPr>
        <sz val="12"/>
        <rFont val="Arial"/>
        <family val="2"/>
      </rPr>
      <t>)</t>
    </r>
  </si>
  <si>
    <r>
      <t>1/( i</t>
    </r>
    <r>
      <rPr>
        <vertAlign val="subscript"/>
        <sz val="12"/>
        <rFont val="Arial"/>
        <family val="2"/>
      </rPr>
      <t xml:space="preserve">NO3,N2 </t>
    </r>
    <r>
      <rPr>
        <sz val="12"/>
        <rFont val="Arial"/>
        <family val="2"/>
      </rPr>
      <t>)</t>
    </r>
  </si>
  <si>
    <t>Particulate unbiodegradable organics</t>
  </si>
  <si>
    <r>
      <t>X</t>
    </r>
    <r>
      <rPr>
        <vertAlign val="subscript"/>
        <sz val="11"/>
        <rFont val="Calibri"/>
        <family val="2"/>
      </rPr>
      <t xml:space="preserve">S </t>
    </r>
    <r>
      <rPr>
        <sz val="11"/>
        <rFont val="Calibri"/>
        <family val="2"/>
      </rPr>
      <t>+ X</t>
    </r>
    <r>
      <rPr>
        <vertAlign val="subscript"/>
        <sz val="11"/>
        <rFont val="Calibri"/>
        <family val="2"/>
      </rPr>
      <t xml:space="preserve">H </t>
    </r>
    <r>
      <rPr>
        <sz val="11"/>
        <rFont val="Calibri"/>
        <family val="2"/>
      </rPr>
      <t>+ X</t>
    </r>
    <r>
      <rPr>
        <vertAlign val="subscript"/>
        <sz val="11"/>
        <rFont val="Calibri"/>
        <family val="2"/>
      </rPr>
      <t>STO</t>
    </r>
    <r>
      <rPr>
        <sz val="11"/>
        <rFont val="Calibri"/>
        <family val="2"/>
      </rPr>
      <t xml:space="preserve"> +X</t>
    </r>
    <r>
      <rPr>
        <vertAlign val="subscript"/>
        <sz val="11"/>
        <rFont val="Calibri"/>
        <family val="2"/>
      </rPr>
      <t>A</t>
    </r>
  </si>
  <si>
    <r>
      <t>S</t>
    </r>
    <r>
      <rPr>
        <vertAlign val="subscript"/>
        <sz val="11"/>
        <rFont val="Calibri"/>
        <family val="2"/>
        <scheme val="minor"/>
      </rPr>
      <t>BOD,5</t>
    </r>
    <r>
      <rPr>
        <sz val="11"/>
        <rFont val="Calibri"/>
        <family val="2"/>
        <scheme val="minor"/>
      </rPr>
      <t xml:space="preserve"> +X</t>
    </r>
    <r>
      <rPr>
        <vertAlign val="subscript"/>
        <sz val="11"/>
        <rFont val="Calibri"/>
        <family val="2"/>
        <scheme val="minor"/>
      </rPr>
      <t>BOD,5</t>
    </r>
  </si>
  <si>
    <r>
      <t>S</t>
    </r>
    <r>
      <rPr>
        <vertAlign val="subscript"/>
        <sz val="11"/>
        <rFont val="Calibri"/>
        <family val="2"/>
        <scheme val="minor"/>
      </rPr>
      <t>S</t>
    </r>
    <r>
      <rPr>
        <sz val="11"/>
        <rFont val="Calibri"/>
        <family val="2"/>
        <scheme val="minor"/>
      </rPr>
      <t xml:space="preserve"> +S</t>
    </r>
    <r>
      <rPr>
        <vertAlign val="subscript"/>
        <sz val="11"/>
        <rFont val="Calibri"/>
        <family val="2"/>
        <scheme val="minor"/>
      </rPr>
      <t>I</t>
    </r>
  </si>
  <si>
    <r>
      <t>X</t>
    </r>
    <r>
      <rPr>
        <vertAlign val="subscript"/>
        <sz val="11"/>
        <rFont val="Calibri"/>
        <family val="2"/>
      </rPr>
      <t xml:space="preserve">I </t>
    </r>
    <r>
      <rPr>
        <sz val="11"/>
        <rFont val="Calibri"/>
        <family val="2"/>
      </rPr>
      <t>+ X</t>
    </r>
    <r>
      <rPr>
        <vertAlign val="subscript"/>
        <sz val="11"/>
        <rFont val="Calibri"/>
        <family val="2"/>
      </rPr>
      <t xml:space="preserve">S </t>
    </r>
    <r>
      <rPr>
        <sz val="11"/>
        <rFont val="Calibri"/>
        <family val="2"/>
      </rPr>
      <t>+ X</t>
    </r>
    <r>
      <rPr>
        <vertAlign val="subscript"/>
        <sz val="11"/>
        <rFont val="Calibri"/>
        <family val="2"/>
      </rPr>
      <t xml:space="preserve">H </t>
    </r>
    <r>
      <rPr>
        <sz val="11"/>
        <rFont val="Calibri"/>
        <family val="2"/>
      </rPr>
      <t>+ X</t>
    </r>
    <r>
      <rPr>
        <vertAlign val="subscript"/>
        <sz val="11"/>
        <rFont val="Calibri"/>
        <family val="2"/>
      </rPr>
      <t xml:space="preserve">STO </t>
    </r>
    <r>
      <rPr>
        <sz val="11"/>
        <rFont val="Calibri"/>
        <family val="2"/>
      </rPr>
      <t>+X</t>
    </r>
    <r>
      <rPr>
        <vertAlign val="subscript"/>
        <sz val="11"/>
        <rFont val="Calibri"/>
        <family val="2"/>
      </rPr>
      <t>A</t>
    </r>
  </si>
  <si>
    <r>
      <t>S</t>
    </r>
    <r>
      <rPr>
        <vertAlign val="subscript"/>
        <sz val="11"/>
        <rFont val="Calibri"/>
        <family val="2"/>
      </rPr>
      <t>COD</t>
    </r>
    <r>
      <rPr>
        <sz val="11"/>
        <rFont val="Calibri"/>
        <family val="2"/>
      </rPr>
      <t xml:space="preserve"> +X</t>
    </r>
    <r>
      <rPr>
        <vertAlign val="subscript"/>
        <sz val="11"/>
        <rFont val="Calibri"/>
        <family val="2"/>
      </rPr>
      <t>COD</t>
    </r>
  </si>
  <si>
    <r>
      <t>T</t>
    </r>
    <r>
      <rPr>
        <vertAlign val="subscript"/>
        <sz val="11"/>
        <rFont val="Calibri"/>
        <family val="2"/>
      </rPr>
      <t>KN</t>
    </r>
    <r>
      <rPr>
        <sz val="11"/>
        <rFont val="Calibri"/>
        <family val="2"/>
      </rPr>
      <t xml:space="preserve"> +S</t>
    </r>
    <r>
      <rPr>
        <vertAlign val="subscript"/>
        <sz val="11"/>
        <rFont val="Calibri"/>
        <family val="2"/>
      </rPr>
      <t>NOX</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</si>
  <si>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</si>
  <si>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</si>
  <si>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</si>
  <si>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</si>
  <si>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</si>
  <si>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</si>
  <si>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</si>
  <si>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</si>
  <si>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</si>
  <si>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</si>
  <si>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</si>
  <si>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</si>
  <si>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</si>
  <si>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</si>
  <si>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</si>
  <si>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</si>
  <si>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</si>
  <si>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</si>
  <si>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</si>
  <si>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</si>
  <si>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</si>
  <si>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</si>
  <si>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</si>
  <si>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</si>
  <si>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</si>
  <si>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</si>
  <si>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</si>
  <si>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</si>
  <si>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</si>
  <si>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</si>
  <si>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</si>
  <si>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</si>
  <si>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</si>
  <si>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</si>
  <si>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</si>
  <si>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</si>
  <si>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</si>
  <si>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</si>
  <si>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</si>
  <si>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</si>
  <si>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</si>
  <si>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</si>
  <si>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</si>
  <si>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</si>
  <si>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</si>
  <si>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</si>
  <si>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</si>
  <si>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</si>
  <si>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</si>
  <si>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</si>
  <si>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</si>
  <si>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</si>
  <si>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</si>
  <si>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</si>
  <si>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</si>
  <si>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</si>
  <si>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</si>
  <si>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</si>
  <si>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</si>
  <si>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</si>
  <si>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</si>
  <si>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</si>
  <si>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</si>
  <si>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</si>
  <si>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</si>
  <si>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</si>
  <si>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</si>
  <si>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</si>
  <si>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</si>
  <si>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</si>
  <si>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</si>
  <si>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</si>
  <si>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</si>
  <si>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rPr>
      <t>-3</t>
    </r>
    <r>
      <rPr>
        <sz val="11"/>
        <rFont val="Calibri"/>
        <family val="2"/>
      </rPr>
      <t>.d</t>
    </r>
    <r>
      <rPr>
        <vertAlign val="superscript"/>
        <sz val="11"/>
        <rFont val="Calibri"/>
        <family val="2"/>
      </rPr>
      <t>-1</t>
    </r>
  </si>
  <si>
    <r>
      <t>g N.m</t>
    </r>
    <r>
      <rPr>
        <vertAlign val="superscript"/>
        <sz val="11"/>
        <rFont val="Calibri"/>
        <family val="2"/>
      </rPr>
      <t>-3</t>
    </r>
    <r>
      <rPr>
        <sz val="11"/>
        <rFont val="Calibri"/>
        <family val="2"/>
      </rPr>
      <t>.d</t>
    </r>
    <r>
      <rPr>
        <vertAlign val="superscript"/>
        <sz val="11"/>
        <rFont val="Calibri"/>
        <family val="2"/>
      </rPr>
      <t>-1</t>
    </r>
  </si>
  <si>
    <r>
      <t>-(v2_S</t>
    </r>
    <r>
      <rPr>
        <vertAlign val="subscript"/>
        <sz val="11"/>
        <rFont val="Calibri"/>
        <family val="2"/>
      </rPr>
      <t>O2</t>
    </r>
    <r>
      <rPr>
        <sz val="11"/>
        <rFont val="Calibri"/>
        <family val="2"/>
        <charset val="238"/>
      </rPr>
      <t>*r2</t>
    </r>
    <r>
      <rPr>
        <sz val="11"/>
        <rFont val="Calibri"/>
        <family val="2"/>
      </rPr>
      <t>+v4_S</t>
    </r>
    <r>
      <rPr>
        <vertAlign val="subscript"/>
        <sz val="11"/>
        <rFont val="Calibri"/>
        <family val="2"/>
      </rPr>
      <t>O2</t>
    </r>
    <r>
      <rPr>
        <sz val="11"/>
        <rFont val="Calibri"/>
        <family val="2"/>
      </rPr>
      <t>*r4+v6_S</t>
    </r>
    <r>
      <rPr>
        <vertAlign val="subscript"/>
        <sz val="11"/>
        <rFont val="Calibri"/>
        <family val="2"/>
      </rPr>
      <t>O2</t>
    </r>
    <r>
      <rPr>
        <sz val="11"/>
        <rFont val="Calibri"/>
        <family val="2"/>
      </rPr>
      <t>*r6+v8_S</t>
    </r>
    <r>
      <rPr>
        <vertAlign val="subscript"/>
        <sz val="11"/>
        <rFont val="Calibri"/>
        <family val="2"/>
      </rPr>
      <t>O2</t>
    </r>
    <r>
      <rPr>
        <sz val="11"/>
        <rFont val="Calibri"/>
        <family val="2"/>
      </rPr>
      <t>*r8+v10_S</t>
    </r>
    <r>
      <rPr>
        <vertAlign val="subscript"/>
        <sz val="11"/>
        <rFont val="Calibri"/>
        <family val="2"/>
      </rPr>
      <t>O2</t>
    </r>
    <r>
      <rPr>
        <sz val="11"/>
        <rFont val="Calibri"/>
        <family val="2"/>
      </rPr>
      <t>*r10+v11_S</t>
    </r>
    <r>
      <rPr>
        <vertAlign val="subscript"/>
        <sz val="11"/>
        <rFont val="Calibri"/>
        <family val="2"/>
      </rPr>
      <t>O2</t>
    </r>
    <r>
      <rPr>
        <sz val="11"/>
        <rFont val="Calibri"/>
        <family val="2"/>
      </rPr>
      <t>*r11)</t>
    </r>
  </si>
  <si>
    <r>
      <t>-(v3_S</t>
    </r>
    <r>
      <rPr>
        <vertAlign val="subscript"/>
        <sz val="11"/>
        <rFont val="Calibri"/>
        <family val="2"/>
      </rPr>
      <t>NOX</t>
    </r>
    <r>
      <rPr>
        <sz val="11"/>
        <rFont val="Calibri"/>
        <family val="2"/>
      </rPr>
      <t>*r3+v5_S</t>
    </r>
    <r>
      <rPr>
        <vertAlign val="subscript"/>
        <sz val="11"/>
        <rFont val="Calibri"/>
        <family val="2"/>
      </rPr>
      <t>NOX</t>
    </r>
    <r>
      <rPr>
        <sz val="11"/>
        <rFont val="Calibri"/>
        <family val="2"/>
      </rPr>
      <t>*r5+v7_S</t>
    </r>
    <r>
      <rPr>
        <vertAlign val="subscript"/>
        <sz val="11"/>
        <rFont val="Calibri"/>
        <family val="2"/>
      </rPr>
      <t>NOX</t>
    </r>
    <r>
      <rPr>
        <sz val="11"/>
        <rFont val="Calibri"/>
        <family val="2"/>
      </rPr>
      <t>*r7+v9_S</t>
    </r>
    <r>
      <rPr>
        <vertAlign val="subscript"/>
        <sz val="11"/>
        <rFont val="Calibri"/>
        <family val="2"/>
      </rPr>
      <t>NOX</t>
    </r>
    <r>
      <rPr>
        <sz val="11"/>
        <rFont val="Calibri"/>
        <family val="2"/>
      </rPr>
      <t>*r9+v10_S</t>
    </r>
    <r>
      <rPr>
        <vertAlign val="subscript"/>
        <sz val="11"/>
        <rFont val="Calibri"/>
        <family val="2"/>
      </rPr>
      <t>NOX</t>
    </r>
    <r>
      <rPr>
        <sz val="11"/>
        <rFont val="Calibri"/>
        <family val="2"/>
      </rPr>
      <t>*r10+v12_S</t>
    </r>
    <r>
      <rPr>
        <vertAlign val="subscript"/>
        <sz val="11"/>
        <rFont val="Calibri"/>
        <family val="2"/>
      </rPr>
      <t>NOX</t>
    </r>
    <r>
      <rPr>
        <sz val="11"/>
        <rFont val="Calibri"/>
        <family val="2"/>
      </rPr>
      <t>*r12)</t>
    </r>
  </si>
  <si>
    <r>
      <t>-(v1_S</t>
    </r>
    <r>
      <rPr>
        <vertAlign val="subscript"/>
        <sz val="11"/>
        <rFont val="Calibri"/>
        <family val="2"/>
      </rPr>
      <t>NH4</t>
    </r>
    <r>
      <rPr>
        <sz val="11"/>
        <rFont val="Calibri"/>
        <family val="2"/>
      </rPr>
      <t>*r1 + v2_S</t>
    </r>
    <r>
      <rPr>
        <vertAlign val="subscript"/>
        <sz val="11"/>
        <rFont val="Calibri"/>
        <family val="2"/>
      </rPr>
      <t>NH4</t>
    </r>
    <r>
      <rPr>
        <sz val="11"/>
        <rFont val="Calibri"/>
        <family val="2"/>
      </rPr>
      <t>*r2 + v3_S</t>
    </r>
    <r>
      <rPr>
        <vertAlign val="subscript"/>
        <sz val="11"/>
        <rFont val="Calibri"/>
        <family val="2"/>
      </rPr>
      <t>NH4</t>
    </r>
    <r>
      <rPr>
        <sz val="11"/>
        <rFont val="Calibri"/>
        <family val="2"/>
      </rPr>
      <t>*r3 + v4_S</t>
    </r>
    <r>
      <rPr>
        <vertAlign val="subscript"/>
        <sz val="11"/>
        <rFont val="Calibri"/>
        <family val="2"/>
      </rPr>
      <t>NH4</t>
    </r>
    <r>
      <rPr>
        <sz val="11"/>
        <rFont val="Calibri"/>
        <family val="2"/>
      </rPr>
      <t>*r4 + v5_S</t>
    </r>
    <r>
      <rPr>
        <vertAlign val="subscript"/>
        <sz val="11"/>
        <rFont val="Calibri"/>
        <family val="2"/>
      </rPr>
      <t>NH4</t>
    </r>
    <r>
      <rPr>
        <sz val="11"/>
        <rFont val="Calibri"/>
        <family val="2"/>
      </rPr>
      <t>*r5 + v6_S</t>
    </r>
    <r>
      <rPr>
        <vertAlign val="subscript"/>
        <sz val="11"/>
        <rFont val="Calibri"/>
        <family val="2"/>
      </rPr>
      <t>NH4</t>
    </r>
    <r>
      <rPr>
        <sz val="11"/>
        <rFont val="Calibri"/>
        <family val="2"/>
      </rPr>
      <t>*r6 + v7_S</t>
    </r>
    <r>
      <rPr>
        <vertAlign val="subscript"/>
        <sz val="11"/>
        <rFont val="Calibri"/>
        <family val="2"/>
      </rPr>
      <t>NH4</t>
    </r>
    <r>
      <rPr>
        <sz val="11"/>
        <rFont val="Calibri"/>
        <family val="2"/>
      </rPr>
      <t>*r7 + v10_S</t>
    </r>
    <r>
      <rPr>
        <vertAlign val="subscript"/>
        <sz val="11"/>
        <rFont val="Calibri"/>
        <family val="2"/>
      </rPr>
      <t>NH4</t>
    </r>
    <r>
      <rPr>
        <sz val="11"/>
        <rFont val="Calibri"/>
        <family val="2"/>
      </rPr>
      <t>*r10 + v11_S</t>
    </r>
    <r>
      <rPr>
        <vertAlign val="subscript"/>
        <sz val="11"/>
        <rFont val="Calibri"/>
        <family val="2"/>
      </rPr>
      <t>NH4</t>
    </r>
    <r>
      <rPr>
        <sz val="11"/>
        <rFont val="Calibri"/>
        <family val="2"/>
      </rPr>
      <t>*r11 + v12_S</t>
    </r>
    <r>
      <rPr>
        <vertAlign val="subscript"/>
        <sz val="11"/>
        <rFont val="Calibri"/>
        <family val="2"/>
      </rPr>
      <t>NH4</t>
    </r>
    <r>
      <rPr>
        <sz val="11"/>
        <rFont val="Calibri"/>
        <family val="2"/>
      </rPr>
      <t>*r12)</t>
    </r>
  </si>
  <si>
    <t>Biofilm</t>
  </si>
  <si>
    <t>Other system parameters</t>
  </si>
  <si>
    <t>NoName</t>
  </si>
  <si>
    <t>Testing Attributes</t>
  </si>
  <si>
    <t>Input</t>
  </si>
  <si>
    <t>TestAttribute</t>
  </si>
  <si>
    <t>pH</t>
  </si>
  <si>
    <r>
      <t>H</t>
    </r>
    <r>
      <rPr>
        <vertAlign val="subscript"/>
        <sz val="11"/>
        <rFont val="Calibri"/>
        <family val="2"/>
        <scheme val="minor"/>
      </rPr>
      <t>null</t>
    </r>
  </si>
  <si>
    <t>Enthalpy of water at 0°C</t>
  </si>
  <si>
    <r>
      <t>EEQ</t>
    </r>
    <r>
      <rPr>
        <vertAlign val="subscript"/>
        <sz val="11"/>
        <rFont val="Calibri"/>
        <family val="2"/>
        <scheme val="minor"/>
      </rPr>
      <t>H2S</t>
    </r>
  </si>
  <si>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</si>
  <si>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</si>
  <si>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</si>
  <si>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</si>
  <si>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</si>
  <si>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</si>
  <si>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</si>
  <si>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</si>
  <si>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</si>
  <si>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t>Zero</t>
  </si>
  <si>
    <t>BigNumber</t>
  </si>
  <si>
    <t>SmallNumber</t>
  </si>
  <si>
    <t xml:space="preserve"> -BigNumber</t>
  </si>
  <si>
    <t>Filtered biochemical oxygen demand (5 days)</t>
  </si>
  <si>
    <t>Particulate biochemical oxygen demand (5 days)</t>
  </si>
  <si>
    <t>Total biochemical oxygen demand (5 days)</t>
  </si>
  <si>
    <t>Rate</t>
  </si>
  <si>
    <t>NonDetect</t>
  </si>
  <si>
    <r>
      <t>-(1-Y</t>
    </r>
    <r>
      <rPr>
        <vertAlign val="subscript"/>
        <sz val="12"/>
        <rFont val="Arial"/>
        <family val="2"/>
      </rPr>
      <t>STO,NOX</t>
    </r>
    <r>
      <rPr>
        <sz val="12"/>
        <rFont val="Arial"/>
        <family val="2"/>
      </rPr>
      <t>)/( i</t>
    </r>
    <r>
      <rPr>
        <vertAlign val="subscript"/>
        <sz val="12"/>
        <rFont val="Arial"/>
        <family val="2"/>
      </rPr>
      <t>NO3,N2</t>
    </r>
    <r>
      <rPr>
        <sz val="12"/>
        <rFont val="Arial"/>
        <family val="2"/>
      </rPr>
      <t>)</t>
    </r>
  </si>
  <si>
    <t>Sidestream</t>
  </si>
  <si>
    <t>%v/v</t>
  </si>
  <si>
    <t>Advanced</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</si>
  <si>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</si>
  <si>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</si>
  <si>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</si>
  <si>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</si>
  <si>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</si>
  <si>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Activated sludge</t>
  </si>
  <si>
    <t>unitless</t>
  </si>
  <si>
    <r>
      <t>X</t>
    </r>
    <r>
      <rPr>
        <vertAlign val="subscript"/>
        <sz val="11"/>
        <rFont val="Calibri"/>
        <family val="2"/>
        <scheme val="minor"/>
      </rPr>
      <t>ISS</t>
    </r>
  </si>
  <si>
    <t>Inorganic suspended solids</t>
  </si>
  <si>
    <r>
      <t>X</t>
    </r>
    <r>
      <rPr>
        <vertAlign val="subscript"/>
        <sz val="11"/>
        <rFont val="Calibri"/>
        <family val="2"/>
      </rPr>
      <t>TSS</t>
    </r>
    <r>
      <rPr>
        <sz val="11"/>
        <rFont val="Calibri"/>
        <family val="2"/>
      </rPr>
      <t>-X</t>
    </r>
    <r>
      <rPr>
        <vertAlign val="subscript"/>
        <sz val="11"/>
        <rFont val="Calibri"/>
        <family val="2"/>
      </rPr>
      <t>VSS</t>
    </r>
  </si>
  <si>
    <r>
      <t>X</t>
    </r>
    <r>
      <rPr>
        <vertAlign val="subscript"/>
        <sz val="11"/>
        <rFont val="Calibri"/>
        <family val="2"/>
        <scheme val="minor"/>
      </rPr>
      <t>DM</t>
    </r>
  </si>
  <si>
    <t>Dry matter</t>
  </si>
  <si>
    <r>
      <t>g COD.g VS</t>
    </r>
    <r>
      <rPr>
        <vertAlign val="superscript"/>
        <sz val="11"/>
        <rFont val="Calibri"/>
        <family val="2"/>
        <scheme val="minor"/>
      </rPr>
      <t>-1</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</si>
  <si>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</si>
  <si>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</si>
  <si>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CV,SS</t>
    </r>
  </si>
  <si>
    <r>
      <t>S</t>
    </r>
    <r>
      <rPr>
        <vertAlign val="subscript"/>
        <sz val="11"/>
        <rFont val="Calibri"/>
        <family val="2"/>
        <scheme val="minor"/>
      </rPr>
      <t>S</t>
    </r>
    <r>
      <rPr>
        <sz val="11"/>
        <rFont val="Calibri"/>
        <family val="2"/>
        <scheme val="minor"/>
      </rPr>
      <t xml:space="preserve"> S</t>
    </r>
    <r>
      <rPr>
        <vertAlign val="subscript"/>
        <sz val="11"/>
        <rFont val="Calibri"/>
        <family val="2"/>
        <scheme val="minor"/>
      </rPr>
      <t>COD</t>
    </r>
    <r>
      <rPr>
        <sz val="11"/>
        <rFont val="Calibri"/>
        <family val="2"/>
        <scheme val="minor"/>
      </rPr>
      <t>/VS ratio</t>
    </r>
  </si>
  <si>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S</t>
    </r>
    <r>
      <rPr>
        <sz val="11"/>
        <rFont val="Calibri"/>
        <family val="2"/>
        <scheme val="minor"/>
      </rPr>
      <t>/i</t>
    </r>
    <r>
      <rPr>
        <vertAlign val="subscript"/>
        <sz val="11"/>
        <rFont val="Calibri"/>
        <family val="2"/>
        <scheme val="minor"/>
      </rPr>
      <t>CV,SS</t>
    </r>
    <r>
      <rPr>
        <sz val="11"/>
        <rFont val="Calibri"/>
        <family val="2"/>
        <scheme val="minor"/>
      </rPr>
      <t>+S</t>
    </r>
    <r>
      <rPr>
        <vertAlign val="subscript"/>
        <sz val="11"/>
        <rFont val="Calibri"/>
        <family val="2"/>
        <scheme val="minor"/>
      </rPr>
      <t>NH4</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NOX</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
    </r>
  </si>
  <si>
    <r>
      <t>g.m</t>
    </r>
    <r>
      <rPr>
        <vertAlign val="superscript"/>
        <sz val="11"/>
        <rFont val="Calibri"/>
        <family val="2"/>
      </rPr>
      <t>-3</t>
    </r>
    <r>
      <rPr>
        <sz val="11"/>
        <rFont val="Calibri"/>
        <family val="2"/>
      </rPr>
      <t>.d</t>
    </r>
    <r>
      <rPr>
        <vertAlign val="superscript"/>
        <sz val="11"/>
        <rFont val="Calibri"/>
        <family val="2"/>
      </rPr>
      <t>-1</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</si>
  <si>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</si>
  <si>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</si>
  <si>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</si>
  <si>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</si>
  <si>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</si>
  <si>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</si>
  <si>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</si>
  <si>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MinStateVar</t>
  </si>
  <si>
    <t>MaxStateVar</t>
  </si>
  <si>
    <t>Separators</t>
  </si>
  <si>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</si>
  <si>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G</t>
    </r>
    <r>
      <rPr>
        <vertAlign val="subscript"/>
        <sz val="11"/>
        <rFont val="Calibri"/>
        <family val="2"/>
      </rPr>
      <t>CO2,atm</t>
    </r>
  </si>
  <si>
    <r>
      <t>Carbon dioxide gas (CO</t>
    </r>
    <r>
      <rPr>
        <vertAlign val="subscript"/>
        <sz val="11"/>
        <rFont val="Calibri"/>
        <family val="2"/>
      </rPr>
      <t>2</t>
    </r>
    <r>
      <rPr>
        <sz val="11"/>
        <rFont val="Calibri"/>
        <family val="2"/>
      </rPr>
      <t>)</t>
    </r>
  </si>
  <si>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</si>
  <si>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</si>
  <si>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</si>
  <si>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</si>
  <si>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</si>
  <si>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</si>
  <si>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</si>
  <si>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</si>
  <si>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</si>
  <si>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</si>
  <si>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</si>
  <si>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</si>
  <si>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</si>
  <si>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</si>
  <si>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</si>
  <si>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</si>
  <si>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</si>
  <si>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</si>
  <si>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</si>
  <si>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</si>
  <si>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</si>
  <si>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</si>
  <si>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</si>
  <si>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</si>
  <si>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Diffusion coefficient of N</t>
    </r>
    <r>
      <rPr>
        <vertAlign val="subscript"/>
        <sz val="11"/>
        <rFont val="Calibri"/>
        <family val="2"/>
      </rPr>
      <t>2</t>
    </r>
    <r>
      <rPr>
        <sz val="11"/>
        <rFont val="Calibri"/>
        <family val="2"/>
      </rPr>
      <t>O in water @ 25°C</t>
    </r>
  </si>
  <si>
    <r>
      <t>D</t>
    </r>
    <r>
      <rPr>
        <vertAlign val="subscript"/>
        <sz val="11"/>
        <rFont val="Calibri"/>
        <family val="2"/>
        <scheme val="minor"/>
      </rPr>
      <t>GH2S,25</t>
    </r>
  </si>
  <si>
    <t>Diffusion coefficient of hydrogen sulfide in water @ 25°C</t>
  </si>
  <si>
    <t>Nitrate uptake rate (NUR)</t>
  </si>
  <si>
    <t>Total ultimate biochemical oxygen demand</t>
  </si>
  <si>
    <r>
      <t>K</t>
    </r>
    <r>
      <rPr>
        <vertAlign val="subscript"/>
        <sz val="11"/>
        <rFont val="Calibri"/>
        <family val="2"/>
        <scheme val="minor"/>
      </rPr>
      <t>A,O2</t>
    </r>
  </si>
  <si>
    <r>
      <t>K</t>
    </r>
    <r>
      <rPr>
        <vertAlign val="subscript"/>
        <sz val="11"/>
        <rFont val="Calibri"/>
        <family val="2"/>
        <scheme val="minor"/>
      </rPr>
      <t>A,NH4</t>
    </r>
  </si>
  <si>
    <r>
      <t>K</t>
    </r>
    <r>
      <rPr>
        <vertAlign val="subscript"/>
        <sz val="11"/>
        <rFont val="Calibri"/>
        <family val="2"/>
        <scheme val="minor"/>
      </rPr>
      <t>A,ALK</t>
    </r>
  </si>
  <si>
    <t>Depreciated constants from next Sumo version</t>
  </si>
  <si>
    <t>Deprecated, do not use it in new code. Will be removed after Sumo18.</t>
  </si>
  <si>
    <r>
      <t>J.m</t>
    </r>
    <r>
      <rPr>
        <vertAlign val="superscript"/>
        <sz val="11"/>
        <rFont val="Calibri"/>
        <family val="2"/>
        <scheme val="minor"/>
      </rPr>
      <t>-3</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</si>
  <si>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</si>
  <si>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</si>
  <si>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</si>
  <si>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</si>
  <si>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</si>
  <si>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</si>
  <si>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</si>
  <si>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</si>
  <si>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</si>
  <si>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</si>
  <si>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</si>
  <si>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</si>
  <si>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t>Diffusion coefficients for gas phase state variables</t>
  </si>
  <si>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</si>
  <si>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</si>
  <si>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</si>
  <si>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</si>
  <si>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r>
      <t>η</t>
    </r>
    <r>
      <rPr>
        <vertAlign val="subscript"/>
        <sz val="11"/>
        <rFont val="Calibri"/>
        <family val="2"/>
        <scheme val="minor"/>
      </rPr>
      <t>H2O</t>
    </r>
  </si>
  <si>
    <t>Dynamic viscosity of water</t>
  </si>
  <si>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</si>
  <si>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</si>
  <si>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</si>
  <si>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</si>
  <si>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</si>
  <si>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</si>
  <si>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</si>
  <si>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</si>
  <si>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</si>
  <si>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</si>
  <si>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</si>
  <si>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</si>
  <si>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</si>
  <si>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κ</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</si>
  <si>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</si>
  <si>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</si>
  <si>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</si>
  <si>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</si>
  <si>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</si>
  <si>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</si>
  <si>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</si>
  <si>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</si>
  <si>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</si>
  <si>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</si>
  <si>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</si>
  <si>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</si>
  <si>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</si>
  <si>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</si>
  <si>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</si>
  <si>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</si>
  <si>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</si>
  <si>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t>Molar mass of ammonium ion</t>
  </si>
  <si>
    <t>Molar mass of nitrite ion</t>
  </si>
  <si>
    <t>Molar mass of nitrate ion</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</si>
  <si>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</si>
  <si>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</si>
  <si>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</si>
  <si>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</si>
  <si>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</si>
  <si>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</si>
  <si>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</si>
  <si>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</si>
  <si>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</si>
  <si>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</si>
  <si>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</si>
  <si>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</si>
  <si>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</si>
  <si>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</si>
  <si>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</si>
  <si>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</si>
  <si>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</si>
  <si>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</si>
  <si>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</si>
  <si>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</si>
  <si>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</si>
  <si>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</si>
  <si>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</si>
  <si>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</si>
  <si>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</si>
  <si>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</si>
  <si>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</si>
  <si>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</si>
  <si>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</si>
  <si>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</si>
  <si>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</si>
  <si>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</si>
  <si>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</si>
  <si>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</si>
  <si>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</si>
  <si>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</si>
  <si>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MgOH2</t>
    </r>
  </si>
  <si>
    <t>Molecular mass of Mg(OH)2</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</si>
  <si>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</si>
  <si>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</si>
  <si>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</si>
  <si>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</si>
  <si>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</si>
  <si>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</si>
  <si>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</si>
  <si>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</si>
  <si>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</si>
  <si>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</si>
  <si>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</si>
  <si>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</si>
  <si>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</si>
  <si>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</si>
  <si>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</si>
  <si>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</si>
  <si>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</si>
  <si>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</si>
  <si>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</si>
  <si>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</si>
  <si>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</si>
  <si>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</si>
  <si>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</si>
  <si>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</si>
  <si>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</si>
  <si>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</si>
  <si>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</si>
  <si>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</si>
  <si>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</si>
  <si>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</si>
  <si>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</si>
  <si>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</si>
  <si>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</si>
  <si>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</si>
  <si>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</si>
  <si>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</si>
  <si>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</si>
  <si>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</si>
  <si>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</si>
  <si>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</si>
  <si>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</si>
  <si>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</si>
  <si>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</si>
  <si>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</si>
  <si>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</si>
  <si>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</si>
  <si>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</si>
  <si>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</si>
  <si>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</si>
  <si>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</si>
  <si>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</si>
  <si>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</si>
  <si>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</si>
  <si>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</si>
  <si>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</si>
  <si>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r>
      <t>K</t>
    </r>
    <r>
      <rPr>
        <vertAlign val="subscript"/>
        <sz val="11"/>
        <rFont val="Calibri"/>
        <family val="2"/>
        <scheme val="minor"/>
      </rPr>
      <t>S1,param</t>
    </r>
  </si>
  <si>
    <t>Dissociation constant of hydrogen sulfide</t>
  </si>
  <si>
    <t>NIST  (Minteq V4) 25°C</t>
  </si>
  <si>
    <r>
      <t>K</t>
    </r>
    <r>
      <rPr>
        <vertAlign val="subscript"/>
        <sz val="11"/>
        <rFont val="Calibri"/>
        <family val="2"/>
        <scheme val="minor"/>
      </rPr>
      <t>S2,param</t>
    </r>
  </si>
  <si>
    <t>Dissociation constant of bisulfide ion</t>
  </si>
  <si>
    <r>
      <t>K</t>
    </r>
    <r>
      <rPr>
        <vertAlign val="subscript"/>
        <sz val="11"/>
        <rFont val="Calibri"/>
        <family val="2"/>
        <scheme val="minor"/>
      </rPr>
      <t>SO41,param</t>
    </r>
  </si>
  <si>
    <t>Dissociation constant of sulfuric acid</t>
  </si>
  <si>
    <t>Hvitved-Jacobsen 2013</t>
  </si>
  <si>
    <r>
      <t>K</t>
    </r>
    <r>
      <rPr>
        <vertAlign val="subscript"/>
        <sz val="11"/>
        <rFont val="Calibri"/>
        <family val="2"/>
        <scheme val="minor"/>
      </rPr>
      <t>SO42,param</t>
    </r>
  </si>
  <si>
    <t>Dissociation constant of bisulfate</t>
  </si>
  <si>
    <t>NIST (Minteq V4) 25°C</t>
  </si>
  <si>
    <r>
      <t>K</t>
    </r>
    <r>
      <rPr>
        <vertAlign val="subscript"/>
        <sz val="11"/>
        <rFont val="Calibri"/>
        <family val="2"/>
        <charset val="238"/>
        <scheme val="minor"/>
      </rPr>
      <t>H2S,param</t>
    </r>
  </si>
  <si>
    <t>Precipitation constants</t>
  </si>
  <si>
    <r>
      <t>K</t>
    </r>
    <r>
      <rPr>
        <vertAlign val="subscript"/>
        <sz val="11"/>
        <rFont val="Calibri"/>
        <family val="2"/>
        <scheme val="minor"/>
      </rPr>
      <t>sp,CaCO3,param</t>
    </r>
  </si>
  <si>
    <t>Solubility  constant of CaCO3</t>
  </si>
  <si>
    <r>
      <t>K</t>
    </r>
    <r>
      <rPr>
        <vertAlign val="subscript"/>
        <sz val="11"/>
        <rFont val="Calibri"/>
        <family val="2"/>
        <scheme val="minor"/>
      </rPr>
      <t>sp,STR,param</t>
    </r>
  </si>
  <si>
    <t>Solubility  constant of struvite</t>
  </si>
  <si>
    <r>
      <t>K</t>
    </r>
    <r>
      <rPr>
        <vertAlign val="subscript"/>
        <sz val="11"/>
        <rFont val="Calibri"/>
        <family val="2"/>
        <scheme val="minor"/>
      </rPr>
      <t>sp,ACP,param</t>
    </r>
  </si>
  <si>
    <t>Solubility constant of ACP</t>
  </si>
  <si>
    <t>Musvoto et al. (2000) =10^(-25.46)</t>
  </si>
  <si>
    <r>
      <t>K</t>
    </r>
    <r>
      <rPr>
        <vertAlign val="subscript"/>
        <sz val="11"/>
        <rFont val="Calibri"/>
        <family val="2"/>
        <scheme val="minor"/>
      </rPr>
      <t>sp,Vivi,param</t>
    </r>
  </si>
  <si>
    <t>Solubility constant of vivianite</t>
  </si>
  <si>
    <t>Nriagu (1972); Al-Borno and Tomson (1994): 35.755 at 25°C DeltaH°: 5.05 kJ.mol-1 (small temperature dependency)</t>
  </si>
  <si>
    <r>
      <t>K</t>
    </r>
    <r>
      <rPr>
        <vertAlign val="subscript"/>
        <sz val="11"/>
        <rFont val="Calibri"/>
        <family val="2"/>
        <scheme val="minor"/>
      </rPr>
      <t>sp,FeS,param</t>
    </r>
  </si>
  <si>
    <t>Solubility constant of FeS</t>
  </si>
  <si>
    <r>
      <t>K</t>
    </r>
    <r>
      <rPr>
        <vertAlign val="subscript"/>
        <sz val="11"/>
        <rFont val="Calibri"/>
        <family val="2"/>
        <scheme val="minor"/>
      </rPr>
      <t>sp,HDP,param</t>
    </r>
  </si>
  <si>
    <t>Solubility constant of HDP</t>
  </si>
  <si>
    <r>
      <t>K</t>
    </r>
    <r>
      <rPr>
        <vertAlign val="subscript"/>
        <sz val="11"/>
        <rFont val="Calibri"/>
        <family val="2"/>
        <scheme val="minor"/>
      </rPr>
      <t>sp,MKP,param</t>
    </r>
  </si>
  <si>
    <t>Solubility constant of MKP</t>
  </si>
  <si>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</si>
  <si>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</si>
  <si>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</si>
  <si>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</si>
  <si>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</si>
  <si>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</si>
  <si>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</si>
  <si>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</si>
  <si>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</si>
  <si>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</si>
  <si>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</si>
  <si>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</si>
  <si>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</si>
  <si>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</si>
  <si>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</si>
  <si>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</si>
  <si>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</si>
  <si>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</si>
  <si>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</si>
  <si>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</si>
  <si>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</si>
  <si>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</si>
  <si>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</si>
  <si>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</si>
  <si>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</si>
  <si>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</si>
  <si>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</si>
  <si>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</si>
  <si>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</si>
  <si>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</si>
  <si>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</si>
  <si>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</si>
  <si>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</si>
  <si>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</si>
  <si>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</si>
  <si>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</si>
  <si>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</si>
  <si>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</si>
  <si>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</si>
  <si>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</si>
  <si>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</si>
  <si>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</si>
  <si>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</si>
  <si>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</si>
  <si>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</si>
  <si>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r>
      <t>Pa.Hgmm</t>
    </r>
    <r>
      <rPr>
        <vertAlign val="superscript"/>
        <sz val="11"/>
        <rFont val="Calibri"/>
        <family val="2"/>
        <scheme val="minor"/>
      </rPr>
      <t>-1</t>
    </r>
  </si>
  <si>
    <t>Conversion coefficient between pascal and bar</t>
  </si>
  <si>
    <r>
      <t>Pa.bar</t>
    </r>
    <r>
      <rPr>
        <vertAlign val="superscript"/>
        <sz val="11"/>
        <rFont val="Calibri"/>
        <family val="2"/>
        <scheme val="minor"/>
      </rPr>
      <t>-1</t>
    </r>
  </si>
  <si>
    <r>
      <t>c</t>
    </r>
    <r>
      <rPr>
        <vertAlign val="subscript"/>
        <sz val="11"/>
        <rFont val="Calibri"/>
        <family val="2"/>
        <scheme val="minor"/>
      </rPr>
      <t>cm,m</t>
    </r>
  </si>
  <si>
    <t>Conversion coefficient between centimeters and meters</t>
  </si>
  <si>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</si>
  <si>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</si>
  <si>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</si>
  <si>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</si>
  <si>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</si>
  <si>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</si>
  <si>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</si>
  <si>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</si>
  <si>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</si>
  <si>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</si>
  <si>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</si>
  <si>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</si>
  <si>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</si>
  <si>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</si>
  <si>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</si>
  <si>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</si>
  <si>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</si>
  <si>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</si>
  <si>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</si>
  <si>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</si>
  <si>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</si>
  <si>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</si>
  <si>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</si>
  <si>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t>Standard enthalpy of Magnesium ion</t>
  </si>
  <si>
    <r>
      <t>H</t>
    </r>
    <r>
      <rPr>
        <vertAlign val="subscript"/>
        <sz val="11"/>
        <rFont val="Calibri"/>
        <family val="2"/>
        <scheme val="minor"/>
      </rPr>
      <t>Nap</t>
    </r>
  </si>
  <si>
    <t>Standard enthalpy of sodium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</si>
  <si>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</si>
  <si>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</si>
  <si>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</si>
  <si>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</si>
  <si>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</si>
  <si>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</si>
  <si>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</si>
  <si>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</si>
  <si>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</si>
  <si>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</si>
  <si>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</si>
  <si>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</si>
  <si>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</si>
  <si>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</si>
  <si>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</si>
  <si>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</si>
  <si>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</si>
  <si>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</si>
  <si>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</si>
  <si>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</si>
  <si>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</si>
  <si>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</si>
  <si>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</si>
  <si>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</si>
  <si>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</si>
  <si>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</si>
  <si>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</si>
  <si>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</si>
  <si>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</si>
  <si>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</si>
  <si>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</si>
  <si>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</si>
  <si>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</si>
  <si>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</si>
  <si>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</si>
  <si>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</si>
  <si>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</si>
  <si>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</si>
  <si>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</si>
  <si>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</si>
  <si>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</si>
  <si>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</si>
  <si>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</si>
  <si>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</si>
  <si>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</si>
  <si>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</si>
  <si>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</si>
  <si>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</si>
  <si>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</si>
  <si>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</si>
  <si>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</si>
  <si>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</si>
  <si>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</si>
  <si>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</si>
  <si>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</si>
  <si>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</si>
  <si>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</si>
  <si>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</si>
  <si>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</si>
  <si>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</si>
  <si>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</si>
  <si>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</si>
  <si>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</si>
  <si>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</si>
  <si>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</si>
  <si>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</si>
  <si>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</si>
  <si>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</si>
  <si>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</si>
  <si>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</si>
  <si>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</si>
  <si>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</si>
  <si>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</si>
  <si>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</si>
  <si>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</si>
  <si>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</si>
  <si>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</si>
  <si>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</si>
  <si>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</si>
  <si>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</si>
  <si>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</si>
  <si>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</si>
  <si>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</si>
  <si>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</si>
  <si>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</si>
  <si>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</si>
  <si>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</si>
  <si>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</si>
  <si>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</si>
  <si>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</si>
  <si>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</si>
  <si>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</si>
  <si>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</si>
  <si>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</si>
  <si>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</si>
  <si>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</si>
  <si>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</si>
  <si>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</si>
  <si>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</si>
  <si>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</si>
  <si>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</si>
  <si>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</si>
  <si>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</si>
  <si>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</si>
  <si>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</si>
  <si>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</si>
  <si>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</si>
  <si>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</si>
  <si>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</si>
  <si>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</si>
  <si>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</si>
  <si>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</si>
  <si>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</si>
  <si>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</si>
  <si>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</si>
  <si>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</si>
  <si>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</si>
  <si>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</si>
  <si>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</si>
  <si>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</si>
  <si>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</si>
  <si>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</si>
  <si>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</si>
  <si>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</si>
  <si>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</si>
  <si>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</si>
  <si>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</si>
  <si>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</si>
  <si>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</si>
  <si>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</si>
  <si>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</si>
  <si>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</si>
  <si>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</si>
  <si>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</si>
  <si>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</si>
  <si>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</si>
  <si>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</si>
  <si>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</si>
  <si>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</si>
  <si>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</si>
  <si>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</si>
  <si>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</si>
  <si>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</si>
  <si>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</si>
  <si>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</si>
  <si>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</si>
  <si>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</si>
  <si>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</si>
  <si>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</si>
  <si>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</si>
  <si>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</si>
  <si>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</si>
  <si>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</si>
  <si>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</si>
  <si>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</si>
  <si>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</si>
  <si>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www.dynamita.com</t>
  </si>
  <si>
    <t>Koch G., M. Kuhni, W. Gujer and H. Siegrist (2000). Calibration and validation of activated sludge model no. 3 for Swiss municipal wastewater.Water research 34(14), 3580-3590</t>
  </si>
  <si>
    <t>Henze M., Gujer W., Mino T., Matsuo T., Wentzel M. C., Marais G.v.R., and van Loosdrecht M.C.M. (2000). Activated Sludge Model No. 2d, IWA Publishing, Scientific and Technical Report No. 9, London IWA.</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</si>
  <si>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</si>
  <si>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</si>
  <si>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</si>
  <si>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</si>
  <si>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</si>
  <si>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</si>
  <si>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</si>
  <si>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</si>
  <si>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</si>
  <si>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</si>
  <si>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</si>
  <si>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</si>
  <si>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</si>
  <si>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</si>
  <si>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</si>
  <si>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</si>
  <si>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</si>
  <si>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</si>
  <si>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O2</t>
  </si>
  <si>
    <t>TSS</t>
  </si>
  <si>
    <t>TIC</t>
  </si>
  <si>
    <t>Biomass</t>
  </si>
  <si>
    <t xml:space="preserve">Saturation term for ammonia (NH4+NH3) </t>
  </si>
  <si>
    <t xml:space="preserve">Saturation term for alkalinity </t>
  </si>
  <si>
    <t xml:space="preserve">Inhibition term for dissolved oxygen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</si>
</sst>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0000"/>
    <numFmt numFmtId="166" formatCode="0.0"/>
  </numFmts>
  <fonts count="81"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0"/>
      <name val="Arial"/>
      <family val="2"/>
      <charset val="238"/>
    </font>
    <font>
      <sz val="11"/>
      <name val="Calibri"/>
      <family val="2"/>
    </font>
    <font>
      <sz val="11"/>
      <color indexed="8"/>
      <name val="Arial"/>
      <family val="2"/>
    </font>
    <font>
      <b/>
      <sz val="11"/>
      <name val="Calibri"/>
      <family val="2"/>
    </font>
    <font>
      <sz val="11"/>
      <name val="Calibri"/>
      <family val="2"/>
      <scheme val="minor"/>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b/>
      <sz val="11"/>
      <color indexed="9"/>
      <name val="Calibri"/>
      <family val="2"/>
      <charset val="238"/>
    </font>
    <font>
      <sz val="11"/>
      <color indexed="10"/>
      <name val="Calibri"/>
      <family val="2"/>
      <charset val="238"/>
    </font>
    <font>
      <sz val="11"/>
      <color indexed="52"/>
      <name val="Calibri"/>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1"/>
      <color indexed="20"/>
      <name val="Calibri"/>
      <family val="2"/>
      <charset val="238"/>
    </font>
    <font>
      <sz val="11"/>
      <color indexed="60"/>
      <name val="Calibri"/>
      <family val="2"/>
      <charset val="238"/>
    </font>
    <font>
      <b/>
      <sz val="11"/>
      <color indexed="52"/>
      <name val="Calibri"/>
      <family val="2"/>
      <charset val="238"/>
    </font>
    <font>
      <b/>
      <i/>
      <sz val="12"/>
      <name val="Arial"/>
      <family val="2"/>
    </font>
    <font>
      <vertAlign val="subscript"/>
      <sz val="12"/>
      <name val="Arial"/>
      <family val="2"/>
    </font>
    <font>
      <i/>
      <sz val="12"/>
      <name val="Arial"/>
      <family val="2"/>
    </font>
    <font>
      <b/>
      <vertAlign val="subscript"/>
      <sz val="12"/>
      <name val="Arial"/>
      <family val="2"/>
    </font>
    <font>
      <b/>
      <sz val="11"/>
      <name val="Arial"/>
      <family val="2"/>
    </font>
    <font>
      <sz val="12"/>
      <name val="Arial"/>
      <family val="2"/>
    </font>
    <font>
      <b/>
      <vertAlign val="subscript"/>
      <sz val="11"/>
      <name val="Arial"/>
      <family val="2"/>
    </font>
    <font>
      <sz val="11"/>
      <name val="Arial"/>
      <family val="2"/>
    </font>
    <font>
      <b/>
      <sz val="11"/>
      <name val="Calibri"/>
      <family val="2"/>
      <charset val="238"/>
    </font>
    <font>
      <b/>
      <i/>
      <sz val="11"/>
      <name val="Calibri"/>
      <family val="2"/>
      <charset val="238"/>
    </font>
    <font>
      <i/>
      <sz val="11"/>
      <name val="Calibri"/>
      <family val="2"/>
      <scheme val="minor"/>
    </font>
    <font>
      <vertAlign val="subscript"/>
      <sz val="11"/>
      <name val="Calibri"/>
      <family val="2"/>
    </font>
    <font>
      <vertAlign val="superscript"/>
      <sz val="11"/>
      <name val="Calibri"/>
      <family val="2"/>
    </font>
    <font>
      <b/>
      <sz val="11"/>
      <color indexed="8"/>
      <name val="Calibri"/>
      <family val="2"/>
      <scheme val="minor"/>
    </font>
    <font>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scheme val="minor"/>
    </font>
    <font>
      <i/>
      <vertAlign val="subscript"/>
      <sz val="11"/>
      <name val="Calibri"/>
      <family val="2"/>
      <scheme val="minor"/>
    </font>
    <font>
      <b/>
      <i/>
      <sz val="11"/>
      <name val="Calibri"/>
      <family val="2"/>
      <scheme val="minor"/>
    </font>
    <font>
      <vertAlign val="subscript"/>
      <sz val="11"/>
      <name val="Calibri"/>
      <family val="2"/>
      <charset val="238"/>
    </font>
    <font>
      <vertAlign val="subscript"/>
      <sz val="11"/>
      <name val="Calibri"/>
      <family val="2"/>
      <charset val="238"/>
      <scheme val="minor"/>
    </font>
    <font>
      <sz val="11"/>
      <name val="Calibri"/>
      <family val="2"/>
      <charset val="238"/>
    </font>
    <font>
      <i/>
      <vertAlign val="subscript"/>
      <sz val="12"/>
      <name val="Arial"/>
      <family val="2"/>
    </font>
    <font>
      <vertAlign val="subscript"/>
      <sz val="11"/>
      <color theme="1"/>
      <name val="Calibri"/>
      <family val="2"/>
      <scheme val="minor"/>
    </font>
    <font>
      <vertAlign val="superscript"/>
      <sz val="11"/>
      <color theme="1"/>
      <name val="Calibri"/>
      <family val="2"/>
      <scheme val="minor"/>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b/>
      <sz val="11"/>
      <color indexed="9"/>
      <name val="Calibri"/>
      <family val="2"/>
      <scheme val="minor"/>
    </font>
    <font>
      <vertAlign val="superscript"/>
      <sz val="11"/>
      <name val="Calibri"/>
      <family val="2"/>
      <charset val="238"/>
      <scheme val="minor"/>
    </font>
    <font>
      <sz val="11"/>
      <color rgb="FF0082C8"/>
      <name val="Calibri"/>
      <family val="2"/>
      <scheme val="minor"/>
    </font>
    <font>
      <u/>
      <sz val="11"/>
      <color theme="10"/>
      <name val="Calibri"/>
      <family val="2"/>
    </font>
    <font>
      <i/>
      <sz val="11"/>
      <name val="Arial"/>
      <family val="2"/>
    </font>
  </fonts>
  <fills count="37">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43"/>
      </patternFill>
    </fill>
    <fill>
      <patternFill patternType="solid">
        <fgColor rgb="FFFFFFFF"/>
        <bgColor indexed="64"/>
      </patternFill>
    </fill>
    <fill>
      <patternFill patternType="solid">
        <fgColor indexed="11"/>
        <bgColor indexed="64"/>
      </patternFill>
    </fill>
    <fill>
      <patternFill patternType="solid">
        <fgColor indexed="13"/>
        <bgColor indexed="64"/>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rgb="FFC00000"/>
        <bgColor indexed="64"/>
      </patternFill>
    </fill>
    <fill>
      <patternFill patternType="solid">
        <fgColor rgb="FF2B8DD5"/>
        <bgColor indexed="64"/>
      </patternFill>
    </fill>
  </fills>
  <borders count="85">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medium">
        <color auto="1"/>
      </top>
      <bottom style="medium">
        <color auto="1"/>
      </bottom>
      <diagonal/>
    </border>
    <border>
      <left/>
      <right/>
      <top style="medium">
        <color auto="1"/>
      </top>
      <bottom style="medium">
        <color auto="1"/>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thin">
        <color indexed="64"/>
      </left>
      <right/>
      <top style="thin">
        <color indexed="64"/>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s>
  <cellStyleXfs count="71">
    <xf numFmtId="0" fontId="0" fillId="0" borderId="0"/>
    <xf numFmtId="0" fontId="8" fillId="0" borderId="0"/>
    <xf numFmtId="0" fontId="26" fillId="0" borderId="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6" borderId="0" applyNumberFormat="0" applyBorder="0" applyAlignment="0" applyProtection="0"/>
    <xf numFmtId="0" fontId="32" fillId="17"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3" fillId="12" borderId="40" applyNumberFormat="0" applyAlignment="0" applyProtection="0"/>
    <xf numFmtId="0" fontId="34" fillId="0" borderId="0" applyNumberFormat="0" applyFill="0" applyBorder="0" applyAlignment="0" applyProtection="0"/>
    <xf numFmtId="0" fontId="35" fillId="0" borderId="42" applyNumberFormat="0" applyFill="0" applyAlignment="0" applyProtection="0"/>
    <xf numFmtId="0" fontId="36" fillId="0" borderId="43" applyNumberFormat="0" applyFill="0" applyAlignment="0" applyProtection="0"/>
    <xf numFmtId="0" fontId="37" fillId="0" borderId="44" applyNumberFormat="0" applyFill="0" applyAlignment="0" applyProtection="0"/>
    <xf numFmtId="0" fontId="37" fillId="0" borderId="0" applyNumberFormat="0" applyFill="0" applyBorder="0" applyAlignment="0" applyProtection="0"/>
    <xf numFmtId="0" fontId="38" fillId="27" borderId="46" applyNumberFormat="0" applyAlignment="0" applyProtection="0"/>
    <xf numFmtId="0" fontId="39" fillId="0" borderId="0" applyNumberFormat="0" applyFill="0" applyBorder="0" applyAlignment="0" applyProtection="0"/>
    <xf numFmtId="0" fontId="40" fillId="0" borderId="41" applyNumberFormat="0" applyFill="0" applyAlignment="0" applyProtection="0"/>
    <xf numFmtId="0" fontId="27" fillId="26" borderId="45" applyNumberFormat="0" applyFont="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4" borderId="0" applyNumberFormat="0" applyBorder="0" applyAlignment="0" applyProtection="0"/>
    <xf numFmtId="0" fontId="41" fillId="9" borderId="0" applyNumberFormat="0" applyBorder="0" applyAlignment="0" applyProtection="0"/>
    <xf numFmtId="0" fontId="42" fillId="25" borderId="47" applyNumberFormat="0" applyAlignment="0" applyProtection="0"/>
    <xf numFmtId="0" fontId="43" fillId="0" borderId="0" applyNumberFormat="0" applyFill="0" applyBorder="0" applyAlignment="0" applyProtection="0"/>
    <xf numFmtId="0" fontId="18" fillId="0" borderId="48" applyNumberFormat="0" applyFill="0" applyAlignment="0" applyProtection="0"/>
    <xf numFmtId="0" fontId="44" fillId="8" borderId="0" applyNumberFormat="0" applyBorder="0" applyAlignment="0" applyProtection="0"/>
    <xf numFmtId="0" fontId="45" fillId="28" borderId="0" applyNumberFormat="0" applyBorder="0" applyAlignment="0" applyProtection="0"/>
    <xf numFmtId="0" fontId="46" fillId="25" borderId="40" applyNumberFormat="0" applyAlignment="0" applyProtection="0"/>
    <xf numFmtId="0" fontId="26" fillId="0" borderId="0"/>
    <xf numFmtId="0" fontId="26" fillId="0" borderId="0"/>
    <xf numFmtId="0" fontId="7" fillId="0" borderId="0"/>
    <xf numFmtId="0" fontId="6" fillId="0" borderId="0"/>
    <xf numFmtId="0" fontId="6" fillId="0" borderId="0"/>
    <xf numFmtId="0" fontId="2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79" fillId="0" borderId="0" applyNumberFormat="0" applyFill="0" applyBorder="0" applyAlignment="0" applyProtection="0"/>
  </cellStyleXfs>
  <cellXfs count="428">
    <xf numFmtId="0" fontId="0" fillId="0" borderId="0" xfId="0"/>
    <xf numFmtId="0" fontId="10" fillId="0" borderId="0" xfId="0" applyFont="1"/>
    <xf numFmtId="0" fontId="10" fillId="0" borderId="5" xfId="0" applyFont="1" applyBorder="1" applyAlignment="1">
      <alignment vertical="top" wrapText="1"/>
    </xf>
    <xf numFmtId="0" fontId="0" fillId="0" borderId="0" xfId="0" applyAlignment="1">
      <alignment horizontal="left" vertical="center"/>
    </xf>
    <xf numFmtId="0" fontId="0" fillId="0" borderId="7" xfId="0" applyBorder="1"/>
    <xf numFmtId="0" fontId="18" fillId="0" borderId="0" xfId="0" applyFont="1"/>
    <xf numFmtId="0" fontId="0" fillId="0" borderId="0" xfId="0" applyAlignment="1">
      <alignment vertical="top"/>
    </xf>
    <xf numFmtId="0" fontId="0" fillId="2" borderId="0" xfId="0" applyFill="1"/>
    <xf numFmtId="0" fontId="15" fillId="3" borderId="21" xfId="0" applyFont="1" applyFill="1" applyBorder="1"/>
    <xf numFmtId="0" fontId="15" fillId="3" borderId="22" xfId="0" applyFont="1" applyFill="1" applyBorder="1"/>
    <xf numFmtId="0" fontId="15" fillId="3" borderId="23" xfId="0" applyFont="1" applyFill="1" applyBorder="1"/>
    <xf numFmtId="0" fontId="16" fillId="0" borderId="0" xfId="0" applyFont="1" applyAlignment="1">
      <alignment horizontal="left" vertical="center"/>
    </xf>
    <xf numFmtId="0" fontId="10" fillId="0" borderId="0" xfId="0" applyFont="1" applyAlignment="1">
      <alignment horizontal="center" vertical="center"/>
    </xf>
    <xf numFmtId="0" fontId="10" fillId="0" borderId="0" xfId="0" applyFont="1" applyAlignment="1">
      <alignment horizontal="center" vertical="center" wrapText="1"/>
    </xf>
    <xf numFmtId="0" fontId="16" fillId="0" borderId="33" xfId="0" applyFont="1" applyBorder="1" applyAlignment="1">
      <alignment horizontal="left" vertical="center"/>
    </xf>
    <xf numFmtId="0" fontId="16" fillId="0" borderId="4" xfId="0" applyFont="1" applyBorder="1" applyAlignment="1">
      <alignment horizontal="left" vertical="center"/>
    </xf>
    <xf numFmtId="0" fontId="16" fillId="0" borderId="22" xfId="0" applyFont="1" applyBorder="1" applyAlignment="1">
      <alignment horizontal="left" vertical="center"/>
    </xf>
    <xf numFmtId="0" fontId="16" fillId="0" borderId="32" xfId="0" applyFont="1" applyBorder="1" applyAlignment="1">
      <alignment horizontal="left" vertical="center"/>
    </xf>
    <xf numFmtId="0" fontId="16" fillId="0" borderId="31" xfId="0" applyFont="1" applyBorder="1" applyAlignment="1">
      <alignment horizontal="left" vertical="center"/>
    </xf>
    <xf numFmtId="0" fontId="16" fillId="0" borderId="0" xfId="1" applyFont="1"/>
    <xf numFmtId="0" fontId="8" fillId="0" borderId="0" xfId="1"/>
    <xf numFmtId="0" fontId="25" fillId="4" borderId="2" xfId="1" applyFont="1" applyFill="1" applyBorder="1"/>
    <xf numFmtId="0" fontId="16" fillId="4" borderId="15" xfId="1" applyFont="1" applyFill="1" applyBorder="1" applyAlignment="1">
      <alignment horizontal="center" vertical="center"/>
    </xf>
    <xf numFmtId="0" fontId="16" fillId="4" borderId="3" xfId="1" applyFont="1" applyFill="1" applyBorder="1" applyAlignment="1">
      <alignment horizontal="center" vertical="center"/>
    </xf>
    <xf numFmtId="0" fontId="16" fillId="4" borderId="2" xfId="1" applyFont="1" applyFill="1" applyBorder="1"/>
    <xf numFmtId="0" fontId="8" fillId="4" borderId="15" xfId="1" applyFill="1" applyBorder="1" applyAlignment="1">
      <alignment horizontal="center" vertical="center"/>
    </xf>
    <xf numFmtId="0" fontId="8" fillId="4" borderId="3" xfId="1" applyFill="1" applyBorder="1" applyAlignment="1">
      <alignment horizontal="center" vertical="center"/>
    </xf>
    <xf numFmtId="0" fontId="8" fillId="0" borderId="0" xfId="1" applyAlignment="1">
      <alignment horizontal="center" vertical="center"/>
    </xf>
    <xf numFmtId="0" fontId="16" fillId="4" borderId="34" xfId="1" applyFont="1" applyFill="1" applyBorder="1"/>
    <xf numFmtId="0" fontId="8" fillId="4" borderId="0" xfId="1" applyFill="1" applyAlignment="1">
      <alignment horizontal="center" vertical="center"/>
    </xf>
    <xf numFmtId="0" fontId="8" fillId="4" borderId="25" xfId="1" applyFill="1" applyBorder="1" applyAlignment="1">
      <alignment horizontal="center" vertical="center"/>
    </xf>
    <xf numFmtId="0" fontId="16" fillId="4" borderId="35" xfId="1" applyFont="1" applyFill="1" applyBorder="1"/>
    <xf numFmtId="0" fontId="8" fillId="4" borderId="27" xfId="1" applyFill="1" applyBorder="1" applyAlignment="1">
      <alignment horizontal="center" vertical="center"/>
    </xf>
    <xf numFmtId="0" fontId="8" fillId="4" borderId="28" xfId="1" applyFill="1" applyBorder="1" applyAlignment="1">
      <alignment horizontal="center" vertical="center"/>
    </xf>
    <xf numFmtId="0" fontId="8" fillId="4" borderId="4" xfId="1" applyFill="1" applyBorder="1" applyAlignment="1">
      <alignment horizontal="center" vertical="center"/>
    </xf>
    <xf numFmtId="0" fontId="8" fillId="4" borderId="35" xfId="1" applyFill="1" applyBorder="1" applyAlignment="1">
      <alignment horizontal="center" vertical="center"/>
    </xf>
    <xf numFmtId="0" fontId="16" fillId="4" borderId="4" xfId="1" applyFont="1" applyFill="1" applyBorder="1"/>
    <xf numFmtId="0" fontId="8" fillId="4" borderId="31" xfId="1" applyFill="1" applyBorder="1" applyAlignment="1">
      <alignment horizontal="center" vertical="center"/>
    </xf>
    <xf numFmtId="11" fontId="8" fillId="4" borderId="27" xfId="1" applyNumberFormat="1" applyFill="1" applyBorder="1" applyAlignment="1">
      <alignment horizontal="center" vertical="center"/>
    </xf>
    <xf numFmtId="0" fontId="8" fillId="4" borderId="37" xfId="1" applyFill="1" applyBorder="1" applyAlignment="1">
      <alignment horizontal="center" vertical="center"/>
    </xf>
    <xf numFmtId="0" fontId="29" fillId="0" borderId="19" xfId="2" applyFont="1" applyBorder="1" applyAlignment="1">
      <alignment horizontal="left" vertical="center" wrapText="1"/>
    </xf>
    <xf numFmtId="0" fontId="29" fillId="0" borderId="19" xfId="2" applyFont="1" applyBorder="1" applyAlignment="1">
      <alignment horizontal="center" vertical="center" wrapText="1"/>
    </xf>
    <xf numFmtId="0" fontId="0" fillId="0" borderId="19" xfId="0" applyBorder="1" applyAlignment="1">
      <alignment horizontal="center" vertical="center" wrapText="1"/>
    </xf>
    <xf numFmtId="0" fontId="24" fillId="0" borderId="19" xfId="0" applyFont="1" applyBorder="1" applyAlignment="1">
      <alignment horizontal="center" vertical="center"/>
    </xf>
    <xf numFmtId="0" fontId="31" fillId="0" borderId="0" xfId="0" applyFont="1" applyAlignment="1">
      <alignment vertical="center"/>
    </xf>
    <xf numFmtId="0" fontId="31" fillId="0" borderId="0" xfId="0" applyFont="1"/>
    <xf numFmtId="0" fontId="0" fillId="5" borderId="0" xfId="0" applyFill="1"/>
    <xf numFmtId="0" fontId="14" fillId="5" borderId="0" xfId="0" applyFont="1" applyFill="1" applyAlignment="1">
      <alignment horizontal="center" vertical="center" wrapText="1"/>
    </xf>
    <xf numFmtId="0" fontId="20" fillId="5" borderId="0" xfId="0" applyFont="1" applyFill="1" applyAlignment="1">
      <alignment horizontal="center" vertical="center" wrapText="1"/>
    </xf>
    <xf numFmtId="0" fontId="21" fillId="6" borderId="0" xfId="0" applyFont="1" applyFill="1"/>
    <xf numFmtId="0" fontId="0" fillId="6" borderId="0" xfId="0" applyFill="1"/>
    <xf numFmtId="0" fontId="10" fillId="6" borderId="1" xfId="0" applyFont="1" applyFill="1" applyBorder="1" applyAlignment="1">
      <alignment horizontal="center" vertical="center" wrapText="1"/>
    </xf>
    <xf numFmtId="0" fontId="10" fillId="6" borderId="4" xfId="0" applyFont="1" applyFill="1" applyBorder="1" applyAlignment="1">
      <alignment horizontal="center" vertical="center"/>
    </xf>
    <xf numFmtId="0" fontId="16" fillId="6" borderId="33" xfId="0" applyFont="1" applyFill="1" applyBorder="1" applyAlignment="1">
      <alignment horizontal="left" vertical="center"/>
    </xf>
    <xf numFmtId="0" fontId="16" fillId="6" borderId="4" xfId="0" applyFont="1" applyFill="1" applyBorder="1" applyAlignment="1">
      <alignment horizontal="left" vertical="center"/>
    </xf>
    <xf numFmtId="0" fontId="16" fillId="6" borderId="22" xfId="0" applyFont="1" applyFill="1" applyBorder="1" applyAlignment="1">
      <alignment horizontal="left" vertical="center"/>
    </xf>
    <xf numFmtId="0" fontId="16" fillId="6" borderId="32" xfId="0" applyFont="1" applyFill="1" applyBorder="1" applyAlignment="1">
      <alignment horizontal="left" vertical="center"/>
    </xf>
    <xf numFmtId="0" fontId="16" fillId="6" borderId="31" xfId="0" applyFont="1" applyFill="1" applyBorder="1" applyAlignment="1">
      <alignment horizontal="left" vertical="center"/>
    </xf>
    <xf numFmtId="0" fontId="16" fillId="6" borderId="29" xfId="0" applyFont="1" applyFill="1" applyBorder="1" applyAlignment="1">
      <alignment horizontal="left" vertical="center" wrapText="1"/>
    </xf>
    <xf numFmtId="0" fontId="16" fillId="6" borderId="0" xfId="0" applyFont="1" applyFill="1" applyAlignment="1">
      <alignment horizontal="left" vertical="center"/>
    </xf>
    <xf numFmtId="0" fontId="10" fillId="6" borderId="5" xfId="0" applyFont="1" applyFill="1" applyBorder="1" applyAlignment="1">
      <alignment vertical="top" wrapText="1"/>
    </xf>
    <xf numFmtId="0" fontId="10" fillId="6" borderId="6" xfId="0" applyFont="1" applyFill="1" applyBorder="1" applyAlignment="1">
      <alignment horizontal="center" vertical="center" wrapText="1"/>
    </xf>
    <xf numFmtId="0" fontId="16" fillId="6" borderId="30" xfId="0" applyFont="1" applyFill="1" applyBorder="1" applyAlignment="1">
      <alignment horizontal="left" vertical="center"/>
    </xf>
    <xf numFmtId="0" fontId="16" fillId="6" borderId="2" xfId="0" applyFont="1" applyFill="1" applyBorder="1" applyAlignment="1">
      <alignment horizontal="left" vertical="center"/>
    </xf>
    <xf numFmtId="0" fontId="16" fillId="6" borderId="3" xfId="0" applyFont="1" applyFill="1" applyBorder="1" applyAlignment="1">
      <alignment horizontal="left" vertical="center"/>
    </xf>
    <xf numFmtId="0" fontId="16" fillId="6" borderId="15" xfId="0" applyFont="1" applyFill="1" applyBorder="1" applyAlignment="1">
      <alignment horizontal="left" vertical="center"/>
    </xf>
    <xf numFmtId="0" fontId="16" fillId="6" borderId="20" xfId="0" applyFont="1" applyFill="1" applyBorder="1" applyAlignment="1">
      <alignment horizontal="left" vertical="center"/>
    </xf>
    <xf numFmtId="0" fontId="30" fillId="0" borderId="13" xfId="0" applyFont="1" applyBorder="1" applyAlignment="1">
      <alignment horizontal="center" vertical="center"/>
    </xf>
    <xf numFmtId="0" fontId="30" fillId="0" borderId="10" xfId="0" applyFont="1" applyBorder="1" applyAlignment="1">
      <alignment horizontal="center" vertical="center"/>
    </xf>
    <xf numFmtId="0" fontId="30" fillId="0" borderId="7" xfId="0" applyFont="1" applyBorder="1" applyAlignment="1">
      <alignment horizontal="center" vertical="center"/>
    </xf>
    <xf numFmtId="0" fontId="30" fillId="0" borderId="12" xfId="0" applyFont="1" applyBorder="1" applyAlignment="1">
      <alignment horizontal="center" vertical="center"/>
    </xf>
    <xf numFmtId="0" fontId="0" fillId="30" borderId="7" xfId="0" applyFill="1" applyBorder="1"/>
    <xf numFmtId="2" fontId="52" fillId="0" borderId="7" xfId="44" applyNumberFormat="1" applyFont="1" applyBorder="1" applyAlignment="1">
      <alignment horizontal="center" vertical="center" wrapText="1"/>
    </xf>
    <xf numFmtId="1" fontId="52" fillId="0" borderId="7" xfId="44" applyNumberFormat="1" applyFont="1" applyBorder="1" applyAlignment="1">
      <alignment horizontal="center" vertical="center" wrapText="1"/>
    </xf>
    <xf numFmtId="2" fontId="49" fillId="0" borderId="7" xfId="44" applyNumberFormat="1" applyFont="1" applyBorder="1" applyAlignment="1">
      <alignment horizontal="center" vertical="center" wrapText="1"/>
    </xf>
    <xf numFmtId="165" fontId="49" fillId="0" borderId="7" xfId="44" applyNumberFormat="1" applyFont="1" applyBorder="1" applyAlignment="1">
      <alignment horizontal="center" vertical="center" wrapText="1"/>
    </xf>
    <xf numFmtId="49" fontId="54" fillId="0" borderId="11" xfId="44" applyNumberFormat="1" applyFont="1" applyBorder="1" applyAlignment="1">
      <alignment vertical="center" wrapText="1"/>
    </xf>
    <xf numFmtId="2" fontId="52" fillId="0" borderId="7" xfId="44" quotePrefix="1" applyNumberFormat="1" applyFont="1" applyBorder="1" applyAlignment="1">
      <alignment horizontal="center" vertical="center" wrapText="1"/>
    </xf>
    <xf numFmtId="0" fontId="0" fillId="0" borderId="0" xfId="0" applyAlignment="1">
      <alignment horizontal="center" vertical="center"/>
    </xf>
    <xf numFmtId="49" fontId="51" fillId="0" borderId="7" xfId="44" applyNumberFormat="1" applyFont="1" applyBorder="1" applyAlignment="1">
      <alignment horizontal="left" vertical="center" wrapText="1"/>
    </xf>
    <xf numFmtId="49" fontId="51" fillId="0" borderId="13" xfId="44" applyNumberFormat="1" applyFont="1" applyBorder="1" applyAlignment="1">
      <alignment horizontal="left" vertical="center" wrapText="1"/>
    </xf>
    <xf numFmtId="0" fontId="51" fillId="0" borderId="10" xfId="44" applyFont="1" applyBorder="1" applyAlignment="1">
      <alignment horizontal="center" vertical="center"/>
    </xf>
    <xf numFmtId="2" fontId="52" fillId="0" borderId="7" xfId="44" applyNumberFormat="1" applyFont="1" applyBorder="1" applyAlignment="1">
      <alignment horizontal="center" vertical="center"/>
    </xf>
    <xf numFmtId="2" fontId="49" fillId="0" borderId="7" xfId="44" applyNumberFormat="1" applyFont="1" applyBorder="1" applyAlignment="1">
      <alignment horizontal="center" vertical="center"/>
    </xf>
    <xf numFmtId="1" fontId="52" fillId="0" borderId="7" xfId="44" applyNumberFormat="1" applyFont="1" applyBorder="1" applyAlignment="1">
      <alignment horizontal="center" vertical="center"/>
    </xf>
    <xf numFmtId="0" fontId="51" fillId="0" borderId="12" xfId="44" applyFont="1" applyBorder="1" applyAlignment="1">
      <alignment horizontal="center" vertical="center"/>
    </xf>
    <xf numFmtId="2" fontId="52" fillId="0" borderId="13" xfId="44" applyNumberFormat="1" applyFont="1" applyBorder="1" applyAlignment="1">
      <alignment horizontal="center" vertical="center"/>
    </xf>
    <xf numFmtId="2" fontId="49" fillId="0" borderId="13" xfId="44" applyNumberFormat="1" applyFont="1" applyBorder="1" applyAlignment="1">
      <alignment horizontal="center" vertical="center"/>
    </xf>
    <xf numFmtId="0" fontId="60" fillId="5" borderId="0" xfId="0" applyFont="1" applyFill="1" applyAlignment="1">
      <alignment horizontal="center" wrapText="1"/>
    </xf>
    <xf numFmtId="0" fontId="61" fillId="5" borderId="0" xfId="0" applyFont="1" applyFill="1" applyAlignment="1">
      <alignment horizontal="left" vertical="center"/>
    </xf>
    <xf numFmtId="0" fontId="61" fillId="5" borderId="0" xfId="0" applyFont="1" applyFill="1"/>
    <xf numFmtId="0" fontId="60" fillId="0" borderId="0" xfId="0" applyFont="1"/>
    <xf numFmtId="0" fontId="61" fillId="0" borderId="0" xfId="0" applyFont="1" applyAlignment="1">
      <alignment vertical="center"/>
    </xf>
    <xf numFmtId="0" fontId="60" fillId="6" borderId="36" xfId="0" applyFont="1" applyFill="1" applyBorder="1" applyAlignment="1">
      <alignment vertical="center" wrapText="1"/>
    </xf>
    <xf numFmtId="0" fontId="61" fillId="0" borderId="0" xfId="0" applyFont="1"/>
    <xf numFmtId="0" fontId="31" fillId="0" borderId="19" xfId="0" applyFont="1" applyBorder="1" applyAlignment="1">
      <alignment horizontal="left" vertical="center"/>
    </xf>
    <xf numFmtId="0" fontId="62" fillId="0" borderId="19" xfId="0" applyFont="1" applyBorder="1" applyAlignment="1">
      <alignment vertical="center" wrapText="1"/>
    </xf>
    <xf numFmtId="0" fontId="31" fillId="0" borderId="7" xfId="0" applyFont="1" applyBorder="1" applyAlignment="1">
      <alignment vertical="center"/>
    </xf>
    <xf numFmtId="0" fontId="62" fillId="0" borderId="7" xfId="0" applyFont="1" applyBorder="1" applyAlignment="1">
      <alignment vertical="center" wrapText="1"/>
    </xf>
    <xf numFmtId="0" fontId="31" fillId="0" borderId="13" xfId="0" applyFont="1" applyBorder="1" applyAlignment="1">
      <alignment vertical="center"/>
    </xf>
    <xf numFmtId="0" fontId="31" fillId="0" borderId="7" xfId="0" applyFont="1" applyBorder="1" applyAlignment="1">
      <alignment horizontal="left" vertical="center"/>
    </xf>
    <xf numFmtId="0" fontId="61" fillId="0" borderId="0" xfId="0" applyFont="1" applyAlignment="1">
      <alignment horizontal="left" vertical="center"/>
    </xf>
    <xf numFmtId="0" fontId="57" fillId="0" borderId="49" xfId="45" applyFont="1" applyBorder="1" applyAlignment="1">
      <alignment horizontal="center" vertical="center"/>
    </xf>
    <xf numFmtId="0" fontId="31" fillId="0" borderId="19" xfId="45" applyFont="1" applyBorder="1" applyAlignment="1">
      <alignment horizontal="center" vertical="center"/>
    </xf>
    <xf numFmtId="0" fontId="57" fillId="0" borderId="10" xfId="45" applyFont="1" applyBorder="1" applyAlignment="1">
      <alignment horizontal="center" vertical="center"/>
    </xf>
    <xf numFmtId="0" fontId="31" fillId="0" borderId="7" xfId="45" applyFont="1" applyBorder="1" applyAlignment="1">
      <alignment horizontal="center" vertical="center"/>
    </xf>
    <xf numFmtId="0" fontId="57" fillId="0" borderId="12" xfId="45" applyFont="1" applyBorder="1" applyAlignment="1">
      <alignment horizontal="center" vertical="center"/>
    </xf>
    <xf numFmtId="0" fontId="31" fillId="0" borderId="13" xfId="45" applyFont="1" applyBorder="1" applyAlignment="1">
      <alignment horizontal="center" vertical="center"/>
    </xf>
    <xf numFmtId="0" fontId="57" fillId="0" borderId="0" xfId="45" applyFont="1" applyAlignment="1">
      <alignment horizontal="center" vertical="center"/>
    </xf>
    <xf numFmtId="0" fontId="31" fillId="0" borderId="0" xfId="45" applyFont="1" applyAlignment="1">
      <alignment horizontal="center" vertical="center"/>
    </xf>
    <xf numFmtId="0" fontId="31" fillId="0" borderId="0" xfId="0" applyFont="1" applyAlignment="1">
      <alignment horizontal="center" vertical="center"/>
    </xf>
    <xf numFmtId="164" fontId="31" fillId="0" borderId="7" xfId="45" applyNumberFormat="1" applyFont="1" applyBorder="1" applyAlignment="1">
      <alignment horizontal="center" vertical="center"/>
    </xf>
    <xf numFmtId="0" fontId="31" fillId="0" borderId="13" xfId="0" applyFont="1" applyBorder="1" applyAlignment="1">
      <alignment horizontal="left" vertical="center"/>
    </xf>
    <xf numFmtId="0" fontId="31" fillId="0" borderId="13" xfId="0" applyFont="1" applyBorder="1" applyAlignment="1">
      <alignment horizontal="center" vertical="center"/>
    </xf>
    <xf numFmtId="0" fontId="31" fillId="0" borderId="19" xfId="0" applyFont="1" applyBorder="1" applyAlignment="1">
      <alignment horizontal="center" vertical="center"/>
    </xf>
    <xf numFmtId="0" fontId="31" fillId="0" borderId="7" xfId="0" applyFont="1" applyBorder="1" applyAlignment="1">
      <alignment horizontal="center" vertical="center"/>
    </xf>
    <xf numFmtId="0" fontId="62" fillId="32" borderId="38" xfId="0" applyFont="1" applyFill="1" applyBorder="1" applyAlignment="1">
      <alignment vertical="center"/>
    </xf>
    <xf numFmtId="0" fontId="62" fillId="32" borderId="20" xfId="0" applyFont="1" applyFill="1" applyBorder="1" applyAlignment="1">
      <alignment vertical="center" wrapText="1"/>
    </xf>
    <xf numFmtId="0" fontId="62" fillId="32" borderId="20" xfId="0" applyFont="1" applyFill="1" applyBorder="1" applyAlignment="1">
      <alignment horizontal="center" vertical="center" wrapText="1"/>
    </xf>
    <xf numFmtId="0" fontId="62" fillId="32" borderId="39" xfId="0" applyFont="1" applyFill="1" applyBorder="1"/>
    <xf numFmtId="0" fontId="62" fillId="0" borderId="50" xfId="0" applyFont="1" applyBorder="1"/>
    <xf numFmtId="0" fontId="62" fillId="0" borderId="11" xfId="0" applyFont="1" applyBorder="1"/>
    <xf numFmtId="0" fontId="62" fillId="0" borderId="14" xfId="0" applyFont="1" applyBorder="1"/>
    <xf numFmtId="0" fontId="62" fillId="0" borderId="0" xfId="0" applyFont="1" applyAlignment="1">
      <alignment vertical="center" wrapText="1"/>
    </xf>
    <xf numFmtId="0" fontId="62" fillId="0" borderId="0" xfId="0" applyFont="1"/>
    <xf numFmtId="0" fontId="31" fillId="0" borderId="12" xfId="0" applyFont="1" applyBorder="1" applyAlignment="1">
      <alignment horizontal="center" vertical="center"/>
    </xf>
    <xf numFmtId="0" fontId="31" fillId="0" borderId="13" xfId="0" applyFont="1" applyBorder="1" applyAlignment="1">
      <alignment vertical="center" wrapText="1"/>
    </xf>
    <xf numFmtId="0" fontId="31" fillId="0" borderId="13" xfId="0" applyFont="1" applyBorder="1" applyAlignment="1">
      <alignment horizontal="center" vertical="center" wrapText="1"/>
    </xf>
    <xf numFmtId="0" fontId="31" fillId="0" borderId="14" xfId="0" applyFont="1" applyBorder="1"/>
    <xf numFmtId="0" fontId="57" fillId="0" borderId="49" xfId="0" applyFont="1" applyBorder="1" applyAlignment="1">
      <alignment horizontal="center" vertical="center"/>
    </xf>
    <xf numFmtId="0" fontId="62" fillId="0" borderId="13" xfId="0" applyFont="1" applyBorder="1" applyAlignment="1">
      <alignment vertical="center" wrapText="1"/>
    </xf>
    <xf numFmtId="164" fontId="31" fillId="0" borderId="19" xfId="45" applyNumberFormat="1" applyFont="1" applyBorder="1" applyAlignment="1">
      <alignment horizontal="center" vertical="center"/>
    </xf>
    <xf numFmtId="0" fontId="31" fillId="0" borderId="19" xfId="0" applyFont="1" applyBorder="1" applyAlignment="1">
      <alignment vertical="center"/>
    </xf>
    <xf numFmtId="0" fontId="63" fillId="0" borderId="49" xfId="45" applyFont="1" applyBorder="1" applyAlignment="1">
      <alignment horizontal="center" vertical="center"/>
    </xf>
    <xf numFmtId="0" fontId="66" fillId="32" borderId="38" xfId="0" applyFont="1" applyFill="1" applyBorder="1" applyAlignment="1">
      <alignment horizontal="center" vertical="center" wrapText="1"/>
    </xf>
    <xf numFmtId="0" fontId="66" fillId="32" borderId="20" xfId="0" applyFont="1" applyFill="1" applyBorder="1" applyAlignment="1">
      <alignment horizontal="center" vertical="center" wrapText="1"/>
    </xf>
    <xf numFmtId="0" fontId="62" fillId="32" borderId="20" xfId="0" applyFont="1" applyFill="1" applyBorder="1" applyAlignment="1">
      <alignment horizontal="center" vertical="center"/>
    </xf>
    <xf numFmtId="0" fontId="66" fillId="32" borderId="39" xfId="0" applyFont="1" applyFill="1" applyBorder="1" applyAlignment="1">
      <alignment horizontal="center" vertical="center" wrapText="1"/>
    </xf>
    <xf numFmtId="0" fontId="62" fillId="32" borderId="38" xfId="0" applyFont="1" applyFill="1" applyBorder="1" applyAlignment="1">
      <alignment horizontal="left" vertical="center"/>
    </xf>
    <xf numFmtId="0" fontId="62" fillId="32" borderId="20" xfId="0" applyFont="1" applyFill="1" applyBorder="1" applyAlignment="1">
      <alignment horizontal="left" vertical="center"/>
    </xf>
    <xf numFmtId="0" fontId="62" fillId="32" borderId="39" xfId="0" applyFont="1" applyFill="1" applyBorder="1" applyAlignment="1">
      <alignment horizontal="left" vertical="center"/>
    </xf>
    <xf numFmtId="166" fontId="28" fillId="0" borderId="19" xfId="0" applyNumberFormat="1" applyFont="1" applyBorder="1" applyAlignment="1">
      <alignment horizontal="center" vertical="center"/>
    </xf>
    <xf numFmtId="166" fontId="28" fillId="0" borderId="7" xfId="0" applyNumberFormat="1" applyFont="1" applyBorder="1" applyAlignment="1">
      <alignment horizontal="center" vertical="center"/>
    </xf>
    <xf numFmtId="166" fontId="28" fillId="0" borderId="13" xfId="0" applyNumberFormat="1" applyFont="1" applyBorder="1" applyAlignment="1">
      <alignment horizontal="center" vertical="center"/>
    </xf>
    <xf numFmtId="0" fontId="31" fillId="0" borderId="49" xfId="0" applyFont="1" applyBorder="1" applyAlignment="1">
      <alignment horizontal="left" vertical="center"/>
    </xf>
    <xf numFmtId="0" fontId="31" fillId="0" borderId="10" xfId="0" applyFont="1" applyBorder="1" applyAlignment="1">
      <alignment horizontal="left" vertical="center"/>
    </xf>
    <xf numFmtId="0" fontId="62" fillId="0" borderId="7" xfId="0" applyFont="1" applyBorder="1" applyAlignment="1">
      <alignment horizontal="center" vertical="center"/>
    </xf>
    <xf numFmtId="0" fontId="62" fillId="0" borderId="11" xfId="0" applyFont="1" applyBorder="1" applyAlignment="1">
      <alignment horizontal="left" vertical="center"/>
    </xf>
    <xf numFmtId="0" fontId="6" fillId="0" borderId="0" xfId="50"/>
    <xf numFmtId="0" fontId="62" fillId="32" borderId="4" xfId="50" applyFont="1" applyFill="1" applyBorder="1"/>
    <xf numFmtId="0" fontId="61" fillId="0" borderId="0" xfId="0" applyFont="1" applyAlignment="1">
      <alignment horizontal="center" vertical="center"/>
    </xf>
    <xf numFmtId="0" fontId="60" fillId="6" borderId="4" xfId="0" applyFont="1" applyFill="1" applyBorder="1" applyAlignment="1">
      <alignment horizontal="center" vertical="center" wrapText="1"/>
    </xf>
    <xf numFmtId="0" fontId="13" fillId="0" borderId="54" xfId="0" applyFont="1" applyBorder="1" applyAlignment="1">
      <alignment horizontal="center" vertical="center"/>
    </xf>
    <xf numFmtId="0" fontId="55" fillId="32" borderId="38" xfId="0" applyFont="1" applyFill="1" applyBorder="1" applyAlignment="1">
      <alignment horizontal="center" vertical="center"/>
    </xf>
    <xf numFmtId="0" fontId="55" fillId="32" borderId="20" xfId="0" applyFont="1" applyFill="1" applyBorder="1" applyAlignment="1">
      <alignment horizontal="center" vertical="center"/>
    </xf>
    <xf numFmtId="0" fontId="47" fillId="32" borderId="20" xfId="44" applyFont="1" applyFill="1" applyBorder="1" applyAlignment="1">
      <alignment horizontal="center" vertical="center"/>
    </xf>
    <xf numFmtId="0" fontId="56" fillId="32" borderId="20" xfId="0" applyFont="1" applyFill="1" applyBorder="1" applyAlignment="1">
      <alignment horizontal="center" vertical="center" wrapText="1"/>
    </xf>
    <xf numFmtId="0" fontId="56" fillId="32" borderId="39" xfId="0" applyFont="1" applyFill="1" applyBorder="1" applyAlignment="1">
      <alignment horizontal="center" vertical="center" wrapText="1"/>
    </xf>
    <xf numFmtId="0" fontId="31" fillId="0" borderId="11" xfId="0" applyFont="1" applyBorder="1" applyAlignment="1">
      <alignment horizontal="center" vertical="center"/>
    </xf>
    <xf numFmtId="0" fontId="31" fillId="0" borderId="14" xfId="0" applyFont="1" applyBorder="1" applyAlignment="1">
      <alignment horizontal="center" vertical="center"/>
    </xf>
    <xf numFmtId="0" fontId="62" fillId="6" borderId="20" xfId="0" applyFont="1" applyFill="1" applyBorder="1" applyAlignment="1">
      <alignment horizontal="center" vertical="center" wrapText="1"/>
    </xf>
    <xf numFmtId="0" fontId="62" fillId="6" borderId="20" xfId="0" applyFont="1" applyFill="1" applyBorder="1" applyAlignment="1">
      <alignment vertical="center" wrapText="1"/>
    </xf>
    <xf numFmtId="166" fontId="28" fillId="0" borderId="0" xfId="0" applyNumberFormat="1" applyFont="1" applyAlignment="1">
      <alignment horizontal="center" vertical="center"/>
    </xf>
    <xf numFmtId="0" fontId="16" fillId="0" borderId="0" xfId="0" applyFont="1" applyAlignment="1">
      <alignment horizontal="center" vertical="center"/>
    </xf>
    <xf numFmtId="0" fontId="31" fillId="0" borderId="19" xfId="0" applyFont="1" applyBorder="1"/>
    <xf numFmtId="0" fontId="31" fillId="0" borderId="0" xfId="0" applyFont="1" applyAlignment="1">
      <alignment horizontal="left" vertical="center"/>
    </xf>
    <xf numFmtId="49" fontId="49" fillId="0" borderId="7" xfId="44" applyNumberFormat="1" applyFont="1" applyBorder="1" applyAlignment="1">
      <alignment horizontal="left" vertical="center" wrapText="1"/>
    </xf>
    <xf numFmtId="0" fontId="30" fillId="6" borderId="4" xfId="0" applyFont="1" applyFill="1" applyBorder="1" applyAlignment="1">
      <alignment horizontal="center" vertical="top" wrapText="1"/>
    </xf>
    <xf numFmtId="0" fontId="10" fillId="0" borderId="0" xfId="0" applyFont="1" applyAlignment="1">
      <alignment horizontal="left" vertical="center" wrapText="1"/>
    </xf>
    <xf numFmtId="0" fontId="31" fillId="0" borderId="49" xfId="0" applyFont="1" applyBorder="1" applyAlignment="1">
      <alignment vertical="center"/>
    </xf>
    <xf numFmtId="0" fontId="31" fillId="0" borderId="19" xfId="0" applyFont="1" applyBorder="1" applyAlignment="1">
      <alignment wrapText="1"/>
    </xf>
    <xf numFmtId="0" fontId="31" fillId="0" borderId="50" xfId="0" applyFont="1" applyBorder="1"/>
    <xf numFmtId="0" fontId="31" fillId="0" borderId="7" xfId="0" applyFont="1" applyBorder="1" applyAlignment="1">
      <alignment wrapText="1"/>
    </xf>
    <xf numFmtId="0" fontId="31" fillId="0" borderId="10" xfId="0" applyFont="1" applyBorder="1" applyAlignment="1">
      <alignment vertical="center"/>
    </xf>
    <xf numFmtId="0" fontId="31" fillId="0" borderId="7" xfId="0" applyFont="1" applyBorder="1"/>
    <xf numFmtId="0" fontId="31" fillId="0" borderId="11" xfId="0" applyFont="1" applyBorder="1"/>
    <xf numFmtId="0" fontId="16" fillId="33" borderId="0" xfId="0" applyFont="1" applyFill="1" applyAlignment="1">
      <alignment horizontal="left" vertical="center"/>
    </xf>
    <xf numFmtId="0" fontId="31" fillId="0" borderId="13" xfId="0" applyFont="1" applyBorder="1"/>
    <xf numFmtId="0" fontId="7" fillId="0" borderId="0" xfId="46"/>
    <xf numFmtId="0" fontId="62" fillId="32" borderId="57" xfId="50" applyFont="1" applyFill="1" applyBorder="1" applyAlignment="1">
      <alignment horizontal="center"/>
    </xf>
    <xf numFmtId="0" fontId="62" fillId="32" borderId="58" xfId="50" applyFont="1" applyFill="1" applyBorder="1" applyAlignment="1">
      <alignment horizontal="center" vertical="top" wrapText="1"/>
    </xf>
    <xf numFmtId="0" fontId="62" fillId="32" borderId="58" xfId="50" applyFont="1" applyFill="1" applyBorder="1" applyAlignment="1">
      <alignment horizontal="center" vertical="center" wrapText="1"/>
    </xf>
    <xf numFmtId="0" fontId="62" fillId="32" borderId="59" xfId="50" applyFont="1" applyFill="1" applyBorder="1" applyAlignment="1">
      <alignment horizontal="center" vertical="top" wrapText="1"/>
    </xf>
    <xf numFmtId="0" fontId="28" fillId="0" borderId="49" xfId="46" applyFont="1" applyBorder="1"/>
    <xf numFmtId="0" fontId="28" fillId="0" borderId="19" xfId="46" applyFont="1" applyBorder="1"/>
    <xf numFmtId="0" fontId="28" fillId="0" borderId="50" xfId="46" applyFont="1" applyBorder="1"/>
    <xf numFmtId="0" fontId="62" fillId="32" borderId="61" xfId="0" applyFont="1" applyFill="1" applyBorder="1" applyAlignment="1">
      <alignment horizontal="center" vertical="center"/>
    </xf>
    <xf numFmtId="0" fontId="62" fillId="32" borderId="62" xfId="0" applyFont="1" applyFill="1" applyBorder="1" applyAlignment="1">
      <alignment horizontal="center" vertical="center"/>
    </xf>
    <xf numFmtId="0" fontId="31" fillId="0" borderId="50" xfId="0" applyFont="1" applyBorder="1" applyAlignment="1">
      <alignment horizontal="center" vertical="center"/>
    </xf>
    <xf numFmtId="0" fontId="21" fillId="0" borderId="0" xfId="0" applyFont="1"/>
    <xf numFmtId="0" fontId="0" fillId="0" borderId="0" xfId="0" quotePrefix="1" applyAlignment="1">
      <alignment horizontal="right"/>
    </xf>
    <xf numFmtId="0" fontId="22" fillId="0" borderId="0" xfId="0" quotePrefix="1" applyFont="1"/>
    <xf numFmtId="0" fontId="0" fillId="0" borderId="16" xfId="0" applyBorder="1"/>
    <xf numFmtId="0" fontId="0" fillId="0" borderId="17" xfId="0" applyBorder="1"/>
    <xf numFmtId="0" fontId="0" fillId="0" borderId="18" xfId="0" applyBorder="1"/>
    <xf numFmtId="0" fontId="0" fillId="34" borderId="10" xfId="0" applyFill="1" applyBorder="1"/>
    <xf numFmtId="0" fontId="0" fillId="34" borderId="7" xfId="0" applyFill="1" applyBorder="1"/>
    <xf numFmtId="2" fontId="0" fillId="34" borderId="11" xfId="0" applyNumberFormat="1" applyFill="1" applyBorder="1"/>
    <xf numFmtId="0" fontId="0" fillId="34" borderId="12" xfId="0" applyFill="1" applyBorder="1"/>
    <xf numFmtId="0" fontId="0" fillId="34" borderId="13" xfId="0" applyFill="1" applyBorder="1"/>
    <xf numFmtId="2" fontId="0" fillId="34" borderId="14" xfId="0" applyNumberFormat="1" applyFill="1" applyBorder="1"/>
    <xf numFmtId="0" fontId="0" fillId="0" borderId="19" xfId="0" applyBorder="1"/>
    <xf numFmtId="0" fontId="15" fillId="0" borderId="0" xfId="0" applyFont="1"/>
    <xf numFmtId="0" fontId="19" fillId="0" borderId="0" xfId="0" applyFont="1"/>
    <xf numFmtId="0" fontId="30" fillId="6" borderId="60" xfId="0" applyFont="1" applyFill="1" applyBorder="1" applyAlignment="1">
      <alignment horizontal="center" vertical="center"/>
    </xf>
    <xf numFmtId="0" fontId="30" fillId="6" borderId="61" xfId="0" applyFont="1" applyFill="1" applyBorder="1" applyAlignment="1">
      <alignment horizontal="center" vertical="center"/>
    </xf>
    <xf numFmtId="0" fontId="30" fillId="6" borderId="61" xfId="0" applyFont="1" applyFill="1" applyBorder="1" applyAlignment="1">
      <alignment horizontal="center" vertical="center" wrapText="1"/>
    </xf>
    <xf numFmtId="0" fontId="30" fillId="6" borderId="62" xfId="0" applyFont="1" applyFill="1" applyBorder="1" applyAlignment="1">
      <alignment horizontal="center" vertical="center" wrapText="1"/>
    </xf>
    <xf numFmtId="0" fontId="31" fillId="0" borderId="10" xfId="58" applyFont="1" applyBorder="1" applyAlignment="1">
      <alignment vertical="center"/>
    </xf>
    <xf numFmtId="0" fontId="31" fillId="0" borderId="7" xfId="58" applyFont="1" applyBorder="1"/>
    <xf numFmtId="0" fontId="31" fillId="0" borderId="11" xfId="58" applyFont="1" applyBorder="1"/>
    <xf numFmtId="0" fontId="31" fillId="0" borderId="12" xfId="0" applyFont="1" applyBorder="1" applyAlignment="1">
      <alignment vertical="center"/>
    </xf>
    <xf numFmtId="0" fontId="31" fillId="0" borderId="13" xfId="0" applyFont="1" applyBorder="1" applyAlignment="1">
      <alignment wrapText="1"/>
    </xf>
    <xf numFmtId="0" fontId="28" fillId="0" borderId="19" xfId="0" applyFont="1" applyBorder="1" applyAlignment="1">
      <alignment horizontal="center" vertical="center"/>
    </xf>
    <xf numFmtId="0" fontId="28" fillId="0" borderId="7" xfId="0" applyFont="1" applyBorder="1" applyAlignment="1">
      <alignment horizontal="center" vertical="center"/>
    </xf>
    <xf numFmtId="0" fontId="28" fillId="0" borderId="13" xfId="0" applyFont="1" applyBorder="1" applyAlignment="1">
      <alignment horizontal="center" vertical="center"/>
    </xf>
    <xf numFmtId="0" fontId="31" fillId="0" borderId="0" xfId="0" applyFont="1" applyAlignment="1">
      <alignment horizontal="left"/>
    </xf>
    <xf numFmtId="0" fontId="31" fillId="0" borderId="0" xfId="0" applyFont="1" applyAlignment="1">
      <alignment horizontal="center"/>
    </xf>
    <xf numFmtId="0" fontId="31" fillId="0" borderId="0" xfId="0" quotePrefix="1" applyFont="1" applyAlignment="1">
      <alignment horizontal="center"/>
    </xf>
    <xf numFmtId="11" fontId="31" fillId="0" borderId="0" xfId="0" applyNumberFormat="1" applyFont="1" applyAlignment="1">
      <alignment horizontal="center"/>
    </xf>
    <xf numFmtId="0" fontId="28" fillId="0" borderId="0" xfId="49" applyFont="1"/>
    <xf numFmtId="0" fontId="62" fillId="32" borderId="60" xfId="50" applyFont="1" applyFill="1" applyBorder="1" applyAlignment="1">
      <alignment horizontal="center"/>
    </xf>
    <xf numFmtId="0" fontId="62" fillId="32" borderId="61" xfId="50" applyFont="1" applyFill="1" applyBorder="1" applyAlignment="1">
      <alignment horizontal="center" vertical="top" wrapText="1"/>
    </xf>
    <xf numFmtId="0" fontId="62" fillId="32" borderId="61" xfId="50" applyFont="1" applyFill="1" applyBorder="1" applyAlignment="1">
      <alignment horizontal="center" vertical="center" wrapText="1"/>
    </xf>
    <xf numFmtId="0" fontId="62" fillId="32" borderId="62" xfId="50" applyFont="1" applyFill="1" applyBorder="1" applyAlignment="1">
      <alignment horizontal="center" vertical="top" wrapText="1"/>
    </xf>
    <xf numFmtId="0" fontId="28" fillId="0" borderId="52" xfId="46" applyFont="1" applyBorder="1"/>
    <xf numFmtId="0" fontId="28" fillId="0" borderId="51" xfId="46" applyFont="1" applyBorder="1"/>
    <xf numFmtId="0" fontId="28" fillId="0" borderId="51" xfId="46" applyFont="1" applyBorder="1" applyAlignment="1">
      <alignment horizontal="center"/>
    </xf>
    <xf numFmtId="0" fontId="28" fillId="0" borderId="53" xfId="46" applyFont="1" applyBorder="1"/>
    <xf numFmtId="0" fontId="3" fillId="0" borderId="0" xfId="50" applyFont="1"/>
    <xf numFmtId="0" fontId="28" fillId="0" borderId="10" xfId="46" applyFont="1" applyBorder="1"/>
    <xf numFmtId="0" fontId="28" fillId="0" borderId="7" xfId="46" applyFont="1" applyBorder="1"/>
    <xf numFmtId="0" fontId="28" fillId="0" borderId="11" xfId="46" applyFont="1" applyBorder="1"/>
    <xf numFmtId="0" fontId="28" fillId="0" borderId="12" xfId="46" applyFont="1" applyBorder="1"/>
    <xf numFmtId="0" fontId="28" fillId="0" borderId="13" xfId="46" applyFont="1" applyBorder="1"/>
    <xf numFmtId="0" fontId="28" fillId="0" borderId="14" xfId="46" applyFont="1" applyBorder="1"/>
    <xf numFmtId="0" fontId="62" fillId="32" borderId="60" xfId="0" applyFont="1" applyFill="1" applyBorder="1" applyAlignment="1">
      <alignment vertical="center"/>
    </xf>
    <xf numFmtId="0" fontId="62" fillId="32" borderId="61" xfId="0" applyFont="1" applyFill="1" applyBorder="1" applyAlignment="1">
      <alignment vertical="center" wrapText="1"/>
    </xf>
    <xf numFmtId="0" fontId="62" fillId="32" borderId="61" xfId="0" applyFont="1" applyFill="1" applyBorder="1" applyAlignment="1">
      <alignment horizontal="center" vertical="center" wrapText="1"/>
    </xf>
    <xf numFmtId="0" fontId="62" fillId="32" borderId="62" xfId="0" applyFont="1" applyFill="1" applyBorder="1"/>
    <xf numFmtId="2" fontId="31" fillId="0" borderId="19" xfId="45" applyNumberFormat="1" applyFont="1" applyBorder="1" applyAlignment="1">
      <alignment horizontal="center" vertical="center"/>
    </xf>
    <xf numFmtId="2" fontId="31" fillId="0" borderId="7" xfId="45" applyNumberFormat="1" applyFont="1" applyBorder="1" applyAlignment="1">
      <alignment horizontal="center" vertical="center"/>
    </xf>
    <xf numFmtId="165" fontId="31" fillId="0" borderId="7" xfId="45" applyNumberFormat="1" applyFont="1" applyBorder="1" applyAlignment="1">
      <alignment horizontal="center" vertical="center"/>
    </xf>
    <xf numFmtId="165" fontId="31" fillId="0" borderId="13" xfId="45" applyNumberFormat="1" applyFont="1" applyBorder="1" applyAlignment="1">
      <alignment horizontal="center" vertical="center"/>
    </xf>
    <xf numFmtId="0" fontId="61" fillId="5" borderId="0" xfId="0" applyFont="1" applyFill="1" applyAlignment="1">
      <alignment horizontal="center"/>
    </xf>
    <xf numFmtId="0" fontId="61" fillId="0" borderId="0" xfId="0" applyFont="1" applyAlignment="1">
      <alignment horizontal="center"/>
    </xf>
    <xf numFmtId="0" fontId="60" fillId="0" borderId="0" xfId="0" applyFont="1" applyAlignment="1">
      <alignment horizontal="center" vertical="center"/>
    </xf>
    <xf numFmtId="0" fontId="0" fillId="0" borderId="0" xfId="0" applyAlignment="1">
      <alignment horizontal="left"/>
    </xf>
    <xf numFmtId="0" fontId="10" fillId="6" borderId="36" xfId="0" applyFont="1" applyFill="1" applyBorder="1" applyAlignment="1">
      <alignment horizontal="left" vertical="center" wrapText="1"/>
    </xf>
    <xf numFmtId="0" fontId="28" fillId="0" borderId="7" xfId="0" applyFont="1" applyBorder="1" applyAlignment="1">
      <alignment horizontal="left" vertical="center"/>
    </xf>
    <xf numFmtId="0" fontId="0" fillId="5" borderId="0" xfId="0" applyFill="1" applyAlignment="1">
      <alignment horizontal="left"/>
    </xf>
    <xf numFmtId="0" fontId="31" fillId="0" borderId="12" xfId="0" applyFont="1" applyBorder="1" applyAlignment="1">
      <alignment horizontal="left" vertical="center"/>
    </xf>
    <xf numFmtId="0" fontId="62" fillId="32" borderId="60" xfId="0" applyFont="1" applyFill="1" applyBorder="1" applyAlignment="1">
      <alignment horizontal="left" vertical="center"/>
    </xf>
    <xf numFmtId="0" fontId="62" fillId="32" borderId="61" xfId="0" applyFont="1" applyFill="1" applyBorder="1" applyAlignment="1">
      <alignment horizontal="left" vertical="center"/>
    </xf>
    <xf numFmtId="0" fontId="61" fillId="0" borderId="0" xfId="0" applyFont="1" applyAlignment="1">
      <alignment horizontal="left" vertical="center" wrapText="1"/>
    </xf>
    <xf numFmtId="0" fontId="61" fillId="0" borderId="0" xfId="0" applyFont="1" applyAlignment="1">
      <alignment horizontal="center" vertical="center" wrapText="1"/>
    </xf>
    <xf numFmtId="166" fontId="61" fillId="0" borderId="0" xfId="0" applyNumberFormat="1" applyFont="1" applyAlignment="1">
      <alignment horizontal="center" vertical="center" wrapText="1"/>
    </xf>
    <xf numFmtId="0" fontId="62" fillId="32" borderId="64" xfId="0" applyFont="1" applyFill="1" applyBorder="1" applyAlignment="1">
      <alignment horizontal="center" vertical="center"/>
    </xf>
    <xf numFmtId="0" fontId="62" fillId="32" borderId="64" xfId="0" applyFont="1" applyFill="1" applyBorder="1" applyAlignment="1">
      <alignment horizontal="center"/>
    </xf>
    <xf numFmtId="0" fontId="31" fillId="32" borderId="64" xfId="0" applyFont="1" applyFill="1" applyBorder="1" applyAlignment="1">
      <alignment horizontal="left" vertical="center" wrapText="1"/>
    </xf>
    <xf numFmtId="166" fontId="31" fillId="32" borderId="64" xfId="0" applyNumberFormat="1" applyFont="1" applyFill="1" applyBorder="1" applyAlignment="1">
      <alignment horizontal="center" vertical="center" wrapText="1"/>
    </xf>
    <xf numFmtId="0" fontId="31" fillId="32" borderId="64" xfId="0" applyFont="1" applyFill="1" applyBorder="1" applyAlignment="1">
      <alignment horizontal="center" vertical="center" wrapText="1"/>
    </xf>
    <xf numFmtId="0" fontId="62" fillId="0" borderId="0" xfId="0" applyFont="1" applyAlignment="1">
      <alignment horizontal="center" vertical="center"/>
    </xf>
    <xf numFmtId="0" fontId="62" fillId="0" borderId="0" xfId="0" applyFont="1" applyAlignment="1">
      <alignment horizontal="center"/>
    </xf>
    <xf numFmtId="0" fontId="31" fillId="0" borderId="0" xfId="0" applyFont="1" applyAlignment="1">
      <alignment horizontal="left" vertical="center" wrapText="1"/>
    </xf>
    <xf numFmtId="166" fontId="31" fillId="0" borderId="0" xfId="0" applyNumberFormat="1" applyFont="1" applyAlignment="1">
      <alignment horizontal="center" vertical="center" wrapText="1"/>
    </xf>
    <xf numFmtId="0" fontId="31" fillId="0" borderId="0" xfId="0" applyFont="1" applyAlignment="1">
      <alignment horizontal="center" vertical="center" wrapText="1"/>
    </xf>
    <xf numFmtId="0" fontId="31" fillId="0" borderId="13" xfId="0" applyFont="1" applyBorder="1" applyAlignment="1">
      <alignment horizontal="left" vertical="center" wrapText="1"/>
    </xf>
    <xf numFmtId="166" fontId="31" fillId="0" borderId="13" xfId="0" applyNumberFormat="1" applyFont="1" applyBorder="1" applyAlignment="1">
      <alignment horizontal="center" vertical="center"/>
    </xf>
    <xf numFmtId="0" fontId="31" fillId="0" borderId="10" xfId="0" applyFont="1" applyBorder="1" applyAlignment="1">
      <alignment horizontal="center" vertical="center" wrapText="1"/>
    </xf>
    <xf numFmtId="0" fontId="31" fillId="0" borderId="7" xfId="0" applyFont="1" applyBorder="1" applyAlignment="1">
      <alignment horizontal="left" vertical="center" wrapText="1"/>
    </xf>
    <xf numFmtId="2" fontId="31" fillId="0" borderId="7" xfId="0" applyNumberFormat="1" applyFont="1" applyBorder="1" applyAlignment="1">
      <alignment horizontal="center" vertical="center" wrapText="1"/>
    </xf>
    <xf numFmtId="0" fontId="31" fillId="0" borderId="7" xfId="0" applyFont="1" applyBorder="1" applyAlignment="1">
      <alignment horizontal="center" vertical="center" wrapText="1"/>
    </xf>
    <xf numFmtId="0" fontId="56" fillId="32" borderId="55" xfId="0" applyFont="1" applyFill="1" applyBorder="1" applyAlignment="1">
      <alignment horizontal="center" vertical="center" wrapText="1"/>
    </xf>
    <xf numFmtId="0" fontId="30" fillId="0" borderId="8" xfId="0" applyFont="1" applyBorder="1" applyAlignment="1">
      <alignment horizontal="center" vertical="center"/>
    </xf>
    <xf numFmtId="0" fontId="30" fillId="0" borderId="9" xfId="0" applyFont="1" applyBorder="1" applyAlignment="1">
      <alignment horizontal="center" vertical="center"/>
    </xf>
    <xf numFmtId="0" fontId="51" fillId="0" borderId="9" xfId="44" applyFont="1" applyBorder="1" applyAlignment="1">
      <alignment horizontal="left" vertical="center" wrapText="1"/>
    </xf>
    <xf numFmtId="0" fontId="52" fillId="0" borderId="9" xfId="44" applyFont="1" applyBorder="1" applyAlignment="1">
      <alignment horizontal="center" vertical="center" wrapText="1"/>
    </xf>
    <xf numFmtId="165" fontId="49" fillId="0" borderId="9" xfId="44" applyNumberFormat="1" applyFont="1" applyBorder="1" applyAlignment="1">
      <alignment horizontal="center" vertical="center" wrapText="1"/>
    </xf>
    <xf numFmtId="0" fontId="49" fillId="0" borderId="9" xfId="44" applyFont="1" applyBorder="1" applyAlignment="1">
      <alignment horizontal="center" vertical="center" wrapText="1"/>
    </xf>
    <xf numFmtId="2" fontId="52" fillId="0" borderId="9" xfId="44" applyNumberFormat="1" applyFont="1" applyBorder="1" applyAlignment="1">
      <alignment horizontal="center" vertical="center" wrapText="1"/>
    </xf>
    <xf numFmtId="49" fontId="49" fillId="0" borderId="9" xfId="44" applyNumberFormat="1" applyFont="1" applyBorder="1" applyAlignment="1">
      <alignment horizontal="left" vertical="center" wrapText="1"/>
    </xf>
    <xf numFmtId="49" fontId="54" fillId="0" borderId="65" xfId="44" applyNumberFormat="1" applyFont="1" applyBorder="1" applyAlignment="1">
      <alignment vertical="center" wrapText="1"/>
    </xf>
    <xf numFmtId="1" fontId="52" fillId="0" borderId="13" xfId="44" applyNumberFormat="1" applyFont="1" applyBorder="1" applyAlignment="1">
      <alignment horizontal="center" vertical="center"/>
    </xf>
    <xf numFmtId="0" fontId="14" fillId="5" borderId="0" xfId="0" applyFont="1" applyFill="1" applyAlignment="1">
      <alignment horizontal="left" vertical="center"/>
    </xf>
    <xf numFmtId="0" fontId="13" fillId="5" borderId="0" xfId="0" applyFont="1" applyFill="1" applyAlignment="1">
      <alignment horizontal="left" vertical="center"/>
    </xf>
    <xf numFmtId="0" fontId="10" fillId="6" borderId="4" xfId="0" applyFont="1" applyFill="1" applyBorder="1" applyAlignment="1">
      <alignment horizontal="left" vertical="center"/>
    </xf>
    <xf numFmtId="0" fontId="14" fillId="0" borderId="0" xfId="0" applyFont="1" applyAlignment="1">
      <alignment horizontal="left" vertical="center"/>
    </xf>
    <xf numFmtId="0" fontId="66" fillId="32" borderId="38" xfId="0" applyFont="1" applyFill="1" applyBorder="1" applyAlignment="1">
      <alignment horizontal="left" vertical="center" wrapText="1"/>
    </xf>
    <xf numFmtId="0" fontId="66" fillId="32" borderId="20" xfId="0" applyFont="1" applyFill="1" applyBorder="1" applyAlignment="1">
      <alignment horizontal="left" vertical="center" wrapText="1"/>
    </xf>
    <xf numFmtId="0" fontId="66" fillId="32" borderId="20" xfId="0" applyFont="1" applyFill="1" applyBorder="1" applyAlignment="1">
      <alignment horizontal="left" vertical="center"/>
    </xf>
    <xf numFmtId="0" fontId="62" fillId="6" borderId="63" xfId="0" applyFont="1" applyFill="1" applyBorder="1" applyAlignment="1">
      <alignment horizontal="left" vertical="center" wrapText="1"/>
    </xf>
    <xf numFmtId="0" fontId="66" fillId="32" borderId="55" xfId="0" applyFont="1" applyFill="1" applyBorder="1" applyAlignment="1">
      <alignment horizontal="left" vertical="center" wrapText="1"/>
    </xf>
    <xf numFmtId="0" fontId="66" fillId="32" borderId="39" xfId="0" applyFont="1" applyFill="1" applyBorder="1" applyAlignment="1">
      <alignment horizontal="left" vertical="center" wrapText="1"/>
    </xf>
    <xf numFmtId="0" fontId="57" fillId="0" borderId="49" xfId="44" applyFont="1" applyBorder="1" applyAlignment="1">
      <alignment horizontal="left" vertical="center"/>
    </xf>
    <xf numFmtId="0" fontId="57" fillId="0" borderId="19" xfId="44" applyFont="1" applyBorder="1" applyAlignment="1">
      <alignment horizontal="left" vertical="center"/>
    </xf>
    <xf numFmtId="0" fontId="28" fillId="0" borderId="19" xfId="0" applyFont="1" applyBorder="1" applyAlignment="1">
      <alignment horizontal="left" vertical="center"/>
    </xf>
    <xf numFmtId="0" fontId="31" fillId="0" borderId="19" xfId="0" quotePrefix="1" applyFont="1" applyBorder="1" applyAlignment="1">
      <alignment horizontal="left" vertical="center"/>
    </xf>
    <xf numFmtId="0" fontId="31" fillId="0" borderId="19" xfId="0" applyFont="1" applyBorder="1" applyAlignment="1">
      <alignment horizontal="left" vertical="center" wrapText="1"/>
    </xf>
    <xf numFmtId="0" fontId="31" fillId="0" borderId="56" xfId="0" applyFont="1" applyBorder="1" applyAlignment="1">
      <alignment horizontal="left" vertical="center" wrapText="1"/>
    </xf>
    <xf numFmtId="0" fontId="57" fillId="0" borderId="50" xfId="44" applyFont="1" applyBorder="1" applyAlignment="1">
      <alignment horizontal="left" vertical="center"/>
    </xf>
    <xf numFmtId="0" fontId="57" fillId="0" borderId="10" xfId="44" applyFont="1" applyBorder="1" applyAlignment="1">
      <alignment horizontal="left" vertical="center"/>
    </xf>
    <xf numFmtId="0" fontId="57" fillId="0" borderId="7" xfId="0" applyFont="1" applyBorder="1" applyAlignment="1">
      <alignment horizontal="left" vertical="center" wrapText="1"/>
    </xf>
    <xf numFmtId="0" fontId="31" fillId="0" borderId="17" xfId="0" applyFont="1" applyBorder="1" applyAlignment="1">
      <alignment horizontal="left" vertical="center" wrapText="1"/>
    </xf>
    <xf numFmtId="0" fontId="31" fillId="0" borderId="11" xfId="0" applyFont="1" applyBorder="1" applyAlignment="1">
      <alignment horizontal="left" vertical="center"/>
    </xf>
    <xf numFmtId="0" fontId="57" fillId="0" borderId="12" xfId="44" applyFont="1" applyBorder="1" applyAlignment="1">
      <alignment horizontal="left" vertical="center"/>
    </xf>
    <xf numFmtId="0" fontId="31" fillId="0" borderId="14" xfId="0" applyFont="1" applyBorder="1" applyAlignment="1">
      <alignment horizontal="left" vertical="center"/>
    </xf>
    <xf numFmtId="0" fontId="28" fillId="0" borderId="13" xfId="0" applyFont="1" applyBorder="1" applyAlignment="1">
      <alignment horizontal="left" vertical="center"/>
    </xf>
    <xf numFmtId="2" fontId="52" fillId="0" borderId="13" xfId="44" applyNumberFormat="1" applyFont="1" applyBorder="1" applyAlignment="1">
      <alignment horizontal="center" vertical="center" wrapText="1"/>
    </xf>
    <xf numFmtId="0" fontId="51" fillId="0" borderId="66" xfId="44" applyFont="1" applyBorder="1" applyAlignment="1">
      <alignment horizontal="center" vertical="center"/>
    </xf>
    <xf numFmtId="1" fontId="52" fillId="0" borderId="67" xfId="44" applyNumberFormat="1" applyFont="1" applyBorder="1" applyAlignment="1">
      <alignment horizontal="center" vertical="center"/>
    </xf>
    <xf numFmtId="2" fontId="52" fillId="0" borderId="67" xfId="44" applyNumberFormat="1" applyFont="1" applyBorder="1" applyAlignment="1">
      <alignment horizontal="center" vertical="center"/>
    </xf>
    <xf numFmtId="2" fontId="49" fillId="0" borderId="67" xfId="44" applyNumberFormat="1" applyFont="1" applyBorder="1" applyAlignment="1">
      <alignment horizontal="center" vertical="center"/>
    </xf>
    <xf numFmtId="0" fontId="57" fillId="0" borderId="13" xfId="0" applyFont="1" applyBorder="1" applyAlignment="1">
      <alignment horizontal="left" vertical="center" wrapText="1"/>
    </xf>
    <xf numFmtId="0" fontId="57" fillId="0" borderId="13" xfId="44" applyFont="1" applyBorder="1" applyAlignment="1">
      <alignment horizontal="left" vertical="center"/>
    </xf>
    <xf numFmtId="0" fontId="31" fillId="0" borderId="71" xfId="0" applyFont="1" applyBorder="1" applyAlignment="1">
      <alignment horizontal="left" vertical="center" wrapText="1"/>
    </xf>
    <xf numFmtId="2" fontId="52" fillId="0" borderId="13" xfId="44" quotePrefix="1" applyNumberFormat="1" applyFont="1" applyBorder="1" applyAlignment="1">
      <alignment horizontal="center" vertical="center" wrapText="1"/>
    </xf>
    <xf numFmtId="2" fontId="49" fillId="0" borderId="13" xfId="44" applyNumberFormat="1" applyFont="1" applyBorder="1" applyAlignment="1">
      <alignment horizontal="center" vertical="center" wrapText="1"/>
    </xf>
    <xf numFmtId="1" fontId="52" fillId="0" borderId="13" xfId="44" applyNumberFormat="1" applyFont="1" applyBorder="1" applyAlignment="1">
      <alignment horizontal="center" vertical="center" wrapText="1"/>
    </xf>
    <xf numFmtId="49" fontId="49" fillId="0" borderId="13" xfId="44" applyNumberFormat="1" applyFont="1" applyBorder="1" applyAlignment="1">
      <alignment horizontal="left" vertical="center" wrapText="1"/>
    </xf>
    <xf numFmtId="49" fontId="54" fillId="0" borderId="14" xfId="44" applyNumberFormat="1" applyFont="1" applyBorder="1" applyAlignment="1">
      <alignment vertical="center" wrapText="1"/>
    </xf>
    <xf numFmtId="166" fontId="31" fillId="0" borderId="0" xfId="0" applyNumberFormat="1" applyFont="1" applyAlignment="1">
      <alignment horizontal="center" vertical="center"/>
    </xf>
    <xf numFmtId="0" fontId="62" fillId="32" borderId="68" xfId="0" applyFont="1" applyFill="1" applyBorder="1" applyAlignment="1">
      <alignment horizontal="left" vertical="center"/>
    </xf>
    <xf numFmtId="0" fontId="62" fillId="32" borderId="69" xfId="0" applyFont="1" applyFill="1" applyBorder="1" applyAlignment="1">
      <alignment horizontal="left" vertical="center"/>
    </xf>
    <xf numFmtId="0" fontId="62" fillId="32" borderId="69" xfId="0" applyFont="1" applyFill="1" applyBorder="1" applyAlignment="1">
      <alignment horizontal="center" vertical="center"/>
    </xf>
    <xf numFmtId="0" fontId="62" fillId="32" borderId="70" xfId="0" applyFont="1" applyFill="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62" fillId="0" borderId="67" xfId="0" applyFont="1" applyBorder="1" applyAlignment="1">
      <alignment horizontal="center" vertical="center"/>
    </xf>
    <xf numFmtId="0" fontId="62" fillId="0" borderId="65" xfId="0" applyFont="1" applyBorder="1" applyAlignment="1">
      <alignment horizontal="left" vertical="center"/>
    </xf>
    <xf numFmtId="0" fontId="28" fillId="0" borderId="10" xfId="0" applyFont="1" applyBorder="1" applyAlignment="1">
      <alignment horizontal="left" vertical="center"/>
    </xf>
    <xf numFmtId="0" fontId="2" fillId="0" borderId="0" xfId="69" applyAlignment="1">
      <alignment horizontal="left" vertical="center"/>
    </xf>
    <xf numFmtId="0" fontId="76" fillId="35" borderId="72" xfId="69" applyFont="1" applyFill="1" applyBorder="1" applyAlignment="1">
      <alignment horizontal="left" vertical="center"/>
    </xf>
    <xf numFmtId="0" fontId="76" fillId="35" borderId="73" xfId="69" applyFont="1" applyFill="1" applyBorder="1" applyAlignment="1">
      <alignment horizontal="left" vertical="center"/>
    </xf>
    <xf numFmtId="0" fontId="76" fillId="35" borderId="74" xfId="69" applyFont="1" applyFill="1" applyBorder="1" applyAlignment="1">
      <alignment horizontal="left" vertical="center"/>
    </xf>
    <xf numFmtId="0" fontId="76" fillId="35" borderId="75" xfId="69" applyFont="1" applyFill="1" applyBorder="1" applyAlignment="1">
      <alignment horizontal="left" vertical="center"/>
    </xf>
    <xf numFmtId="0" fontId="76" fillId="35" borderId="76" xfId="69" applyFont="1" applyFill="1" applyBorder="1" applyAlignment="1">
      <alignment horizontal="left" vertical="center"/>
    </xf>
    <xf numFmtId="0" fontId="28" fillId="0" borderId="77" xfId="0" applyFont="1" applyBorder="1" applyAlignment="1">
      <alignment horizontal="left" vertical="center"/>
    </xf>
    <xf numFmtId="0" fontId="31" fillId="0" borderId="77" xfId="0" applyFont="1" applyBorder="1" applyAlignment="1">
      <alignment horizontal="left" vertical="center"/>
    </xf>
    <xf numFmtId="0" fontId="31" fillId="0" borderId="77" xfId="0" applyFont="1" applyBorder="1" applyAlignment="1">
      <alignment horizontal="left"/>
    </xf>
    <xf numFmtId="0" fontId="31" fillId="0" borderId="77" xfId="0" applyFont="1" applyBorder="1" applyAlignment="1">
      <alignment horizontal="center" vertical="center"/>
    </xf>
    <xf numFmtId="0" fontId="76" fillId="36" borderId="72" xfId="69" applyFont="1" applyFill="1" applyBorder="1" applyAlignment="1">
      <alignment horizontal="left" vertical="center"/>
    </xf>
    <xf numFmtId="0" fontId="76" fillId="36" borderId="73" xfId="69" applyFont="1" applyFill="1" applyBorder="1" applyAlignment="1">
      <alignment horizontal="left" vertical="center"/>
    </xf>
    <xf numFmtId="0" fontId="76" fillId="36" borderId="74" xfId="69" applyFont="1" applyFill="1" applyBorder="1" applyAlignment="1">
      <alignment horizontal="left" vertical="center"/>
    </xf>
    <xf numFmtId="0" fontId="76" fillId="36" borderId="75" xfId="69" applyFont="1" applyFill="1" applyBorder="1" applyAlignment="1">
      <alignment horizontal="left" vertical="center"/>
    </xf>
    <xf numFmtId="0" fontId="76" fillId="36" borderId="76" xfId="69" applyFont="1" applyFill="1" applyBorder="1" applyAlignment="1">
      <alignment horizontal="left" vertical="center"/>
    </xf>
    <xf numFmtId="0" fontId="31" fillId="0" borderId="40" xfId="69" applyFont="1" applyBorder="1" applyAlignment="1">
      <alignment horizontal="left" vertical="center"/>
    </xf>
    <xf numFmtId="0" fontId="11" fillId="0" borderId="0" xfId="0" applyFont="1" applyAlignment="1">
      <alignment horizontal="right"/>
    </xf>
    <xf numFmtId="0" fontId="0" fillId="34" borderId="66" xfId="0" applyFill="1" applyBorder="1"/>
    <xf numFmtId="0" fontId="0" fillId="34" borderId="67" xfId="0" applyFill="1" applyBorder="1"/>
    <xf numFmtId="2" fontId="0" fillId="34" borderId="65" xfId="0" applyNumberFormat="1" applyFill="1" applyBorder="1"/>
    <xf numFmtId="0" fontId="62" fillId="6" borderId="60" xfId="0" applyFont="1" applyFill="1" applyBorder="1" applyAlignment="1">
      <alignment horizontal="left" vertical="center"/>
    </xf>
    <xf numFmtId="0" fontId="62" fillId="6" borderId="68" xfId="0" applyFont="1" applyFill="1" applyBorder="1" applyAlignment="1">
      <alignment horizontal="left" vertical="center"/>
    </xf>
    <xf numFmtId="0" fontId="62" fillId="6" borderId="69" xfId="0" applyFont="1" applyFill="1" applyBorder="1" applyAlignment="1">
      <alignment horizontal="left" vertical="center" wrapText="1"/>
    </xf>
    <xf numFmtId="0" fontId="62" fillId="6" borderId="70" xfId="0" applyFont="1" applyFill="1" applyBorder="1" applyAlignment="1">
      <alignment vertical="center" wrapText="1"/>
    </xf>
    <xf numFmtId="0" fontId="31" fillId="0" borderId="66" xfId="0" applyFont="1" applyBorder="1" applyAlignment="1">
      <alignment vertical="center"/>
    </xf>
    <xf numFmtId="0" fontId="31" fillId="0" borderId="67" xfId="0" applyFont="1" applyBorder="1"/>
    <xf numFmtId="0" fontId="31" fillId="0" borderId="65" xfId="0" applyFont="1" applyBorder="1"/>
    <xf numFmtId="0" fontId="31" fillId="0" borderId="11" xfId="0" applyFont="1" applyBorder="1" applyAlignment="1">
      <alignment vertical="center"/>
    </xf>
    <xf numFmtId="0" fontId="31" fillId="0" borderId="14" xfId="0" applyFont="1" applyBorder="1" applyAlignment="1">
      <alignment vertical="center"/>
    </xf>
    <xf numFmtId="0" fontId="79" fillId="0" borderId="0" xfId="70" applyAlignment="1" applyProtection="1"/>
    <xf numFmtId="49" fontId="80" fillId="0" borderId="9" xfId="44" applyNumberFormat="1" applyFont="1" applyBorder="1" applyAlignment="1">
      <alignment horizontal="left" vertical="center" wrapText="1"/>
    </xf>
    <xf numFmtId="49" fontId="80" fillId="0" borderId="7" xfId="44" applyNumberFormat="1" applyFont="1" applyBorder="1" applyAlignment="1">
      <alignment horizontal="left" vertical="center" wrapText="1"/>
    </xf>
    <xf numFmtId="49" fontId="80" fillId="0" borderId="13" xfId="44" applyNumberFormat="1" applyFont="1" applyBorder="1" applyAlignment="1">
      <alignment horizontal="left" vertical="center" wrapText="1"/>
    </xf>
    <xf numFmtId="0" fontId="30" fillId="6" borderId="63" xfId="0" applyFont="1" applyFill="1" applyBorder="1" applyAlignment="1">
      <alignment horizontal="center" vertical="center" wrapText="1"/>
    </xf>
    <xf numFmtId="0" fontId="62" fillId="32" borderId="69" xfId="0" applyFont="1" applyFill="1" applyBorder="1" applyAlignment="1">
      <alignment horizontal="left" vertical="center" wrapText="1"/>
    </xf>
    <xf numFmtId="0" fontId="31" fillId="0" borderId="67" xfId="0" applyFont="1" applyBorder="1" applyAlignment="1">
      <alignment horizontal="left" vertical="center" wrapText="1"/>
    </xf>
    <xf numFmtId="0" fontId="28" fillId="0" borderId="7" xfId="0" applyFont="1" applyBorder="1" applyAlignment="1">
      <alignment horizontal="left" vertical="center" wrapText="1"/>
    </xf>
    <xf numFmtId="0" fontId="16" fillId="0" borderId="0" xfId="0" applyFont="1" applyAlignment="1">
      <alignment horizontal="left" vertical="center" wrapText="1"/>
    </xf>
    <xf numFmtId="0" fontId="62" fillId="32" borderId="20" xfId="0" applyFont="1" applyFill="1" applyBorder="1" applyAlignment="1">
      <alignment horizontal="left" vertical="center" wrapText="1"/>
    </xf>
    <xf numFmtId="0" fontId="62" fillId="32" borderId="61" xfId="0" applyFont="1" applyFill="1" applyBorder="1" applyAlignment="1">
      <alignment horizontal="left" vertical="center" wrapText="1"/>
    </xf>
    <xf numFmtId="0" fontId="0" fillId="5" borderId="0" xfId="0" applyFill="1" applyAlignment="1">
      <alignment horizontal="left" vertical="center"/>
    </xf>
    <xf numFmtId="0" fontId="0" fillId="5" borderId="0" xfId="0" applyFill="1" applyAlignment="1">
      <alignment horizontal="left" vertical="center" wrapText="1"/>
    </xf>
    <xf numFmtId="0" fontId="0" fillId="5" borderId="0" xfId="0" applyFill="1" applyAlignment="1">
      <alignment horizontal="center" vertical="center"/>
    </xf>
    <xf numFmtId="0" fontId="0" fillId="5" borderId="0" xfId="0" applyFill="1" applyAlignment="1">
      <alignment vertical="center"/>
    </xf>
    <xf numFmtId="0" fontId="0" fillId="0" borderId="0" xfId="0" applyAlignment="1">
      <alignment vertical="center"/>
    </xf>
    <xf numFmtId="0" fontId="28" fillId="0" borderId="67" xfId="0" applyFont="1" applyBorder="1" applyAlignment="1">
      <alignment horizontal="center" vertical="center"/>
    </xf>
    <xf numFmtId="0" fontId="28" fillId="0" borderId="7" xfId="0" applyFont="1" applyBorder="1" applyAlignment="1">
      <alignment vertical="center"/>
    </xf>
    <xf numFmtId="0" fontId="28" fillId="0" borderId="11" xfId="0" applyFont="1" applyBorder="1" applyAlignment="1">
      <alignment vertical="center"/>
    </xf>
    <xf numFmtId="0" fontId="28" fillId="0" borderId="49" xfId="0" applyFont="1" applyBorder="1" applyAlignment="1">
      <alignment horizontal="left" vertical="center"/>
    </xf>
    <xf numFmtId="0" fontId="28" fillId="0" borderId="19" xfId="0" quotePrefix="1" applyFont="1" applyBorder="1" applyAlignment="1">
      <alignment horizontal="left" vertical="center" wrapText="1"/>
    </xf>
    <xf numFmtId="0" fontId="28" fillId="0" borderId="19" xfId="0" applyFont="1" applyBorder="1" applyAlignment="1">
      <alignment vertical="center"/>
    </xf>
    <xf numFmtId="0" fontId="28" fillId="0" borderId="50" xfId="0" applyFont="1" applyBorder="1" applyAlignment="1">
      <alignment vertical="center"/>
    </xf>
    <xf numFmtId="0" fontId="28" fillId="0" borderId="7" xfId="0" quotePrefix="1" applyFont="1" applyBorder="1" applyAlignment="1">
      <alignment horizontal="left" vertical="center" wrapText="1"/>
    </xf>
    <xf numFmtId="0" fontId="28" fillId="0" borderId="12" xfId="0" applyFont="1" applyBorder="1" applyAlignment="1">
      <alignment horizontal="left" vertical="center"/>
    </xf>
    <xf numFmtId="0" fontId="28" fillId="0" borderId="13" xfId="0" quotePrefix="1" applyFont="1" applyBorder="1" applyAlignment="1">
      <alignment horizontal="left" vertical="center" wrapText="1"/>
    </xf>
    <xf numFmtId="0" fontId="28" fillId="0" borderId="13" xfId="0" applyFont="1" applyBorder="1" applyAlignment="1">
      <alignment vertical="center"/>
    </xf>
    <xf numFmtId="0" fontId="28" fillId="0" borderId="14" xfId="0" applyFont="1" applyBorder="1" applyAlignment="1">
      <alignment vertical="center"/>
    </xf>
    <xf numFmtId="0" fontId="28" fillId="0" borderId="0" xfId="0" applyFont="1" applyAlignment="1">
      <alignment horizontal="left" vertical="center"/>
    </xf>
    <xf numFmtId="0" fontId="28" fillId="0" borderId="0" xfId="0" quotePrefix="1" applyFont="1" applyAlignment="1">
      <alignment horizontal="left" vertical="center" wrapText="1"/>
    </xf>
    <xf numFmtId="0" fontId="28" fillId="0" borderId="0" xfId="0" applyFont="1" applyAlignment="1">
      <alignment horizontal="center" vertical="center"/>
    </xf>
    <xf numFmtId="0" fontId="28" fillId="0" borderId="0" xfId="0" applyFont="1" applyAlignment="1">
      <alignment vertical="center"/>
    </xf>
    <xf numFmtId="0" fontId="0" fillId="0" borderId="0" xfId="0" applyAlignment="1">
      <alignment horizontal="left" vertical="center" wrapText="1"/>
    </xf>
    <xf numFmtId="0" fontId="52" fillId="0" borderId="9" xfId="44" applyNumberFormat="1" applyFont="1" applyBorder="1" applyAlignment="1">
      <alignment horizontal="center" vertical="center" wrapText="1"/>
    </xf>
    <xf numFmtId="0" fontId="52" fillId="0" borderId="7" xfId="44" applyNumberFormat="1" applyFont="1" applyBorder="1" applyAlignment="1">
      <alignment horizontal="center" vertical="center" wrapText="1"/>
    </xf>
    <xf numFmtId="0" fontId="52" fillId="0" borderId="7" xfId="44" quotePrefix="1" applyNumberFormat="1" applyFont="1" applyBorder="1" applyAlignment="1">
      <alignment horizontal="center" vertical="center" wrapText="1"/>
    </xf>
    <xf numFmtId="0" fontId="52" fillId="0" borderId="13" xfId="44" applyNumberFormat="1" applyFont="1" applyBorder="1" applyAlignment="1">
      <alignment horizontal="center" vertical="center" wrapText="1"/>
    </xf>
    <xf numFmtId="0" fontId="49" fillId="0" borderId="7" xfId="44" applyNumberFormat="1" applyFont="1" applyBorder="1" applyAlignment="1">
      <alignment horizontal="center" vertical="center" wrapText="1"/>
    </xf>
    <xf numFmtId="0" fontId="52" fillId="0" borderId="13" xfId="44" quotePrefix="1" applyNumberFormat="1" applyFont="1" applyBorder="1" applyAlignment="1">
      <alignment horizontal="center" vertical="center" wrapText="1"/>
    </xf>
    <xf numFmtId="0" fontId="49" fillId="0" borderId="9" xfId="44" applyNumberFormat="1" applyFont="1" applyBorder="1" applyAlignment="1">
      <alignment horizontal="center" vertical="center" wrapText="1"/>
    </xf>
    <xf numFmtId="0" fontId="49" fillId="0" borderId="13" xfId="44" applyNumberFormat="1" applyFont="1" applyBorder="1" applyAlignment="1">
      <alignment horizontal="center" vertical="center" wrapText="1"/>
    </xf>
    <xf numFmtId="0" fontId="52" fillId="31" borderId="9" xfId="44" applyNumberFormat="1" applyFont="1" applyFill="1" applyBorder="1" applyAlignment="1">
      <alignment horizontal="center" vertical="center" wrapText="1"/>
    </xf>
    <xf numFmtId="0" fontId="52" fillId="31" borderId="7" xfId="44" applyNumberFormat="1" applyFont="1" applyFill="1" applyBorder="1" applyAlignment="1">
      <alignment horizontal="center" vertical="center" wrapText="1"/>
    </xf>
    <xf numFmtId="0" fontId="52" fillId="31" borderId="13" xfId="44" applyNumberFormat="1" applyFont="1" applyFill="1" applyBorder="1" applyAlignment="1">
      <alignment horizontal="center" vertical="center" wrapText="1"/>
    </xf>
    <xf numFmtId="0" fontId="49" fillId="29" borderId="9" xfId="44" quotePrefix="1" applyNumberFormat="1" applyFont="1" applyFill="1" applyBorder="1" applyAlignment="1">
      <alignment horizontal="left" vertical="center" wrapText="1"/>
    </xf>
    <xf numFmtId="0" fontId="49" fillId="29" borderId="7" xfId="44" quotePrefix="1" applyNumberFormat="1" applyFont="1" applyFill="1" applyBorder="1" applyAlignment="1">
      <alignment horizontal="left" vertical="center" wrapText="1"/>
    </xf>
    <xf numFmtId="0" fontId="49" fillId="29" borderId="13" xfId="44" quotePrefix="1" applyNumberFormat="1" applyFont="1" applyFill="1" applyBorder="1" applyAlignment="1">
      <alignment horizontal="left" vertical="center" wrapText="1"/>
    </xf>
    <xf numFmtId="0" fontId="51" fillId="0" borderId="0" xfId="44" applyFont="1" applyBorder="1" applyAlignment="1">
      <alignment horizontal="center" vertical="center"/>
    </xf>
    <xf numFmtId="0" fontId="62" fillId="6" borderId="55" xfId="0" applyFont="1" applyFill="1" applyBorder="1" applyAlignment="1">
      <alignment horizontal="left" vertical="center" wrapText="1"/>
    </xf>
    <xf numFmtId="0" fontId="62" fillId="6" borderId="64" xfId="0" applyFont="1" applyFill="1" applyBorder="1" applyAlignment="1">
      <alignment horizontal="left" vertical="center" wrapText="1"/>
    </xf>
    <xf numFmtId="0" fontId="62" fillId="6" borderId="3" xfId="0" applyFont="1" applyFill="1" applyBorder="1" applyAlignment="1">
      <alignment horizontal="left" vertical="center" wrapText="1"/>
    </xf>
    <xf numFmtId="0" fontId="31" fillId="0" borderId="78" xfId="0" applyFont="1" applyBorder="1" applyAlignment="1">
      <alignment horizontal="left" vertical="center"/>
    </xf>
    <xf numFmtId="0" fontId="31" fillId="0" borderId="79" xfId="0" applyFont="1" applyBorder="1" applyAlignment="1">
      <alignment horizontal="left" vertical="center"/>
    </xf>
    <xf numFmtId="0" fontId="31" fillId="0" borderId="80" xfId="0" applyFont="1" applyBorder="1" applyAlignment="1">
      <alignment horizontal="left" vertical="center"/>
    </xf>
    <xf numFmtId="0" fontId="31" fillId="0" borderId="17" xfId="0" applyFont="1" applyBorder="1" applyAlignment="1">
      <alignment horizontal="left" vertical="center"/>
    </xf>
    <xf numFmtId="0" fontId="31" fillId="0" borderId="81" xfId="0" applyFont="1" applyBorder="1" applyAlignment="1">
      <alignment horizontal="left" vertical="center"/>
    </xf>
    <xf numFmtId="0" fontId="31" fillId="0" borderId="82" xfId="0" applyFont="1" applyBorder="1" applyAlignment="1">
      <alignment horizontal="left" vertical="center"/>
    </xf>
    <xf numFmtId="0" fontId="0" fillId="0" borderId="0" xfId="0" applyAlignment="1">
      <alignment horizontal="left" wrapText="1"/>
    </xf>
    <xf numFmtId="0" fontId="31" fillId="0" borderId="71" xfId="0" applyFont="1" applyBorder="1" applyAlignment="1">
      <alignment horizontal="left" vertical="center"/>
    </xf>
    <xf numFmtId="0" fontId="31" fillId="0" borderId="83" xfId="0" applyFont="1" applyBorder="1" applyAlignment="1">
      <alignment horizontal="left" vertical="center"/>
    </xf>
    <xf numFmtId="0" fontId="31" fillId="0" borderId="84" xfId="0" applyFont="1" applyBorder="1" applyAlignment="1">
      <alignment horizontal="left" vertical="center"/>
    </xf>
    <xf numFmtId="0" fontId="23" fillId="3" borderId="24" xfId="0" applyFont="1" applyFill="1" applyBorder="1" applyAlignment="1">
      <alignment horizontal="center" vertical="top" wrapText="1"/>
    </xf>
    <xf numFmtId="0" fontId="23" fillId="3" borderId="0" xfId="0" applyFont="1" applyFill="1" applyAlignment="1">
      <alignment horizontal="center" vertical="top" wrapText="1"/>
    </xf>
    <xf numFmtId="0" fontId="23" fillId="3" borderId="25" xfId="0" applyFont="1" applyFill="1" applyBorder="1" applyAlignment="1">
      <alignment horizontal="center" vertical="top" wrapText="1"/>
    </xf>
    <xf numFmtId="0" fontId="23" fillId="3" borderId="26" xfId="0" applyFont="1" applyFill="1" applyBorder="1" applyAlignment="1">
      <alignment wrapText="1"/>
    </xf>
    <xf numFmtId="0" fontId="23" fillId="3" borderId="27" xfId="0" applyFont="1" applyFill="1" applyBorder="1" applyAlignment="1">
      <alignment wrapText="1"/>
    </xf>
    <xf numFmtId="0" fontId="23" fillId="3" borderId="28" xfId="0" applyFont="1" applyFill="1" applyBorder="1" applyAlignment="1">
      <alignment wrapText="1"/>
    </xf>
    <xf numFmtId="0" fontId="0" fillId="2" borderId="0" xfId="0" applyFill="1" applyAlignment="1">
      <alignment wrapText="1"/>
    </xf>
  </cellXfs>
  <cellStyles count="71">
    <cellStyle name="20% - 1. jelölőszín" xfId="3"/>
    <cellStyle name="20% - 2. jelölőszín" xfId="4"/>
    <cellStyle name="20% - 3. jelölőszín" xfId="5"/>
    <cellStyle name="20% - 4. jelölőszín" xfId="6"/>
    <cellStyle name="20% - 5. jelölőszín" xfId="7"/>
    <cellStyle name="20% - 6. jelölőszín" xfId="8"/>
    <cellStyle name="40% - 1. jelölőszín" xfId="9"/>
    <cellStyle name="40% - 2. jelölőszín" xfId="10"/>
    <cellStyle name="40% - 3. jelölőszín" xfId="11"/>
    <cellStyle name="40% - 4. jelölőszín" xfId="12"/>
    <cellStyle name="40% - 5. jelölőszín" xfId="13"/>
    <cellStyle name="40% - 6. jelölőszín" xfId="14"/>
    <cellStyle name="60% - 1. jelölőszín" xfId="15"/>
    <cellStyle name="60% - 2. jelölőszín" xfId="16"/>
    <cellStyle name="60% - 3. jelölőszín" xfId="17"/>
    <cellStyle name="60% - 4. jelölőszín" xfId="18"/>
    <cellStyle name="60% - 5. jelölőszín" xfId="19"/>
    <cellStyle name="60% - 6. jelölőszín" xfId="20"/>
    <cellStyle name="Bevitel" xfId="21"/>
    <cellStyle name="Cím" xfId="22"/>
    <cellStyle name="Címsor 1" xfId="23"/>
    <cellStyle name="Címsor 2" xfId="24"/>
    <cellStyle name="Címsor 3" xfId="25"/>
    <cellStyle name="Címsor 4" xfId="26"/>
    <cellStyle name="Ellenőrzőcella" xfId="27"/>
    <cellStyle name="Figyelmeztetés" xfId="28"/>
    <cellStyle name="Hivatkozás" xfId="70" builtinId="8"/>
    <cellStyle name="Hivatkozott cella" xfId="29"/>
    <cellStyle name="Jegyzet" xfId="30"/>
    <cellStyle name="Jelölőszín (1)" xfId="31"/>
    <cellStyle name="Jelölőszín (2)" xfId="32"/>
    <cellStyle name="Jelölőszín (3)" xfId="33"/>
    <cellStyle name="Jelölőszín (4)" xfId="34"/>
    <cellStyle name="Jelölőszín (5)" xfId="35"/>
    <cellStyle name="Jelölőszín (6)" xfId="36"/>
    <cellStyle name="Jó" xfId="37"/>
    <cellStyle name="Kimenet" xfId="38"/>
    <cellStyle name="Magyarázó szöveg" xfId="39"/>
    <cellStyle name="Normál" xfId="0" builtinId="0"/>
    <cellStyle name="Normal 10" xfId="58"/>
    <cellStyle name="Normal 11 2" xfId="59"/>
    <cellStyle name="Normal 11 2 2" xfId="69"/>
    <cellStyle name="Normal 2" xfId="1"/>
    <cellStyle name="Normál 2" xfId="51"/>
    <cellStyle name="Normal 2 2" xfId="46"/>
    <cellStyle name="Normal 2 3" xfId="49"/>
    <cellStyle name="Normál 25" xfId="66"/>
    <cellStyle name="Normál 26" xfId="67"/>
    <cellStyle name="Normál 27" xfId="68"/>
    <cellStyle name="Normal 3" xfId="47"/>
    <cellStyle name="Normal 3 2" xfId="52"/>
    <cellStyle name="Normal 3 5" xfId="60"/>
    <cellStyle name="Normál 35" xfId="62"/>
    <cellStyle name="Normal 4" xfId="48"/>
    <cellStyle name="Normal 4 2" xfId="53"/>
    <cellStyle name="Normal 4 3" xfId="54"/>
    <cellStyle name="Normal 4 6" xfId="61"/>
    <cellStyle name="Normál 40" xfId="63"/>
    <cellStyle name="Normál 42" xfId="64"/>
    <cellStyle name="Normál 46" xfId="65"/>
    <cellStyle name="Normal 5" xfId="55"/>
    <cellStyle name="Normal 6" xfId="56"/>
    <cellStyle name="Normal 7" xfId="57"/>
    <cellStyle name="Normal 8" xfId="50"/>
    <cellStyle name="Normal_Exercise_Gujer_matrix_solution" xfId="44"/>
    <cellStyle name="Normal_Kinetic matrix" xfId="2"/>
    <cellStyle name="Normal_Parameters" xfId="45"/>
    <cellStyle name="Összesen" xfId="40"/>
    <cellStyle name="Rossz" xfId="41"/>
    <cellStyle name="Semleges" xfId="42"/>
    <cellStyle name="Számítás" xfId="43"/>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57150</xdr:colOff>
      <xdr:row>0</xdr:row>
      <xdr:rowOff>85725</xdr:rowOff>
    </xdr:from>
    <xdr:to>
      <xdr:col>4</xdr:col>
      <xdr:colOff>1057275</xdr:colOff>
      <xdr:row>0</xdr:row>
      <xdr:rowOff>485775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09775" y="8572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2" name="Picture 2">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3" name="Curved Up Arrow 3">
          <a:extLst>
            <a:ext uri="{FF2B5EF4-FFF2-40B4-BE49-F238E27FC236}">
              <a16:creationId xmlns:a16="http://schemas.microsoft.com/office/drawing/2014/main" id="{00000000-0008-0000-0000-00000D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30483</xdr:rowOff>
    </xdr:to>
    <xdr:pic>
      <xdr:nvPicPr>
        <xdr:cNvPr id="3" name="Kép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19900"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59531</xdr:colOff>
      <xdr:row>0</xdr:row>
      <xdr:rowOff>71437</xdr:rowOff>
    </xdr:from>
    <xdr:to>
      <xdr:col>2</xdr:col>
      <xdr:colOff>476249</xdr:colOff>
      <xdr:row>0</xdr:row>
      <xdr:rowOff>603250</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631031" y="71437"/>
          <a:ext cx="1583531"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365389</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119063</xdr:colOff>
      <xdr:row>0</xdr:row>
      <xdr:rowOff>59531</xdr:rowOff>
    </xdr:from>
    <xdr:to>
      <xdr:col>3</xdr:col>
      <xdr:colOff>1556545</xdr:colOff>
      <xdr:row>0</xdr:row>
      <xdr:rowOff>591344</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2024063" y="59531"/>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490818</xdr:colOff>
      <xdr:row>0</xdr:row>
      <xdr:rowOff>523875</xdr:rowOff>
    </xdr:to>
    <xdr:sp macro="[0]!bt_crkinma_click" textlink="">
      <xdr:nvSpPr>
        <xdr:cNvPr id="2" name="bt_crkinma">
          <a:extLst>
            <a:ext uri="{FF2B5EF4-FFF2-40B4-BE49-F238E27FC236}">
              <a16:creationId xmlns:a16="http://schemas.microsoft.com/office/drawing/2014/main" id="{00000000-0008-0000-05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1</xdr:col>
      <xdr:colOff>672353</xdr:colOff>
      <xdr:row>0</xdr:row>
      <xdr:rowOff>95250</xdr:rowOff>
    </xdr:from>
    <xdr:to>
      <xdr:col>2</xdr:col>
      <xdr:colOff>1506631</xdr:colOff>
      <xdr:row>0</xdr:row>
      <xdr:rowOff>523875</xdr:rowOff>
    </xdr:to>
    <xdr:sp macro="[0]!bt_chkst_click" textlink="">
      <xdr:nvSpPr>
        <xdr:cNvPr id="3" name="bt_chkst">
          <a:extLst>
            <a:ext uri="{FF2B5EF4-FFF2-40B4-BE49-F238E27FC236}">
              <a16:creationId xmlns:a16="http://schemas.microsoft.com/office/drawing/2014/main" id="{00000000-0008-0000-05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6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8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450574</xdr:colOff>
      <xdr:row>0</xdr:row>
      <xdr:rowOff>552450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390525</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2847975"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8.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9.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7109375" customWidth="1"/>
    <col min="6" max="6" width="24.85546875" customWidth="1"/>
    <col min="7" max="7" width="13.28515625" customWidth="1"/>
    <col min="14" max="14" width="5.140625" customWidth="1"/>
  </cols>
  <sheetData>
    <row r="1" spans="1:10" s="46" customFormat="1" ht="47.25" customHeight="1" x14ac:dyDescent="0.25"/>
    <row r="3" spans="1:10" ht="15" customHeight="1" x14ac:dyDescent="0.25">
      <c r="B3" s="49" t="s">
        <v>151</v>
      </c>
      <c r="C3" t="s">
        <v>212</v>
      </c>
      <c r="D3" s="417" t="s">
        <v>1626</v>
      </c>
      <c r="E3" s="417"/>
      <c r="F3" s="417"/>
    </row>
    <row r="4" spans="1:10" x14ac:dyDescent="0.25">
      <c r="D4" s="417"/>
      <c r="E4" s="417"/>
      <c r="F4" s="417"/>
    </row>
    <row r="5" spans="1:10" x14ac:dyDescent="0.25">
      <c r="D5" s="417"/>
      <c r="E5" s="417"/>
      <c r="F5" s="417"/>
      <c r="I5" s="247"/>
    </row>
    <row r="6" spans="1:10" x14ac:dyDescent="0.25">
      <c r="D6" s="417"/>
      <c r="E6" s="417"/>
      <c r="F6" s="417"/>
    </row>
    <row r="8" spans="1:10" ht="15" customHeight="1" x14ac:dyDescent="0.25">
      <c r="D8" s="417" t="s">
        <v>1625</v>
      </c>
      <c r="E8" s="417"/>
      <c r="F8" s="417"/>
    </row>
    <row r="9" spans="1:10" x14ac:dyDescent="0.25">
      <c r="D9" s="417"/>
      <c r="E9" s="417"/>
      <c r="F9" s="417"/>
    </row>
    <row r="10" spans="1:10" x14ac:dyDescent="0.25">
      <c r="D10" s="417"/>
      <c r="E10" s="417"/>
      <c r="F10" s="417"/>
    </row>
    <row r="11" spans="1:10" x14ac:dyDescent="0.25">
      <c r="H11" s="360" t="s">
        <v>1624</v>
      </c>
    </row>
    <row r="13" spans="1:10" x14ac:dyDescent="0.25">
      <c r="B13" s="49" t="s">
        <v>25</v>
      </c>
      <c r="C13" s="50"/>
      <c r="H13" s="49" t="s">
        <v>210</v>
      </c>
      <c r="I13" s="50"/>
      <c r="J13" s="50"/>
    </row>
    <row r="14" spans="1:10" x14ac:dyDescent="0.25">
      <c r="A14" s="189" t="s">
        <v>1040</v>
      </c>
      <c r="H14">
        <v>1</v>
      </c>
      <c r="I14" t="s">
        <v>211</v>
      </c>
    </row>
    <row r="15" spans="1:10" x14ac:dyDescent="0.25">
      <c r="A15">
        <v>1</v>
      </c>
      <c r="B15" t="s">
        <v>1041</v>
      </c>
      <c r="H15">
        <v>2</v>
      </c>
      <c r="I15" t="s">
        <v>1627</v>
      </c>
    </row>
    <row r="16" spans="1:10" x14ac:dyDescent="0.25">
      <c r="A16">
        <v>2</v>
      </c>
      <c r="B16" t="s">
        <v>1042</v>
      </c>
    </row>
    <row r="17" spans="1:5" x14ac:dyDescent="0.25">
      <c r="B17">
        <v>1</v>
      </c>
      <c r="C17" t="s">
        <v>1043</v>
      </c>
    </row>
    <row r="18" spans="1:5" x14ac:dyDescent="0.25">
      <c r="B18">
        <v>2</v>
      </c>
      <c r="C18" t="s">
        <v>1044</v>
      </c>
    </row>
    <row r="19" spans="1:5" x14ac:dyDescent="0.25">
      <c r="B19">
        <v>3</v>
      </c>
      <c r="C19" t="s">
        <v>1045</v>
      </c>
    </row>
    <row r="20" spans="1:5" x14ac:dyDescent="0.25">
      <c r="B20">
        <v>4</v>
      </c>
      <c r="C20" t="s">
        <v>1046</v>
      </c>
    </row>
    <row r="21" spans="1:5" x14ac:dyDescent="0.25">
      <c r="B21">
        <v>5</v>
      </c>
      <c r="C21" t="s">
        <v>1047</v>
      </c>
    </row>
    <row r="22" spans="1:5" x14ac:dyDescent="0.25">
      <c r="A22">
        <v>3</v>
      </c>
      <c r="B22" t="s">
        <v>1048</v>
      </c>
    </row>
    <row r="23" spans="1:5" x14ac:dyDescent="0.25">
      <c r="C23" t="s">
        <v>1049</v>
      </c>
    </row>
    <row r="25" spans="1:5" x14ac:dyDescent="0.25">
      <c r="A25" s="1" t="s">
        <v>26</v>
      </c>
      <c r="B25" s="1" t="s">
        <v>27</v>
      </c>
    </row>
    <row r="26" spans="1:5" x14ac:dyDescent="0.25">
      <c r="B26">
        <v>1</v>
      </c>
      <c r="C26" t="s">
        <v>835</v>
      </c>
    </row>
    <row r="27" spans="1:5" x14ac:dyDescent="0.25">
      <c r="D27" t="s">
        <v>28</v>
      </c>
    </row>
    <row r="28" spans="1:5" x14ac:dyDescent="0.25">
      <c r="D28">
        <v>1</v>
      </c>
      <c r="E28" t="s">
        <v>29</v>
      </c>
    </row>
    <row r="29" spans="1:5" x14ac:dyDescent="0.25">
      <c r="D29">
        <v>2</v>
      </c>
      <c r="E29" t="s">
        <v>99</v>
      </c>
    </row>
    <row r="30" spans="1:5" x14ac:dyDescent="0.25">
      <c r="D30">
        <v>3</v>
      </c>
      <c r="E30" t="s">
        <v>152</v>
      </c>
    </row>
    <row r="31" spans="1:5" x14ac:dyDescent="0.25">
      <c r="D31">
        <v>4</v>
      </c>
      <c r="E31" t="s">
        <v>31</v>
      </c>
    </row>
    <row r="32" spans="1:5" x14ac:dyDescent="0.25">
      <c r="B32">
        <v>2</v>
      </c>
      <c r="C32" t="s">
        <v>836</v>
      </c>
    </row>
    <row r="33" spans="2:5" x14ac:dyDescent="0.25">
      <c r="D33">
        <v>1</v>
      </c>
      <c r="E33" t="s">
        <v>32</v>
      </c>
    </row>
    <row r="34" spans="2:5" x14ac:dyDescent="0.25">
      <c r="D34">
        <v>2</v>
      </c>
      <c r="E34" t="s">
        <v>153</v>
      </c>
    </row>
    <row r="35" spans="2:5" x14ac:dyDescent="0.25">
      <c r="D35">
        <v>3</v>
      </c>
      <c r="E35" t="s">
        <v>154</v>
      </c>
    </row>
    <row r="36" spans="2:5" x14ac:dyDescent="0.25">
      <c r="D36">
        <v>3</v>
      </c>
      <c r="E36" t="s">
        <v>155</v>
      </c>
    </row>
    <row r="37" spans="2:5" x14ac:dyDescent="0.25">
      <c r="D37">
        <v>4</v>
      </c>
      <c r="E37" t="s">
        <v>156</v>
      </c>
    </row>
    <row r="38" spans="2:5" x14ac:dyDescent="0.25">
      <c r="D38" s="190" t="s">
        <v>157</v>
      </c>
      <c r="E38" t="s">
        <v>34</v>
      </c>
    </row>
    <row r="39" spans="2:5" x14ac:dyDescent="0.25">
      <c r="D39">
        <v>6</v>
      </c>
      <c r="E39" t="s">
        <v>35</v>
      </c>
    </row>
    <row r="40" spans="2:5" x14ac:dyDescent="0.25">
      <c r="B40">
        <v>3</v>
      </c>
      <c r="C40" t="s">
        <v>36</v>
      </c>
    </row>
    <row r="41" spans="2:5" x14ac:dyDescent="0.25">
      <c r="D41">
        <v>1</v>
      </c>
      <c r="E41" t="s">
        <v>37</v>
      </c>
    </row>
    <row r="42" spans="2:5" x14ac:dyDescent="0.25">
      <c r="D42">
        <v>2</v>
      </c>
      <c r="E42" t="s">
        <v>38</v>
      </c>
    </row>
    <row r="43" spans="2:5" x14ac:dyDescent="0.25">
      <c r="D43">
        <v>3</v>
      </c>
      <c r="E43" t="s">
        <v>39</v>
      </c>
    </row>
    <row r="44" spans="2:5" x14ac:dyDescent="0.25">
      <c r="B44">
        <v>4</v>
      </c>
      <c r="C44" t="s">
        <v>158</v>
      </c>
    </row>
    <row r="45" spans="2:5" x14ac:dyDescent="0.25">
      <c r="D45">
        <v>1</v>
      </c>
      <c r="E45" t="s">
        <v>159</v>
      </c>
    </row>
    <row r="46" spans="2:5" x14ac:dyDescent="0.25">
      <c r="B46">
        <v>5</v>
      </c>
      <c r="C46" t="s">
        <v>836</v>
      </c>
    </row>
    <row r="47" spans="2:5" x14ac:dyDescent="0.25">
      <c r="D47">
        <v>1</v>
      </c>
      <c r="E47" t="s">
        <v>40</v>
      </c>
    </row>
    <row r="48" spans="2:5" x14ac:dyDescent="0.25">
      <c r="D48">
        <v>2</v>
      </c>
      <c r="E48" t="s">
        <v>97</v>
      </c>
    </row>
    <row r="49" spans="2:10" x14ac:dyDescent="0.25">
      <c r="D49">
        <v>3</v>
      </c>
      <c r="E49" t="s">
        <v>41</v>
      </c>
    </row>
    <row r="50" spans="2:10" x14ac:dyDescent="0.25">
      <c r="B50">
        <v>6</v>
      </c>
      <c r="C50" t="s">
        <v>1628</v>
      </c>
      <c r="J50" s="191"/>
    </row>
    <row r="51" spans="2:10" x14ac:dyDescent="0.25">
      <c r="D51">
        <v>1</v>
      </c>
      <c r="E51" t="s">
        <v>1629</v>
      </c>
    </row>
    <row r="52" spans="2:10" x14ac:dyDescent="0.25">
      <c r="D52">
        <v>2</v>
      </c>
      <c r="E52" t="s">
        <v>1630</v>
      </c>
    </row>
    <row r="53" spans="2:10" x14ac:dyDescent="0.25">
      <c r="D53">
        <v>3</v>
      </c>
      <c r="E53" t="s">
        <v>1631</v>
      </c>
    </row>
    <row r="54" spans="2:10" x14ac:dyDescent="0.25">
      <c r="D54">
        <v>4</v>
      </c>
      <c r="E54" t="s">
        <v>1632</v>
      </c>
    </row>
    <row r="56" spans="2:10" x14ac:dyDescent="0.25">
      <c r="B56" s="1" t="s">
        <v>837</v>
      </c>
    </row>
    <row r="57" spans="2:10" x14ac:dyDescent="0.25">
      <c r="B57">
        <v>1</v>
      </c>
      <c r="C57" t="s">
        <v>838</v>
      </c>
    </row>
    <row r="58" spans="2:10" x14ac:dyDescent="0.25">
      <c r="D58" t="s">
        <v>42</v>
      </c>
    </row>
    <row r="59" spans="2:10" x14ac:dyDescent="0.25">
      <c r="D59">
        <v>1</v>
      </c>
      <c r="E59" t="s">
        <v>43</v>
      </c>
    </row>
    <row r="60" spans="2:10" x14ac:dyDescent="0.25">
      <c r="D60">
        <v>2</v>
      </c>
      <c r="E60" t="s">
        <v>44</v>
      </c>
    </row>
    <row r="61" spans="2:10" x14ac:dyDescent="0.25">
      <c r="D61">
        <v>3</v>
      </c>
      <c r="E61" t="s">
        <v>117</v>
      </c>
    </row>
    <row r="62" spans="2:10" x14ac:dyDescent="0.25">
      <c r="D62">
        <v>4</v>
      </c>
      <c r="E62" t="s">
        <v>1633</v>
      </c>
    </row>
    <row r="63" spans="2:10" x14ac:dyDescent="0.25">
      <c r="B63">
        <v>2</v>
      </c>
      <c r="C63" t="s">
        <v>839</v>
      </c>
    </row>
    <row r="64" spans="2:10" x14ac:dyDescent="0.25">
      <c r="D64">
        <v>1</v>
      </c>
      <c r="E64" t="s">
        <v>160</v>
      </c>
    </row>
    <row r="65" spans="1:5" x14ac:dyDescent="0.25">
      <c r="D65">
        <v>2</v>
      </c>
      <c r="E65" t="s">
        <v>161</v>
      </c>
    </row>
    <row r="66" spans="1:5" x14ac:dyDescent="0.25">
      <c r="B66">
        <v>3</v>
      </c>
      <c r="C66" t="s">
        <v>1634</v>
      </c>
    </row>
    <row r="67" spans="1:5" x14ac:dyDescent="0.25">
      <c r="D67">
        <v>1</v>
      </c>
      <c r="E67" t="s">
        <v>1635</v>
      </c>
    </row>
    <row r="68" spans="1:5" x14ac:dyDescent="0.25">
      <c r="B68">
        <v>4</v>
      </c>
      <c r="C68" t="s">
        <v>1636</v>
      </c>
    </row>
    <row r="69" spans="1:5" x14ac:dyDescent="0.25">
      <c r="D69">
        <v>1</v>
      </c>
      <c r="E69" t="s">
        <v>1637</v>
      </c>
    </row>
    <row r="70" spans="1:5" x14ac:dyDescent="0.25">
      <c r="D70">
        <v>2</v>
      </c>
      <c r="E70" t="s">
        <v>1638</v>
      </c>
    </row>
    <row r="71" spans="1:5" x14ac:dyDescent="0.25">
      <c r="D71">
        <v>3</v>
      </c>
      <c r="E71" t="s">
        <v>1639</v>
      </c>
    </row>
    <row r="73" spans="1:5" x14ac:dyDescent="0.25">
      <c r="B73">
        <v>5</v>
      </c>
      <c r="C73" t="s">
        <v>839</v>
      </c>
    </row>
    <row r="74" spans="1:5" x14ac:dyDescent="0.25">
      <c r="D74">
        <v>1</v>
      </c>
      <c r="E74" t="s">
        <v>45</v>
      </c>
    </row>
    <row r="75" spans="1:5" x14ac:dyDescent="0.25">
      <c r="D75">
        <v>2</v>
      </c>
      <c r="E75" t="s">
        <v>162</v>
      </c>
    </row>
    <row r="77" spans="1:5" x14ac:dyDescent="0.25">
      <c r="A77" s="1" t="s">
        <v>46</v>
      </c>
      <c r="B77" s="1" t="s">
        <v>47</v>
      </c>
    </row>
    <row r="78" spans="1:5" x14ac:dyDescent="0.25">
      <c r="B78">
        <v>1</v>
      </c>
      <c r="C78" t="s">
        <v>835</v>
      </c>
    </row>
    <row r="79" spans="1:5" x14ac:dyDescent="0.25">
      <c r="D79" t="s">
        <v>28</v>
      </c>
    </row>
    <row r="80" spans="1:5" x14ac:dyDescent="0.25">
      <c r="D80">
        <v>1</v>
      </c>
      <c r="E80" t="s">
        <v>48</v>
      </c>
    </row>
    <row r="81" spans="2:6" x14ac:dyDescent="0.25">
      <c r="D81">
        <v>2</v>
      </c>
      <c r="E81" t="s">
        <v>100</v>
      </c>
    </row>
    <row r="82" spans="2:6" x14ac:dyDescent="0.25">
      <c r="D82">
        <v>3</v>
      </c>
      <c r="E82" t="s">
        <v>30</v>
      </c>
    </row>
    <row r="83" spans="2:6" x14ac:dyDescent="0.25">
      <c r="E83" s="347" t="s">
        <v>49</v>
      </c>
      <c r="F83" t="s">
        <v>50</v>
      </c>
    </row>
    <row r="84" spans="2:6" x14ac:dyDescent="0.25">
      <c r="E84" s="347" t="s">
        <v>51</v>
      </c>
      <c r="F84" t="s">
        <v>1640</v>
      </c>
    </row>
    <row r="85" spans="2:6" x14ac:dyDescent="0.25">
      <c r="F85" t="s">
        <v>52</v>
      </c>
    </row>
    <row r="86" spans="2:6" x14ac:dyDescent="0.25">
      <c r="B86">
        <v>2</v>
      </c>
      <c r="C86" t="s">
        <v>836</v>
      </c>
    </row>
    <row r="87" spans="2:6" x14ac:dyDescent="0.25">
      <c r="D87">
        <v>1</v>
      </c>
      <c r="E87" t="s">
        <v>53</v>
      </c>
    </row>
    <row r="88" spans="2:6" x14ac:dyDescent="0.25">
      <c r="D88">
        <v>2</v>
      </c>
      <c r="E88" t="s">
        <v>153</v>
      </c>
    </row>
    <row r="89" spans="2:6" x14ac:dyDescent="0.25">
      <c r="D89" s="190" t="s">
        <v>33</v>
      </c>
      <c r="E89" t="s">
        <v>34</v>
      </c>
    </row>
    <row r="90" spans="2:6" x14ac:dyDescent="0.25">
      <c r="D90">
        <v>4</v>
      </c>
      <c r="E90" t="s">
        <v>54</v>
      </c>
    </row>
    <row r="91" spans="2:6" x14ac:dyDescent="0.25">
      <c r="B91">
        <v>3</v>
      </c>
      <c r="C91" t="s">
        <v>36</v>
      </c>
    </row>
    <row r="92" spans="2:6" x14ac:dyDescent="0.25">
      <c r="D92">
        <v>1</v>
      </c>
      <c r="E92" t="s">
        <v>55</v>
      </c>
    </row>
    <row r="93" spans="2:6" x14ac:dyDescent="0.25">
      <c r="D93">
        <v>2</v>
      </c>
      <c r="E93" t="s">
        <v>38</v>
      </c>
    </row>
    <row r="94" spans="2:6" x14ac:dyDescent="0.25">
      <c r="D94">
        <v>3</v>
      </c>
      <c r="E94" t="s">
        <v>39</v>
      </c>
    </row>
    <row r="95" spans="2:6" x14ac:dyDescent="0.25">
      <c r="B95">
        <v>4</v>
      </c>
      <c r="C95" t="s">
        <v>158</v>
      </c>
    </row>
    <row r="96" spans="2:6" x14ac:dyDescent="0.25">
      <c r="D96">
        <v>1</v>
      </c>
      <c r="E96" t="s">
        <v>159</v>
      </c>
    </row>
    <row r="97" spans="2:10" x14ac:dyDescent="0.25">
      <c r="B97">
        <v>5</v>
      </c>
      <c r="C97" t="s">
        <v>836</v>
      </c>
    </row>
    <row r="98" spans="2:10" x14ac:dyDescent="0.25">
      <c r="D98">
        <v>1</v>
      </c>
      <c r="E98" t="s">
        <v>40</v>
      </c>
    </row>
    <row r="99" spans="2:10" x14ac:dyDescent="0.25">
      <c r="D99">
        <v>2</v>
      </c>
      <c r="E99" t="s">
        <v>97</v>
      </c>
    </row>
    <row r="100" spans="2:10" x14ac:dyDescent="0.25">
      <c r="D100">
        <v>3</v>
      </c>
      <c r="E100" t="s">
        <v>41</v>
      </c>
      <c r="J100" s="191"/>
    </row>
    <row r="101" spans="2:10" x14ac:dyDescent="0.25">
      <c r="B101">
        <v>6</v>
      </c>
      <c r="C101" t="s">
        <v>1628</v>
      </c>
    </row>
    <row r="102" spans="2:10" x14ac:dyDescent="0.25">
      <c r="D102">
        <v>1</v>
      </c>
      <c r="E102" t="s">
        <v>1629</v>
      </c>
    </row>
    <row r="103" spans="2:10" x14ac:dyDescent="0.25">
      <c r="D103">
        <v>2</v>
      </c>
      <c r="E103" t="s">
        <v>1630</v>
      </c>
    </row>
    <row r="104" spans="2:10" x14ac:dyDescent="0.25">
      <c r="D104">
        <v>3</v>
      </c>
      <c r="E104" t="s">
        <v>1631</v>
      </c>
    </row>
    <row r="105" spans="2:10" x14ac:dyDescent="0.25">
      <c r="D105">
        <v>4</v>
      </c>
      <c r="E105" t="s">
        <v>1632</v>
      </c>
    </row>
    <row r="106" spans="2:10" x14ac:dyDescent="0.25">
      <c r="B106" s="1" t="s">
        <v>56</v>
      </c>
    </row>
    <row r="107" spans="2:10" x14ac:dyDescent="0.25">
      <c r="B107">
        <v>1</v>
      </c>
      <c r="C107" t="s">
        <v>838</v>
      </c>
    </row>
    <row r="108" spans="2:10" x14ac:dyDescent="0.25">
      <c r="D108" t="s">
        <v>42</v>
      </c>
    </row>
    <row r="109" spans="2:10" x14ac:dyDescent="0.25">
      <c r="D109">
        <v>1</v>
      </c>
      <c r="E109" t="s">
        <v>57</v>
      </c>
    </row>
    <row r="110" spans="2:10" x14ac:dyDescent="0.25">
      <c r="D110">
        <v>2</v>
      </c>
      <c r="E110" t="s">
        <v>44</v>
      </c>
    </row>
    <row r="111" spans="2:10" x14ac:dyDescent="0.25">
      <c r="E111" s="347" t="s">
        <v>49</v>
      </c>
      <c r="F111" t="s">
        <v>58</v>
      </c>
    </row>
    <row r="112" spans="2:10" x14ac:dyDescent="0.25">
      <c r="E112" s="347" t="s">
        <v>51</v>
      </c>
      <c r="F112" t="s">
        <v>59</v>
      </c>
    </row>
    <row r="113" spans="2:6" x14ac:dyDescent="0.25">
      <c r="F113" t="s">
        <v>60</v>
      </c>
    </row>
    <row r="114" spans="2:6" x14ac:dyDescent="0.25">
      <c r="D114">
        <v>3</v>
      </c>
      <c r="E114" t="s">
        <v>1633</v>
      </c>
    </row>
    <row r="115" spans="2:6" x14ac:dyDescent="0.25">
      <c r="B115">
        <v>2</v>
      </c>
      <c r="C115" t="s">
        <v>839</v>
      </c>
    </row>
    <row r="116" spans="2:6" x14ac:dyDescent="0.25">
      <c r="D116">
        <v>1</v>
      </c>
      <c r="E116" t="s">
        <v>61</v>
      </c>
    </row>
    <row r="117" spans="2:6" x14ac:dyDescent="0.25">
      <c r="D117">
        <v>2</v>
      </c>
      <c r="E117" t="s">
        <v>161</v>
      </c>
    </row>
    <row r="118" spans="2:6" x14ac:dyDescent="0.25">
      <c r="E118" t="s">
        <v>1641</v>
      </c>
    </row>
    <row r="119" spans="2:6" x14ac:dyDescent="0.25">
      <c r="B119">
        <v>3</v>
      </c>
      <c r="C119" t="s">
        <v>1634</v>
      </c>
    </row>
    <row r="120" spans="2:6" x14ac:dyDescent="0.25">
      <c r="D120">
        <v>1</v>
      </c>
      <c r="E120" t="s">
        <v>1635</v>
      </c>
    </row>
    <row r="121" spans="2:6" x14ac:dyDescent="0.25">
      <c r="B121">
        <v>4</v>
      </c>
      <c r="C121" t="s">
        <v>1636</v>
      </c>
    </row>
    <row r="122" spans="2:6" x14ac:dyDescent="0.25">
      <c r="D122">
        <v>1</v>
      </c>
      <c r="E122" t="s">
        <v>1637</v>
      </c>
    </row>
    <row r="123" spans="2:6" x14ac:dyDescent="0.25">
      <c r="D123">
        <v>2</v>
      </c>
      <c r="E123" t="s">
        <v>1638</v>
      </c>
    </row>
    <row r="124" spans="2:6" x14ac:dyDescent="0.25">
      <c r="D124">
        <v>3</v>
      </c>
      <c r="E124" t="s">
        <v>1642</v>
      </c>
    </row>
    <row r="125" spans="2:6" x14ac:dyDescent="0.25">
      <c r="D125">
        <v>4</v>
      </c>
      <c r="E125" t="s">
        <v>1639</v>
      </c>
    </row>
    <row r="126" spans="2:6" x14ac:dyDescent="0.25">
      <c r="B126">
        <v>5</v>
      </c>
      <c r="C126" t="s">
        <v>839</v>
      </c>
    </row>
    <row r="127" spans="2:6" x14ac:dyDescent="0.25">
      <c r="D127">
        <v>1</v>
      </c>
      <c r="E127" t="s">
        <v>45</v>
      </c>
    </row>
    <row r="132" spans="2:7" x14ac:dyDescent="0.25">
      <c r="B132" s="49" t="s">
        <v>62</v>
      </c>
      <c r="C132" s="49"/>
      <c r="D132" s="49"/>
    </row>
    <row r="134" spans="2:7" x14ac:dyDescent="0.25">
      <c r="B134" s="1" t="s">
        <v>63</v>
      </c>
      <c r="C134" t="s">
        <v>64</v>
      </c>
    </row>
    <row r="135" spans="2:7" x14ac:dyDescent="0.25">
      <c r="C135" t="s">
        <v>65</v>
      </c>
    </row>
    <row r="136" spans="2:7" x14ac:dyDescent="0.25">
      <c r="C136" t="s">
        <v>123</v>
      </c>
    </row>
    <row r="137" spans="2:7" ht="15.75" thickBot="1" x14ac:dyDescent="0.3">
      <c r="C137" s="4"/>
      <c r="D137" s="192"/>
      <c r="E137" s="192"/>
      <c r="F137" s="192"/>
      <c r="G137" s="4"/>
    </row>
    <row r="138" spans="2:7" x14ac:dyDescent="0.25">
      <c r="C138" s="193"/>
      <c r="D138" s="348" t="s">
        <v>24</v>
      </c>
      <c r="E138" s="349"/>
      <c r="F138" s="350">
        <v>3.52</v>
      </c>
      <c r="G138" s="194"/>
    </row>
    <row r="139" spans="2:7" x14ac:dyDescent="0.25">
      <c r="C139" s="193"/>
      <c r="D139" s="195" t="s">
        <v>66</v>
      </c>
      <c r="E139" s="196"/>
      <c r="F139" s="197">
        <v>1.23</v>
      </c>
      <c r="G139" s="194"/>
    </row>
    <row r="140" spans="2:7" x14ac:dyDescent="0.25">
      <c r="C140" s="193"/>
      <c r="D140" s="195" t="s">
        <v>67</v>
      </c>
      <c r="E140" s="196"/>
      <c r="F140" s="197">
        <v>0.02</v>
      </c>
      <c r="G140" s="194"/>
    </row>
    <row r="141" spans="2:7" ht="15.75" thickBot="1" x14ac:dyDescent="0.3">
      <c r="C141" s="193"/>
      <c r="D141" s="198" t="s">
        <v>68</v>
      </c>
      <c r="E141" s="199"/>
      <c r="F141" s="200">
        <v>4.21</v>
      </c>
      <c r="G141" s="194"/>
    </row>
    <row r="142" spans="2:7" x14ac:dyDescent="0.25">
      <c r="C142" s="4"/>
      <c r="D142" s="201"/>
      <c r="E142" s="201"/>
      <c r="F142" s="201"/>
      <c r="G142" s="4"/>
    </row>
    <row r="150" spans="2:4" x14ac:dyDescent="0.25">
      <c r="B150" s="1" t="s">
        <v>835</v>
      </c>
    </row>
    <row r="151" spans="2:4" x14ac:dyDescent="0.25">
      <c r="C151" s="5" t="s">
        <v>69</v>
      </c>
    </row>
    <row r="152" spans="2:4" x14ac:dyDescent="0.25">
      <c r="C152" t="s">
        <v>70</v>
      </c>
    </row>
    <row r="153" spans="2:4" x14ac:dyDescent="0.25">
      <c r="C153" t="s">
        <v>71</v>
      </c>
    </row>
    <row r="154" spans="2:4" x14ac:dyDescent="0.25">
      <c r="C154" t="s">
        <v>72</v>
      </c>
    </row>
    <row r="156" spans="2:4" x14ac:dyDescent="0.25">
      <c r="C156" s="5" t="s">
        <v>73</v>
      </c>
    </row>
    <row r="157" spans="2:4" x14ac:dyDescent="0.25">
      <c r="C157" t="s">
        <v>74</v>
      </c>
    </row>
    <row r="158" spans="2:4" x14ac:dyDescent="0.25">
      <c r="D158" t="s">
        <v>14</v>
      </c>
    </row>
    <row r="159" spans="2:4" x14ac:dyDescent="0.25">
      <c r="C159" t="s">
        <v>101</v>
      </c>
    </row>
    <row r="161" spans="2:5" x14ac:dyDescent="0.25">
      <c r="B161" s="1" t="s">
        <v>838</v>
      </c>
    </row>
    <row r="162" spans="2:5" x14ac:dyDescent="0.25">
      <c r="C162" s="5" t="s">
        <v>75</v>
      </c>
    </row>
    <row r="163" spans="2:5" x14ac:dyDescent="0.25">
      <c r="C163" t="s">
        <v>76</v>
      </c>
    </row>
    <row r="164" spans="2:5" x14ac:dyDescent="0.25">
      <c r="C164" t="s">
        <v>71</v>
      </c>
    </row>
    <row r="166" spans="2:5" x14ac:dyDescent="0.25">
      <c r="C166" s="5" t="s">
        <v>77</v>
      </c>
    </row>
    <row r="167" spans="2:5" x14ac:dyDescent="0.25">
      <c r="C167" s="203" t="s">
        <v>15</v>
      </c>
    </row>
    <row r="168" spans="2:5" x14ac:dyDescent="0.25">
      <c r="C168" s="203"/>
      <c r="D168" t="s">
        <v>14</v>
      </c>
    </row>
    <row r="169" spans="2:5" x14ac:dyDescent="0.25">
      <c r="C169" s="203"/>
    </row>
    <row r="170" spans="2:5" x14ac:dyDescent="0.25">
      <c r="B170" s="1" t="s">
        <v>836</v>
      </c>
      <c r="C170" s="203"/>
    </row>
    <row r="171" spans="2:5" x14ac:dyDescent="0.25">
      <c r="C171" s="5" t="s">
        <v>102</v>
      </c>
    </row>
    <row r="172" spans="2:5" x14ac:dyDescent="0.25">
      <c r="C172" t="s">
        <v>103</v>
      </c>
    </row>
    <row r="173" spans="2:5" x14ac:dyDescent="0.25">
      <c r="D173" t="s">
        <v>78</v>
      </c>
    </row>
    <row r="174" spans="2:5" x14ac:dyDescent="0.25">
      <c r="E174" t="s">
        <v>79</v>
      </c>
    </row>
    <row r="175" spans="2:5" x14ac:dyDescent="0.25">
      <c r="E175" t="s">
        <v>80</v>
      </c>
    </row>
    <row r="176" spans="2:5" x14ac:dyDescent="0.25">
      <c r="D176" t="s">
        <v>16</v>
      </c>
    </row>
    <row r="177" spans="3:12" x14ac:dyDescent="0.25">
      <c r="E177" t="s">
        <v>17</v>
      </c>
    </row>
    <row r="178" spans="3:12" x14ac:dyDescent="0.25">
      <c r="E178" t="s">
        <v>10</v>
      </c>
    </row>
    <row r="179" spans="3:12" x14ac:dyDescent="0.25">
      <c r="E179" t="s">
        <v>81</v>
      </c>
    </row>
    <row r="180" spans="3:12" x14ac:dyDescent="0.25">
      <c r="D180" t="s">
        <v>82</v>
      </c>
    </row>
    <row r="181" spans="3:12" x14ac:dyDescent="0.25">
      <c r="D181" t="s">
        <v>98</v>
      </c>
    </row>
    <row r="182" spans="3:12" x14ac:dyDescent="0.25">
      <c r="D182" t="s">
        <v>18</v>
      </c>
    </row>
    <row r="183" spans="3:12" x14ac:dyDescent="0.25">
      <c r="C183" t="s">
        <v>104</v>
      </c>
    </row>
    <row r="185" spans="3:12" x14ac:dyDescent="0.25">
      <c r="D185" t="s">
        <v>840</v>
      </c>
    </row>
    <row r="186" spans="3:12" ht="15.75" thickBot="1" x14ac:dyDescent="0.3"/>
    <row r="187" spans="3:12" ht="15.75" thickBot="1" x14ac:dyDescent="0.3">
      <c r="E187" s="351" t="s">
        <v>0</v>
      </c>
      <c r="F187" s="291" t="s">
        <v>1</v>
      </c>
      <c r="G187" s="408" t="s">
        <v>4</v>
      </c>
      <c r="H187" s="409"/>
      <c r="I187" s="409"/>
      <c r="J187" s="409"/>
      <c r="K187" s="409"/>
      <c r="L187" s="410"/>
    </row>
    <row r="188" spans="3:12" x14ac:dyDescent="0.25">
      <c r="E188" s="144" t="s">
        <v>163</v>
      </c>
      <c r="F188" s="95" t="s">
        <v>164</v>
      </c>
      <c r="G188" s="411" t="s">
        <v>165</v>
      </c>
      <c r="H188" s="412"/>
      <c r="I188" s="412"/>
      <c r="J188" s="412"/>
      <c r="K188" s="412"/>
      <c r="L188" s="413"/>
    </row>
    <row r="189" spans="3:12" x14ac:dyDescent="0.25">
      <c r="E189" s="145" t="s">
        <v>166</v>
      </c>
      <c r="F189" s="100" t="s">
        <v>167</v>
      </c>
      <c r="G189" s="414" t="s">
        <v>168</v>
      </c>
      <c r="H189" s="415"/>
      <c r="I189" s="415"/>
      <c r="J189" s="415"/>
      <c r="K189" s="415"/>
      <c r="L189" s="416"/>
    </row>
    <row r="190" spans="3:12" x14ac:dyDescent="0.25">
      <c r="E190" s="145" t="s">
        <v>169</v>
      </c>
      <c r="F190" s="100" t="s">
        <v>170</v>
      </c>
      <c r="G190" s="414" t="s">
        <v>171</v>
      </c>
      <c r="H190" s="415"/>
      <c r="I190" s="415"/>
      <c r="J190" s="415"/>
      <c r="K190" s="415"/>
      <c r="L190" s="416"/>
    </row>
    <row r="191" spans="3:12" x14ac:dyDescent="0.25">
      <c r="E191" s="145" t="s">
        <v>172</v>
      </c>
      <c r="F191" s="100" t="s">
        <v>173</v>
      </c>
      <c r="G191" s="414" t="s">
        <v>174</v>
      </c>
      <c r="H191" s="415"/>
      <c r="I191" s="415"/>
      <c r="J191" s="415"/>
      <c r="K191" s="415"/>
      <c r="L191" s="416"/>
    </row>
    <row r="192" spans="3:12" x14ac:dyDescent="0.25">
      <c r="E192" s="145" t="s">
        <v>175</v>
      </c>
      <c r="F192" s="100" t="s">
        <v>176</v>
      </c>
      <c r="G192" s="414" t="s">
        <v>177</v>
      </c>
      <c r="H192" s="415"/>
      <c r="I192" s="415"/>
      <c r="J192" s="415"/>
      <c r="K192" s="415"/>
      <c r="L192" s="416"/>
    </row>
    <row r="193" spans="4:12" x14ac:dyDescent="0.25">
      <c r="E193" s="145" t="s">
        <v>178</v>
      </c>
      <c r="F193" s="100" t="s">
        <v>179</v>
      </c>
      <c r="G193" s="414" t="s">
        <v>180</v>
      </c>
      <c r="H193" s="415"/>
      <c r="I193" s="415"/>
      <c r="J193" s="415"/>
      <c r="K193" s="415"/>
      <c r="L193" s="416"/>
    </row>
    <row r="194" spans="4:12" x14ac:dyDescent="0.25">
      <c r="E194" s="145" t="s">
        <v>181</v>
      </c>
      <c r="F194" s="100" t="s">
        <v>182</v>
      </c>
      <c r="G194" s="414" t="s">
        <v>183</v>
      </c>
      <c r="H194" s="415"/>
      <c r="I194" s="415"/>
      <c r="J194" s="415"/>
      <c r="K194" s="415"/>
      <c r="L194" s="416"/>
    </row>
    <row r="195" spans="4:12" x14ac:dyDescent="0.25">
      <c r="E195" s="145" t="s">
        <v>149</v>
      </c>
      <c r="F195" s="100" t="s">
        <v>147</v>
      </c>
      <c r="G195" s="414" t="s">
        <v>148</v>
      </c>
      <c r="H195" s="415"/>
      <c r="I195" s="415"/>
      <c r="J195" s="415"/>
      <c r="K195" s="415"/>
      <c r="L195" s="416"/>
    </row>
    <row r="196" spans="4:12" ht="15.75" thickBot="1" x14ac:dyDescent="0.3">
      <c r="E196" s="251" t="s">
        <v>184</v>
      </c>
      <c r="F196" s="112" t="s">
        <v>185</v>
      </c>
      <c r="G196" s="418" t="s">
        <v>186</v>
      </c>
      <c r="H196" s="419"/>
      <c r="I196" s="419"/>
      <c r="J196" s="419"/>
      <c r="K196" s="419"/>
      <c r="L196" s="420"/>
    </row>
    <row r="197" spans="4:12" x14ac:dyDescent="0.25">
      <c r="E197" s="44"/>
      <c r="F197" s="45"/>
      <c r="G197" s="45"/>
    </row>
    <row r="198" spans="4:12" ht="15.75" thickBot="1" x14ac:dyDescent="0.3">
      <c r="D198" t="s">
        <v>187</v>
      </c>
    </row>
    <row r="199" spans="4:12" ht="15.75" thickBot="1" x14ac:dyDescent="0.3">
      <c r="E199" s="352" t="s">
        <v>0</v>
      </c>
      <c r="F199" s="353" t="s">
        <v>1</v>
      </c>
      <c r="G199" s="354" t="s">
        <v>4</v>
      </c>
    </row>
    <row r="200" spans="4:12" x14ac:dyDescent="0.25">
      <c r="E200" s="355" t="s">
        <v>188</v>
      </c>
      <c r="F200" s="356" t="s">
        <v>189</v>
      </c>
      <c r="G200" s="357" t="s">
        <v>190</v>
      </c>
    </row>
    <row r="201" spans="4:12" x14ac:dyDescent="0.25">
      <c r="E201" s="173" t="s">
        <v>191</v>
      </c>
      <c r="F201" s="174" t="s">
        <v>192</v>
      </c>
      <c r="G201" s="175" t="s">
        <v>193</v>
      </c>
    </row>
    <row r="202" spans="4:12" x14ac:dyDescent="0.25">
      <c r="E202" s="173" t="s">
        <v>194</v>
      </c>
      <c r="F202" s="97" t="s">
        <v>195</v>
      </c>
      <c r="G202" s="358" t="s">
        <v>196</v>
      </c>
    </row>
    <row r="203" spans="4:12" x14ac:dyDescent="0.25">
      <c r="E203" s="173" t="s">
        <v>197</v>
      </c>
      <c r="F203" s="97" t="s">
        <v>198</v>
      </c>
      <c r="G203" s="358" t="s">
        <v>199</v>
      </c>
    </row>
    <row r="204" spans="4:12" x14ac:dyDescent="0.25">
      <c r="E204" s="173" t="s">
        <v>200</v>
      </c>
      <c r="F204" s="97" t="s">
        <v>201</v>
      </c>
      <c r="G204" s="358" t="s">
        <v>202</v>
      </c>
    </row>
    <row r="205" spans="4:12" ht="15.75" thickBot="1" x14ac:dyDescent="0.3">
      <c r="E205" s="211" t="s">
        <v>203</v>
      </c>
      <c r="F205" s="99" t="s">
        <v>204</v>
      </c>
      <c r="G205" s="359" t="s">
        <v>205</v>
      </c>
    </row>
    <row r="207" spans="4:12" x14ac:dyDescent="0.25">
      <c r="D207" t="s">
        <v>206</v>
      </c>
    </row>
    <row r="209" spans="2:7" x14ac:dyDescent="0.25">
      <c r="C209" t="s">
        <v>1643</v>
      </c>
    </row>
    <row r="210" spans="2:7" x14ac:dyDescent="0.25">
      <c r="C210" t="s">
        <v>109</v>
      </c>
    </row>
    <row r="211" spans="2:7" x14ac:dyDescent="0.25">
      <c r="D211" t="s">
        <v>112</v>
      </c>
    </row>
    <row r="212" spans="2:7" x14ac:dyDescent="0.25">
      <c r="C212" t="s">
        <v>110</v>
      </c>
    </row>
    <row r="213" spans="2:7" x14ac:dyDescent="0.25">
      <c r="C213" t="s">
        <v>207</v>
      </c>
    </row>
    <row r="216" spans="2:7" x14ac:dyDescent="0.25">
      <c r="B216" s="1" t="s">
        <v>839</v>
      </c>
    </row>
    <row r="217" spans="2:7" x14ac:dyDescent="0.25">
      <c r="C217" s="5" t="s">
        <v>83</v>
      </c>
    </row>
    <row r="218" spans="2:7" x14ac:dyDescent="0.25">
      <c r="C218" t="s">
        <v>84</v>
      </c>
    </row>
    <row r="219" spans="2:7" x14ac:dyDescent="0.25">
      <c r="D219" t="s">
        <v>85</v>
      </c>
      <c r="F219" s="202"/>
      <c r="G219" s="202"/>
    </row>
    <row r="220" spans="2:7" x14ac:dyDescent="0.25">
      <c r="E220" t="s">
        <v>19</v>
      </c>
    </row>
    <row r="221" spans="2:7" x14ac:dyDescent="0.25">
      <c r="E221" t="s">
        <v>20</v>
      </c>
    </row>
    <row r="222" spans="2:7" x14ac:dyDescent="0.25">
      <c r="D222" t="s">
        <v>86</v>
      </c>
    </row>
    <row r="223" spans="2:7" ht="18" x14ac:dyDescent="0.35">
      <c r="E223" t="s">
        <v>21</v>
      </c>
    </row>
    <row r="224" spans="2:7" ht="18" x14ac:dyDescent="0.35">
      <c r="E224" t="s">
        <v>87</v>
      </c>
    </row>
    <row r="225" spans="2:4" x14ac:dyDescent="0.25">
      <c r="D225" t="s">
        <v>23</v>
      </c>
    </row>
    <row r="226" spans="2:4" x14ac:dyDescent="0.25">
      <c r="D226" t="s">
        <v>22</v>
      </c>
    </row>
    <row r="227" spans="2:4" x14ac:dyDescent="0.25">
      <c r="D227" t="s">
        <v>88</v>
      </c>
    </row>
    <row r="229" spans="2:4" x14ac:dyDescent="0.25">
      <c r="C229" s="5"/>
    </row>
    <row r="233" spans="2:4" x14ac:dyDescent="0.25">
      <c r="D233" t="s">
        <v>89</v>
      </c>
    </row>
    <row r="237" spans="2:4" x14ac:dyDescent="0.25">
      <c r="D237" t="s">
        <v>90</v>
      </c>
    </row>
    <row r="240" spans="2:4" x14ac:dyDescent="0.25">
      <c r="B240" s="5" t="s">
        <v>119</v>
      </c>
    </row>
    <row r="241" spans="2:4" x14ac:dyDescent="0.25">
      <c r="B241" s="5"/>
      <c r="C241" s="5" t="s">
        <v>120</v>
      </c>
    </row>
    <row r="242" spans="2:4" x14ac:dyDescent="0.25">
      <c r="B242" s="5"/>
      <c r="C242" t="s">
        <v>121</v>
      </c>
    </row>
    <row r="243" spans="2:4" x14ac:dyDescent="0.25">
      <c r="B243" s="5"/>
      <c r="D243" t="s">
        <v>122</v>
      </c>
    </row>
    <row r="244" spans="2:4" x14ac:dyDescent="0.25">
      <c r="B244" s="5"/>
    </row>
    <row r="245" spans="2:4" x14ac:dyDescent="0.25">
      <c r="B245" s="5" t="s">
        <v>158</v>
      </c>
    </row>
    <row r="246" spans="2:4" x14ac:dyDescent="0.25">
      <c r="B246" s="5"/>
      <c r="C246" s="5" t="s">
        <v>208</v>
      </c>
    </row>
    <row r="247" spans="2:4" x14ac:dyDescent="0.25">
      <c r="B247" s="5"/>
      <c r="C247" t="s">
        <v>209</v>
      </c>
    </row>
    <row r="248" spans="2:4" x14ac:dyDescent="0.25">
      <c r="B248" s="5"/>
    </row>
    <row r="249" spans="2:4" x14ac:dyDescent="0.25">
      <c r="B249" s="5" t="s">
        <v>92</v>
      </c>
    </row>
    <row r="250" spans="2:4" x14ac:dyDescent="0.25">
      <c r="C250" t="s">
        <v>841</v>
      </c>
    </row>
    <row r="251" spans="2:4" x14ac:dyDescent="0.25">
      <c r="C251" s="5" t="s">
        <v>96</v>
      </c>
    </row>
    <row r="252" spans="2:4" x14ac:dyDescent="0.25">
      <c r="D252" t="s">
        <v>93</v>
      </c>
    </row>
    <row r="253" spans="2:4" x14ac:dyDescent="0.25">
      <c r="D253" t="s">
        <v>94</v>
      </c>
    </row>
    <row r="254" spans="2:4" x14ac:dyDescent="0.25">
      <c r="D254" t="s">
        <v>95</v>
      </c>
    </row>
  </sheetData>
  <mergeCells count="12">
    <mergeCell ref="G195:L195"/>
    <mergeCell ref="G196:L196"/>
    <mergeCell ref="G190:L190"/>
    <mergeCell ref="G191:L191"/>
    <mergeCell ref="G192:L192"/>
    <mergeCell ref="G193:L193"/>
    <mergeCell ref="G194:L194"/>
    <mergeCell ref="G187:L187"/>
    <mergeCell ref="G188:L188"/>
    <mergeCell ref="G189:L189"/>
    <mergeCell ref="D3:F6"/>
    <mergeCell ref="D8:F10"/>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79"/>
  <sheetViews>
    <sheetView showGridLines="0" zoomScaleNormal="100" workbookViewId="0">
      <selection activeCell="B79" sqref="B79:D79"/>
    </sheetView>
  </sheetViews>
  <sheetFormatPr defaultColWidth="9.140625" defaultRowHeight="15" x14ac:dyDescent="0.25"/>
  <cols>
    <col min="1" max="1" width="8.5703125" style="94" customWidth="1"/>
    <col min="2" max="2" width="17.42578125" style="101" customWidth="1"/>
    <col min="3" max="3" width="64.28515625" style="101" bestFit="1" customWidth="1"/>
    <col min="4" max="4" width="20.28515625" style="94" bestFit="1" customWidth="1"/>
    <col min="5" max="6" width="14.42578125" style="94" customWidth="1"/>
    <col min="7" max="7" width="22.7109375" style="245" bestFit="1" customWidth="1"/>
    <col min="8" max="8" width="22.7109375" style="94" customWidth="1"/>
    <col min="9" max="9" width="19.5703125" style="94" customWidth="1"/>
    <col min="10" max="10" width="18.42578125" style="94" bestFit="1" customWidth="1"/>
    <col min="11" max="11" width="9.85546875" style="94" customWidth="1"/>
    <col min="12" max="12" width="16" style="94" customWidth="1"/>
    <col min="13" max="13" width="14.85546875" style="94" customWidth="1"/>
    <col min="14" max="14" width="47" style="94" customWidth="1"/>
    <col min="15" max="15" width="9.140625" style="94" customWidth="1"/>
    <col min="16" max="16" width="12" style="94" bestFit="1" customWidth="1"/>
    <col min="17" max="16384" width="9.140625" style="94"/>
  </cols>
  <sheetData>
    <row r="1" spans="1:10" s="90" customFormat="1" ht="54" customHeight="1" x14ac:dyDescent="0.25">
      <c r="A1" s="88"/>
      <c r="B1" s="89"/>
      <c r="C1" s="89"/>
      <c r="G1" s="244"/>
    </row>
    <row r="2" spans="1:10" s="246" customFormat="1" ht="15.75" thickBot="1" x14ac:dyDescent="0.3">
      <c r="B2" s="245"/>
      <c r="C2" s="254"/>
      <c r="D2" s="256"/>
      <c r="E2" s="255"/>
      <c r="F2" s="255"/>
      <c r="G2" s="255"/>
      <c r="H2" s="255"/>
      <c r="I2" s="255"/>
      <c r="J2" s="255"/>
    </row>
    <row r="3" spans="1:10" s="257" customFormat="1" ht="15.75" thickBot="1" x14ac:dyDescent="0.3">
      <c r="A3" s="257" t="s">
        <v>1027</v>
      </c>
      <c r="B3" s="258" t="s">
        <v>1149</v>
      </c>
      <c r="C3" s="259"/>
      <c r="D3" s="260"/>
      <c r="E3" s="261"/>
      <c r="F3" s="261"/>
      <c r="G3" s="261"/>
      <c r="H3" s="261"/>
      <c r="I3" s="261"/>
      <c r="J3" s="261"/>
    </row>
    <row r="4" spans="1:10" s="262" customFormat="1" ht="15.75" thickBot="1" x14ac:dyDescent="0.3">
      <c r="B4" s="263"/>
      <c r="C4" s="264"/>
      <c r="D4" s="265"/>
      <c r="E4" s="266"/>
      <c r="F4" s="266"/>
      <c r="G4" s="266"/>
      <c r="H4" s="266"/>
      <c r="I4" s="266"/>
      <c r="J4" s="266"/>
    </row>
    <row r="5" spans="1:10" ht="15.75" thickBot="1" x14ac:dyDescent="0.3">
      <c r="A5" s="91"/>
      <c r="B5" s="92"/>
      <c r="C5" s="93" t="s">
        <v>249</v>
      </c>
      <c r="D5" s="92" t="s">
        <v>381</v>
      </c>
      <c r="E5" s="92"/>
      <c r="F5" s="92"/>
      <c r="G5" s="150"/>
      <c r="H5" s="92"/>
      <c r="I5" s="92"/>
    </row>
    <row r="6" spans="1:10" s="91" customFormat="1" ht="15.75" thickBot="1" x14ac:dyDescent="0.3">
      <c r="B6" s="116" t="s">
        <v>0</v>
      </c>
      <c r="C6" s="117" t="s">
        <v>1</v>
      </c>
      <c r="D6" s="160" t="s">
        <v>860</v>
      </c>
      <c r="E6" s="161" t="s">
        <v>447</v>
      </c>
      <c r="F6" s="161" t="s">
        <v>448</v>
      </c>
      <c r="G6" s="118" t="s">
        <v>2</v>
      </c>
      <c r="H6" s="118" t="s">
        <v>380</v>
      </c>
      <c r="I6" s="118" t="s">
        <v>114</v>
      </c>
      <c r="J6" s="119" t="s">
        <v>115</v>
      </c>
    </row>
    <row r="7" spans="1:10" s="91" customFormat="1" ht="18" x14ac:dyDescent="0.25">
      <c r="B7" s="102" t="s">
        <v>336</v>
      </c>
      <c r="C7" s="95" t="s">
        <v>213</v>
      </c>
      <c r="D7" s="103">
        <v>3</v>
      </c>
      <c r="E7" s="103">
        <v>0</v>
      </c>
      <c r="F7" s="103" t="s">
        <v>1138</v>
      </c>
      <c r="G7" s="114" t="s">
        <v>340</v>
      </c>
      <c r="H7" s="114">
        <v>1</v>
      </c>
      <c r="I7" s="96"/>
      <c r="J7" s="120"/>
    </row>
    <row r="8" spans="1:10" s="91" customFormat="1" ht="18.75" thickBot="1" x14ac:dyDescent="0.3">
      <c r="B8" s="106" t="s">
        <v>337</v>
      </c>
      <c r="C8" s="99" t="s">
        <v>799</v>
      </c>
      <c r="D8" s="107">
        <v>1</v>
      </c>
      <c r="E8" s="107">
        <v>0</v>
      </c>
      <c r="F8" s="107" t="s">
        <v>1138</v>
      </c>
      <c r="G8" s="113" t="s">
        <v>798</v>
      </c>
      <c r="H8" s="113">
        <v>1</v>
      </c>
      <c r="I8" s="130"/>
      <c r="J8" s="122"/>
    </row>
    <row r="9" spans="1:10" s="91" customFormat="1" ht="15.75" thickBot="1" x14ac:dyDescent="0.3">
      <c r="B9" s="108"/>
      <c r="C9" s="44"/>
      <c r="D9" s="109"/>
      <c r="E9" s="109"/>
      <c r="F9" s="109"/>
      <c r="G9" s="110"/>
      <c r="H9" s="110"/>
      <c r="I9" s="123"/>
      <c r="J9" s="124"/>
    </row>
    <row r="10" spans="1:10" ht="15.75" thickBot="1" x14ac:dyDescent="0.3">
      <c r="A10" s="91"/>
      <c r="B10" s="92"/>
      <c r="C10" s="93" t="s">
        <v>382</v>
      </c>
      <c r="D10" s="92" t="s">
        <v>381</v>
      </c>
      <c r="E10" s="92"/>
      <c r="F10" s="92"/>
      <c r="G10" s="150"/>
      <c r="H10" s="92"/>
      <c r="I10" s="92"/>
    </row>
    <row r="11" spans="1:10" s="91" customFormat="1" ht="15.75" thickBot="1" x14ac:dyDescent="0.3">
      <c r="B11" s="116" t="s">
        <v>0</v>
      </c>
      <c r="C11" s="117" t="s">
        <v>1</v>
      </c>
      <c r="D11" s="160" t="s">
        <v>860</v>
      </c>
      <c r="E11" s="161" t="s">
        <v>447</v>
      </c>
      <c r="F11" s="161" t="s">
        <v>448</v>
      </c>
      <c r="G11" s="118" t="s">
        <v>2</v>
      </c>
      <c r="H11" s="118" t="s">
        <v>380</v>
      </c>
      <c r="I11" s="118" t="s">
        <v>114</v>
      </c>
      <c r="J11" s="119" t="s">
        <v>115</v>
      </c>
    </row>
    <row r="12" spans="1:10" s="91" customFormat="1" ht="18" x14ac:dyDescent="0.25">
      <c r="B12" s="133" t="s">
        <v>338</v>
      </c>
      <c r="C12" s="132" t="s">
        <v>800</v>
      </c>
      <c r="D12" s="103">
        <v>5</v>
      </c>
      <c r="E12" s="103">
        <v>0</v>
      </c>
      <c r="F12" s="103" t="s">
        <v>1138</v>
      </c>
      <c r="G12" s="114" t="s">
        <v>801</v>
      </c>
      <c r="H12" s="114">
        <v>1</v>
      </c>
      <c r="I12" s="96"/>
      <c r="J12" s="120"/>
    </row>
    <row r="13" spans="1:10" s="91" customFormat="1" ht="18" x14ac:dyDescent="0.25">
      <c r="B13" s="104" t="s">
        <v>343</v>
      </c>
      <c r="C13" s="97" t="s">
        <v>803</v>
      </c>
      <c r="D13" s="105">
        <v>1</v>
      </c>
      <c r="E13" s="103">
        <v>0</v>
      </c>
      <c r="F13" s="103" t="s">
        <v>1138</v>
      </c>
      <c r="G13" s="115" t="s">
        <v>802</v>
      </c>
      <c r="H13" s="115">
        <v>1</v>
      </c>
      <c r="I13" s="98"/>
      <c r="J13" s="121"/>
    </row>
    <row r="14" spans="1:10" s="91" customFormat="1" ht="18" x14ac:dyDescent="0.25">
      <c r="B14" s="104" t="s">
        <v>346</v>
      </c>
      <c r="C14" s="97" t="s">
        <v>804</v>
      </c>
      <c r="D14" s="105">
        <v>0.2</v>
      </c>
      <c r="E14" s="103">
        <v>0</v>
      </c>
      <c r="F14" s="103" t="s">
        <v>1138</v>
      </c>
      <c r="G14" s="115" t="s">
        <v>340</v>
      </c>
      <c r="H14" s="115">
        <v>1</v>
      </c>
      <c r="I14" s="98"/>
      <c r="J14" s="121"/>
    </row>
    <row r="15" spans="1:10" s="91" customFormat="1" ht="18.75" thickBot="1" x14ac:dyDescent="0.3">
      <c r="B15" s="106" t="s">
        <v>347</v>
      </c>
      <c r="C15" s="99" t="s">
        <v>805</v>
      </c>
      <c r="D15" s="107">
        <v>0.1</v>
      </c>
      <c r="E15" s="107">
        <v>0</v>
      </c>
      <c r="F15" s="107" t="s">
        <v>1138</v>
      </c>
      <c r="G15" s="113" t="s">
        <v>340</v>
      </c>
      <c r="H15" s="113">
        <v>1</v>
      </c>
      <c r="I15" s="130"/>
      <c r="J15" s="122"/>
    </row>
    <row r="16" spans="1:10" s="91" customFormat="1" ht="15.75" thickBot="1" x14ac:dyDescent="0.3">
      <c r="B16" s="108"/>
      <c r="C16" s="44"/>
      <c r="D16" s="109"/>
      <c r="E16" s="109"/>
      <c r="F16" s="109"/>
      <c r="G16" s="110"/>
      <c r="H16" s="110"/>
      <c r="I16" s="123"/>
      <c r="J16" s="124"/>
    </row>
    <row r="17" spans="1:10" ht="15.75" thickBot="1" x14ac:dyDescent="0.3">
      <c r="A17" s="91"/>
      <c r="B17" s="92"/>
      <c r="C17" s="93" t="s">
        <v>383</v>
      </c>
      <c r="D17" s="92" t="s">
        <v>381</v>
      </c>
      <c r="E17" s="92"/>
      <c r="F17" s="92"/>
      <c r="G17" s="150"/>
      <c r="H17" s="92"/>
      <c r="I17" s="92"/>
    </row>
    <row r="18" spans="1:10" s="91" customFormat="1" ht="15.75" thickBot="1" x14ac:dyDescent="0.3">
      <c r="B18" s="116" t="s">
        <v>0</v>
      </c>
      <c r="C18" s="117" t="s">
        <v>1</v>
      </c>
      <c r="D18" s="160" t="s">
        <v>860</v>
      </c>
      <c r="E18" s="161" t="s">
        <v>447</v>
      </c>
      <c r="F18" s="161" t="s">
        <v>448</v>
      </c>
      <c r="G18" s="118" t="s">
        <v>2</v>
      </c>
      <c r="H18" s="118" t="s">
        <v>380</v>
      </c>
      <c r="I18" s="118" t="s">
        <v>114</v>
      </c>
      <c r="J18" s="119" t="s">
        <v>115</v>
      </c>
    </row>
    <row r="19" spans="1:10" s="91" customFormat="1" ht="18" x14ac:dyDescent="0.25">
      <c r="B19" s="102" t="s">
        <v>339</v>
      </c>
      <c r="C19" s="132" t="s">
        <v>806</v>
      </c>
      <c r="D19" s="103">
        <v>2</v>
      </c>
      <c r="E19" s="103">
        <v>0</v>
      </c>
      <c r="F19" s="103" t="s">
        <v>1138</v>
      </c>
      <c r="G19" s="114" t="s">
        <v>340</v>
      </c>
      <c r="H19" s="114">
        <v>1</v>
      </c>
      <c r="I19" s="96"/>
      <c r="J19" s="120"/>
    </row>
    <row r="20" spans="1:10" s="91" customFormat="1" ht="18" x14ac:dyDescent="0.25">
      <c r="B20" s="104" t="s">
        <v>341</v>
      </c>
      <c r="C20" s="97" t="s">
        <v>807</v>
      </c>
      <c r="D20" s="105">
        <v>0.6</v>
      </c>
      <c r="E20" s="103">
        <v>0</v>
      </c>
      <c r="F20" s="103" t="s">
        <v>1138</v>
      </c>
      <c r="G20" s="115" t="s">
        <v>1156</v>
      </c>
      <c r="H20" s="115">
        <v>2</v>
      </c>
      <c r="I20" s="98"/>
      <c r="J20" s="121"/>
    </row>
    <row r="21" spans="1:10" s="91" customFormat="1" ht="18" x14ac:dyDescent="0.25">
      <c r="B21" s="104" t="s">
        <v>342</v>
      </c>
      <c r="C21" s="97" t="s">
        <v>808</v>
      </c>
      <c r="D21" s="105">
        <v>2</v>
      </c>
      <c r="E21" s="103">
        <v>0</v>
      </c>
      <c r="F21" s="103" t="s">
        <v>1138</v>
      </c>
      <c r="G21" s="115" t="s">
        <v>809</v>
      </c>
      <c r="H21" s="115">
        <v>1</v>
      </c>
      <c r="I21" s="98"/>
      <c r="J21" s="121"/>
    </row>
    <row r="22" spans="1:10" s="91" customFormat="1" ht="18" x14ac:dyDescent="0.25">
      <c r="B22" s="104" t="s">
        <v>344</v>
      </c>
      <c r="C22" s="97" t="s">
        <v>812</v>
      </c>
      <c r="D22" s="105">
        <v>0.2</v>
      </c>
      <c r="E22" s="103">
        <v>0</v>
      </c>
      <c r="F22" s="103" t="s">
        <v>1138</v>
      </c>
      <c r="G22" s="115" t="s">
        <v>340</v>
      </c>
      <c r="H22" s="115">
        <v>2</v>
      </c>
      <c r="I22" s="98"/>
      <c r="J22" s="121"/>
    </row>
    <row r="23" spans="1:10" s="91" customFormat="1" ht="18" x14ac:dyDescent="0.25">
      <c r="B23" s="104" t="s">
        <v>345</v>
      </c>
      <c r="C23" s="97" t="s">
        <v>813</v>
      </c>
      <c r="D23" s="105">
        <v>0.1</v>
      </c>
      <c r="E23" s="103">
        <v>0</v>
      </c>
      <c r="F23" s="103" t="s">
        <v>1138</v>
      </c>
      <c r="G23" s="115" t="s">
        <v>340</v>
      </c>
      <c r="H23" s="115">
        <v>2</v>
      </c>
      <c r="I23" s="98"/>
      <c r="J23" s="121"/>
    </row>
    <row r="24" spans="1:10" s="91" customFormat="1" ht="18" x14ac:dyDescent="0.25">
      <c r="B24" s="104" t="s">
        <v>348</v>
      </c>
      <c r="C24" s="97" t="s">
        <v>326</v>
      </c>
      <c r="D24" s="105">
        <v>0.2</v>
      </c>
      <c r="E24" s="103">
        <v>0</v>
      </c>
      <c r="F24" s="103" t="s">
        <v>1138</v>
      </c>
      <c r="G24" s="115" t="s">
        <v>810</v>
      </c>
      <c r="H24" s="115">
        <v>2</v>
      </c>
      <c r="I24" s="98"/>
      <c r="J24" s="121"/>
    </row>
    <row r="25" spans="1:10" s="91" customFormat="1" ht="18" x14ac:dyDescent="0.25">
      <c r="B25" s="104" t="s">
        <v>349</v>
      </c>
      <c r="C25" s="97" t="s">
        <v>327</v>
      </c>
      <c r="D25" s="105">
        <v>0.5</v>
      </c>
      <c r="E25" s="103">
        <v>0</v>
      </c>
      <c r="F25" s="103" t="s">
        <v>1138</v>
      </c>
      <c r="G25" s="115" t="s">
        <v>811</v>
      </c>
      <c r="H25" s="115">
        <v>2</v>
      </c>
      <c r="I25" s="98"/>
      <c r="J25" s="121"/>
    </row>
    <row r="26" spans="1:10" s="91" customFormat="1" ht="18" x14ac:dyDescent="0.25">
      <c r="B26" s="104" t="s">
        <v>350</v>
      </c>
      <c r="C26" s="97" t="s">
        <v>814</v>
      </c>
      <c r="D26" s="105">
        <v>0.01</v>
      </c>
      <c r="E26" s="103">
        <v>0</v>
      </c>
      <c r="F26" s="103" t="s">
        <v>1138</v>
      </c>
      <c r="G26" s="115" t="s">
        <v>811</v>
      </c>
      <c r="H26" s="115">
        <v>3</v>
      </c>
      <c r="I26" s="98"/>
      <c r="J26" s="121"/>
    </row>
    <row r="27" spans="1:10" s="91" customFormat="1" ht="18.75" thickBot="1" x14ac:dyDescent="0.3">
      <c r="B27" s="106" t="s">
        <v>351</v>
      </c>
      <c r="C27" s="99" t="s">
        <v>328</v>
      </c>
      <c r="D27" s="107">
        <v>1E-4</v>
      </c>
      <c r="E27" s="107">
        <v>0</v>
      </c>
      <c r="F27" s="107" t="s">
        <v>1138</v>
      </c>
      <c r="G27" s="113" t="s">
        <v>352</v>
      </c>
      <c r="H27" s="113">
        <v>4</v>
      </c>
      <c r="I27" s="130"/>
      <c r="J27" s="122"/>
    </row>
    <row r="28" spans="1:10" s="91" customFormat="1" ht="15.75" thickBot="1" x14ac:dyDescent="0.3">
      <c r="B28" s="108"/>
      <c r="C28" s="44"/>
      <c r="D28" s="109"/>
      <c r="E28" s="109"/>
      <c r="F28" s="109"/>
      <c r="G28" s="110"/>
      <c r="H28" s="110"/>
      <c r="I28" s="123"/>
      <c r="J28" s="124"/>
    </row>
    <row r="29" spans="1:10" ht="15.75" thickBot="1" x14ac:dyDescent="0.3">
      <c r="A29" s="91"/>
      <c r="B29" s="92"/>
      <c r="C29" s="93" t="s">
        <v>384</v>
      </c>
      <c r="D29" s="92" t="s">
        <v>381</v>
      </c>
      <c r="E29" s="92"/>
      <c r="F29" s="92"/>
      <c r="G29" s="150"/>
      <c r="H29" s="92"/>
      <c r="I29" s="92"/>
    </row>
    <row r="30" spans="1:10" s="91" customFormat="1" ht="15.75" thickBot="1" x14ac:dyDescent="0.3">
      <c r="B30" s="116" t="s">
        <v>0</v>
      </c>
      <c r="C30" s="117" t="s">
        <v>1</v>
      </c>
      <c r="D30" s="160" t="s">
        <v>860</v>
      </c>
      <c r="E30" s="161" t="s">
        <v>447</v>
      </c>
      <c r="F30" s="161" t="s">
        <v>448</v>
      </c>
      <c r="G30" s="118" t="s">
        <v>2</v>
      </c>
      <c r="H30" s="118" t="s">
        <v>380</v>
      </c>
      <c r="I30" s="118" t="s">
        <v>114</v>
      </c>
      <c r="J30" s="119" t="s">
        <v>115</v>
      </c>
    </row>
    <row r="31" spans="1:10" s="91" customFormat="1" ht="18" x14ac:dyDescent="0.25">
      <c r="B31" s="102" t="s">
        <v>353</v>
      </c>
      <c r="C31" s="132" t="s">
        <v>815</v>
      </c>
      <c r="D31" s="103">
        <v>1</v>
      </c>
      <c r="E31" s="103">
        <v>0</v>
      </c>
      <c r="F31" s="103" t="s">
        <v>1138</v>
      </c>
      <c r="G31" s="114" t="s">
        <v>340</v>
      </c>
      <c r="H31" s="114">
        <v>1</v>
      </c>
      <c r="I31" s="96"/>
      <c r="J31" s="120"/>
    </row>
    <row r="32" spans="1:10" s="91" customFormat="1" ht="18" x14ac:dyDescent="0.25">
      <c r="B32" s="104" t="s">
        <v>354</v>
      </c>
      <c r="C32" s="97" t="s">
        <v>816</v>
      </c>
      <c r="D32" s="105">
        <v>0.15</v>
      </c>
      <c r="E32" s="103">
        <v>0</v>
      </c>
      <c r="F32" s="103" t="s">
        <v>1138</v>
      </c>
      <c r="G32" s="115" t="s">
        <v>340</v>
      </c>
      <c r="H32" s="115">
        <v>2</v>
      </c>
      <c r="I32" s="98"/>
      <c r="J32" s="121"/>
    </row>
    <row r="33" spans="2:10" s="91" customFormat="1" ht="18" x14ac:dyDescent="0.25">
      <c r="B33" s="104" t="s">
        <v>355</v>
      </c>
      <c r="C33" s="97" t="s">
        <v>817</v>
      </c>
      <c r="D33" s="105">
        <v>0.05</v>
      </c>
      <c r="E33" s="103">
        <v>0</v>
      </c>
      <c r="F33" s="103" t="s">
        <v>1138</v>
      </c>
      <c r="G33" s="115" t="s">
        <v>340</v>
      </c>
      <c r="H33" s="115">
        <v>2</v>
      </c>
      <c r="I33" s="98"/>
      <c r="J33" s="121"/>
    </row>
    <row r="34" spans="2:10" s="91" customFormat="1" ht="18" x14ac:dyDescent="0.25">
      <c r="B34" s="104" t="s">
        <v>1211</v>
      </c>
      <c r="C34" s="97" t="s">
        <v>326</v>
      </c>
      <c r="D34" s="105">
        <v>0.5</v>
      </c>
      <c r="E34" s="103">
        <v>0</v>
      </c>
      <c r="F34" s="103" t="s">
        <v>1138</v>
      </c>
      <c r="G34" s="115" t="s">
        <v>810</v>
      </c>
      <c r="H34" s="115">
        <v>2</v>
      </c>
      <c r="I34" s="98"/>
      <c r="J34" s="121"/>
    </row>
    <row r="35" spans="2:10" s="91" customFormat="1" ht="18" x14ac:dyDescent="0.25">
      <c r="B35" s="104" t="s">
        <v>1212</v>
      </c>
      <c r="C35" s="97" t="s">
        <v>814</v>
      </c>
      <c r="D35" s="105">
        <v>1</v>
      </c>
      <c r="E35" s="103">
        <v>0</v>
      </c>
      <c r="F35" s="103" t="s">
        <v>1138</v>
      </c>
      <c r="G35" s="115" t="s">
        <v>811</v>
      </c>
      <c r="H35" s="115">
        <v>1</v>
      </c>
      <c r="I35" s="98"/>
      <c r="J35" s="121"/>
    </row>
    <row r="36" spans="2:10" s="91" customFormat="1" ht="18.75" thickBot="1" x14ac:dyDescent="0.3">
      <c r="B36" s="106" t="s">
        <v>1213</v>
      </c>
      <c r="C36" s="99" t="s">
        <v>328</v>
      </c>
      <c r="D36" s="107">
        <v>5.0000000000000001E-4</v>
      </c>
      <c r="E36" s="107">
        <v>0</v>
      </c>
      <c r="F36" s="107" t="s">
        <v>1138</v>
      </c>
      <c r="G36" s="113" t="s">
        <v>352</v>
      </c>
      <c r="H36" s="113">
        <v>4</v>
      </c>
      <c r="I36" s="99"/>
      <c r="J36" s="122"/>
    </row>
    <row r="37" spans="2:10" s="91" customFormat="1" ht="15.75" thickBot="1" x14ac:dyDescent="0.3">
      <c r="B37" s="108"/>
      <c r="C37" s="44"/>
      <c r="D37" s="109"/>
      <c r="E37" s="109"/>
      <c r="F37" s="109"/>
      <c r="G37" s="110"/>
      <c r="H37" s="110"/>
      <c r="I37" s="44"/>
    </row>
    <row r="38" spans="2:10" s="91" customFormat="1" ht="15.75" thickBot="1" x14ac:dyDescent="0.3">
      <c r="B38" s="92"/>
      <c r="C38" s="93" t="s">
        <v>386</v>
      </c>
      <c r="D38" s="92" t="s">
        <v>385</v>
      </c>
      <c r="E38" s="92"/>
      <c r="F38" s="92"/>
      <c r="G38" s="150"/>
      <c r="H38" s="92"/>
      <c r="I38" s="92"/>
    </row>
    <row r="39" spans="2:10" s="91" customFormat="1" ht="15.75" thickBot="1" x14ac:dyDescent="0.3">
      <c r="B39" s="116" t="s">
        <v>0</v>
      </c>
      <c r="C39" s="117" t="s">
        <v>1</v>
      </c>
      <c r="D39" s="160" t="s">
        <v>860</v>
      </c>
      <c r="E39" s="161" t="s">
        <v>447</v>
      </c>
      <c r="F39" s="161" t="s">
        <v>448</v>
      </c>
      <c r="G39" s="118" t="s">
        <v>2</v>
      </c>
      <c r="H39" s="118" t="s">
        <v>380</v>
      </c>
      <c r="I39" s="118" t="s">
        <v>114</v>
      </c>
      <c r="J39" s="119" t="s">
        <v>115</v>
      </c>
    </row>
    <row r="40" spans="2:10" s="91" customFormat="1" ht="18" x14ac:dyDescent="0.25">
      <c r="B40" s="102" t="s">
        <v>357</v>
      </c>
      <c r="C40" s="95" t="s">
        <v>818</v>
      </c>
      <c r="D40" s="103">
        <v>0.63</v>
      </c>
      <c r="E40" s="103" t="s">
        <v>1139</v>
      </c>
      <c r="F40" s="103" t="s">
        <v>1138</v>
      </c>
      <c r="G40" s="114" t="s">
        <v>802</v>
      </c>
      <c r="H40" s="114">
        <v>2</v>
      </c>
      <c r="I40" s="96"/>
      <c r="J40" s="120"/>
    </row>
    <row r="41" spans="2:10" s="91" customFormat="1" ht="18" x14ac:dyDescent="0.25">
      <c r="B41" s="104" t="s">
        <v>358</v>
      </c>
      <c r="C41" s="100" t="s">
        <v>819</v>
      </c>
      <c r="D41" s="105">
        <v>0.54</v>
      </c>
      <c r="E41" s="103" t="s">
        <v>1139</v>
      </c>
      <c r="F41" s="103" t="s">
        <v>1138</v>
      </c>
      <c r="G41" s="114" t="s">
        <v>802</v>
      </c>
      <c r="H41" s="115">
        <v>2</v>
      </c>
      <c r="I41" s="98"/>
      <c r="J41" s="121"/>
    </row>
    <row r="42" spans="2:10" s="91" customFormat="1" ht="18" x14ac:dyDescent="0.25">
      <c r="B42" s="104" t="s">
        <v>359</v>
      </c>
      <c r="C42" s="100" t="s">
        <v>820</v>
      </c>
      <c r="D42" s="105">
        <v>0.85</v>
      </c>
      <c r="E42" s="103" t="s">
        <v>1139</v>
      </c>
      <c r="F42" s="103" t="s">
        <v>1138</v>
      </c>
      <c r="G42" s="114" t="s">
        <v>802</v>
      </c>
      <c r="H42" s="115">
        <v>2</v>
      </c>
      <c r="I42" s="98"/>
      <c r="J42" s="121"/>
    </row>
    <row r="43" spans="2:10" s="91" customFormat="1" ht="18" x14ac:dyDescent="0.25">
      <c r="B43" s="104" t="s">
        <v>360</v>
      </c>
      <c r="C43" s="100" t="s">
        <v>821</v>
      </c>
      <c r="D43" s="105">
        <v>0.8</v>
      </c>
      <c r="E43" s="103" t="s">
        <v>1139</v>
      </c>
      <c r="F43" s="103" t="s">
        <v>1138</v>
      </c>
      <c r="G43" s="114" t="s">
        <v>802</v>
      </c>
      <c r="H43" s="115">
        <v>2</v>
      </c>
      <c r="I43" s="98"/>
      <c r="J43" s="121"/>
    </row>
    <row r="44" spans="2:10" s="91" customFormat="1" ht="18.75" thickBot="1" x14ac:dyDescent="0.3">
      <c r="B44" s="106" t="s">
        <v>362</v>
      </c>
      <c r="C44" s="112" t="s">
        <v>822</v>
      </c>
      <c r="D44" s="107">
        <v>0.24</v>
      </c>
      <c r="E44" s="107" t="s">
        <v>1139</v>
      </c>
      <c r="F44" s="107" t="s">
        <v>1138</v>
      </c>
      <c r="G44" s="113" t="s">
        <v>373</v>
      </c>
      <c r="H44" s="113">
        <v>2</v>
      </c>
      <c r="I44" s="130"/>
      <c r="J44" s="122"/>
    </row>
    <row r="45" spans="2:10" s="91" customFormat="1" ht="15.75" thickBot="1" x14ac:dyDescent="0.3">
      <c r="B45" s="108"/>
      <c r="C45" s="44"/>
      <c r="D45" s="109"/>
      <c r="E45" s="109"/>
      <c r="F45" s="109"/>
      <c r="G45" s="110"/>
      <c r="H45" s="110"/>
      <c r="I45" s="44"/>
    </row>
    <row r="46" spans="2:10" s="91" customFormat="1" ht="15.75" thickBot="1" x14ac:dyDescent="0.3">
      <c r="B46" s="92"/>
      <c r="C46" s="93" t="s">
        <v>387</v>
      </c>
      <c r="D46" s="92" t="s">
        <v>385</v>
      </c>
      <c r="E46" s="92"/>
      <c r="F46" s="92"/>
      <c r="G46" s="150"/>
      <c r="H46" s="92"/>
      <c r="I46" s="92"/>
    </row>
    <row r="47" spans="2:10" s="91" customFormat="1" ht="15.75" thickBot="1" x14ac:dyDescent="0.3">
      <c r="B47" s="116" t="s">
        <v>0</v>
      </c>
      <c r="C47" s="117" t="s">
        <v>1</v>
      </c>
      <c r="D47" s="160" t="s">
        <v>860</v>
      </c>
      <c r="E47" s="161" t="s">
        <v>447</v>
      </c>
      <c r="F47" s="161" t="s">
        <v>448</v>
      </c>
      <c r="G47" s="118" t="s">
        <v>2</v>
      </c>
      <c r="H47" s="118" t="s">
        <v>380</v>
      </c>
      <c r="I47" s="118" t="s">
        <v>114</v>
      </c>
      <c r="J47" s="119" t="s">
        <v>115</v>
      </c>
    </row>
    <row r="48" spans="2:10" s="91" customFormat="1" ht="18" x14ac:dyDescent="0.25">
      <c r="B48" s="102" t="s">
        <v>356</v>
      </c>
      <c r="C48" s="95" t="s">
        <v>216</v>
      </c>
      <c r="D48" s="103">
        <v>0</v>
      </c>
      <c r="E48" s="103">
        <v>0</v>
      </c>
      <c r="F48" s="103">
        <v>1</v>
      </c>
      <c r="G48" s="114" t="s">
        <v>802</v>
      </c>
      <c r="H48" s="114">
        <v>2</v>
      </c>
      <c r="I48" s="96"/>
      <c r="J48" s="120"/>
    </row>
    <row r="49" spans="2:10" s="91" customFormat="1" ht="18.75" thickBot="1" x14ac:dyDescent="0.3">
      <c r="B49" s="106" t="s">
        <v>361</v>
      </c>
      <c r="C49" s="112" t="s">
        <v>823</v>
      </c>
      <c r="D49" s="107">
        <v>0.2</v>
      </c>
      <c r="E49" s="107">
        <v>0</v>
      </c>
      <c r="F49" s="107">
        <v>0.5</v>
      </c>
      <c r="G49" s="113" t="s">
        <v>802</v>
      </c>
      <c r="H49" s="113">
        <v>2</v>
      </c>
      <c r="I49" s="130"/>
      <c r="J49" s="122"/>
    </row>
    <row r="50" spans="2:10" s="91" customFormat="1" ht="15.75" thickBot="1" x14ac:dyDescent="0.3">
      <c r="B50" s="108"/>
      <c r="C50" s="44"/>
      <c r="D50" s="109"/>
      <c r="E50" s="109"/>
      <c r="F50" s="109"/>
      <c r="G50" s="110"/>
      <c r="H50" s="110"/>
      <c r="I50" s="44"/>
    </row>
    <row r="51" spans="2:10" s="91" customFormat="1" ht="15.75" thickBot="1" x14ac:dyDescent="0.3">
      <c r="B51" s="92"/>
      <c r="C51" s="93" t="s">
        <v>388</v>
      </c>
      <c r="D51" s="92" t="s">
        <v>385</v>
      </c>
      <c r="E51" s="92"/>
      <c r="F51" s="92"/>
      <c r="G51" s="150"/>
      <c r="H51" s="92"/>
      <c r="I51" s="92"/>
    </row>
    <row r="52" spans="2:10" s="91" customFormat="1" ht="15.75" thickBot="1" x14ac:dyDescent="0.3">
      <c r="B52" s="236" t="s">
        <v>0</v>
      </c>
      <c r="C52" s="237" t="s">
        <v>1</v>
      </c>
      <c r="D52" s="238" t="s">
        <v>860</v>
      </c>
      <c r="E52" s="237" t="s">
        <v>447</v>
      </c>
      <c r="F52" s="237" t="s">
        <v>448</v>
      </c>
      <c r="G52" s="238" t="s">
        <v>2</v>
      </c>
      <c r="H52" s="238" t="s">
        <v>380</v>
      </c>
      <c r="I52" s="238" t="s">
        <v>114</v>
      </c>
      <c r="J52" s="239" t="s">
        <v>115</v>
      </c>
    </row>
    <row r="53" spans="2:10" s="91" customFormat="1" ht="18" x14ac:dyDescent="0.25">
      <c r="B53" s="102" t="s">
        <v>363</v>
      </c>
      <c r="C53" s="95" t="s">
        <v>824</v>
      </c>
      <c r="D53" s="103">
        <v>0.03</v>
      </c>
      <c r="E53" s="103">
        <v>0</v>
      </c>
      <c r="F53" s="103">
        <v>1</v>
      </c>
      <c r="G53" s="114" t="s">
        <v>828</v>
      </c>
      <c r="H53" s="114">
        <v>2</v>
      </c>
      <c r="I53" s="96"/>
      <c r="J53" s="120"/>
    </row>
    <row r="54" spans="2:10" s="91" customFormat="1" ht="18" x14ac:dyDescent="0.25">
      <c r="B54" s="104" t="s">
        <v>364</v>
      </c>
      <c r="C54" s="100" t="s">
        <v>825</v>
      </c>
      <c r="D54" s="105">
        <v>0.01</v>
      </c>
      <c r="E54" s="105">
        <v>0</v>
      </c>
      <c r="F54" s="105">
        <v>1</v>
      </c>
      <c r="G54" s="115" t="s">
        <v>828</v>
      </c>
      <c r="H54" s="115">
        <v>2</v>
      </c>
      <c r="I54" s="98"/>
      <c r="J54" s="121"/>
    </row>
    <row r="55" spans="2:10" s="91" customFormat="1" ht="18" x14ac:dyDescent="0.25">
      <c r="B55" s="104" t="s">
        <v>365</v>
      </c>
      <c r="C55" s="100" t="s">
        <v>826</v>
      </c>
      <c r="D55" s="105">
        <v>0.02</v>
      </c>
      <c r="E55" s="105">
        <v>0</v>
      </c>
      <c r="F55" s="105">
        <v>1</v>
      </c>
      <c r="G55" s="115" t="s">
        <v>828</v>
      </c>
      <c r="H55" s="115">
        <v>2</v>
      </c>
      <c r="I55" s="98"/>
      <c r="J55" s="121"/>
    </row>
    <row r="56" spans="2:10" s="91" customFormat="1" ht="18" x14ac:dyDescent="0.25">
      <c r="B56" s="104" t="s">
        <v>366</v>
      </c>
      <c r="C56" s="100" t="s">
        <v>827</v>
      </c>
      <c r="D56" s="105">
        <v>0.04</v>
      </c>
      <c r="E56" s="105">
        <v>0</v>
      </c>
      <c r="F56" s="105">
        <v>1</v>
      </c>
      <c r="G56" s="115" t="s">
        <v>828</v>
      </c>
      <c r="H56" s="115">
        <v>2</v>
      </c>
      <c r="I56" s="98"/>
      <c r="J56" s="121"/>
    </row>
    <row r="57" spans="2:10" s="91" customFormat="1" ht="18.75" thickBot="1" x14ac:dyDescent="0.3">
      <c r="B57" s="106" t="s">
        <v>367</v>
      </c>
      <c r="C57" s="112" t="s">
        <v>829</v>
      </c>
      <c r="D57" s="107">
        <v>7.0000000000000007E-2</v>
      </c>
      <c r="E57" s="107">
        <v>0</v>
      </c>
      <c r="F57" s="107">
        <v>1</v>
      </c>
      <c r="G57" s="113" t="s">
        <v>828</v>
      </c>
      <c r="H57" s="113">
        <v>2</v>
      </c>
      <c r="I57" s="130"/>
      <c r="J57" s="122"/>
    </row>
    <row r="58" spans="2:10" s="91" customFormat="1" ht="15.75" thickBot="1" x14ac:dyDescent="0.3">
      <c r="B58" s="108"/>
      <c r="C58" s="44"/>
      <c r="D58" s="109"/>
      <c r="E58" s="109"/>
      <c r="F58" s="109"/>
      <c r="G58" s="110"/>
      <c r="H58" s="110"/>
      <c r="I58" s="44"/>
    </row>
    <row r="59" spans="2:10" s="91" customFormat="1" ht="15.75" thickBot="1" x14ac:dyDescent="0.3">
      <c r="B59" s="92"/>
      <c r="C59" s="93" t="s">
        <v>389</v>
      </c>
      <c r="D59" s="92" t="s">
        <v>385</v>
      </c>
      <c r="E59" s="92"/>
      <c r="F59" s="92"/>
      <c r="G59" s="150"/>
      <c r="H59" s="92"/>
      <c r="I59" s="92"/>
    </row>
    <row r="60" spans="2:10" s="91" customFormat="1" ht="15.75" thickBot="1" x14ac:dyDescent="0.3">
      <c r="B60" s="116" t="s">
        <v>0</v>
      </c>
      <c r="C60" s="117" t="s">
        <v>1</v>
      </c>
      <c r="D60" s="160" t="s">
        <v>860</v>
      </c>
      <c r="E60" s="161" t="s">
        <v>447</v>
      </c>
      <c r="F60" s="161" t="s">
        <v>448</v>
      </c>
      <c r="G60" s="118" t="s">
        <v>2</v>
      </c>
      <c r="H60" s="118" t="s">
        <v>380</v>
      </c>
      <c r="I60" s="118" t="s">
        <v>114</v>
      </c>
      <c r="J60" s="119" t="s">
        <v>115</v>
      </c>
    </row>
    <row r="61" spans="2:10" s="91" customFormat="1" ht="18" x14ac:dyDescent="0.25">
      <c r="B61" s="102" t="s">
        <v>368</v>
      </c>
      <c r="C61" s="95" t="s">
        <v>830</v>
      </c>
      <c r="D61" s="103">
        <v>0.75</v>
      </c>
      <c r="E61" s="103">
        <v>0</v>
      </c>
      <c r="F61" s="103" t="s">
        <v>1138</v>
      </c>
      <c r="G61" s="114" t="s">
        <v>832</v>
      </c>
      <c r="H61" s="114">
        <v>2</v>
      </c>
      <c r="I61" s="96"/>
      <c r="J61" s="120"/>
    </row>
    <row r="62" spans="2:10" s="91" customFormat="1" ht="18" x14ac:dyDescent="0.25">
      <c r="B62" s="104" t="s">
        <v>369</v>
      </c>
      <c r="C62" s="100" t="s">
        <v>831</v>
      </c>
      <c r="D62" s="105">
        <v>0.75</v>
      </c>
      <c r="E62" s="103">
        <v>0</v>
      </c>
      <c r="F62" s="103" t="s">
        <v>1138</v>
      </c>
      <c r="G62" s="115" t="s">
        <v>832</v>
      </c>
      <c r="H62" s="115">
        <v>2</v>
      </c>
      <c r="I62" s="98"/>
      <c r="J62" s="121"/>
    </row>
    <row r="63" spans="2:10" s="91" customFormat="1" ht="18" x14ac:dyDescent="0.25">
      <c r="B63" s="104" t="s">
        <v>370</v>
      </c>
      <c r="C63" s="100" t="s">
        <v>228</v>
      </c>
      <c r="D63" s="105">
        <v>0.9</v>
      </c>
      <c r="E63" s="103">
        <v>0</v>
      </c>
      <c r="F63" s="103" t="s">
        <v>1138</v>
      </c>
      <c r="G63" s="115" t="s">
        <v>832</v>
      </c>
      <c r="H63" s="115">
        <v>2</v>
      </c>
      <c r="I63" s="98"/>
      <c r="J63" s="121"/>
    </row>
    <row r="64" spans="2:10" s="91" customFormat="1" ht="18.75" thickBot="1" x14ac:dyDescent="0.3">
      <c r="B64" s="106" t="s">
        <v>371</v>
      </c>
      <c r="C64" s="112" t="s">
        <v>329</v>
      </c>
      <c r="D64" s="107">
        <v>0.6</v>
      </c>
      <c r="E64" s="107">
        <v>0</v>
      </c>
      <c r="F64" s="107" t="s">
        <v>1138</v>
      </c>
      <c r="G64" s="113" t="s">
        <v>832</v>
      </c>
      <c r="H64" s="113">
        <v>2</v>
      </c>
      <c r="I64" s="130"/>
      <c r="J64" s="122"/>
    </row>
    <row r="65" spans="2:10" s="91" customFormat="1" ht="15.75" thickBot="1" x14ac:dyDescent="0.3">
      <c r="B65" s="108"/>
      <c r="C65" s="44"/>
      <c r="D65" s="109"/>
      <c r="E65" s="109"/>
      <c r="F65" s="109"/>
      <c r="G65" s="110"/>
      <c r="H65" s="110"/>
      <c r="I65" s="44"/>
    </row>
    <row r="66" spans="2:10" s="91" customFormat="1" ht="15.75" thickBot="1" x14ac:dyDescent="0.3">
      <c r="B66" s="92"/>
      <c r="C66" s="93" t="s">
        <v>390</v>
      </c>
      <c r="D66" s="92" t="s">
        <v>385</v>
      </c>
      <c r="E66" s="92"/>
      <c r="F66" s="92"/>
      <c r="G66" s="150"/>
      <c r="H66" s="92"/>
      <c r="I66" s="92"/>
    </row>
    <row r="67" spans="2:10" s="91" customFormat="1" ht="15.75" thickBot="1" x14ac:dyDescent="0.3">
      <c r="B67" s="116" t="s">
        <v>0</v>
      </c>
      <c r="C67" s="117" t="s">
        <v>1</v>
      </c>
      <c r="D67" s="160" t="s">
        <v>860</v>
      </c>
      <c r="E67" s="161" t="s">
        <v>447</v>
      </c>
      <c r="F67" s="161" t="s">
        <v>448</v>
      </c>
      <c r="G67" s="118" t="s">
        <v>2</v>
      </c>
      <c r="H67" s="118" t="s">
        <v>380</v>
      </c>
      <c r="I67" s="118" t="s">
        <v>114</v>
      </c>
      <c r="J67" s="119" t="s">
        <v>115</v>
      </c>
    </row>
    <row r="68" spans="2:10" s="91" customFormat="1" ht="18" x14ac:dyDescent="0.25">
      <c r="B68" s="102" t="s">
        <v>372</v>
      </c>
      <c r="C68" s="95" t="s">
        <v>330</v>
      </c>
      <c r="D68" s="240">
        <v>2.8571428571428572</v>
      </c>
      <c r="E68" s="131" t="s">
        <v>1139</v>
      </c>
      <c r="F68" s="131" t="s">
        <v>1138</v>
      </c>
      <c r="G68" s="114" t="s">
        <v>373</v>
      </c>
      <c r="H68" s="114">
        <v>2</v>
      </c>
      <c r="I68" s="96"/>
      <c r="J68" s="120"/>
    </row>
    <row r="69" spans="2:10" s="91" customFormat="1" ht="18" x14ac:dyDescent="0.25">
      <c r="B69" s="104" t="s">
        <v>374</v>
      </c>
      <c r="C69" s="100" t="s">
        <v>331</v>
      </c>
      <c r="D69" s="241">
        <v>-4.5714285714285712</v>
      </c>
      <c r="E69" s="111" t="s">
        <v>1140</v>
      </c>
      <c r="F69" s="111" t="s">
        <v>1138</v>
      </c>
      <c r="G69" s="115" t="s">
        <v>373</v>
      </c>
      <c r="H69" s="115">
        <v>2</v>
      </c>
      <c r="I69" s="98"/>
      <c r="J69" s="121"/>
    </row>
    <row r="70" spans="2:10" s="91" customFormat="1" ht="18" x14ac:dyDescent="0.25">
      <c r="B70" s="104" t="s">
        <v>375</v>
      </c>
      <c r="C70" s="100" t="s">
        <v>332</v>
      </c>
      <c r="D70" s="241">
        <v>-1.7142857142857142</v>
      </c>
      <c r="E70" s="111" t="s">
        <v>1140</v>
      </c>
      <c r="F70" s="111" t="s">
        <v>1138</v>
      </c>
      <c r="G70" s="115" t="s">
        <v>373</v>
      </c>
      <c r="H70" s="115">
        <v>2</v>
      </c>
      <c r="I70" s="98"/>
      <c r="J70" s="121"/>
    </row>
    <row r="71" spans="2:10" s="91" customFormat="1" ht="18" x14ac:dyDescent="0.25">
      <c r="B71" s="104" t="s">
        <v>376</v>
      </c>
      <c r="C71" s="100" t="s">
        <v>333</v>
      </c>
      <c r="D71" s="242">
        <v>7.1428571428571393E-5</v>
      </c>
      <c r="E71" s="111" t="s">
        <v>1140</v>
      </c>
      <c r="F71" s="111" t="s">
        <v>1138</v>
      </c>
      <c r="G71" s="115" t="s">
        <v>377</v>
      </c>
      <c r="H71" s="115">
        <v>6</v>
      </c>
      <c r="I71" s="98"/>
      <c r="J71" s="121"/>
    </row>
    <row r="72" spans="2:10" s="91" customFormat="1" ht="18.75" thickBot="1" x14ac:dyDescent="0.3">
      <c r="B72" s="106" t="s">
        <v>378</v>
      </c>
      <c r="C72" s="112" t="s">
        <v>334</v>
      </c>
      <c r="D72" s="243">
        <v>-7.1428571428571393E-5</v>
      </c>
      <c r="E72" s="107" t="s">
        <v>1140</v>
      </c>
      <c r="F72" s="107" t="s">
        <v>1138</v>
      </c>
      <c r="G72" s="113" t="s">
        <v>377</v>
      </c>
      <c r="H72" s="113">
        <v>6</v>
      </c>
      <c r="I72" s="130"/>
      <c r="J72" s="122"/>
    </row>
    <row r="73" spans="2:10" s="91" customFormat="1" ht="15.75" thickBot="1" x14ac:dyDescent="0.3">
      <c r="B73" s="108"/>
      <c r="C73" s="44"/>
      <c r="D73" s="109"/>
      <c r="E73" s="109"/>
      <c r="F73" s="109"/>
      <c r="G73" s="110"/>
      <c r="H73" s="110"/>
      <c r="I73" s="44"/>
    </row>
    <row r="74" spans="2:10" s="91" customFormat="1" ht="15.75" thickBot="1" x14ac:dyDescent="0.3">
      <c r="B74" s="92"/>
      <c r="C74" s="93" t="s">
        <v>391</v>
      </c>
      <c r="D74" s="92" t="s">
        <v>385</v>
      </c>
      <c r="E74" s="92"/>
      <c r="F74" s="92"/>
      <c r="G74" s="150"/>
      <c r="H74" s="92"/>
      <c r="I74" s="92"/>
    </row>
    <row r="75" spans="2:10" s="91" customFormat="1" ht="15.75" thickBot="1" x14ac:dyDescent="0.3">
      <c r="B75" s="116" t="s">
        <v>0</v>
      </c>
      <c r="C75" s="117" t="s">
        <v>1</v>
      </c>
      <c r="D75" s="160" t="s">
        <v>860</v>
      </c>
      <c r="E75" s="161" t="s">
        <v>447</v>
      </c>
      <c r="F75" s="161" t="s">
        <v>448</v>
      </c>
      <c r="G75" s="118" t="s">
        <v>2</v>
      </c>
      <c r="H75" s="118" t="s">
        <v>380</v>
      </c>
      <c r="I75" s="118" t="s">
        <v>114</v>
      </c>
      <c r="J75" s="119" t="s">
        <v>115</v>
      </c>
    </row>
    <row r="76" spans="2:10" s="91" customFormat="1" ht="18" x14ac:dyDescent="0.25">
      <c r="B76" s="129" t="s">
        <v>379</v>
      </c>
      <c r="C76" s="95" t="s">
        <v>234</v>
      </c>
      <c r="D76" s="114">
        <v>1.48</v>
      </c>
      <c r="E76" s="114" t="s">
        <v>1139</v>
      </c>
      <c r="F76" s="114" t="s">
        <v>1138</v>
      </c>
      <c r="G76" s="114" t="s">
        <v>335</v>
      </c>
      <c r="H76" s="114">
        <v>2</v>
      </c>
      <c r="I76" s="114"/>
      <c r="J76" s="120"/>
    </row>
    <row r="77" spans="2:10" s="91" customFormat="1" ht="18" x14ac:dyDescent="0.25">
      <c r="B77" s="269" t="s">
        <v>1165</v>
      </c>
      <c r="C77" s="270" t="s">
        <v>1166</v>
      </c>
      <c r="D77" s="271">
        <v>1.0660000000000001</v>
      </c>
      <c r="E77" s="272">
        <v>0</v>
      </c>
      <c r="F77" s="272">
        <v>5</v>
      </c>
      <c r="G77" s="272" t="s">
        <v>1162</v>
      </c>
      <c r="H77" s="272">
        <v>2</v>
      </c>
      <c r="I77" s="98"/>
      <c r="J77" s="121"/>
    </row>
    <row r="78" spans="2:10" s="91" customFormat="1" ht="18" x14ac:dyDescent="0.25">
      <c r="B78" s="269" t="s">
        <v>1163</v>
      </c>
      <c r="C78" s="270" t="s">
        <v>1164</v>
      </c>
      <c r="D78" s="271">
        <v>0.92600000000000005</v>
      </c>
      <c r="E78" s="272">
        <v>0</v>
      </c>
      <c r="F78" s="272">
        <v>5</v>
      </c>
      <c r="G78" s="272" t="s">
        <v>1162</v>
      </c>
      <c r="H78" s="272">
        <v>2</v>
      </c>
      <c r="I78" s="98"/>
      <c r="J78" s="121"/>
    </row>
    <row r="79" spans="2:10" ht="21.75" customHeight="1" thickBot="1" x14ac:dyDescent="0.3">
      <c r="B79" s="125" t="s">
        <v>1169</v>
      </c>
      <c r="C79" s="126" t="s">
        <v>392</v>
      </c>
      <c r="D79" s="127">
        <v>0.65</v>
      </c>
      <c r="E79" s="127" t="s">
        <v>1139</v>
      </c>
      <c r="F79" s="127">
        <v>1</v>
      </c>
      <c r="G79" s="127" t="s">
        <v>393</v>
      </c>
      <c r="H79" s="127">
        <v>2</v>
      </c>
      <c r="I79" s="127"/>
      <c r="J79" s="128"/>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W46"/>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4" customWidth="1"/>
    <col min="3" max="3" width="7.5703125" bestFit="1" customWidth="1"/>
    <col min="4" max="4" width="42.85546875" customWidth="1"/>
    <col min="5" max="5" width="23.85546875" customWidth="1"/>
    <col min="6" max="6" width="12.140625" customWidth="1"/>
    <col min="7" max="7" width="32.85546875" customWidth="1"/>
    <col min="8" max="8" width="31.42578125" customWidth="1"/>
    <col min="9" max="9" width="37.140625" customWidth="1"/>
    <col min="10" max="10" width="49.42578125" customWidth="1"/>
    <col min="11" max="11" width="9.42578125" customWidth="1"/>
    <col min="13" max="13" width="9.28515625" customWidth="1"/>
    <col min="14" max="14" width="9" customWidth="1"/>
    <col min="15" max="15" width="15" customWidth="1"/>
    <col min="17" max="17" width="31.140625" customWidth="1"/>
    <col min="18" max="18" width="131.85546875" customWidth="1"/>
    <col min="19" max="19" width="9.5703125" customWidth="1"/>
  </cols>
  <sheetData>
    <row r="1" spans="1:21" s="46" customFormat="1" ht="54" customHeight="1" thickBot="1" x14ac:dyDescent="0.3">
      <c r="A1" s="47"/>
    </row>
    <row r="2" spans="1:21" ht="18.75" customHeight="1" thickBot="1" x14ac:dyDescent="0.3">
      <c r="C2" s="152"/>
      <c r="D2" s="51" t="s">
        <v>126</v>
      </c>
      <c r="E2" s="13"/>
      <c r="F2" s="13"/>
    </row>
    <row r="3" spans="1:21" s="5" customFormat="1" ht="25.5" customHeight="1" thickBot="1" x14ac:dyDescent="0.3">
      <c r="B3" s="153" t="s">
        <v>91</v>
      </c>
      <c r="C3" s="154" t="s">
        <v>0</v>
      </c>
      <c r="D3" s="154" t="s">
        <v>1</v>
      </c>
      <c r="E3" s="155" t="s">
        <v>235</v>
      </c>
      <c r="F3" s="155" t="s">
        <v>236</v>
      </c>
      <c r="G3" s="155" t="s">
        <v>237</v>
      </c>
      <c r="H3" s="155" t="s">
        <v>238</v>
      </c>
      <c r="I3" s="155" t="s">
        <v>239</v>
      </c>
      <c r="J3" s="155" t="s">
        <v>240</v>
      </c>
      <c r="K3" s="155" t="s">
        <v>241</v>
      </c>
      <c r="L3" s="155" t="s">
        <v>242</v>
      </c>
      <c r="M3" s="155" t="s">
        <v>243</v>
      </c>
      <c r="N3" s="155" t="s">
        <v>244</v>
      </c>
      <c r="O3" s="155" t="s">
        <v>245</v>
      </c>
      <c r="P3" s="155" t="s">
        <v>246</v>
      </c>
      <c r="Q3" s="155" t="s">
        <v>247</v>
      </c>
      <c r="R3" s="156" t="s">
        <v>1144</v>
      </c>
      <c r="S3" s="273" t="s">
        <v>2</v>
      </c>
      <c r="T3" s="273" t="s">
        <v>9</v>
      </c>
      <c r="U3" s="157" t="s">
        <v>114</v>
      </c>
    </row>
    <row r="4" spans="1:21" ht="25.5" customHeight="1" x14ac:dyDescent="0.25">
      <c r="B4" s="274">
        <v>1</v>
      </c>
      <c r="C4" s="275" t="s">
        <v>248</v>
      </c>
      <c r="D4" s="276" t="s">
        <v>249</v>
      </c>
      <c r="E4" s="277"/>
      <c r="F4" s="277" t="s">
        <v>250</v>
      </c>
      <c r="G4" s="277" t="s">
        <v>251</v>
      </c>
      <c r="H4" s="277"/>
      <c r="I4" s="277"/>
      <c r="J4" s="278" t="s">
        <v>252</v>
      </c>
      <c r="K4" s="279" t="s">
        <v>215</v>
      </c>
      <c r="L4" s="277"/>
      <c r="M4" s="277">
        <v>-1</v>
      </c>
      <c r="N4" s="277"/>
      <c r="O4" s="277"/>
      <c r="P4" s="277"/>
      <c r="Q4" s="280" t="s">
        <v>253</v>
      </c>
      <c r="R4" s="281" t="s">
        <v>899</v>
      </c>
      <c r="S4" s="361" t="s">
        <v>1168</v>
      </c>
      <c r="T4" s="361"/>
      <c r="U4" s="282"/>
    </row>
    <row r="5" spans="1:21" ht="25.5" customHeight="1" x14ac:dyDescent="0.25">
      <c r="B5" s="68">
        <v>2</v>
      </c>
      <c r="C5" s="69" t="s">
        <v>254</v>
      </c>
      <c r="D5" s="79" t="s">
        <v>255</v>
      </c>
      <c r="E5" s="72" t="s">
        <v>256</v>
      </c>
      <c r="F5" s="73">
        <v>-1</v>
      </c>
      <c r="G5" s="74" t="s">
        <v>220</v>
      </c>
      <c r="H5" s="72"/>
      <c r="I5" s="72"/>
      <c r="J5" s="75" t="s">
        <v>257</v>
      </c>
      <c r="K5" s="72"/>
      <c r="L5" s="72"/>
      <c r="M5" s="72"/>
      <c r="N5" s="72"/>
      <c r="O5" s="74" t="s">
        <v>217</v>
      </c>
      <c r="P5" s="72"/>
      <c r="Q5" s="74" t="s">
        <v>258</v>
      </c>
      <c r="R5" s="166" t="s">
        <v>877</v>
      </c>
      <c r="S5" s="362" t="s">
        <v>1168</v>
      </c>
      <c r="T5" s="362"/>
      <c r="U5" s="76"/>
    </row>
    <row r="6" spans="1:21" ht="25.5" customHeight="1" x14ac:dyDescent="0.25">
      <c r="B6" s="68">
        <v>3</v>
      </c>
      <c r="C6" s="69" t="s">
        <v>259</v>
      </c>
      <c r="D6" s="79" t="s">
        <v>260</v>
      </c>
      <c r="E6" s="72"/>
      <c r="F6" s="73">
        <v>-1</v>
      </c>
      <c r="G6" s="74" t="s">
        <v>220</v>
      </c>
      <c r="H6" s="77" t="s">
        <v>1146</v>
      </c>
      <c r="I6" s="72" t="s">
        <v>1030</v>
      </c>
      <c r="J6" s="74" t="s">
        <v>261</v>
      </c>
      <c r="K6" s="72"/>
      <c r="L6" s="72"/>
      <c r="M6" s="72"/>
      <c r="N6" s="72"/>
      <c r="O6" s="74" t="s">
        <v>218</v>
      </c>
      <c r="P6" s="72"/>
      <c r="Q6" s="74" t="s">
        <v>262</v>
      </c>
      <c r="R6" s="166" t="s">
        <v>878</v>
      </c>
      <c r="S6" s="362" t="s">
        <v>1168</v>
      </c>
      <c r="T6" s="362"/>
      <c r="U6" s="76"/>
    </row>
    <row r="7" spans="1:21" ht="25.5" customHeight="1" x14ac:dyDescent="0.25">
      <c r="B7" s="68">
        <v>4</v>
      </c>
      <c r="C7" s="69" t="s">
        <v>263</v>
      </c>
      <c r="D7" s="79" t="s">
        <v>264</v>
      </c>
      <c r="E7" s="72" t="s">
        <v>265</v>
      </c>
      <c r="F7" s="72"/>
      <c r="G7" s="72" t="s">
        <v>266</v>
      </c>
      <c r="H7" s="72"/>
      <c r="I7" s="72"/>
      <c r="J7" s="74" t="s">
        <v>267</v>
      </c>
      <c r="K7" s="72"/>
      <c r="L7" s="72"/>
      <c r="M7" s="72"/>
      <c r="N7" s="73">
        <v>1</v>
      </c>
      <c r="O7" s="72" t="s">
        <v>268</v>
      </c>
      <c r="P7" s="72"/>
      <c r="Q7" s="72" t="s">
        <v>269</v>
      </c>
      <c r="R7" s="166" t="s">
        <v>894</v>
      </c>
      <c r="S7" s="362" t="s">
        <v>1168</v>
      </c>
      <c r="T7" s="362"/>
      <c r="U7" s="76"/>
    </row>
    <row r="8" spans="1:21" ht="25.5" customHeight="1" x14ac:dyDescent="0.25">
      <c r="B8" s="68">
        <v>5</v>
      </c>
      <c r="C8" s="69" t="s">
        <v>270</v>
      </c>
      <c r="D8" s="79" t="s">
        <v>271</v>
      </c>
      <c r="E8" s="72"/>
      <c r="F8" s="72"/>
      <c r="G8" s="72" t="s">
        <v>266</v>
      </c>
      <c r="H8" s="77" t="s">
        <v>272</v>
      </c>
      <c r="I8" s="72" t="s">
        <v>273</v>
      </c>
      <c r="J8" s="74" t="s">
        <v>274</v>
      </c>
      <c r="K8" s="72"/>
      <c r="L8" s="72"/>
      <c r="M8" s="72"/>
      <c r="N8" s="73">
        <v>1</v>
      </c>
      <c r="O8" s="72" t="s">
        <v>275</v>
      </c>
      <c r="P8" s="72"/>
      <c r="Q8" s="72" t="s">
        <v>276</v>
      </c>
      <c r="R8" s="166" t="s">
        <v>895</v>
      </c>
      <c r="S8" s="362" t="s">
        <v>1168</v>
      </c>
      <c r="T8" s="362"/>
      <c r="U8" s="76"/>
    </row>
    <row r="9" spans="1:21" ht="25.5" customHeight="1" x14ac:dyDescent="0.25">
      <c r="B9" s="68">
        <v>6</v>
      </c>
      <c r="C9" s="69" t="s">
        <v>277</v>
      </c>
      <c r="D9" s="79" t="s">
        <v>278</v>
      </c>
      <c r="E9" s="72" t="s">
        <v>279</v>
      </c>
      <c r="F9" s="72"/>
      <c r="G9" s="72" t="s">
        <v>280</v>
      </c>
      <c r="H9" s="72"/>
      <c r="I9" s="72"/>
      <c r="J9" s="74" t="s">
        <v>281</v>
      </c>
      <c r="K9" s="72"/>
      <c r="L9" s="74" t="s">
        <v>219</v>
      </c>
      <c r="M9" s="72"/>
      <c r="N9" s="73">
        <v>-1</v>
      </c>
      <c r="O9" s="72"/>
      <c r="P9" s="72"/>
      <c r="Q9" s="72" t="s">
        <v>282</v>
      </c>
      <c r="R9" s="166" t="s">
        <v>879</v>
      </c>
      <c r="S9" s="362" t="s">
        <v>1168</v>
      </c>
      <c r="T9" s="362"/>
      <c r="U9" s="76"/>
    </row>
    <row r="10" spans="1:21" ht="25.5" customHeight="1" x14ac:dyDescent="0.25">
      <c r="B10" s="68">
        <v>7</v>
      </c>
      <c r="C10" s="69" t="s">
        <v>283</v>
      </c>
      <c r="D10" s="79" t="s">
        <v>284</v>
      </c>
      <c r="E10" s="72"/>
      <c r="F10" s="72"/>
      <c r="G10" s="72" t="s">
        <v>280</v>
      </c>
      <c r="H10" s="77" t="s">
        <v>1029</v>
      </c>
      <c r="I10" s="72" t="s">
        <v>1031</v>
      </c>
      <c r="J10" s="74" t="s">
        <v>285</v>
      </c>
      <c r="K10" s="72"/>
      <c r="L10" s="74" t="s">
        <v>219</v>
      </c>
      <c r="M10" s="72"/>
      <c r="N10" s="73">
        <v>-1</v>
      </c>
      <c r="O10" s="72"/>
      <c r="P10" s="72"/>
      <c r="Q10" s="72" t="s">
        <v>282</v>
      </c>
      <c r="R10" s="166" t="s">
        <v>880</v>
      </c>
      <c r="S10" s="362" t="s">
        <v>1168</v>
      </c>
      <c r="T10" s="362"/>
      <c r="U10" s="76"/>
    </row>
    <row r="11" spans="1:21" ht="25.5" customHeight="1" x14ac:dyDescent="0.25">
      <c r="B11" s="68">
        <v>8</v>
      </c>
      <c r="C11" s="69" t="s">
        <v>286</v>
      </c>
      <c r="D11" s="79" t="s">
        <v>287</v>
      </c>
      <c r="E11" s="72" t="s">
        <v>288</v>
      </c>
      <c r="F11" s="72"/>
      <c r="G11" s="72"/>
      <c r="H11" s="72"/>
      <c r="I11" s="72"/>
      <c r="J11" s="72"/>
      <c r="K11" s="72"/>
      <c r="L11" s="72"/>
      <c r="M11" s="72"/>
      <c r="N11" s="72"/>
      <c r="O11" s="72" t="s">
        <v>288</v>
      </c>
      <c r="P11" s="72"/>
      <c r="Q11" s="72" t="s">
        <v>289</v>
      </c>
      <c r="R11" s="166" t="s">
        <v>881</v>
      </c>
      <c r="S11" s="362" t="s">
        <v>1168</v>
      </c>
      <c r="T11" s="362"/>
      <c r="U11" s="76"/>
    </row>
    <row r="12" spans="1:21" ht="25.5" customHeight="1" x14ac:dyDescent="0.25">
      <c r="B12" s="68">
        <v>9</v>
      </c>
      <c r="C12" s="69" t="s">
        <v>290</v>
      </c>
      <c r="D12" s="79" t="s">
        <v>291</v>
      </c>
      <c r="E12" s="72"/>
      <c r="F12" s="72"/>
      <c r="G12" s="72"/>
      <c r="H12" s="77" t="s">
        <v>1028</v>
      </c>
      <c r="I12" s="72" t="s">
        <v>1032</v>
      </c>
      <c r="J12" s="74" t="s">
        <v>292</v>
      </c>
      <c r="K12" s="72"/>
      <c r="L12" s="72"/>
      <c r="M12" s="72"/>
      <c r="N12" s="72"/>
      <c r="O12" s="72" t="s">
        <v>288</v>
      </c>
      <c r="P12" s="72"/>
      <c r="Q12" s="72" t="s">
        <v>289</v>
      </c>
      <c r="R12" s="166" t="s">
        <v>882</v>
      </c>
      <c r="S12" s="362" t="s">
        <v>1168</v>
      </c>
      <c r="T12" s="362"/>
      <c r="U12" s="76"/>
    </row>
    <row r="13" spans="1:21" ht="25.5" customHeight="1" x14ac:dyDescent="0.25">
      <c r="B13" s="68">
        <v>10</v>
      </c>
      <c r="C13" s="69" t="s">
        <v>293</v>
      </c>
      <c r="D13" s="79" t="s">
        <v>294</v>
      </c>
      <c r="E13" s="77" t="s">
        <v>295</v>
      </c>
      <c r="F13" s="72"/>
      <c r="G13" s="72" t="s">
        <v>296</v>
      </c>
      <c r="H13" s="72" t="s">
        <v>297</v>
      </c>
      <c r="I13" s="72"/>
      <c r="J13" s="74" t="s">
        <v>298</v>
      </c>
      <c r="K13" s="72"/>
      <c r="L13" s="72"/>
      <c r="M13" s="72"/>
      <c r="N13" s="72"/>
      <c r="O13" s="72"/>
      <c r="P13" s="73">
        <v>1</v>
      </c>
      <c r="Q13" s="74" t="s">
        <v>227</v>
      </c>
      <c r="R13" s="166" t="s">
        <v>904</v>
      </c>
      <c r="S13" s="362" t="s">
        <v>1168</v>
      </c>
      <c r="T13" s="362"/>
      <c r="U13" s="76"/>
    </row>
    <row r="14" spans="1:21" ht="25.5" customHeight="1" x14ac:dyDescent="0.25">
      <c r="B14" s="68">
        <v>11</v>
      </c>
      <c r="C14" s="69" t="s">
        <v>299</v>
      </c>
      <c r="D14" s="79" t="s">
        <v>300</v>
      </c>
      <c r="E14" s="72" t="s">
        <v>279</v>
      </c>
      <c r="F14" s="72"/>
      <c r="G14" s="72" t="s">
        <v>280</v>
      </c>
      <c r="H14" s="72"/>
      <c r="I14" s="72"/>
      <c r="J14" s="74" t="s">
        <v>301</v>
      </c>
      <c r="K14" s="72"/>
      <c r="L14" s="74" t="s">
        <v>219</v>
      </c>
      <c r="M14" s="72"/>
      <c r="N14" s="72"/>
      <c r="O14" s="72"/>
      <c r="P14" s="73">
        <v>-1</v>
      </c>
      <c r="Q14" s="72" t="s">
        <v>282</v>
      </c>
      <c r="R14" s="166" t="s">
        <v>883</v>
      </c>
      <c r="S14" s="362" t="s">
        <v>1168</v>
      </c>
      <c r="T14" s="362"/>
      <c r="U14" s="76"/>
    </row>
    <row r="15" spans="1:21" ht="25.5" customHeight="1" thickBot="1" x14ac:dyDescent="0.3">
      <c r="B15" s="70">
        <v>12</v>
      </c>
      <c r="C15" s="67" t="s">
        <v>302</v>
      </c>
      <c r="D15" s="80" t="s">
        <v>303</v>
      </c>
      <c r="E15" s="308"/>
      <c r="F15" s="308"/>
      <c r="G15" s="308" t="s">
        <v>280</v>
      </c>
      <c r="H15" s="316" t="s">
        <v>1029</v>
      </c>
      <c r="I15" s="308" t="s">
        <v>1031</v>
      </c>
      <c r="J15" s="317" t="s">
        <v>304</v>
      </c>
      <c r="K15" s="308"/>
      <c r="L15" s="317" t="s">
        <v>219</v>
      </c>
      <c r="M15" s="308"/>
      <c r="N15" s="308"/>
      <c r="O15" s="308"/>
      <c r="P15" s="318">
        <v>-1</v>
      </c>
      <c r="Q15" s="308" t="s">
        <v>282</v>
      </c>
      <c r="R15" s="319" t="s">
        <v>906</v>
      </c>
      <c r="S15" s="363" t="s">
        <v>1168</v>
      </c>
      <c r="T15" s="363"/>
      <c r="U15" s="320"/>
    </row>
    <row r="16" spans="1:21" ht="15.75" thickBot="1" x14ac:dyDescent="0.3"/>
    <row r="17" spans="2:23" ht="15.75" thickBot="1" x14ac:dyDescent="0.3">
      <c r="D17" s="52" t="s">
        <v>5</v>
      </c>
      <c r="E17" s="12"/>
    </row>
    <row r="18" spans="2:23" ht="19.5" x14ac:dyDescent="0.25">
      <c r="D18" s="309" t="s">
        <v>146</v>
      </c>
      <c r="E18" s="310">
        <v>-1</v>
      </c>
      <c r="F18" s="310">
        <v>1</v>
      </c>
      <c r="G18" s="311"/>
      <c r="H18" s="312" t="s">
        <v>230</v>
      </c>
      <c r="I18" s="312" t="s">
        <v>231</v>
      </c>
      <c r="J18" s="311"/>
      <c r="K18" s="310">
        <v>1</v>
      </c>
      <c r="L18" s="310">
        <v>1</v>
      </c>
      <c r="M18" s="310">
        <v>1</v>
      </c>
      <c r="N18" s="310">
        <v>1</v>
      </c>
      <c r="O18" s="310">
        <v>1</v>
      </c>
      <c r="P18" s="310">
        <v>1</v>
      </c>
      <c r="Q18" s="310"/>
    </row>
    <row r="19" spans="2:23" ht="19.5" x14ac:dyDescent="0.25">
      <c r="D19" s="81" t="s">
        <v>305</v>
      </c>
      <c r="E19" s="82"/>
      <c r="F19" s="83" t="s">
        <v>220</v>
      </c>
      <c r="G19" s="84">
        <v>1</v>
      </c>
      <c r="H19" s="84">
        <v>1</v>
      </c>
      <c r="I19" s="84">
        <v>1</v>
      </c>
      <c r="J19" s="82"/>
      <c r="K19" s="83" t="s">
        <v>221</v>
      </c>
      <c r="L19" s="83" t="s">
        <v>222</v>
      </c>
      <c r="M19" s="83" t="s">
        <v>223</v>
      </c>
      <c r="N19" s="83" t="s">
        <v>224</v>
      </c>
      <c r="O19" s="82"/>
      <c r="P19" s="83" t="s">
        <v>224</v>
      </c>
      <c r="Q19" s="82"/>
    </row>
    <row r="20" spans="2:23" ht="19.5" x14ac:dyDescent="0.25">
      <c r="D20" s="81" t="s">
        <v>8</v>
      </c>
      <c r="E20" s="82"/>
      <c r="F20" s="82"/>
      <c r="G20" s="83" t="s">
        <v>232</v>
      </c>
      <c r="H20" s="83" t="s">
        <v>233</v>
      </c>
      <c r="I20" s="82"/>
      <c r="J20" s="84">
        <v>-1</v>
      </c>
      <c r="K20" s="82"/>
      <c r="L20" s="82"/>
      <c r="M20" s="82"/>
      <c r="N20" s="82"/>
      <c r="O20" s="82"/>
      <c r="P20" s="82"/>
      <c r="Q20" s="82"/>
    </row>
    <row r="21" spans="2:23" ht="20.25" thickBot="1" x14ac:dyDescent="0.3">
      <c r="D21" s="85" t="s">
        <v>306</v>
      </c>
      <c r="E21" s="86"/>
      <c r="F21" s="86"/>
      <c r="G21" s="86"/>
      <c r="H21" s="86"/>
      <c r="I21" s="86"/>
      <c r="J21" s="86"/>
      <c r="K21" s="86"/>
      <c r="L21" s="87" t="s">
        <v>225</v>
      </c>
      <c r="M21" s="87" t="s">
        <v>226</v>
      </c>
      <c r="N21" s="87" t="s">
        <v>227</v>
      </c>
      <c r="O21" s="87" t="s">
        <v>229</v>
      </c>
      <c r="P21" s="87" t="s">
        <v>227</v>
      </c>
      <c r="Q21" s="283">
        <v>-1</v>
      </c>
    </row>
    <row r="24" spans="2:23" x14ac:dyDescent="0.25">
      <c r="U24" t="s">
        <v>321</v>
      </c>
    </row>
    <row r="26" spans="2:23" ht="15.75" thickBot="1" x14ac:dyDescent="0.3">
      <c r="T26" t="s">
        <v>321</v>
      </c>
    </row>
    <row r="27" spans="2:23" ht="19.5" thickBot="1" x14ac:dyDescent="0.3">
      <c r="B27" s="153" t="s">
        <v>91</v>
      </c>
      <c r="C27" s="154"/>
      <c r="D27" s="154" t="s">
        <v>1</v>
      </c>
      <c r="E27" s="155" t="s">
        <v>235</v>
      </c>
      <c r="F27" s="155" t="s">
        <v>236</v>
      </c>
      <c r="G27" s="155" t="s">
        <v>237</v>
      </c>
      <c r="H27" s="155" t="s">
        <v>238</v>
      </c>
      <c r="I27" s="155" t="s">
        <v>239</v>
      </c>
      <c r="J27" s="155" t="s">
        <v>240</v>
      </c>
      <c r="K27" s="155" t="s">
        <v>241</v>
      </c>
      <c r="L27" s="155" t="s">
        <v>242</v>
      </c>
      <c r="M27" s="155" t="s">
        <v>243</v>
      </c>
      <c r="N27" s="155" t="s">
        <v>244</v>
      </c>
      <c r="O27" s="155" t="s">
        <v>245</v>
      </c>
      <c r="P27" s="155" t="s">
        <v>246</v>
      </c>
      <c r="Q27" s="155" t="s">
        <v>247</v>
      </c>
      <c r="R27" s="156" t="s">
        <v>1144</v>
      </c>
      <c r="T27" s="407" t="s">
        <v>146</v>
      </c>
      <c r="U27" s="407" t="s">
        <v>305</v>
      </c>
      <c r="V27" s="407" t="s">
        <v>8</v>
      </c>
      <c r="W27" s="407" t="s">
        <v>306</v>
      </c>
    </row>
    <row r="28" spans="2:23" x14ac:dyDescent="0.25">
      <c r="B28" s="274">
        <v>1</v>
      </c>
      <c r="C28" s="275" t="s">
        <v>248</v>
      </c>
      <c r="D28" s="276" t="s">
        <v>249</v>
      </c>
      <c r="E28" s="393">
        <f>0</f>
        <v>0</v>
      </c>
      <c r="F28" s="393">
        <f>1-f_SI</f>
        <v>1</v>
      </c>
      <c r="G28" s="393">
        <f>-(1-f_SI)*i_N_SS-f_SI*i_N_SI+i_N_XS</f>
        <v>1.0000000000000002E-2</v>
      </c>
      <c r="H28" s="393">
        <f>0</f>
        <v>0</v>
      </c>
      <c r="I28" s="393">
        <f>0</f>
        <v>0</v>
      </c>
      <c r="J28" s="399">
        <f>v_1_SNH4*i_Charge_SNHx</f>
        <v>7.142857142857141E-7</v>
      </c>
      <c r="K28" s="399">
        <f>f_SI</f>
        <v>0</v>
      </c>
      <c r="L28" s="393">
        <f>0</f>
        <v>0</v>
      </c>
      <c r="M28" s="393">
        <f>-1</f>
        <v>-1</v>
      </c>
      <c r="N28" s="393">
        <f>0</f>
        <v>0</v>
      </c>
      <c r="O28" s="393">
        <f>0</f>
        <v>0</v>
      </c>
      <c r="P28" s="393">
        <f>0</f>
        <v>0</v>
      </c>
      <c r="Q28" s="401">
        <f>-i_SS_XS</f>
        <v>-0.75</v>
      </c>
      <c r="R28" s="404">
        <f>k_H*M_RsatXS_XH_KX*X_H</f>
        <v>136.36363636363635</v>
      </c>
      <c r="T28" s="71">
        <f>E43*E28+F43*F28+G43*G28+H43*H28+I43*I28+J43*J28+K43*K28+L43*L28+M43*M28+N43*N28+O43*O28+P43*P28+Q43*Q28</f>
        <v>0</v>
      </c>
      <c r="U28" s="71">
        <f>E44*E28+F44*F28+G44*G28+H44*H28+I44*I28+J44*J28+K44*K28+L44*L28+M44*M28+N44*N28+O44*O28+P44*P28+Q44*Q28</f>
        <v>0</v>
      </c>
      <c r="V28" s="71">
        <f>E45*E28+F45*F28+G45*G28+H45*H28+I45*I28+J45*J28+K45*K28+L45*L28+M45*M28+N45*N28+O45*O28+P45*P28+Q45*Q28</f>
        <v>0</v>
      </c>
      <c r="W28" s="71">
        <f>E46*E28+F46*F28+G46*G28+H46*H28+I46*I28+J46*J28+K46*K28+L46*L28+M46*M28+N46*N28+O46*O28+P46*P28+Q46*Q28</f>
        <v>0</v>
      </c>
    </row>
    <row r="29" spans="2:23" ht="16.5" x14ac:dyDescent="0.25">
      <c r="B29" s="68">
        <v>2</v>
      </c>
      <c r="C29" s="69" t="s">
        <v>254</v>
      </c>
      <c r="D29" s="79" t="s">
        <v>255</v>
      </c>
      <c r="E29" s="394">
        <f>-(1-Y_STO_O2)</f>
        <v>-0.15000000000000002</v>
      </c>
      <c r="F29" s="394">
        <f>-1</f>
        <v>-1</v>
      </c>
      <c r="G29" s="397">
        <f>i_N_SS</f>
        <v>0.03</v>
      </c>
      <c r="H29" s="394">
        <f>0</f>
        <v>0</v>
      </c>
      <c r="I29" s="394">
        <f>0</f>
        <v>0</v>
      </c>
      <c r="J29" s="397">
        <f>v_2_SNH4*i_Charge_SNHx</f>
        <v>2.1428571428571419E-6</v>
      </c>
      <c r="K29" s="394">
        <f>0</f>
        <v>0</v>
      </c>
      <c r="L29" s="394">
        <f>0</f>
        <v>0</v>
      </c>
      <c r="M29" s="394">
        <f>0</f>
        <v>0</v>
      </c>
      <c r="N29" s="394">
        <f>0</f>
        <v>0</v>
      </c>
      <c r="O29" s="397">
        <f>Y_STO_O2</f>
        <v>0.85</v>
      </c>
      <c r="P29" s="394">
        <f>0</f>
        <v>0</v>
      </c>
      <c r="Q29" s="397">
        <f>Y_STO_O2*i_SS_STO</f>
        <v>0.51</v>
      </c>
      <c r="R29" s="405">
        <f>q_STO*M_satSO2_KO2*M_satSS_KS*X_H</f>
        <v>1623.3766233766232</v>
      </c>
      <c r="T29" s="71">
        <f>E43*E29+F43*F29+G43*G29+H43*H29+I43*I29+J43*J29+K43*K29+L43*L29+M43*M29+N43*N29+O43*O29+P43*P29+Q43*Q29</f>
        <v>0</v>
      </c>
      <c r="U29" s="71">
        <f>E44*E29+F44*F29+G44*G29+H44*H29+I44*I29+J44*J29+K44*K29+L44*L29+M44*M29+N44*N29+O44*O29+P44*P29+Q44*Q29</f>
        <v>0</v>
      </c>
      <c r="V29" s="71">
        <f>E45*E29+F45*F29+G45*G29+H45*H29+I45*I29+J45*J29+K45*K29+L45*L29+M45*M29+N45*N29+O45*O29+P45*P29+Q45*Q29</f>
        <v>0</v>
      </c>
      <c r="W29" s="71">
        <f>E46*E29+F46*F29+G46*G29+H46*H29+I46*I29+J46*J29+K46*K29+L46*L29+M46*M29+N46*N29+O46*O29+P46*P29+Q46*Q29</f>
        <v>0</v>
      </c>
    </row>
    <row r="30" spans="2:23" ht="16.5" x14ac:dyDescent="0.25">
      <c r="B30" s="68">
        <v>3</v>
      </c>
      <c r="C30" s="69" t="s">
        <v>259</v>
      </c>
      <c r="D30" s="79" t="s">
        <v>260</v>
      </c>
      <c r="E30" s="394">
        <f>0</f>
        <v>0</v>
      </c>
      <c r="F30" s="394">
        <f>-1</f>
        <v>-1</v>
      </c>
      <c r="G30" s="397">
        <f>i_N_SS</f>
        <v>0.03</v>
      </c>
      <c r="H30" s="395">
        <f>-(1-Y_STO_NOX)/(i_NO3_N2)</f>
        <v>-6.9999999999999979E-2</v>
      </c>
      <c r="I30" s="394">
        <f>(1-Y_STO_NOX)/(i_NO3_N2)</f>
        <v>6.9999999999999979E-2</v>
      </c>
      <c r="J30" s="397">
        <f>v_3_SNH4*i_Charge_SNHx+v_3_SNOX*i_Charge_SNOx</f>
        <v>7.1428571428571376E-6</v>
      </c>
      <c r="K30" s="394">
        <f>0</f>
        <v>0</v>
      </c>
      <c r="L30" s="394">
        <f>0</f>
        <v>0</v>
      </c>
      <c r="M30" s="394">
        <f>0</f>
        <v>0</v>
      </c>
      <c r="N30" s="394">
        <f>0</f>
        <v>0</v>
      </c>
      <c r="O30" s="397">
        <f>Y_STO_NOX</f>
        <v>0.8</v>
      </c>
      <c r="P30" s="394">
        <f>0</f>
        <v>0</v>
      </c>
      <c r="Q30" s="397">
        <f>Y_STO_NOX*i_SS_STO</f>
        <v>0.48</v>
      </c>
      <c r="R30" s="405">
        <f>q_STO*η_NOX*M_inhSO2_KO2*M_satSNOX_KNOX*M_satSS_KS*X_H</f>
        <v>94.26057813154587</v>
      </c>
      <c r="T30" s="71">
        <f>E43*E30+F43*F30+G43*G30+H43*H30+I43*I30+J43*J30+K43*K30+L43*L30+M43*M30+N43*N30+O43*O30+P43*P30+Q43*Q30</f>
        <v>-1.1102230246251565E-16</v>
      </c>
      <c r="U30" s="71">
        <f>E44*E30+F44*F30+G44*G30+H44*H30+I44*I30+J44*J30+K44*K30+L44*L30+M44*M30+N44*N30+O44*O30+P44*P30+Q44*Q30</f>
        <v>0</v>
      </c>
      <c r="V30" s="71">
        <f>E45*E30+F45*F30+G45*G30+H45*H30+I45*I30+J45*J30+K45*K30+L45*L30+M45*M30+N45*N30+O45*O30+P45*P30+Q45*Q30</f>
        <v>0</v>
      </c>
      <c r="W30" s="71">
        <f>E46*E30+F46*F30+G46*G30+H46*H30+I46*I30+J46*J30+K46*K30+L46*L30+M46*M30+N46*N30+O46*O30+P46*P30+Q46*Q30</f>
        <v>0</v>
      </c>
    </row>
    <row r="31" spans="2:23" ht="16.5" x14ac:dyDescent="0.25">
      <c r="B31" s="68">
        <v>4</v>
      </c>
      <c r="C31" s="69" t="s">
        <v>263</v>
      </c>
      <c r="D31" s="79" t="s">
        <v>264</v>
      </c>
      <c r="E31" s="394">
        <f>-(1-Y_H_O2)/Y_H_O2</f>
        <v>-0.58730158730158732</v>
      </c>
      <c r="F31" s="394">
        <f>0</f>
        <v>0</v>
      </c>
      <c r="G31" s="394">
        <f>-i_N_BM</f>
        <v>-7.0000000000000007E-2</v>
      </c>
      <c r="H31" s="394">
        <f>0</f>
        <v>0</v>
      </c>
      <c r="I31" s="394">
        <f>0</f>
        <v>0</v>
      </c>
      <c r="J31" s="397">
        <f>v_4_SNH4*i_Charge_SNHx</f>
        <v>-4.9999999999999979E-6</v>
      </c>
      <c r="K31" s="394">
        <f>0</f>
        <v>0</v>
      </c>
      <c r="L31" s="394">
        <f>0</f>
        <v>0</v>
      </c>
      <c r="M31" s="394">
        <f>0</f>
        <v>0</v>
      </c>
      <c r="N31" s="394">
        <f>1</f>
        <v>1</v>
      </c>
      <c r="O31" s="394">
        <f>-1/Y_H_O2</f>
        <v>-1.5873015873015872</v>
      </c>
      <c r="P31" s="394">
        <f>0</f>
        <v>0</v>
      </c>
      <c r="Q31" s="402">
        <f>(-1/Y_H_O2)*i_SS_STO+i_SS_BM</f>
        <v>-5.2380952380952306E-2</v>
      </c>
      <c r="R31" s="405">
        <f>μ_H*M_satSO2_KO2*M_satSNH4_KNH4*M_satSALK_KALK*M_RsatXSTO_XH_KSTO*X_H</f>
        <v>80.689039570689488</v>
      </c>
      <c r="T31" s="71">
        <f>E43*E31+F43*F31+G43*G31+H43*H31+I43*I31+J43*J31+K43*K31+L43*L31+M43*M31+N43*N31+O43*O31+P43*P31+Q43*Q31</f>
        <v>2.2204460492503131E-16</v>
      </c>
      <c r="U31" s="71">
        <f>E44*E31+F44*F31+G44*G31+H44*H31+I44*I31+J44*J31+K44*K31+L44*L31+M44*M31+N44*N31+O44*O31+P44*P31+Q44*Q31</f>
        <v>0</v>
      </c>
      <c r="V31" s="71">
        <f>E45*E31+F45*F31+G45*G31+H45*H31+I45*I31+J45*J31+K45*K31+L45*L31+M45*M31+N45*N31+O45*O31+P45*P31+Q45*Q31</f>
        <v>0</v>
      </c>
      <c r="W31" s="71">
        <f>E46*E31+F46*F31+G46*G31+H46*H31+I46*I31+J46*J31+K46*K31+L46*L31+M46*M31+N46*N31+O46*O31+P46*P31+Q46*Q31</f>
        <v>0</v>
      </c>
    </row>
    <row r="32" spans="2:23" ht="16.5" x14ac:dyDescent="0.25">
      <c r="B32" s="68">
        <v>5</v>
      </c>
      <c r="C32" s="69" t="s">
        <v>270</v>
      </c>
      <c r="D32" s="79" t="s">
        <v>271</v>
      </c>
      <c r="E32" s="394">
        <f>0</f>
        <v>0</v>
      </c>
      <c r="F32" s="394">
        <f>0</f>
        <v>0</v>
      </c>
      <c r="G32" s="394">
        <f>-i_N_BM</f>
        <v>-7.0000000000000007E-2</v>
      </c>
      <c r="H32" s="395">
        <f>-(1-Y_H_NOX)/Y_H_NOX*(1/i_NO3_N2)</f>
        <v>-0.29814814814814811</v>
      </c>
      <c r="I32" s="394">
        <f>(1-Y_H_NOX)/Y_H_NOX*(1/i_NO3_N2)</f>
        <v>0.29814814814814811</v>
      </c>
      <c r="J32" s="397">
        <f>v_5_SNH4*i_Charge_SNHx+v_5_SNOX*i_Charge_SNOx</f>
        <v>1.6296296296296283E-5</v>
      </c>
      <c r="K32" s="394">
        <f>0</f>
        <v>0</v>
      </c>
      <c r="L32" s="394">
        <f>0</f>
        <v>0</v>
      </c>
      <c r="M32" s="394">
        <f>0</f>
        <v>0</v>
      </c>
      <c r="N32" s="394">
        <f>1</f>
        <v>1</v>
      </c>
      <c r="O32" s="394">
        <f>-1/Y_H_NOX</f>
        <v>-1.8518518518518516</v>
      </c>
      <c r="P32" s="394">
        <f>0</f>
        <v>0</v>
      </c>
      <c r="Q32" s="402">
        <f>(-1/Y_H_NOX)*i_SS_STO+i_SS_BM</f>
        <v>-0.21111111111111092</v>
      </c>
      <c r="R32" s="405">
        <f>μ_H*η_NOX*M_inhSO2_KO2*M_satSNOX_KNOX*M_satSNH4_KNH4*M_satSALK_KALK*M_RsatXSTO_XH_KSTO*X_H</f>
        <v>4.6851700395884226</v>
      </c>
      <c r="T32" s="71">
        <f>E43*E32+F43*F32+G43*G32+H43*H32+I43*I32+J43*J32+K43*K32+L43*L32+M43*M32+N43*N32+O43*O32+P43*P32+Q43*Q32</f>
        <v>0</v>
      </c>
      <c r="U32" s="71">
        <f>E44*E32+F44*F32+G44*G32+H44*H32+I44*I32+J44*J32+K44*K32+L44*L32+M44*M32+N44*N32+O44*O32+P44*P32+Q44*Q32</f>
        <v>0</v>
      </c>
      <c r="V32" s="71">
        <f>E45*E32+F45*F32+G45*G32+H45*H32+I45*I32+J45*J32+K45*K32+L45*L32+M45*M32+N45*N32+O45*O32+P45*P32+Q45*Q32</f>
        <v>0</v>
      </c>
      <c r="W32" s="71">
        <f>E46*E32+F46*F32+G46*G32+H46*H32+I46*I32+J46*J32+K46*K32+L46*L32+M46*M32+N46*N32+O46*O32+P46*P32+Q46*Q32</f>
        <v>0</v>
      </c>
    </row>
    <row r="33" spans="2:23" ht="16.5" x14ac:dyDescent="0.25">
      <c r="B33" s="68">
        <v>6</v>
      </c>
      <c r="C33" s="69" t="s">
        <v>277</v>
      </c>
      <c r="D33" s="79" t="s">
        <v>278</v>
      </c>
      <c r="E33" s="394">
        <f>-(1-f_XI)</f>
        <v>-0.8</v>
      </c>
      <c r="F33" s="394">
        <f>0</f>
        <v>0</v>
      </c>
      <c r="G33" s="394">
        <f>-f_XI*i_N_XI+i_N_BM</f>
        <v>6.6000000000000003E-2</v>
      </c>
      <c r="H33" s="394">
        <f>0</f>
        <v>0</v>
      </c>
      <c r="I33" s="394">
        <f>0</f>
        <v>0</v>
      </c>
      <c r="J33" s="397">
        <f>v_6_SNH4*i_Charge_SNHx</f>
        <v>4.7142857142857122E-6</v>
      </c>
      <c r="K33" s="394">
        <f>0</f>
        <v>0</v>
      </c>
      <c r="L33" s="397">
        <f>f_XI</f>
        <v>0.2</v>
      </c>
      <c r="M33" s="394">
        <f>0</f>
        <v>0</v>
      </c>
      <c r="N33" s="394">
        <f>-1</f>
        <v>-1</v>
      </c>
      <c r="O33" s="394">
        <f>0</f>
        <v>0</v>
      </c>
      <c r="P33" s="394">
        <f>0</f>
        <v>0</v>
      </c>
      <c r="Q33" s="402">
        <f>-i_SS_BM+f_XI*i_SS_XI</f>
        <v>-0.75</v>
      </c>
      <c r="R33" s="405">
        <f>b_H_O2*M_satSO2_KO2*X_H</f>
        <v>90.909090909090907</v>
      </c>
      <c r="T33" s="71">
        <f>E43*E33+F43*F33+G43*G33+H43*H33+I43*I33+J43*J33+K43*K33+L43*L33+M43*M33+N43*N33+O43*O33+P43*P33+Q43*Q33</f>
        <v>0</v>
      </c>
      <c r="U33" s="71">
        <f>E44*E33+F44*F33+G44*G33+H44*H33+I44*I33+J44*J33+K44*K33+L44*L33+M44*M33+N44*N33+O44*O33+P44*P33+Q44*Q33</f>
        <v>0</v>
      </c>
      <c r="V33" s="71">
        <f>E45*E33+F45*F33+G45*G33+H45*H33+I45*I33+J45*J33+K45*K33+L45*L33+M45*M33+N45*N33+O45*O33+P45*P33+Q45*Q33</f>
        <v>0</v>
      </c>
      <c r="W33" s="71">
        <f>E46*E33+F46*F33+G46*G33+H46*H33+I46*I33+J46*J33+K46*K33+L46*L33+M46*M33+N46*N33+O46*O33+P46*P33+Q46*Q33</f>
        <v>0</v>
      </c>
    </row>
    <row r="34" spans="2:23" ht="16.5" x14ac:dyDescent="0.25">
      <c r="B34" s="68">
        <v>7</v>
      </c>
      <c r="C34" s="69" t="s">
        <v>283</v>
      </c>
      <c r="D34" s="79" t="s">
        <v>284</v>
      </c>
      <c r="E34" s="394">
        <f>0</f>
        <v>0</v>
      </c>
      <c r="F34" s="394">
        <f>0</f>
        <v>0</v>
      </c>
      <c r="G34" s="394">
        <f>-f_XI*i_N_XI+i_N_BM</f>
        <v>6.6000000000000003E-2</v>
      </c>
      <c r="H34" s="395">
        <f>-(1-f_XI)/(i_NO3_N2)</f>
        <v>-0.28000000000000003</v>
      </c>
      <c r="I34" s="394">
        <f>(1-f_XI)/(i_NO3_N2)</f>
        <v>0.28000000000000003</v>
      </c>
      <c r="J34" s="397">
        <f>v_7_SNOX*i_Charge_SNOx+v_7_SNH4*i_Charge_SNHx</f>
        <v>2.4714285714285704E-5</v>
      </c>
      <c r="K34" s="394">
        <f>0</f>
        <v>0</v>
      </c>
      <c r="L34" s="397">
        <f>f_XI</f>
        <v>0.2</v>
      </c>
      <c r="M34" s="394">
        <f>0</f>
        <v>0</v>
      </c>
      <c r="N34" s="394">
        <f>-1</f>
        <v>-1</v>
      </c>
      <c r="O34" s="394">
        <f>0</f>
        <v>0</v>
      </c>
      <c r="P34" s="394">
        <f>0</f>
        <v>0</v>
      </c>
      <c r="Q34" s="402">
        <f>-i_SS_BM+f_XI*i_SS_XI</f>
        <v>-0.75</v>
      </c>
      <c r="R34" s="405">
        <f>b_H_NOX*M_inhSO2_KO2*M_satSNOX_KNOX*X_H</f>
        <v>4.3988269794721413</v>
      </c>
      <c r="T34" s="71">
        <f>E43*E34+F43*F34+G43*G34+H43*H34+I43*I34+J43*J34+K43*K34+L43*L34+M43*M34+N43*N34+O43*O34+P43*P34+Q43*Q34</f>
        <v>0</v>
      </c>
      <c r="U34" s="71">
        <f>E44*E34+F44*F34+G44*G34+H44*H34+I44*I34+J44*J34+K44*K34+L44*L34+M44*M34+N44*N34+O44*O34+P44*P34+Q44*Q34</f>
        <v>0</v>
      </c>
      <c r="V34" s="71">
        <f>E45*E34+F45*F34+G45*G34+H45*H34+I45*I34+J45*J34+K45*K34+L45*L34+M45*M34+N45*N34+O45*O34+P45*P34+Q45*Q34</f>
        <v>0</v>
      </c>
      <c r="W34" s="71">
        <f>E46*E34+F46*F34+G46*G34+H46*H34+I46*I34+J46*J34+K46*K34+L46*L34+M46*M34+N46*N34+O46*O34+P46*P34+Q46*Q34</f>
        <v>0</v>
      </c>
    </row>
    <row r="35" spans="2:23" ht="16.5" x14ac:dyDescent="0.25">
      <c r="B35" s="68">
        <v>8</v>
      </c>
      <c r="C35" s="69" t="s">
        <v>286</v>
      </c>
      <c r="D35" s="79" t="s">
        <v>287</v>
      </c>
      <c r="E35" s="394">
        <f>-1</f>
        <v>-1</v>
      </c>
      <c r="F35" s="394">
        <f>0</f>
        <v>0</v>
      </c>
      <c r="G35" s="394">
        <f>0</f>
        <v>0</v>
      </c>
      <c r="H35" s="394">
        <f>0</f>
        <v>0</v>
      </c>
      <c r="I35" s="394">
        <f>0</f>
        <v>0</v>
      </c>
      <c r="J35" s="394">
        <f>0</f>
        <v>0</v>
      </c>
      <c r="K35" s="394">
        <f>0</f>
        <v>0</v>
      </c>
      <c r="L35" s="394">
        <f>0</f>
        <v>0</v>
      </c>
      <c r="M35" s="394">
        <f>0</f>
        <v>0</v>
      </c>
      <c r="N35" s="394">
        <f>0</f>
        <v>0</v>
      </c>
      <c r="O35" s="394">
        <f>-1</f>
        <v>-1</v>
      </c>
      <c r="P35" s="394">
        <f>0</f>
        <v>0</v>
      </c>
      <c r="Q35" s="402">
        <f>-i_SS_STO</f>
        <v>-0.6</v>
      </c>
      <c r="R35" s="405">
        <f>b_STO_O2*M_satSO2_KO2*X_STO</f>
        <v>9.0909090909090917</v>
      </c>
      <c r="T35" s="71">
        <f>E43*E35+F43*F35+G43*G35+H43*H35+I43*I35+J43*J35+K43*K35+L43*L35+M43*M35+N43*N35+O43*O35+P43*P35+Q43*Q35</f>
        <v>0</v>
      </c>
      <c r="U35" s="71">
        <f>E44*E35+F44*F35+G44*G35+H44*H35+I44*I35+J44*J35+K44*K35+L44*L35+M44*M35+N44*N35+O44*O35+P44*P35+Q44*Q35</f>
        <v>0</v>
      </c>
      <c r="V35" s="71">
        <f>E45*E35+F45*F35+G45*G35+H45*H35+I45*I35+J45*J35+K45*K35+L45*L35+M45*M35+N45*N35+O45*O35+P45*P35+Q45*Q35</f>
        <v>0</v>
      </c>
      <c r="W35" s="71">
        <f>E46*E35+F46*F35+G46*G35+H46*H35+I46*I35+J46*J35+K46*K35+L46*L35+M46*M35+N46*N35+O46*O35+P46*P35+Q46*Q35</f>
        <v>0</v>
      </c>
    </row>
    <row r="36" spans="2:23" ht="16.5" x14ac:dyDescent="0.25">
      <c r="B36" s="68">
        <v>9</v>
      </c>
      <c r="C36" s="69" t="s">
        <v>290</v>
      </c>
      <c r="D36" s="79" t="s">
        <v>291</v>
      </c>
      <c r="E36" s="394">
        <f>0</f>
        <v>0</v>
      </c>
      <c r="F36" s="394">
        <f>0</f>
        <v>0</v>
      </c>
      <c r="G36" s="394">
        <f>0</f>
        <v>0</v>
      </c>
      <c r="H36" s="395">
        <f>-1/(i_NO3_N2)</f>
        <v>-0.35</v>
      </c>
      <c r="I36" s="394">
        <f>1/(i_NO3_N2)</f>
        <v>0.35</v>
      </c>
      <c r="J36" s="397">
        <f>v_9_SNOX*i_Charge_SNOx</f>
        <v>2.4999999999999988E-5</v>
      </c>
      <c r="K36" s="394">
        <f>0</f>
        <v>0</v>
      </c>
      <c r="L36" s="394">
        <f>0</f>
        <v>0</v>
      </c>
      <c r="M36" s="394">
        <f>0</f>
        <v>0</v>
      </c>
      <c r="N36" s="394">
        <f>0</f>
        <v>0</v>
      </c>
      <c r="O36" s="394">
        <f>-1</f>
        <v>-1</v>
      </c>
      <c r="P36" s="394">
        <f>0</f>
        <v>0</v>
      </c>
      <c r="Q36" s="402">
        <f>-i_SS_STO</f>
        <v>-0.6</v>
      </c>
      <c r="R36" s="405">
        <f>b_STO_NOX*M_inhSO2_KO2*M_satSNOX_KNOX*X_STO</f>
        <v>0.43988269794721413</v>
      </c>
      <c r="T36" s="71">
        <f>E43*E36+F43*F36+G43*G36+H43*H36+I43*I36+J43*J36+K43*K36+L43*L36+M43*M36+N43*N36+O43*O36+P43*P36+Q43*Q36</f>
        <v>-1.1102230246251565E-16</v>
      </c>
      <c r="U36" s="71">
        <f>E44*E36+F44*F36+G44*G36+H44*H36+I44*I36+J44*J36+K44*K36+L44*L36+M44*M36+N44*N36+O44*O36+P44*P36+Q44*Q36</f>
        <v>0</v>
      </c>
      <c r="V36" s="71">
        <f>E45*E36+F45*F36+G45*G36+H45*H36+I45*I36+J45*J36+K45*K36+L45*L36+M45*M36+N45*N36+O45*O36+P45*P36+Q45*Q36</f>
        <v>0</v>
      </c>
      <c r="W36" s="71">
        <f>E46*E36+F46*F36+G46*G36+H46*H36+I46*I36+J46*J36+K46*K36+L46*L36+M46*M36+N46*N36+O46*O36+P46*P36+Q46*Q36</f>
        <v>0</v>
      </c>
    </row>
    <row r="37" spans="2:23" ht="30" x14ac:dyDescent="0.25">
      <c r="B37" s="68">
        <v>10</v>
      </c>
      <c r="C37" s="69" t="s">
        <v>293</v>
      </c>
      <c r="D37" s="79" t="s">
        <v>294</v>
      </c>
      <c r="E37" s="395">
        <f>-(-i_COD_NO3-Y_A)/Y_A</f>
        <v>-18.047619047619047</v>
      </c>
      <c r="F37" s="394">
        <f>0</f>
        <v>0</v>
      </c>
      <c r="G37" s="394">
        <f>-1/Y_A-i_N_BM</f>
        <v>-4.2366666666666672</v>
      </c>
      <c r="H37" s="394">
        <f>1/Y_A</f>
        <v>4.166666666666667</v>
      </c>
      <c r="I37" s="394">
        <f>0</f>
        <v>0</v>
      </c>
      <c r="J37" s="397">
        <f>v_10_SNH4*i_Charge_SNHx+v_10_SNOX*i_Charge_SNOx</f>
        <v>-6.0023809523809498E-4</v>
      </c>
      <c r="K37" s="394">
        <f>0</f>
        <v>0</v>
      </c>
      <c r="L37" s="394">
        <f>0</f>
        <v>0</v>
      </c>
      <c r="M37" s="394">
        <f>0</f>
        <v>0</v>
      </c>
      <c r="N37" s="394">
        <f>0</f>
        <v>0</v>
      </c>
      <c r="O37" s="394">
        <f>0</f>
        <v>0</v>
      </c>
      <c r="P37" s="394">
        <f>1</f>
        <v>1</v>
      </c>
      <c r="Q37" s="397">
        <f>i_SS_BM</f>
        <v>0.9</v>
      </c>
      <c r="R37" s="405">
        <f>μ_A*M_satSO2_KA_O2*M_satSNH4_KA_NH4*M_satSALK_KA_ALK*X_A</f>
        <v>27.169811320754722</v>
      </c>
      <c r="T37" s="71">
        <f>E43*E37+F43*F37+G43*G37+H43*H37+I43*I37+J43*J37+K43*K37+L43*L37+M43*M37+N43*N37+O43*O37+P43*P37+Q43*Q37</f>
        <v>0</v>
      </c>
      <c r="U37" s="71">
        <f>E44*E37+F44*F37+G44*G37+H44*H37+I44*I37+J44*J37+K44*K37+L44*L37+M44*M37+N44*N37+O44*O37+P44*P37+Q44*Q37</f>
        <v>-2.7755575615628914E-16</v>
      </c>
      <c r="V37" s="71">
        <f>E45*E37+F45*F37+G45*G37+H45*H37+I45*I37+J45*J37+K45*K37+L45*L37+M45*M37+N45*N37+O45*O37+P45*P37+Q45*Q37</f>
        <v>0</v>
      </c>
      <c r="W37" s="71">
        <f>E46*E37+F46*F37+G46*G37+H46*H37+I46*I37+J46*J37+K46*K37+L46*L37+M46*M37+N46*N37+O46*O37+P46*P37+Q46*Q37</f>
        <v>0</v>
      </c>
    </row>
    <row r="38" spans="2:23" ht="16.5" x14ac:dyDescent="0.25">
      <c r="B38" s="68">
        <v>11</v>
      </c>
      <c r="C38" s="69" t="s">
        <v>299</v>
      </c>
      <c r="D38" s="79" t="s">
        <v>300</v>
      </c>
      <c r="E38" s="394">
        <f>-(1-f_XI)</f>
        <v>-0.8</v>
      </c>
      <c r="F38" s="394">
        <f>0</f>
        <v>0</v>
      </c>
      <c r="G38" s="394">
        <f>-f_XI*i_N_XI+i_N_BM</f>
        <v>6.6000000000000003E-2</v>
      </c>
      <c r="H38" s="394">
        <f>0</f>
        <v>0</v>
      </c>
      <c r="I38" s="394">
        <f>0</f>
        <v>0</v>
      </c>
      <c r="J38" s="397">
        <f>v_11_SNH4*i_Charge_SNHx</f>
        <v>4.7142857142857122E-6</v>
      </c>
      <c r="K38" s="394">
        <f>0</f>
        <v>0</v>
      </c>
      <c r="L38" s="397">
        <f>f_XI</f>
        <v>0.2</v>
      </c>
      <c r="M38" s="394">
        <f>0</f>
        <v>0</v>
      </c>
      <c r="N38" s="394">
        <f>0</f>
        <v>0</v>
      </c>
      <c r="O38" s="394">
        <f>0</f>
        <v>0</v>
      </c>
      <c r="P38" s="394">
        <f>-1</f>
        <v>-1</v>
      </c>
      <c r="Q38" s="402">
        <f>-i_SS_BM+f_XI*i_SS_XI</f>
        <v>-0.75</v>
      </c>
      <c r="R38" s="405">
        <f>b_A_O2*M_satSO2_KA_O2*X_A</f>
        <v>6</v>
      </c>
      <c r="T38" s="71">
        <f>E43*E38+F43*F38+G43*G38+H43*H38+I43*I38+J43*J38+K43*K38+L43*L38+M43*M38+N43*N38+O43*O38+P43*P38+Q43*Q38</f>
        <v>0</v>
      </c>
      <c r="U38" s="71">
        <f>E44*E38+F44*F38+G44*G38+H44*H38+I44*I38+J44*J38+K44*K38+L44*L38+M44*M38+N44*N38+O44*O38+P44*P38+Q44*Q38</f>
        <v>0</v>
      </c>
      <c r="V38" s="71">
        <f>E45*E38+F45*F38+G45*G38+H45*H38+I45*I38+J45*J38+K45*K38+L45*L38+M45*M38+N45*N38+O45*O38+P45*P38+Q45*Q38</f>
        <v>0</v>
      </c>
      <c r="W38" s="71">
        <f>E46*E38+F46*F38+G46*G38+H46*H38+I46*I38+J46*J38+K46*K38+L46*L38+M46*M38+N46*N38+O46*O38+P46*P38+Q46*Q38</f>
        <v>0</v>
      </c>
    </row>
    <row r="39" spans="2:23" ht="17.25" thickBot="1" x14ac:dyDescent="0.3">
      <c r="B39" s="70">
        <v>12</v>
      </c>
      <c r="C39" s="67" t="s">
        <v>302</v>
      </c>
      <c r="D39" s="80" t="s">
        <v>303</v>
      </c>
      <c r="E39" s="396">
        <f>0</f>
        <v>0</v>
      </c>
      <c r="F39" s="396">
        <f>0</f>
        <v>0</v>
      </c>
      <c r="G39" s="396">
        <f>-f_XI*i_N_XI+i_N_BM</f>
        <v>6.6000000000000003E-2</v>
      </c>
      <c r="H39" s="398">
        <f>-(1-f_XI)/(i_NO3_N2)</f>
        <v>-0.28000000000000003</v>
      </c>
      <c r="I39" s="396">
        <f>(1-f_XI)/(i_NO3_N2)</f>
        <v>0.28000000000000003</v>
      </c>
      <c r="J39" s="400">
        <f>v_12_SNH4*i_Charge_SNHx+v_12_SNOX*i_Charge_SNOx</f>
        <v>2.4714285714285704E-5</v>
      </c>
      <c r="K39" s="396">
        <f>0</f>
        <v>0</v>
      </c>
      <c r="L39" s="400">
        <f>f_XI</f>
        <v>0.2</v>
      </c>
      <c r="M39" s="396">
        <f>0</f>
        <v>0</v>
      </c>
      <c r="N39" s="396">
        <f>0</f>
        <v>0</v>
      </c>
      <c r="O39" s="396">
        <f>0</f>
        <v>0</v>
      </c>
      <c r="P39" s="396">
        <f>-1</f>
        <v>-1</v>
      </c>
      <c r="Q39" s="403">
        <f>-i_SS_BM+f_XI*i_SS_XI</f>
        <v>-0.75</v>
      </c>
      <c r="R39" s="406">
        <f>b_A_NOX*M_inhSO2_KA_O2*M_satSNOX_KNOX*X_A</f>
        <v>0.48387096774193561</v>
      </c>
      <c r="T39" s="71">
        <f>E43*E39+F43*F39+G43*G39+H43*H39+I43*I39+J43*J39+K43*K39+L43*L39+M43*M39+N43*N39+O43*O39+P43*P39+Q43*Q39</f>
        <v>0</v>
      </c>
      <c r="U39" s="71">
        <f>E44*E39+F44*F39+G44*G39+H44*H39+I44*I39+J44*J39+K44*K39+L44*L39+M44*M39+N44*N39+O44*O39+P44*P39+Q44*Q39</f>
        <v>0</v>
      </c>
      <c r="V39" s="71">
        <f>E45*E39+F45*F39+G45*G39+H45*H39+I45*I39+J45*J39+K45*K39+L45*L39+M45*M39+N45*N39+O45*O39+P45*P39+Q45*Q39</f>
        <v>0</v>
      </c>
      <c r="W39" s="71">
        <f>E46*E39+F46*F39+G46*G39+H46*H39+I46*I39+J46*J39+K46*K39+L46*L39+M46*M39+N46*N39+O46*O39+P46*P39+Q46*Q39</f>
        <v>0</v>
      </c>
    </row>
    <row r="41" spans="2:23" ht="15.75" thickBot="1" x14ac:dyDescent="0.3"/>
    <row r="42" spans="2:23" ht="15.75" thickBot="1" x14ac:dyDescent="0.3">
      <c r="D42" s="52" t="s">
        <v>5</v>
      </c>
      <c r="E42" s="12"/>
    </row>
    <row r="43" spans="2:23" x14ac:dyDescent="0.25">
      <c r="D43" s="309" t="s">
        <v>146</v>
      </c>
      <c r="E43" s="310">
        <v>-1</v>
      </c>
      <c r="F43" s="310">
        <v>1</v>
      </c>
      <c r="G43" s="311"/>
      <c r="H43" s="312">
        <f>i_COD_NO3</f>
        <v>-4.5714285714285712</v>
      </c>
      <c r="I43" s="312">
        <f>i_COD_N2</f>
        <v>-1.7142857142857142</v>
      </c>
      <c r="J43" s="311"/>
      <c r="K43" s="310">
        <v>1</v>
      </c>
      <c r="L43" s="310">
        <v>1</v>
      </c>
      <c r="M43" s="310">
        <v>1</v>
      </c>
      <c r="N43" s="310">
        <v>1</v>
      </c>
      <c r="O43" s="310">
        <v>1</v>
      </c>
      <c r="P43" s="310">
        <v>1</v>
      </c>
      <c r="Q43" s="310"/>
    </row>
    <row r="44" spans="2:23" x14ac:dyDescent="0.25">
      <c r="D44" s="81" t="s">
        <v>305</v>
      </c>
      <c r="E44" s="82"/>
      <c r="F44" s="83">
        <f>i_N_SS</f>
        <v>0.03</v>
      </c>
      <c r="G44" s="84">
        <v>1</v>
      </c>
      <c r="H44" s="84">
        <v>1</v>
      </c>
      <c r="I44" s="84">
        <v>1</v>
      </c>
      <c r="J44" s="82"/>
      <c r="K44" s="83">
        <f>i_N_SI</f>
        <v>0.01</v>
      </c>
      <c r="L44" s="83">
        <f>i_N_XI</f>
        <v>0.02</v>
      </c>
      <c r="M44" s="83">
        <f>i_N_XS</f>
        <v>0.04</v>
      </c>
      <c r="N44" s="83">
        <f>i_N_BM</f>
        <v>7.0000000000000007E-2</v>
      </c>
      <c r="O44" s="82"/>
      <c r="P44" s="83">
        <f>i_N_BM</f>
        <v>7.0000000000000007E-2</v>
      </c>
      <c r="Q44" s="82"/>
    </row>
    <row r="45" spans="2:23" x14ac:dyDescent="0.25">
      <c r="D45" s="81" t="s">
        <v>8</v>
      </c>
      <c r="E45" s="82"/>
      <c r="F45" s="82"/>
      <c r="G45" s="83">
        <f>i_Charge_SNHx</f>
        <v>7.1428571428571393E-5</v>
      </c>
      <c r="H45" s="83">
        <f>i_Charge_SNOx</f>
        <v>-7.1428571428571393E-5</v>
      </c>
      <c r="I45" s="82"/>
      <c r="J45" s="84">
        <v>-1</v>
      </c>
      <c r="K45" s="82"/>
      <c r="L45" s="82"/>
      <c r="M45" s="82"/>
      <c r="N45" s="82"/>
      <c r="O45" s="82"/>
      <c r="P45" s="82"/>
      <c r="Q45" s="82"/>
    </row>
    <row r="46" spans="2:23" ht="15.75" thickBot="1" x14ac:dyDescent="0.3">
      <c r="D46" s="85" t="s">
        <v>306</v>
      </c>
      <c r="E46" s="86"/>
      <c r="F46" s="86"/>
      <c r="G46" s="86"/>
      <c r="H46" s="86"/>
      <c r="I46" s="86"/>
      <c r="J46" s="86"/>
      <c r="K46" s="86"/>
      <c r="L46" s="87">
        <f>i_SS_XI</f>
        <v>0.75</v>
      </c>
      <c r="M46" s="87">
        <f>i_SS_XS</f>
        <v>0.75</v>
      </c>
      <c r="N46" s="87">
        <f>i_SS_BM</f>
        <v>0.9</v>
      </c>
      <c r="O46" s="87">
        <f>i_SS_STO</f>
        <v>0.6</v>
      </c>
      <c r="P46" s="87">
        <f>i_SS_BM</f>
        <v>0.9</v>
      </c>
      <c r="Q46" s="283">
        <v>-1</v>
      </c>
    </row>
  </sheetData>
  <phoneticPr fontId="12" type="noConversion"/>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election activeCell="C19" sqref="C19"/>
    </sheetView>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6" customFormat="1" ht="48" customHeight="1" x14ac:dyDescent="0.25">
      <c r="A1" s="48"/>
    </row>
  </sheetData>
  <phoneticPr fontId="12"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0" customWidth="1"/>
    <col min="2" max="2" width="22" style="19" customWidth="1"/>
    <col min="3" max="3" width="9.7109375" style="20" customWidth="1"/>
    <col min="4" max="16384" width="9.140625" style="20"/>
  </cols>
  <sheetData>
    <row r="1" spans="2:9" ht="56.25" customHeight="1" thickBot="1" x14ac:dyDescent="0.3"/>
    <row r="2" spans="2:9" s="19" customFormat="1" ht="15.75" thickBot="1" x14ac:dyDescent="0.3">
      <c r="B2" s="21" t="s">
        <v>132</v>
      </c>
      <c r="C2" s="22" t="s">
        <v>133</v>
      </c>
      <c r="D2" s="22" t="s">
        <v>134</v>
      </c>
      <c r="E2" s="22" t="s">
        <v>135</v>
      </c>
      <c r="F2" s="22" t="s">
        <v>136</v>
      </c>
      <c r="G2" s="22" t="s">
        <v>137</v>
      </c>
      <c r="H2" s="22" t="s">
        <v>138</v>
      </c>
      <c r="I2" s="23" t="s">
        <v>139</v>
      </c>
    </row>
    <row r="3" spans="2:9" ht="15.75" thickBot="1" x14ac:dyDescent="0.3">
      <c r="B3" s="24" t="s">
        <v>8</v>
      </c>
      <c r="C3" s="25">
        <v>1</v>
      </c>
      <c r="D3" s="25">
        <v>0</v>
      </c>
      <c r="E3" s="25">
        <v>-1</v>
      </c>
      <c r="F3" s="25">
        <v>-1</v>
      </c>
      <c r="G3" s="25">
        <v>1</v>
      </c>
      <c r="H3" s="26">
        <v>-1</v>
      </c>
      <c r="I3" s="27"/>
    </row>
    <row r="4" spans="2:9" x14ac:dyDescent="0.25">
      <c r="B4" s="28" t="s">
        <v>133</v>
      </c>
      <c r="C4" s="29">
        <v>1</v>
      </c>
      <c r="D4" s="29"/>
      <c r="E4" s="29"/>
      <c r="F4" s="29"/>
      <c r="G4" s="29"/>
      <c r="H4" s="30"/>
      <c r="I4" s="27"/>
    </row>
    <row r="5" spans="2:9" x14ac:dyDescent="0.25">
      <c r="B5" s="28" t="s">
        <v>134</v>
      </c>
      <c r="C5" s="29"/>
      <c r="D5" s="29">
        <v>1</v>
      </c>
      <c r="E5" s="29"/>
      <c r="F5" s="29"/>
      <c r="G5" s="29"/>
      <c r="H5" s="30"/>
      <c r="I5" s="27"/>
    </row>
    <row r="6" spans="2:9" x14ac:dyDescent="0.25">
      <c r="B6" s="28" t="s">
        <v>140</v>
      </c>
      <c r="C6" s="29"/>
      <c r="D6" s="29"/>
      <c r="E6" s="29">
        <v>1</v>
      </c>
      <c r="F6" s="29"/>
      <c r="G6" s="29"/>
      <c r="H6" s="30"/>
      <c r="I6" s="27"/>
    </row>
    <row r="7" spans="2:9" x14ac:dyDescent="0.25">
      <c r="B7" s="28" t="s">
        <v>141</v>
      </c>
      <c r="C7" s="29"/>
      <c r="D7" s="29"/>
      <c r="E7" s="29"/>
      <c r="F7" s="29">
        <v>1</v>
      </c>
      <c r="G7" s="29"/>
      <c r="H7" s="30"/>
      <c r="I7" s="27"/>
    </row>
    <row r="8" spans="2:9" x14ac:dyDescent="0.25">
      <c r="B8" s="28" t="s">
        <v>137</v>
      </c>
      <c r="C8" s="29"/>
      <c r="D8" s="29"/>
      <c r="E8" s="29"/>
      <c r="F8" s="29"/>
      <c r="G8" s="29">
        <v>1</v>
      </c>
      <c r="H8" s="30"/>
      <c r="I8" s="27"/>
    </row>
    <row r="9" spans="2:9" ht="15.75" thickBot="1" x14ac:dyDescent="0.3">
      <c r="B9" s="31" t="s">
        <v>138</v>
      </c>
      <c r="C9" s="32"/>
      <c r="D9" s="32"/>
      <c r="E9" s="32"/>
      <c r="F9" s="32"/>
      <c r="G9" s="32"/>
      <c r="H9" s="33">
        <v>1</v>
      </c>
    </row>
    <row r="10" spans="2:9" x14ac:dyDescent="0.25">
      <c r="B10" s="28" t="s">
        <v>142</v>
      </c>
      <c r="C10" s="29">
        <v>-1</v>
      </c>
      <c r="D10" s="29">
        <v>0</v>
      </c>
      <c r="E10" s="29">
        <v>0</v>
      </c>
      <c r="F10" s="29">
        <v>0</v>
      </c>
      <c r="G10" s="29">
        <v>0</v>
      </c>
      <c r="H10" s="29">
        <v>0</v>
      </c>
      <c r="I10" s="34">
        <v>-14.163232949999999</v>
      </c>
    </row>
    <row r="11" spans="2:9" ht="15.75" thickBot="1" x14ac:dyDescent="0.3">
      <c r="B11" s="28" t="s">
        <v>143</v>
      </c>
      <c r="C11" s="29">
        <v>1</v>
      </c>
      <c r="D11" s="29">
        <v>1</v>
      </c>
      <c r="E11" s="29">
        <v>0</v>
      </c>
      <c r="F11" s="29">
        <v>0</v>
      </c>
      <c r="G11" s="29">
        <v>0</v>
      </c>
      <c r="H11" s="29">
        <v>0</v>
      </c>
      <c r="I11" s="35">
        <v>9.4016472899999997</v>
      </c>
    </row>
    <row r="12" spans="2:9" x14ac:dyDescent="0.25">
      <c r="B12" s="36" t="s">
        <v>144</v>
      </c>
      <c r="C12" s="39"/>
      <c r="D12" s="39">
        <v>1E-3</v>
      </c>
      <c r="E12" s="39">
        <v>1E-3</v>
      </c>
      <c r="F12" s="39">
        <v>1E-3</v>
      </c>
      <c r="G12" s="39">
        <v>1E-3</v>
      </c>
      <c r="H12" s="37">
        <v>1E-3</v>
      </c>
      <c r="I12" s="27"/>
    </row>
    <row r="13" spans="2:9" ht="15.75" thickBot="1" x14ac:dyDescent="0.3">
      <c r="B13" s="31" t="s">
        <v>145</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16"/>
  <sheetViews>
    <sheetView showGridLines="0" zoomScaleNormal="100" workbookViewId="0">
      <selection activeCell="B16" sqref="B16:E16"/>
    </sheetView>
  </sheetViews>
  <sheetFormatPr defaultColWidth="9.140625" defaultRowHeight="15" x14ac:dyDescent="0.25"/>
  <cols>
    <col min="1" max="1" width="16.7109375" style="247" customWidth="1"/>
    <col min="2" max="2" width="11.140625" style="247" customWidth="1"/>
    <col min="3" max="3" width="65.140625" style="247" customWidth="1"/>
    <col min="4" max="4" width="10.85546875" style="247" bestFit="1" customWidth="1"/>
    <col min="5" max="5" width="15.5703125" style="247" customWidth="1"/>
    <col min="6" max="6" width="19.85546875" style="247" bestFit="1" customWidth="1"/>
    <col min="7" max="9" width="10.85546875" style="247" customWidth="1"/>
    <col min="10" max="10" width="13.140625" style="247" customWidth="1"/>
    <col min="11" max="11" width="14.28515625" style="247" customWidth="1"/>
    <col min="12" max="12" width="14.42578125" style="247" bestFit="1" customWidth="1"/>
    <col min="13" max="13" width="10.85546875" style="247" customWidth="1"/>
    <col min="14" max="14" width="12.85546875" style="247" customWidth="1"/>
    <col min="15" max="15" width="12" style="247" bestFit="1" customWidth="1"/>
    <col min="16" max="16" width="18.85546875" style="247" customWidth="1"/>
    <col min="17" max="17" width="8.85546875" style="247" bestFit="1" customWidth="1"/>
    <col min="18" max="18" width="20.42578125" style="247" customWidth="1"/>
    <col min="19" max="19" width="18.42578125" style="247" customWidth="1"/>
    <col min="20" max="16384" width="9.140625" style="247"/>
  </cols>
  <sheetData>
    <row r="1" spans="1:19" s="250" customFormat="1" ht="48" customHeight="1" thickBot="1" x14ac:dyDescent="0.3">
      <c r="A1" s="284"/>
      <c r="B1" s="285"/>
    </row>
    <row r="2" spans="1:19" ht="19.5" customHeight="1" thickBot="1" x14ac:dyDescent="0.3">
      <c r="A2" s="3"/>
      <c r="B2" s="3"/>
      <c r="C2" s="286" t="s">
        <v>861</v>
      </c>
      <c r="D2" s="3"/>
      <c r="E2" s="3"/>
      <c r="F2" s="3"/>
      <c r="G2" s="3"/>
      <c r="H2" s="3"/>
      <c r="I2" s="3"/>
      <c r="J2" s="3"/>
      <c r="K2" s="3"/>
      <c r="L2" s="3"/>
    </row>
    <row r="3" spans="1:19" s="3" customFormat="1" ht="15.75" thickBot="1" x14ac:dyDescent="0.3">
      <c r="A3" s="287"/>
      <c r="B3" s="288" t="s">
        <v>0</v>
      </c>
      <c r="C3" s="289" t="s">
        <v>1</v>
      </c>
      <c r="D3" s="289" t="s">
        <v>11</v>
      </c>
      <c r="E3" s="290" t="s">
        <v>1155</v>
      </c>
      <c r="F3" s="290" t="s">
        <v>12</v>
      </c>
      <c r="G3" s="290" t="s">
        <v>1118</v>
      </c>
      <c r="H3" s="290" t="s">
        <v>1147</v>
      </c>
      <c r="I3" s="290" t="s">
        <v>1178</v>
      </c>
      <c r="J3" s="291" t="s">
        <v>447</v>
      </c>
      <c r="K3" s="291" t="s">
        <v>448</v>
      </c>
      <c r="L3" s="289" t="s">
        <v>2</v>
      </c>
      <c r="M3" s="289" t="s">
        <v>380</v>
      </c>
      <c r="N3" s="289" t="s">
        <v>13</v>
      </c>
      <c r="O3" s="289" t="s">
        <v>842</v>
      </c>
      <c r="P3" s="289" t="s">
        <v>3</v>
      </c>
      <c r="Q3" s="364" t="s">
        <v>1644</v>
      </c>
      <c r="R3" s="292" t="s">
        <v>114</v>
      </c>
      <c r="S3" s="293" t="s">
        <v>6</v>
      </c>
    </row>
    <row r="4" spans="1:19" ht="18" x14ac:dyDescent="0.25">
      <c r="B4" s="294" t="s">
        <v>845</v>
      </c>
      <c r="C4" s="95" t="s">
        <v>307</v>
      </c>
      <c r="D4" s="295" t="s">
        <v>1145</v>
      </c>
      <c r="E4" s="295">
        <v>2</v>
      </c>
      <c r="F4" s="295">
        <v>2</v>
      </c>
      <c r="G4" s="295">
        <v>2</v>
      </c>
      <c r="H4" s="295">
        <v>2</v>
      </c>
      <c r="I4" s="295" t="s">
        <v>1145</v>
      </c>
      <c r="J4" s="296" t="s">
        <v>1176</v>
      </c>
      <c r="K4" s="296" t="s">
        <v>1177</v>
      </c>
      <c r="L4" s="249" t="s">
        <v>1179</v>
      </c>
      <c r="M4" s="297">
        <v>1</v>
      </c>
      <c r="N4" s="295" t="s">
        <v>308</v>
      </c>
      <c r="O4" s="295" t="s">
        <v>309</v>
      </c>
      <c r="P4" s="298" t="s">
        <v>311</v>
      </c>
      <c r="Q4" s="299" t="s">
        <v>1645</v>
      </c>
      <c r="R4" s="299"/>
      <c r="S4" s="300"/>
    </row>
    <row r="5" spans="1:19" ht="18" x14ac:dyDescent="0.25">
      <c r="B5" s="301" t="s">
        <v>418</v>
      </c>
      <c r="C5" s="100" t="s">
        <v>310</v>
      </c>
      <c r="D5" s="302">
        <v>97</v>
      </c>
      <c r="E5" s="302">
        <v>5</v>
      </c>
      <c r="F5" s="302">
        <v>5</v>
      </c>
      <c r="G5" s="302">
        <v>5</v>
      </c>
      <c r="H5" s="302">
        <v>5</v>
      </c>
      <c r="I5" s="295" t="s">
        <v>1145</v>
      </c>
      <c r="J5" s="249" t="s">
        <v>1176</v>
      </c>
      <c r="K5" s="249" t="s">
        <v>1177</v>
      </c>
      <c r="L5" s="100" t="s">
        <v>846</v>
      </c>
      <c r="M5" s="100">
        <v>1</v>
      </c>
      <c r="N5" s="100" t="s">
        <v>308</v>
      </c>
      <c r="O5" s="100" t="s">
        <v>309</v>
      </c>
      <c r="P5" s="270" t="s">
        <v>311</v>
      </c>
      <c r="Q5" s="303" t="s">
        <v>146</v>
      </c>
      <c r="R5" s="303"/>
      <c r="S5" s="304"/>
    </row>
    <row r="6" spans="1:19" ht="18" x14ac:dyDescent="0.25">
      <c r="B6" s="301" t="s">
        <v>847</v>
      </c>
      <c r="C6" s="100" t="s">
        <v>312</v>
      </c>
      <c r="D6" s="302">
        <v>23</v>
      </c>
      <c r="E6" s="302">
        <v>3</v>
      </c>
      <c r="F6" s="302">
        <v>3</v>
      </c>
      <c r="G6" s="302">
        <v>3</v>
      </c>
      <c r="H6" s="302">
        <v>3</v>
      </c>
      <c r="I6" s="295" t="s">
        <v>1145</v>
      </c>
      <c r="J6" s="249" t="s">
        <v>1176</v>
      </c>
      <c r="K6" s="249" t="s">
        <v>1177</v>
      </c>
      <c r="L6" s="100" t="s">
        <v>848</v>
      </c>
      <c r="M6" s="100">
        <v>2</v>
      </c>
      <c r="N6" s="100" t="s">
        <v>308</v>
      </c>
      <c r="O6" s="100" t="s">
        <v>309</v>
      </c>
      <c r="P6" s="270" t="s">
        <v>311</v>
      </c>
      <c r="Q6" s="303" t="s">
        <v>305</v>
      </c>
      <c r="R6" s="303"/>
      <c r="S6" s="304"/>
    </row>
    <row r="7" spans="1:19" ht="18" x14ac:dyDescent="0.25">
      <c r="B7" s="301" t="s">
        <v>849</v>
      </c>
      <c r="C7" s="100" t="s">
        <v>843</v>
      </c>
      <c r="D7" s="302" t="s">
        <v>1145</v>
      </c>
      <c r="E7" s="302">
        <v>15</v>
      </c>
      <c r="F7" s="302">
        <v>15</v>
      </c>
      <c r="G7" s="302">
        <v>15</v>
      </c>
      <c r="H7" s="302">
        <v>15</v>
      </c>
      <c r="I7" s="295" t="s">
        <v>1145</v>
      </c>
      <c r="J7" s="249" t="s">
        <v>1176</v>
      </c>
      <c r="K7" s="249" t="s">
        <v>1177</v>
      </c>
      <c r="L7" s="100" t="s">
        <v>848</v>
      </c>
      <c r="M7" s="100">
        <v>2</v>
      </c>
      <c r="N7" s="100" t="s">
        <v>308</v>
      </c>
      <c r="O7" s="100" t="s">
        <v>309</v>
      </c>
      <c r="P7" s="270" t="s">
        <v>311</v>
      </c>
      <c r="Q7" s="303" t="s">
        <v>305</v>
      </c>
      <c r="R7" s="303"/>
      <c r="S7" s="304"/>
    </row>
    <row r="8" spans="1:19" ht="18" x14ac:dyDescent="0.25">
      <c r="B8" s="301" t="s">
        <v>850</v>
      </c>
      <c r="C8" s="100" t="s">
        <v>313</v>
      </c>
      <c r="D8" s="302">
        <v>16</v>
      </c>
      <c r="E8" s="302">
        <v>16</v>
      </c>
      <c r="F8" s="302">
        <v>16</v>
      </c>
      <c r="G8" s="302">
        <v>16</v>
      </c>
      <c r="H8" s="302">
        <v>16</v>
      </c>
      <c r="I8" s="295" t="s">
        <v>1145</v>
      </c>
      <c r="J8" s="249" t="s">
        <v>1176</v>
      </c>
      <c r="K8" s="249" t="s">
        <v>1177</v>
      </c>
      <c r="L8" s="100" t="s">
        <v>848</v>
      </c>
      <c r="M8" s="100">
        <v>1</v>
      </c>
      <c r="N8" s="100" t="s">
        <v>308</v>
      </c>
      <c r="O8" s="100" t="s">
        <v>309</v>
      </c>
      <c r="P8" s="270" t="s">
        <v>311</v>
      </c>
      <c r="Q8" s="303" t="s">
        <v>305</v>
      </c>
      <c r="R8" s="303"/>
      <c r="S8" s="304"/>
    </row>
    <row r="9" spans="1:19" ht="18" x14ac:dyDescent="0.25">
      <c r="B9" s="301" t="s">
        <v>851</v>
      </c>
      <c r="C9" s="100" t="s">
        <v>844</v>
      </c>
      <c r="D9" s="302">
        <v>7.0000000000000001E-3</v>
      </c>
      <c r="E9" s="302">
        <v>4.7999999999999996E-3</v>
      </c>
      <c r="F9" s="302">
        <v>4.7999999999999996E-3</v>
      </c>
      <c r="G9" s="302">
        <v>4.7999999999999996E-3</v>
      </c>
      <c r="H9" s="302">
        <v>4.7999999999999996E-3</v>
      </c>
      <c r="I9" s="295" t="s">
        <v>1145</v>
      </c>
      <c r="J9" s="249" t="s">
        <v>1176</v>
      </c>
      <c r="K9" s="249" t="s">
        <v>1177</v>
      </c>
      <c r="L9" s="100" t="s">
        <v>352</v>
      </c>
      <c r="M9" s="100">
        <v>4</v>
      </c>
      <c r="N9" s="100" t="s">
        <v>308</v>
      </c>
      <c r="O9" s="100" t="s">
        <v>309</v>
      </c>
      <c r="P9" s="270" t="s">
        <v>311</v>
      </c>
      <c r="Q9" s="303" t="s">
        <v>1647</v>
      </c>
      <c r="R9" s="303"/>
      <c r="S9" s="304"/>
    </row>
    <row r="10" spans="1:19" ht="18" x14ac:dyDescent="0.25">
      <c r="B10" s="301" t="s">
        <v>852</v>
      </c>
      <c r="C10" s="100" t="s">
        <v>314</v>
      </c>
      <c r="D10" s="302">
        <v>50</v>
      </c>
      <c r="E10" s="302">
        <v>25</v>
      </c>
      <c r="F10" s="302">
        <v>25</v>
      </c>
      <c r="G10" s="302">
        <v>25</v>
      </c>
      <c r="H10" s="302">
        <v>25</v>
      </c>
      <c r="I10" s="295" t="s">
        <v>1145</v>
      </c>
      <c r="J10" s="249" t="s">
        <v>1176</v>
      </c>
      <c r="K10" s="249" t="s">
        <v>1177</v>
      </c>
      <c r="L10" s="100" t="s">
        <v>846</v>
      </c>
      <c r="M10" s="100">
        <v>1</v>
      </c>
      <c r="N10" s="100" t="s">
        <v>308</v>
      </c>
      <c r="O10" s="100" t="s">
        <v>309</v>
      </c>
      <c r="P10" s="270" t="s">
        <v>311</v>
      </c>
      <c r="Q10" s="303" t="s">
        <v>146</v>
      </c>
      <c r="R10" s="303"/>
      <c r="S10" s="304"/>
    </row>
    <row r="11" spans="1:19" ht="18" x14ac:dyDescent="0.25">
      <c r="B11" s="301" t="s">
        <v>853</v>
      </c>
      <c r="C11" s="100" t="s">
        <v>1033</v>
      </c>
      <c r="D11" s="302">
        <v>50</v>
      </c>
      <c r="E11" s="302">
        <v>700</v>
      </c>
      <c r="F11" s="302">
        <v>700</v>
      </c>
      <c r="G11" s="302">
        <v>700</v>
      </c>
      <c r="H11" s="302">
        <v>700</v>
      </c>
      <c r="I11" s="295" t="s">
        <v>1145</v>
      </c>
      <c r="J11" s="249" t="s">
        <v>1176</v>
      </c>
      <c r="K11" s="249" t="s">
        <v>1177</v>
      </c>
      <c r="L11" s="100" t="s">
        <v>846</v>
      </c>
      <c r="M11" s="100">
        <v>1</v>
      </c>
      <c r="N11" s="100" t="s">
        <v>308</v>
      </c>
      <c r="O11" s="100" t="s">
        <v>315</v>
      </c>
      <c r="P11" s="270" t="s">
        <v>311</v>
      </c>
      <c r="Q11" s="303" t="s">
        <v>146</v>
      </c>
      <c r="R11" s="303"/>
      <c r="S11" s="304"/>
    </row>
    <row r="12" spans="1:19" ht="18" x14ac:dyDescent="0.25">
      <c r="B12" s="301" t="s">
        <v>854</v>
      </c>
      <c r="C12" s="100" t="s">
        <v>316</v>
      </c>
      <c r="D12" s="302">
        <v>195</v>
      </c>
      <c r="E12" s="302">
        <v>50</v>
      </c>
      <c r="F12" s="302">
        <v>50</v>
      </c>
      <c r="G12" s="302">
        <v>50</v>
      </c>
      <c r="H12" s="302">
        <v>50</v>
      </c>
      <c r="I12" s="295" t="s">
        <v>1145</v>
      </c>
      <c r="J12" s="249" t="s">
        <v>1176</v>
      </c>
      <c r="K12" s="249" t="s">
        <v>1177</v>
      </c>
      <c r="L12" s="100" t="s">
        <v>846</v>
      </c>
      <c r="M12" s="100">
        <v>1</v>
      </c>
      <c r="N12" s="100" t="s">
        <v>308</v>
      </c>
      <c r="O12" s="100" t="s">
        <v>315</v>
      </c>
      <c r="P12" s="270" t="s">
        <v>311</v>
      </c>
      <c r="Q12" s="303" t="s">
        <v>146</v>
      </c>
      <c r="R12" s="303"/>
      <c r="S12" s="304"/>
    </row>
    <row r="13" spans="1:19" ht="18" x14ac:dyDescent="0.25">
      <c r="B13" s="301" t="s">
        <v>855</v>
      </c>
      <c r="C13" s="100" t="s">
        <v>317</v>
      </c>
      <c r="D13" s="302">
        <v>21</v>
      </c>
      <c r="E13" s="302">
        <v>500</v>
      </c>
      <c r="F13" s="302">
        <v>500</v>
      </c>
      <c r="G13" s="302">
        <v>500</v>
      </c>
      <c r="H13" s="302">
        <v>500</v>
      </c>
      <c r="I13" s="295" t="s">
        <v>1145</v>
      </c>
      <c r="J13" s="249" t="s">
        <v>1176</v>
      </c>
      <c r="K13" s="249" t="s">
        <v>1177</v>
      </c>
      <c r="L13" s="100" t="s">
        <v>846</v>
      </c>
      <c r="M13" s="100">
        <v>1</v>
      </c>
      <c r="N13" s="100" t="s">
        <v>308</v>
      </c>
      <c r="O13" s="100" t="s">
        <v>315</v>
      </c>
      <c r="P13" s="270" t="s">
        <v>311</v>
      </c>
      <c r="Q13" s="303" t="s">
        <v>1648</v>
      </c>
      <c r="R13" s="303"/>
      <c r="S13" s="304"/>
    </row>
    <row r="14" spans="1:19" ht="18" x14ac:dyDescent="0.25">
      <c r="B14" s="301" t="s">
        <v>856</v>
      </c>
      <c r="C14" s="100" t="s">
        <v>318</v>
      </c>
      <c r="D14" s="302">
        <v>5</v>
      </c>
      <c r="E14" s="302">
        <v>50</v>
      </c>
      <c r="F14" s="302">
        <v>50</v>
      </c>
      <c r="G14" s="302">
        <v>50</v>
      </c>
      <c r="H14" s="302">
        <v>50</v>
      </c>
      <c r="I14" s="295" t="s">
        <v>1145</v>
      </c>
      <c r="J14" s="249" t="s">
        <v>1176</v>
      </c>
      <c r="K14" s="249" t="s">
        <v>1177</v>
      </c>
      <c r="L14" s="100" t="s">
        <v>846</v>
      </c>
      <c r="M14" s="100">
        <v>1</v>
      </c>
      <c r="N14" s="100" t="s">
        <v>308</v>
      </c>
      <c r="O14" s="100" t="s">
        <v>315</v>
      </c>
      <c r="P14" s="270" t="s">
        <v>311</v>
      </c>
      <c r="Q14" s="303" t="s">
        <v>146</v>
      </c>
      <c r="R14" s="303"/>
      <c r="S14" s="304"/>
    </row>
    <row r="15" spans="1:19" ht="18" x14ac:dyDescent="0.25">
      <c r="B15" s="301" t="s">
        <v>857</v>
      </c>
      <c r="C15" s="100" t="s">
        <v>319</v>
      </c>
      <c r="D15" s="302">
        <v>0.1</v>
      </c>
      <c r="E15" s="302">
        <v>50</v>
      </c>
      <c r="F15" s="302">
        <v>50</v>
      </c>
      <c r="G15" s="302">
        <v>50</v>
      </c>
      <c r="H15" s="302">
        <v>50</v>
      </c>
      <c r="I15" s="295" t="s">
        <v>1145</v>
      </c>
      <c r="J15" s="249" t="s">
        <v>1176</v>
      </c>
      <c r="K15" s="249" t="s">
        <v>1177</v>
      </c>
      <c r="L15" s="100" t="s">
        <v>846</v>
      </c>
      <c r="M15" s="100">
        <v>1</v>
      </c>
      <c r="N15" s="100" t="s">
        <v>308</v>
      </c>
      <c r="O15" s="100" t="s">
        <v>315</v>
      </c>
      <c r="P15" s="270" t="s">
        <v>311</v>
      </c>
      <c r="Q15" s="303" t="s">
        <v>1648</v>
      </c>
      <c r="R15" s="303"/>
      <c r="S15" s="304"/>
    </row>
    <row r="16" spans="1:19" ht="18.75" thickBot="1" x14ac:dyDescent="0.3">
      <c r="B16" s="305" t="s">
        <v>858</v>
      </c>
      <c r="C16" s="112" t="s">
        <v>320</v>
      </c>
      <c r="D16" s="313">
        <v>212</v>
      </c>
      <c r="E16" s="313">
        <v>2000</v>
      </c>
      <c r="F16" s="313">
        <v>2000</v>
      </c>
      <c r="G16" s="313">
        <v>2000</v>
      </c>
      <c r="H16" s="313">
        <v>2000</v>
      </c>
      <c r="I16" s="314" t="s">
        <v>1145</v>
      </c>
      <c r="J16" s="307" t="s">
        <v>1176</v>
      </c>
      <c r="K16" s="307" t="s">
        <v>1177</v>
      </c>
      <c r="L16" s="112" t="s">
        <v>859</v>
      </c>
      <c r="M16" s="112">
        <v>1</v>
      </c>
      <c r="N16" s="112" t="s">
        <v>308</v>
      </c>
      <c r="O16" s="112" t="s">
        <v>315</v>
      </c>
      <c r="P16" s="267" t="s">
        <v>311</v>
      </c>
      <c r="Q16" s="315" t="s">
        <v>1646</v>
      </c>
      <c r="R16" s="315"/>
      <c r="S16" s="306"/>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6" customFormat="1" ht="57.75" customHeight="1" thickBot="1" x14ac:dyDescent="0.3"/>
    <row r="2" spans="2:7" ht="15.75" thickBot="1" x14ac:dyDescent="0.3">
      <c r="B2" s="3"/>
      <c r="C2" s="58" t="s">
        <v>113</v>
      </c>
      <c r="D2" s="59" t="s">
        <v>116</v>
      </c>
      <c r="E2" s="3"/>
      <c r="F2" s="3"/>
      <c r="G2" s="3"/>
    </row>
    <row r="3" spans="2:7" x14ac:dyDescent="0.25">
      <c r="B3" s="53" t="s">
        <v>0</v>
      </c>
      <c r="C3" s="54" t="s">
        <v>1</v>
      </c>
      <c r="D3" s="54" t="s">
        <v>4</v>
      </c>
      <c r="E3" s="55" t="s">
        <v>2</v>
      </c>
      <c r="F3" s="56" t="s">
        <v>114</v>
      </c>
      <c r="G3" s="57" t="s">
        <v>115</v>
      </c>
    </row>
    <row r="4" spans="2:7" x14ac:dyDescent="0.25">
      <c r="B4" s="4"/>
      <c r="C4" s="4"/>
      <c r="D4" s="4"/>
      <c r="E4" s="4"/>
      <c r="F4" s="4"/>
      <c r="G4" s="4"/>
    </row>
  </sheetData>
  <phoneticPr fontId="1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6" customFormat="1" ht="43.5" customHeight="1" thickBot="1" x14ac:dyDescent="0.3"/>
    <row r="2" spans="2:7" ht="15.75" thickBot="1" x14ac:dyDescent="0.3">
      <c r="B2" s="3"/>
      <c r="C2" s="2" t="s">
        <v>113</v>
      </c>
      <c r="D2" s="11"/>
      <c r="E2" s="3"/>
      <c r="F2" s="3"/>
      <c r="G2" s="3"/>
    </row>
    <row r="3" spans="2:7" x14ac:dyDescent="0.25">
      <c r="B3" s="14" t="s">
        <v>0</v>
      </c>
      <c r="C3" s="15" t="s">
        <v>1</v>
      </c>
      <c r="D3" s="15" t="s">
        <v>4</v>
      </c>
      <c r="E3" s="16" t="s">
        <v>2</v>
      </c>
      <c r="F3" s="17" t="s">
        <v>114</v>
      </c>
      <c r="G3" s="18" t="s">
        <v>115</v>
      </c>
    </row>
    <row r="4" spans="2:7" x14ac:dyDescent="0.25">
      <c r="B4" s="4"/>
      <c r="C4" s="4"/>
      <c r="D4" s="4"/>
      <c r="E4" s="4"/>
      <c r="F4" s="4"/>
      <c r="G4" s="4"/>
    </row>
  </sheetData>
  <phoneticPr fontId="1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M13" sqref="M13"/>
    </sheetView>
  </sheetViews>
  <sheetFormatPr defaultColWidth="9.140625" defaultRowHeight="15" x14ac:dyDescent="0.25"/>
  <cols>
    <col min="2" max="2" width="24.28515625" customWidth="1"/>
    <col min="3" max="4" width="22.140625" customWidth="1"/>
  </cols>
  <sheetData>
    <row r="1" spans="2:6" s="46" customFormat="1" ht="58.5" customHeight="1" thickBot="1" x14ac:dyDescent="0.3"/>
    <row r="2" spans="2:6" ht="15.75" thickBot="1" x14ac:dyDescent="0.3">
      <c r="C2" s="60" t="s">
        <v>131</v>
      </c>
      <c r="D2" s="1"/>
    </row>
    <row r="3" spans="2:6" ht="20.25" customHeight="1" x14ac:dyDescent="0.25">
      <c r="B3" s="52" t="s">
        <v>0</v>
      </c>
      <c r="C3" s="52" t="s">
        <v>1</v>
      </c>
      <c r="D3" s="61" t="s">
        <v>4</v>
      </c>
      <c r="E3" s="61" t="s">
        <v>114</v>
      </c>
      <c r="F3" s="61" t="s">
        <v>2</v>
      </c>
    </row>
  </sheetData>
  <phoneticPr fontId="12"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I40"/>
  <sheetViews>
    <sheetView showGridLines="0" zoomScaleNormal="100" workbookViewId="0"/>
  </sheetViews>
  <sheetFormatPr defaultColWidth="9.140625" defaultRowHeight="15" x14ac:dyDescent="0.25"/>
  <cols>
    <col min="1" max="1" width="3.7109375" style="375" customWidth="1"/>
    <col min="2" max="2" width="15.28515625" style="3" bestFit="1" customWidth="1"/>
    <col min="3" max="3" width="55.42578125" style="3" bestFit="1" customWidth="1"/>
    <col min="4" max="4" width="73" style="392" bestFit="1" customWidth="1"/>
    <col min="5" max="5" width="9.140625" style="78" customWidth="1"/>
    <col min="6" max="6" width="14.42578125" style="78" bestFit="1" customWidth="1"/>
    <col min="7" max="7" width="12.28515625" style="78" customWidth="1"/>
    <col min="8" max="8" width="26" style="375" bestFit="1" customWidth="1"/>
    <col min="9" max="9" width="20.85546875" style="375" customWidth="1"/>
    <col min="10" max="16384" width="9.140625" style="375"/>
  </cols>
  <sheetData>
    <row r="1" spans="2:9" s="374" customFormat="1" ht="62.25" customHeight="1" thickBot="1" x14ac:dyDescent="0.3">
      <c r="B1" s="371"/>
      <c r="C1" s="371"/>
      <c r="D1" s="372"/>
      <c r="E1" s="373"/>
      <c r="F1" s="373"/>
      <c r="G1" s="373"/>
    </row>
    <row r="2" spans="2:9" ht="19.5" customHeight="1" thickBot="1" x14ac:dyDescent="0.3">
      <c r="C2" s="248" t="s">
        <v>422</v>
      </c>
      <c r="D2" s="168" t="s">
        <v>385</v>
      </c>
      <c r="E2" s="12"/>
    </row>
    <row r="3" spans="2:9" ht="15.75" thickBot="1" x14ac:dyDescent="0.3">
      <c r="B3" s="322" t="s">
        <v>0</v>
      </c>
      <c r="C3" s="323" t="s">
        <v>1</v>
      </c>
      <c r="D3" s="365" t="s">
        <v>4</v>
      </c>
      <c r="E3" s="324" t="s">
        <v>150</v>
      </c>
      <c r="F3" s="324" t="s">
        <v>2</v>
      </c>
      <c r="G3" s="324" t="s">
        <v>380</v>
      </c>
      <c r="H3" s="324" t="s">
        <v>114</v>
      </c>
      <c r="I3" s="325" t="s">
        <v>115</v>
      </c>
    </row>
    <row r="4" spans="2:9" ht="18" x14ac:dyDescent="0.25">
      <c r="B4" s="326" t="s">
        <v>1170</v>
      </c>
      <c r="C4" s="327" t="s">
        <v>403</v>
      </c>
      <c r="D4" s="366" t="s">
        <v>418</v>
      </c>
      <c r="E4" s="376">
        <f>S_S</f>
        <v>5</v>
      </c>
      <c r="F4" s="376" t="s">
        <v>404</v>
      </c>
      <c r="G4" s="376">
        <v>1</v>
      </c>
      <c r="H4" s="328"/>
      <c r="I4" s="329"/>
    </row>
    <row r="5" spans="2:9" ht="18" x14ac:dyDescent="0.25">
      <c r="B5" s="145" t="s">
        <v>1171</v>
      </c>
      <c r="C5" s="100" t="s">
        <v>405</v>
      </c>
      <c r="D5" s="367" t="s">
        <v>1034</v>
      </c>
      <c r="E5" s="214">
        <f>X_S+X_H+X_STO+X_A</f>
        <v>650</v>
      </c>
      <c r="F5" s="214" t="s">
        <v>404</v>
      </c>
      <c r="G5" s="214">
        <v>1</v>
      </c>
      <c r="H5" s="146"/>
      <c r="I5" s="147"/>
    </row>
    <row r="6" spans="2:9" ht="18" x14ac:dyDescent="0.25">
      <c r="B6" s="145" t="s">
        <v>1172</v>
      </c>
      <c r="C6" s="100" t="s">
        <v>1210</v>
      </c>
      <c r="D6" s="270" t="s">
        <v>1173</v>
      </c>
      <c r="E6" s="214">
        <f>S_BOD_ult+X_BOD_ult</f>
        <v>655</v>
      </c>
      <c r="F6" s="214" t="s">
        <v>404</v>
      </c>
      <c r="G6" s="214">
        <v>1</v>
      </c>
      <c r="H6" s="146"/>
      <c r="I6" s="147"/>
    </row>
    <row r="7" spans="2:9" ht="18" x14ac:dyDescent="0.25">
      <c r="B7" s="145" t="s">
        <v>406</v>
      </c>
      <c r="C7" s="100" t="s">
        <v>1141</v>
      </c>
      <c r="D7" s="270" t="s">
        <v>1174</v>
      </c>
      <c r="E7" s="214">
        <f>S_BOD_ult*f_BOD5_BODult</f>
        <v>3.25</v>
      </c>
      <c r="F7" s="214" t="s">
        <v>404</v>
      </c>
      <c r="G7" s="214">
        <v>1</v>
      </c>
      <c r="H7" s="146"/>
      <c r="I7" s="147"/>
    </row>
    <row r="8" spans="2:9" ht="18" x14ac:dyDescent="0.25">
      <c r="B8" s="145" t="s">
        <v>407</v>
      </c>
      <c r="C8" s="100" t="s">
        <v>1142</v>
      </c>
      <c r="D8" s="270" t="s">
        <v>1175</v>
      </c>
      <c r="E8" s="214">
        <f>X_BOD_ult*f_BOD5_BODult</f>
        <v>422.5</v>
      </c>
      <c r="F8" s="214" t="s">
        <v>404</v>
      </c>
      <c r="G8" s="214">
        <v>1</v>
      </c>
      <c r="H8" s="146"/>
      <c r="I8" s="147"/>
    </row>
    <row r="9" spans="2:9" ht="18" x14ac:dyDescent="0.25">
      <c r="B9" s="145" t="s">
        <v>408</v>
      </c>
      <c r="C9" s="100" t="s">
        <v>1143</v>
      </c>
      <c r="D9" s="270" t="s">
        <v>1035</v>
      </c>
      <c r="E9" s="214">
        <f>S_BOD_5+X_BOD_5</f>
        <v>425.75</v>
      </c>
      <c r="F9" s="214" t="s">
        <v>404</v>
      </c>
      <c r="G9" s="214">
        <v>1</v>
      </c>
      <c r="H9" s="146"/>
      <c r="I9" s="147"/>
    </row>
    <row r="10" spans="2:9" ht="18" x14ac:dyDescent="0.25">
      <c r="B10" s="145" t="s">
        <v>409</v>
      </c>
      <c r="C10" s="100" t="s">
        <v>410</v>
      </c>
      <c r="D10" s="270" t="s">
        <v>1036</v>
      </c>
      <c r="E10" s="214">
        <f>S_S+S_I</f>
        <v>30</v>
      </c>
      <c r="F10" s="214" t="s">
        <v>404</v>
      </c>
      <c r="G10" s="214">
        <v>1</v>
      </c>
      <c r="H10" s="146"/>
      <c r="I10" s="147"/>
    </row>
    <row r="11" spans="2:9" ht="18" x14ac:dyDescent="0.25">
      <c r="B11" s="330" t="s">
        <v>394</v>
      </c>
      <c r="C11" s="249" t="s">
        <v>324</v>
      </c>
      <c r="D11" s="367" t="s">
        <v>1037</v>
      </c>
      <c r="E11" s="142">
        <f>X_I+X_S+X_H+X_STO+X_A</f>
        <v>1350</v>
      </c>
      <c r="F11" s="214" t="s">
        <v>404</v>
      </c>
      <c r="G11" s="214">
        <v>1</v>
      </c>
      <c r="H11" s="377"/>
      <c r="I11" s="378"/>
    </row>
    <row r="12" spans="2:9" ht="18" x14ac:dyDescent="0.25">
      <c r="B12" s="330" t="s">
        <v>411</v>
      </c>
      <c r="C12" s="249" t="s">
        <v>412</v>
      </c>
      <c r="D12" s="367" t="s">
        <v>1038</v>
      </c>
      <c r="E12" s="214">
        <f>S_COD+X_COD</f>
        <v>1380</v>
      </c>
      <c r="F12" s="214" t="s">
        <v>404</v>
      </c>
      <c r="G12" s="214">
        <v>1</v>
      </c>
      <c r="H12" s="377"/>
      <c r="I12" s="378"/>
    </row>
    <row r="13" spans="2:9" ht="18" x14ac:dyDescent="0.25">
      <c r="B13" s="330" t="s">
        <v>413</v>
      </c>
      <c r="C13" s="249" t="s">
        <v>414</v>
      </c>
      <c r="D13" s="270" t="s">
        <v>419</v>
      </c>
      <c r="E13" s="214">
        <f>S_NH4+i_N_SS*S_S+i_N_SI*S_I+i_N_XI*X_I+i_N_XS*X_S+i_N_BM*(X_H+X_A)</f>
        <v>57.900000000000006</v>
      </c>
      <c r="F13" s="214" t="s">
        <v>415</v>
      </c>
      <c r="G13" s="214">
        <v>1</v>
      </c>
      <c r="H13" s="377"/>
      <c r="I13" s="378"/>
    </row>
    <row r="14" spans="2:9" ht="18" x14ac:dyDescent="0.25">
      <c r="B14" s="330" t="s">
        <v>416</v>
      </c>
      <c r="C14" s="249" t="s">
        <v>417</v>
      </c>
      <c r="D14" s="367" t="s">
        <v>1039</v>
      </c>
      <c r="E14" s="214">
        <f>T_KN+S_NOX</f>
        <v>72.900000000000006</v>
      </c>
      <c r="F14" s="214" t="s">
        <v>415</v>
      </c>
      <c r="G14" s="214">
        <v>1</v>
      </c>
      <c r="H14" s="377"/>
      <c r="I14" s="378"/>
    </row>
    <row r="15" spans="2:9" ht="18" x14ac:dyDescent="0.25">
      <c r="B15" s="330" t="s">
        <v>395</v>
      </c>
      <c r="C15" s="249" t="s">
        <v>325</v>
      </c>
      <c r="D15" s="367" t="s">
        <v>396</v>
      </c>
      <c r="E15" s="142">
        <f>X_COD/i_CV</f>
        <v>912.16216216216219</v>
      </c>
      <c r="F15" s="214" t="s">
        <v>420</v>
      </c>
      <c r="G15" s="214">
        <v>1</v>
      </c>
      <c r="H15" s="377"/>
      <c r="I15" s="378"/>
    </row>
    <row r="16" spans="2:9" ht="18" x14ac:dyDescent="0.25">
      <c r="B16" s="330" t="s">
        <v>397</v>
      </c>
      <c r="C16" s="249" t="s">
        <v>306</v>
      </c>
      <c r="D16" s="367" t="s">
        <v>398</v>
      </c>
      <c r="E16" s="142">
        <f>X_SS</f>
        <v>2000</v>
      </c>
      <c r="F16" s="214" t="s">
        <v>420</v>
      </c>
      <c r="G16" s="214">
        <v>1</v>
      </c>
      <c r="H16" s="377"/>
      <c r="I16" s="378"/>
    </row>
    <row r="17" spans="2:9" ht="18" x14ac:dyDescent="0.25">
      <c r="B17" s="145" t="s">
        <v>1157</v>
      </c>
      <c r="C17" s="100" t="s">
        <v>1158</v>
      </c>
      <c r="D17" s="367" t="s">
        <v>1159</v>
      </c>
      <c r="E17" s="142">
        <f>X_TSS-X_VSS</f>
        <v>1087.8378378378379</v>
      </c>
      <c r="F17" s="214" t="s">
        <v>420</v>
      </c>
      <c r="G17" s="214">
        <v>1</v>
      </c>
      <c r="H17" s="377"/>
      <c r="I17" s="378"/>
    </row>
    <row r="18" spans="2:9" s="150" customFormat="1" ht="18.75" thickBot="1" x14ac:dyDescent="0.3">
      <c r="B18" s="251" t="s">
        <v>1160</v>
      </c>
      <c r="C18" s="112" t="s">
        <v>1161</v>
      </c>
      <c r="D18" s="267" t="s">
        <v>1167</v>
      </c>
      <c r="E18" s="268">
        <f>X_TSS+S_I/i_CV_SI+S_S/i_CV_SS+S_NH4*M_MNH4/A_MN+S_NOX*M_MNO3/A_MN</f>
        <v>2101.9538503084341</v>
      </c>
      <c r="F18" s="113" t="s">
        <v>859</v>
      </c>
      <c r="G18" s="113">
        <v>1</v>
      </c>
      <c r="H18" s="113"/>
      <c r="I18" s="159"/>
    </row>
    <row r="19" spans="2:9" s="150" customFormat="1" ht="15.75" thickBot="1" x14ac:dyDescent="0.3">
      <c r="B19" s="165"/>
      <c r="C19" s="165"/>
      <c r="D19" s="264"/>
      <c r="E19" s="321"/>
      <c r="F19" s="110"/>
      <c r="G19" s="110"/>
      <c r="H19" s="110"/>
      <c r="I19" s="110"/>
    </row>
    <row r="20" spans="2:9" ht="20.25" customHeight="1" thickBot="1" x14ac:dyDescent="0.3">
      <c r="C20" s="248" t="s">
        <v>421</v>
      </c>
      <c r="D20" s="368" t="s">
        <v>381</v>
      </c>
      <c r="E20" s="163"/>
      <c r="H20" s="3"/>
      <c r="I20" s="3"/>
    </row>
    <row r="21" spans="2:9" ht="15.75" thickBot="1" x14ac:dyDescent="0.3">
      <c r="B21" s="138" t="s">
        <v>0</v>
      </c>
      <c r="C21" s="139" t="s">
        <v>1</v>
      </c>
      <c r="D21" s="369" t="s">
        <v>4</v>
      </c>
      <c r="E21" s="136" t="s">
        <v>150</v>
      </c>
      <c r="F21" s="136" t="s">
        <v>2</v>
      </c>
      <c r="G21" s="136" t="s">
        <v>380</v>
      </c>
      <c r="H21" s="136" t="s">
        <v>114</v>
      </c>
      <c r="I21" s="140" t="s">
        <v>115</v>
      </c>
    </row>
    <row r="22" spans="2:9" ht="18" x14ac:dyDescent="0.25">
      <c r="B22" s="379" t="s">
        <v>322</v>
      </c>
      <c r="C22" s="296" t="s">
        <v>401</v>
      </c>
      <c r="D22" s="380" t="s">
        <v>1115</v>
      </c>
      <c r="E22" s="141">
        <f>-(v_2_SO2*r_2+v_4_SO2*r_4+v_6_SO2*r_6+v_8_SO2*r_8+v_10_SO2*r_10+v_11_SO2*r_11)</f>
        <v>867.86388065505037</v>
      </c>
      <c r="F22" s="213" t="s">
        <v>1113</v>
      </c>
      <c r="G22" s="213">
        <v>1</v>
      </c>
      <c r="H22" s="381" t="s">
        <v>323</v>
      </c>
      <c r="I22" s="382"/>
    </row>
    <row r="23" spans="2:9" ht="18" x14ac:dyDescent="0.25">
      <c r="B23" s="330" t="s">
        <v>399</v>
      </c>
      <c r="C23" s="249" t="s">
        <v>1209</v>
      </c>
      <c r="D23" s="383" t="s">
        <v>1116</v>
      </c>
      <c r="E23" s="142">
        <f>-(v_3_SNOX*r_3+v_5_SNOX*r_5+v_7_SNOX*r_7+v_9_SNOX*r_9+v_10_SNOX*r_10+v_12_SNOX*r_12)</f>
        <v>-103.6913175600392</v>
      </c>
      <c r="F23" s="214" t="s">
        <v>1114</v>
      </c>
      <c r="G23" s="214">
        <v>1</v>
      </c>
      <c r="H23" s="377" t="s">
        <v>323</v>
      </c>
      <c r="I23" s="378"/>
    </row>
    <row r="24" spans="2:9" ht="36.75" thickBot="1" x14ac:dyDescent="0.3">
      <c r="B24" s="384" t="s">
        <v>400</v>
      </c>
      <c r="C24" s="307" t="s">
        <v>402</v>
      </c>
      <c r="D24" s="385" t="s">
        <v>1117</v>
      </c>
      <c r="E24" s="143">
        <f>-(v_1_SNH4*r_1+v_2_SNH4*r_2+v_3_SNH4*r_3+v_4_SNH4*r_4+v_5_SNH4*r_5+v_6_SNH4*r_6+v_7_SNH4*r_7+v_10_SNH4*r_10+v_11_SNH4*r_11+v_12_SNH4*r_12)</f>
        <v>61.474618161586079</v>
      </c>
      <c r="F24" s="215" t="s">
        <v>1114</v>
      </c>
      <c r="G24" s="215">
        <v>1</v>
      </c>
      <c r="H24" s="386" t="s">
        <v>323</v>
      </c>
      <c r="I24" s="387"/>
    </row>
    <row r="25" spans="2:9" ht="15.75" thickBot="1" x14ac:dyDescent="0.3">
      <c r="B25" s="388"/>
      <c r="C25" s="388"/>
      <c r="D25" s="389"/>
      <c r="E25" s="162"/>
      <c r="F25" s="390"/>
      <c r="G25" s="390"/>
      <c r="H25" s="391"/>
      <c r="I25" s="391"/>
    </row>
    <row r="26" spans="2:9" ht="20.25" customHeight="1" thickBot="1" x14ac:dyDescent="0.3">
      <c r="C26" s="248" t="s">
        <v>862</v>
      </c>
      <c r="D26" s="368" t="s">
        <v>381</v>
      </c>
      <c r="E26" s="163"/>
      <c r="H26" s="78"/>
      <c r="I26" s="78"/>
    </row>
    <row r="27" spans="2:9" ht="15.75" thickBot="1" x14ac:dyDescent="0.3">
      <c r="B27" s="252" t="s">
        <v>0</v>
      </c>
      <c r="C27" s="253" t="s">
        <v>1</v>
      </c>
      <c r="D27" s="370" t="s">
        <v>4</v>
      </c>
      <c r="E27" s="186" t="s">
        <v>150</v>
      </c>
      <c r="F27" s="186" t="s">
        <v>2</v>
      </c>
      <c r="G27" s="186" t="s">
        <v>380</v>
      </c>
      <c r="H27" s="186" t="s">
        <v>114</v>
      </c>
      <c r="I27" s="187" t="s">
        <v>115</v>
      </c>
    </row>
    <row r="28" spans="2:9" ht="18" x14ac:dyDescent="0.25">
      <c r="B28" s="144" t="s">
        <v>863</v>
      </c>
      <c r="C28" s="95" t="s">
        <v>884</v>
      </c>
      <c r="D28" s="298" t="s">
        <v>864</v>
      </c>
      <c r="E28" s="114">
        <f>S_S/(S_S+K_S)</f>
        <v>0.7142857142857143</v>
      </c>
      <c r="F28" s="114" t="s">
        <v>214</v>
      </c>
      <c r="G28" s="114">
        <v>2</v>
      </c>
      <c r="H28" s="114"/>
      <c r="I28" s="188"/>
    </row>
    <row r="29" spans="2:9" ht="18" x14ac:dyDescent="0.25">
      <c r="B29" s="145" t="s">
        <v>865</v>
      </c>
      <c r="C29" s="100" t="s">
        <v>885</v>
      </c>
      <c r="D29" s="270" t="s">
        <v>866</v>
      </c>
      <c r="E29" s="115">
        <f>S_O2/(K_O2+S_O2)</f>
        <v>0.90909090909090906</v>
      </c>
      <c r="F29" s="115" t="s">
        <v>214</v>
      </c>
      <c r="G29" s="115">
        <v>2</v>
      </c>
      <c r="H29" s="115"/>
      <c r="I29" s="158"/>
    </row>
    <row r="30" spans="2:9" ht="18" x14ac:dyDescent="0.25">
      <c r="B30" s="145" t="s">
        <v>867</v>
      </c>
      <c r="C30" s="100" t="s">
        <v>886</v>
      </c>
      <c r="D30" s="270" t="s">
        <v>868</v>
      </c>
      <c r="E30" s="115">
        <f>S_NOX/(K_NOX+S_NOX)</f>
        <v>0.967741935483871</v>
      </c>
      <c r="F30" s="115" t="s">
        <v>214</v>
      </c>
      <c r="G30" s="115">
        <v>2</v>
      </c>
      <c r="H30" s="115"/>
      <c r="I30" s="158"/>
    </row>
    <row r="31" spans="2:9" ht="18" x14ac:dyDescent="0.25">
      <c r="B31" s="145" t="s">
        <v>869</v>
      </c>
      <c r="C31" s="100" t="s">
        <v>887</v>
      </c>
      <c r="D31" s="270" t="s">
        <v>870</v>
      </c>
      <c r="E31" s="115">
        <f>S_NH4/(K_NH4+S_NH4)</f>
        <v>0.99667774086378746</v>
      </c>
      <c r="F31" s="115" t="s">
        <v>214</v>
      </c>
      <c r="G31" s="115">
        <v>2</v>
      </c>
      <c r="H31" s="115"/>
      <c r="I31" s="158"/>
    </row>
    <row r="32" spans="2:9" ht="18" x14ac:dyDescent="0.25">
      <c r="B32" s="145" t="s">
        <v>871</v>
      </c>
      <c r="C32" s="100" t="s">
        <v>888</v>
      </c>
      <c r="D32" s="270" t="s">
        <v>872</v>
      </c>
      <c r="E32" s="115">
        <f>S_ALK/(K_ALK+S_ALK)</f>
        <v>0.97959183673469385</v>
      </c>
      <c r="F32" s="115" t="s">
        <v>214</v>
      </c>
      <c r="G32" s="115">
        <v>2</v>
      </c>
      <c r="H32" s="115"/>
      <c r="I32" s="158"/>
    </row>
    <row r="33" spans="2:9" ht="18" x14ac:dyDescent="0.25">
      <c r="B33" s="145" t="s">
        <v>873</v>
      </c>
      <c r="C33" s="100" t="s">
        <v>889</v>
      </c>
      <c r="D33" s="270" t="s">
        <v>874</v>
      </c>
      <c r="E33" s="115">
        <f>S_O2/(K_A_O2+S_O2)</f>
        <v>0.8</v>
      </c>
      <c r="F33" s="115" t="s">
        <v>214</v>
      </c>
      <c r="G33" s="115">
        <v>2</v>
      </c>
      <c r="H33" s="115"/>
      <c r="I33" s="158"/>
    </row>
    <row r="34" spans="2:9" ht="18" x14ac:dyDescent="0.25">
      <c r="B34" s="145" t="s">
        <v>900</v>
      </c>
      <c r="C34" s="100" t="s">
        <v>1649</v>
      </c>
      <c r="D34" s="270" t="s">
        <v>901</v>
      </c>
      <c r="E34" s="115">
        <f>S_NH4/(K_A_NH4+S_NH4)</f>
        <v>0.75</v>
      </c>
      <c r="F34" s="115" t="s">
        <v>214</v>
      </c>
      <c r="G34" s="115">
        <v>2</v>
      </c>
      <c r="H34" s="115"/>
      <c r="I34" s="158"/>
    </row>
    <row r="35" spans="2:9" ht="18" x14ac:dyDescent="0.25">
      <c r="B35" s="145" t="s">
        <v>902</v>
      </c>
      <c r="C35" s="100" t="s">
        <v>1650</v>
      </c>
      <c r="D35" s="270" t="s">
        <v>903</v>
      </c>
      <c r="E35" s="115">
        <f>S_ALK/(K_A_ALK+S_ALK)</f>
        <v>0.90566037735849059</v>
      </c>
      <c r="F35" s="115" t="s">
        <v>214</v>
      </c>
      <c r="G35" s="115">
        <v>2</v>
      </c>
      <c r="H35" s="115"/>
      <c r="I35" s="158"/>
    </row>
    <row r="36" spans="2:9" ht="18" x14ac:dyDescent="0.25">
      <c r="B36" s="145" t="s">
        <v>896</v>
      </c>
      <c r="C36" s="100" t="s">
        <v>897</v>
      </c>
      <c r="D36" s="270" t="s">
        <v>898</v>
      </c>
      <c r="E36" s="115">
        <f>(X_S/X_H)/(K_X+X_S/X_H)</f>
        <v>9.0909090909090912E-2</v>
      </c>
      <c r="F36" s="115" t="s">
        <v>214</v>
      </c>
      <c r="G36" s="115">
        <v>2</v>
      </c>
      <c r="H36" s="115"/>
      <c r="I36" s="158"/>
    </row>
    <row r="37" spans="2:9" ht="18" x14ac:dyDescent="0.25">
      <c r="B37" s="145" t="s">
        <v>892</v>
      </c>
      <c r="C37" s="100" t="s">
        <v>893</v>
      </c>
      <c r="D37" s="270" t="s">
        <v>891</v>
      </c>
      <c r="E37" s="115">
        <f>(X_STO/X_H)/(K_STO+X_STO/X_H)</f>
        <v>9.0909090909090912E-2</v>
      </c>
      <c r="F37" s="115" t="s">
        <v>214</v>
      </c>
      <c r="G37" s="115">
        <v>2</v>
      </c>
      <c r="H37" s="115"/>
      <c r="I37" s="158"/>
    </row>
    <row r="38" spans="2:9" ht="18" x14ac:dyDescent="0.25">
      <c r="B38" s="145" t="s">
        <v>875</v>
      </c>
      <c r="C38" s="100" t="s">
        <v>890</v>
      </c>
      <c r="D38" s="270" t="s">
        <v>876</v>
      </c>
      <c r="E38" s="115">
        <f>K_O2/(K_O2+S_O2)</f>
        <v>9.0909090909090912E-2</v>
      </c>
      <c r="F38" s="115" t="s">
        <v>214</v>
      </c>
      <c r="G38" s="115">
        <v>2</v>
      </c>
      <c r="H38" s="115"/>
      <c r="I38" s="158"/>
    </row>
    <row r="39" spans="2:9" ht="18.75" thickBot="1" x14ac:dyDescent="0.3">
      <c r="B39" s="251" t="s">
        <v>907</v>
      </c>
      <c r="C39" s="112" t="s">
        <v>1651</v>
      </c>
      <c r="D39" s="267" t="s">
        <v>905</v>
      </c>
      <c r="E39" s="113">
        <f>K_A_O2/(K_A_O2+S_O2)</f>
        <v>0.2</v>
      </c>
      <c r="F39" s="113" t="s">
        <v>214</v>
      </c>
      <c r="G39" s="113">
        <v>2</v>
      </c>
      <c r="H39" s="113"/>
      <c r="I39" s="159"/>
    </row>
    <row r="40" spans="2:9" x14ac:dyDescent="0.25">
      <c r="B40" s="165"/>
      <c r="C40" s="165"/>
      <c r="D40" s="264"/>
      <c r="E40" s="110"/>
      <c r="F40" s="110"/>
      <c r="G40" s="110"/>
      <c r="H40" s="110"/>
      <c r="I40" s="110"/>
    </row>
  </sheetData>
  <phoneticPr fontId="12"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31"/>
    <col min="2" max="2" width="13.140625" style="331" customWidth="1"/>
    <col min="3" max="3" width="58.140625" style="331" bestFit="1" customWidth="1"/>
    <col min="4" max="4" width="29.42578125" style="331" bestFit="1" customWidth="1"/>
    <col min="5" max="6" width="21" style="331" customWidth="1"/>
    <col min="7" max="7" width="18" style="331" bestFit="1" customWidth="1"/>
    <col min="8" max="8" width="18" style="331" customWidth="1"/>
    <col min="9" max="9" width="9.140625" style="331"/>
    <col min="10" max="10" width="76.85546875" style="331" customWidth="1"/>
    <col min="11" max="11" width="9.140625" style="331"/>
    <col min="12" max="12" width="29.42578125" style="331" bestFit="1" customWidth="1"/>
    <col min="13" max="16384" width="9.140625" style="331"/>
  </cols>
  <sheetData>
    <row r="2" spans="2:10" ht="15.75" thickBot="1" x14ac:dyDescent="0.3">
      <c r="C2" s="332" t="s">
        <v>1214</v>
      </c>
    </row>
    <row r="3" spans="2:10" ht="15.75" thickBot="1" x14ac:dyDescent="0.3">
      <c r="B3" s="333" t="s">
        <v>0</v>
      </c>
      <c r="C3" s="334" t="s">
        <v>1</v>
      </c>
      <c r="D3" s="335" t="s">
        <v>150</v>
      </c>
      <c r="E3" s="335" t="s">
        <v>447</v>
      </c>
      <c r="F3" s="335" t="s">
        <v>448</v>
      </c>
      <c r="G3" s="335" t="s">
        <v>2</v>
      </c>
      <c r="H3" s="335" t="s">
        <v>380</v>
      </c>
      <c r="I3" s="335" t="s">
        <v>114</v>
      </c>
      <c r="J3" s="336" t="s">
        <v>115</v>
      </c>
    </row>
    <row r="4" spans="2:10" ht="18" x14ac:dyDescent="0.25">
      <c r="B4" s="337" t="s">
        <v>943</v>
      </c>
      <c r="C4" s="338" t="s">
        <v>944</v>
      </c>
      <c r="D4" s="338">
        <v>273.14999999999998</v>
      </c>
      <c r="E4" s="339"/>
      <c r="F4" s="339"/>
      <c r="G4" s="338" t="s">
        <v>452</v>
      </c>
      <c r="H4" s="340"/>
      <c r="I4" s="340"/>
      <c r="J4" s="338" t="s">
        <v>1215</v>
      </c>
    </row>
    <row r="5" spans="2:10" ht="18" x14ac:dyDescent="0.25">
      <c r="B5" s="337" t="s">
        <v>491</v>
      </c>
      <c r="C5" s="338" t="s">
        <v>492</v>
      </c>
      <c r="D5" s="338">
        <v>101325</v>
      </c>
      <c r="E5" s="339"/>
      <c r="F5" s="339"/>
      <c r="G5" s="338" t="s">
        <v>493</v>
      </c>
      <c r="H5" s="340"/>
      <c r="I5" s="340"/>
      <c r="J5" s="338" t="s">
        <v>1215</v>
      </c>
    </row>
    <row r="6" spans="2:10" ht="18" x14ac:dyDescent="0.25">
      <c r="B6" s="337" t="s">
        <v>1125</v>
      </c>
      <c r="C6" s="338" t="s">
        <v>1126</v>
      </c>
      <c r="D6" s="338">
        <v>0</v>
      </c>
      <c r="E6" s="339"/>
      <c r="F6" s="339"/>
      <c r="G6" s="338" t="s">
        <v>1216</v>
      </c>
      <c r="H6" s="340"/>
      <c r="I6" s="340"/>
      <c r="J6" s="338" t="s">
        <v>1215</v>
      </c>
    </row>
    <row r="8" spans="2:10" ht="15.75" thickBot="1" x14ac:dyDescent="0.3">
      <c r="C8" s="341" t="s">
        <v>446</v>
      </c>
    </row>
    <row r="9" spans="2:10" ht="15.75" thickBot="1" x14ac:dyDescent="0.3">
      <c r="B9" s="342" t="s">
        <v>0</v>
      </c>
      <c r="C9" s="343" t="s">
        <v>1</v>
      </c>
      <c r="D9" s="344" t="s">
        <v>150</v>
      </c>
      <c r="E9" s="344" t="s">
        <v>447</v>
      </c>
      <c r="F9" s="344" t="s">
        <v>448</v>
      </c>
      <c r="G9" s="344" t="s">
        <v>2</v>
      </c>
      <c r="H9" s="344" t="s">
        <v>380</v>
      </c>
      <c r="I9" s="344" t="s">
        <v>114</v>
      </c>
      <c r="J9" s="345" t="s">
        <v>115</v>
      </c>
    </row>
    <row r="10" spans="2:10" ht="18" x14ac:dyDescent="0.25">
      <c r="B10" s="337" t="s">
        <v>922</v>
      </c>
      <c r="C10" s="338" t="s">
        <v>449</v>
      </c>
      <c r="D10" s="338">
        <v>1.2999999999999999E-3</v>
      </c>
      <c r="E10" s="339"/>
      <c r="F10" s="339"/>
      <c r="G10" s="338" t="s">
        <v>450</v>
      </c>
      <c r="H10" s="340"/>
      <c r="I10" s="340"/>
      <c r="J10" s="338" t="s">
        <v>923</v>
      </c>
    </row>
    <row r="11" spans="2:10" ht="18" x14ac:dyDescent="0.25">
      <c r="B11" s="337" t="s">
        <v>924</v>
      </c>
      <c r="C11" s="338" t="s">
        <v>451</v>
      </c>
      <c r="D11" s="338">
        <v>1500</v>
      </c>
      <c r="E11" s="339"/>
      <c r="F11" s="339"/>
      <c r="G11" s="338" t="s">
        <v>452</v>
      </c>
      <c r="H11" s="340"/>
      <c r="I11" s="340"/>
      <c r="J11" s="338" t="s">
        <v>923</v>
      </c>
    </row>
    <row r="12" spans="2:10" ht="18" x14ac:dyDescent="0.25">
      <c r="B12" s="337" t="s">
        <v>925</v>
      </c>
      <c r="C12" s="338" t="s">
        <v>453</v>
      </c>
      <c r="D12" s="338">
        <v>3.5000000000000003E-2</v>
      </c>
      <c r="E12" s="339"/>
      <c r="F12" s="339"/>
      <c r="G12" s="338" t="s">
        <v>450</v>
      </c>
      <c r="H12" s="340"/>
      <c r="I12" s="340"/>
      <c r="J12" s="338" t="s">
        <v>926</v>
      </c>
    </row>
    <row r="13" spans="2:10" ht="18" x14ac:dyDescent="0.25">
      <c r="B13" s="337" t="s">
        <v>927</v>
      </c>
      <c r="C13" s="338" t="s">
        <v>454</v>
      </c>
      <c r="D13" s="338">
        <v>2400</v>
      </c>
      <c r="E13" s="339"/>
      <c r="F13" s="339"/>
      <c r="G13" s="338" t="s">
        <v>452</v>
      </c>
      <c r="H13" s="340"/>
      <c r="I13" s="340"/>
      <c r="J13" s="338" t="s">
        <v>926</v>
      </c>
    </row>
    <row r="14" spans="2:10" ht="18" x14ac:dyDescent="0.25">
      <c r="B14" s="337" t="s">
        <v>928</v>
      </c>
      <c r="C14" s="338" t="s">
        <v>455</v>
      </c>
      <c r="D14" s="338">
        <v>1.9E-3</v>
      </c>
      <c r="E14" s="339"/>
      <c r="F14" s="339"/>
      <c r="G14" s="338" t="s">
        <v>450</v>
      </c>
      <c r="H14" s="340"/>
      <c r="I14" s="340"/>
      <c r="J14" s="338" t="s">
        <v>929</v>
      </c>
    </row>
    <row r="15" spans="2:10" ht="18" x14ac:dyDescent="0.25">
      <c r="B15" s="337" t="s">
        <v>930</v>
      </c>
      <c r="C15" s="338" t="s">
        <v>456</v>
      </c>
      <c r="D15" s="338">
        <v>1400</v>
      </c>
      <c r="E15" s="339"/>
      <c r="F15" s="339"/>
      <c r="G15" s="338" t="s">
        <v>452</v>
      </c>
      <c r="H15" s="340"/>
      <c r="I15" s="340"/>
      <c r="J15" s="338" t="s">
        <v>929</v>
      </c>
    </row>
    <row r="16" spans="2:10" ht="18" x14ac:dyDescent="0.25">
      <c r="B16" s="337" t="s">
        <v>931</v>
      </c>
      <c r="C16" s="338" t="s">
        <v>457</v>
      </c>
      <c r="D16" s="338">
        <v>2.5000000000000001E-2</v>
      </c>
      <c r="E16" s="339"/>
      <c r="F16" s="339"/>
      <c r="G16" s="338" t="s">
        <v>450</v>
      </c>
      <c r="H16" s="340"/>
      <c r="I16" s="340"/>
      <c r="J16" s="338" t="s">
        <v>932</v>
      </c>
    </row>
    <row r="17" spans="2:10" ht="18" x14ac:dyDescent="0.25">
      <c r="B17" s="337" t="s">
        <v>933</v>
      </c>
      <c r="C17" s="338" t="s">
        <v>454</v>
      </c>
      <c r="D17" s="338">
        <v>2600</v>
      </c>
      <c r="E17" s="339"/>
      <c r="F17" s="339"/>
      <c r="G17" s="338" t="s">
        <v>452</v>
      </c>
      <c r="H17" s="340"/>
      <c r="I17" s="340"/>
      <c r="J17" s="338" t="s">
        <v>932</v>
      </c>
    </row>
    <row r="18" spans="2:10" ht="18" x14ac:dyDescent="0.25">
      <c r="B18" s="337" t="s">
        <v>934</v>
      </c>
      <c r="C18" s="338" t="s">
        <v>458</v>
      </c>
      <c r="D18" s="338">
        <v>6.4999999999999997E-4</v>
      </c>
      <c r="E18" s="339"/>
      <c r="F18" s="339"/>
      <c r="G18" s="338" t="s">
        <v>450</v>
      </c>
      <c r="H18" s="340"/>
      <c r="I18" s="340"/>
      <c r="J18" s="338" t="s">
        <v>935</v>
      </c>
    </row>
    <row r="19" spans="2:10" ht="18" x14ac:dyDescent="0.25">
      <c r="B19" s="337" t="s">
        <v>936</v>
      </c>
      <c r="C19" s="338" t="s">
        <v>459</v>
      </c>
      <c r="D19" s="338">
        <v>1300</v>
      </c>
      <c r="E19" s="339"/>
      <c r="F19" s="339"/>
      <c r="G19" s="338" t="s">
        <v>452</v>
      </c>
      <c r="H19" s="340"/>
      <c r="I19" s="340"/>
      <c r="J19" s="338" t="s">
        <v>935</v>
      </c>
    </row>
    <row r="20" spans="2:10" ht="18" x14ac:dyDescent="0.25">
      <c r="B20" s="337" t="s">
        <v>937</v>
      </c>
      <c r="C20" s="338" t="s">
        <v>460</v>
      </c>
      <c r="D20" s="338">
        <v>7.7999999999999999E-4</v>
      </c>
      <c r="E20" s="339"/>
      <c r="F20" s="339"/>
      <c r="G20" s="338" t="s">
        <v>450</v>
      </c>
      <c r="H20" s="340"/>
      <c r="I20" s="340"/>
      <c r="J20" s="338" t="s">
        <v>1217</v>
      </c>
    </row>
    <row r="21" spans="2:10" ht="18" x14ac:dyDescent="0.25">
      <c r="B21" s="337" t="s">
        <v>938</v>
      </c>
      <c r="C21" s="338" t="s">
        <v>461</v>
      </c>
      <c r="D21" s="338">
        <v>500</v>
      </c>
      <c r="E21" s="339"/>
      <c r="F21" s="339"/>
      <c r="G21" s="338" t="s">
        <v>452</v>
      </c>
      <c r="H21" s="340"/>
      <c r="I21" s="340"/>
      <c r="J21" s="338" t="s">
        <v>1217</v>
      </c>
    </row>
    <row r="22" spans="2:10" ht="18" x14ac:dyDescent="0.25">
      <c r="B22" s="337" t="s">
        <v>939</v>
      </c>
      <c r="C22" s="338" t="s">
        <v>462</v>
      </c>
      <c r="D22" s="338">
        <v>1.4E-3</v>
      </c>
      <c r="E22" s="339"/>
      <c r="F22" s="339"/>
      <c r="G22" s="338" t="s">
        <v>450</v>
      </c>
      <c r="H22" s="340"/>
      <c r="I22" s="340"/>
      <c r="J22" s="338" t="s">
        <v>1218</v>
      </c>
    </row>
    <row r="23" spans="2:10" ht="18" x14ac:dyDescent="0.25">
      <c r="B23" s="337" t="s">
        <v>940</v>
      </c>
      <c r="C23" s="338" t="s">
        <v>463</v>
      </c>
      <c r="D23" s="338">
        <v>1600</v>
      </c>
      <c r="E23" s="339"/>
      <c r="F23" s="339"/>
      <c r="G23" s="338" t="s">
        <v>452</v>
      </c>
      <c r="H23" s="340"/>
      <c r="I23" s="340"/>
      <c r="J23" s="338" t="s">
        <v>1218</v>
      </c>
    </row>
    <row r="24" spans="2:10" ht="18" x14ac:dyDescent="0.25">
      <c r="B24" s="337" t="s">
        <v>1219</v>
      </c>
      <c r="C24" s="338" t="s">
        <v>1220</v>
      </c>
      <c r="D24" s="338">
        <v>61</v>
      </c>
      <c r="E24" s="339"/>
      <c r="F24" s="339"/>
      <c r="G24" s="338" t="s">
        <v>450</v>
      </c>
      <c r="H24" s="340"/>
      <c r="I24" s="340"/>
      <c r="J24" s="338" t="s">
        <v>1221</v>
      </c>
    </row>
    <row r="25" spans="2:10" ht="18" x14ac:dyDescent="0.25">
      <c r="B25" s="337" t="s">
        <v>1222</v>
      </c>
      <c r="C25" s="338" t="s">
        <v>1223</v>
      </c>
      <c r="D25" s="338">
        <v>4100</v>
      </c>
      <c r="E25" s="339"/>
      <c r="F25" s="339"/>
      <c r="G25" s="338" t="s">
        <v>452</v>
      </c>
      <c r="H25" s="340"/>
      <c r="I25" s="340"/>
      <c r="J25" s="338" t="s">
        <v>1221</v>
      </c>
    </row>
    <row r="26" spans="2:10" ht="18" x14ac:dyDescent="0.25">
      <c r="B26" s="337" t="s">
        <v>1224</v>
      </c>
      <c r="C26" s="338" t="s">
        <v>1225</v>
      </c>
      <c r="D26" s="338">
        <v>0.1</v>
      </c>
      <c r="E26" s="339"/>
      <c r="F26" s="339"/>
      <c r="G26" s="338" t="s">
        <v>450</v>
      </c>
      <c r="H26" s="340"/>
      <c r="I26" s="340"/>
      <c r="J26" s="338" t="s">
        <v>1226</v>
      </c>
    </row>
    <row r="27" spans="2:10" ht="18" x14ac:dyDescent="0.25">
      <c r="B27" s="337" t="s">
        <v>1227</v>
      </c>
      <c r="C27" s="338" t="s">
        <v>1228</v>
      </c>
      <c r="D27" s="338">
        <v>2200</v>
      </c>
      <c r="E27" s="339"/>
      <c r="F27" s="339"/>
      <c r="G27" s="338" t="s">
        <v>452</v>
      </c>
      <c r="H27" s="340"/>
      <c r="I27" s="340"/>
      <c r="J27" s="338" t="s">
        <v>1226</v>
      </c>
    </row>
    <row r="29" spans="2:10" ht="15.75" thickBot="1" x14ac:dyDescent="0.3">
      <c r="C29" s="341" t="s">
        <v>1229</v>
      </c>
    </row>
    <row r="30" spans="2:10" ht="15.75" thickBot="1" x14ac:dyDescent="0.3">
      <c r="B30" s="342" t="s">
        <v>0</v>
      </c>
      <c r="C30" s="343" t="s">
        <v>1</v>
      </c>
      <c r="D30" s="344" t="s">
        <v>150</v>
      </c>
      <c r="E30" s="344" t="s">
        <v>447</v>
      </c>
      <c r="F30" s="344" t="s">
        <v>448</v>
      </c>
      <c r="G30" s="344" t="s">
        <v>2</v>
      </c>
      <c r="H30" s="344" t="s">
        <v>380</v>
      </c>
      <c r="I30" s="344" t="s">
        <v>114</v>
      </c>
      <c r="J30" s="345" t="s">
        <v>115</v>
      </c>
    </row>
    <row r="31" spans="2:10" ht="18" x14ac:dyDescent="0.25">
      <c r="B31" s="337" t="s">
        <v>1198</v>
      </c>
      <c r="C31" s="338" t="s">
        <v>464</v>
      </c>
      <c r="D31" s="338">
        <v>2.0900000000000001E-4</v>
      </c>
      <c r="E31" s="339"/>
      <c r="F31" s="339"/>
      <c r="G31" s="338" t="s">
        <v>465</v>
      </c>
      <c r="H31" s="340">
        <v>2</v>
      </c>
      <c r="I31" s="340"/>
      <c r="J31" s="338"/>
    </row>
    <row r="32" spans="2:10" ht="18" x14ac:dyDescent="0.25">
      <c r="B32" s="337" t="s">
        <v>1199</v>
      </c>
      <c r="C32" s="338" t="s">
        <v>466</v>
      </c>
      <c r="D32" s="338">
        <v>1.73E-4</v>
      </c>
      <c r="E32" s="339"/>
      <c r="F32" s="339"/>
      <c r="G32" s="338" t="s">
        <v>465</v>
      </c>
      <c r="H32" s="340">
        <v>2</v>
      </c>
      <c r="I32" s="340"/>
      <c r="J32" s="338"/>
    </row>
    <row r="33" spans="2:10" ht="18" x14ac:dyDescent="0.25">
      <c r="B33" s="337" t="s">
        <v>1200</v>
      </c>
      <c r="C33" s="338" t="s">
        <v>1060</v>
      </c>
      <c r="D33" s="338">
        <f>0.0000693*216/25</f>
        <v>5.9875200000000003E-4</v>
      </c>
      <c r="E33" s="339"/>
      <c r="F33" s="339"/>
      <c r="G33" s="338" t="s">
        <v>465</v>
      </c>
      <c r="H33" s="340">
        <v>2</v>
      </c>
      <c r="I33" s="340"/>
      <c r="J33" s="338"/>
    </row>
    <row r="34" spans="2:10" ht="18" x14ac:dyDescent="0.25">
      <c r="B34" s="337" t="s">
        <v>1201</v>
      </c>
      <c r="C34" s="338" t="s">
        <v>467</v>
      </c>
      <c r="D34" s="338">
        <v>1.65E-4</v>
      </c>
      <c r="E34" s="339"/>
      <c r="F34" s="339"/>
      <c r="G34" s="338" t="s">
        <v>465</v>
      </c>
      <c r="H34" s="340">
        <v>2</v>
      </c>
      <c r="I34" s="340"/>
      <c r="J34" s="338"/>
    </row>
    <row r="35" spans="2:10" ht="18" x14ac:dyDescent="0.25">
      <c r="B35" s="337" t="s">
        <v>1202</v>
      </c>
      <c r="C35" s="338" t="s">
        <v>468</v>
      </c>
      <c r="D35" s="338">
        <v>4.4999999999999999E-4</v>
      </c>
      <c r="E35" s="339"/>
      <c r="F35" s="339"/>
      <c r="G35" s="338" t="s">
        <v>469</v>
      </c>
      <c r="H35" s="340">
        <v>2</v>
      </c>
      <c r="I35" s="340"/>
      <c r="J35" s="338"/>
    </row>
    <row r="36" spans="2:10" ht="18" x14ac:dyDescent="0.25">
      <c r="B36" s="337" t="s">
        <v>1203</v>
      </c>
      <c r="C36" s="338" t="s">
        <v>470</v>
      </c>
      <c r="D36" s="338">
        <v>1.4899999999999999E-4</v>
      </c>
      <c r="E36" s="339"/>
      <c r="F36" s="339"/>
      <c r="G36" s="338" t="s">
        <v>469</v>
      </c>
      <c r="H36" s="340">
        <v>2</v>
      </c>
      <c r="I36" s="340"/>
      <c r="J36" s="338"/>
    </row>
    <row r="37" spans="2:10" ht="18" x14ac:dyDescent="0.25">
      <c r="B37" s="337" t="s">
        <v>1204</v>
      </c>
      <c r="C37" s="338" t="s">
        <v>471</v>
      </c>
      <c r="D37" s="338">
        <v>2.9499999999999999E-5</v>
      </c>
      <c r="E37" s="339"/>
      <c r="F37" s="339"/>
      <c r="G37" s="338" t="s">
        <v>469</v>
      </c>
      <c r="H37" s="340">
        <v>2</v>
      </c>
      <c r="I37" s="340"/>
      <c r="J37" s="338"/>
    </row>
    <row r="38" spans="2:10" ht="18" x14ac:dyDescent="0.25">
      <c r="B38" s="337" t="s">
        <v>1205</v>
      </c>
      <c r="C38" s="338" t="s">
        <v>1206</v>
      </c>
      <c r="D38" s="338">
        <v>1.8E-5</v>
      </c>
      <c r="E38" s="339"/>
      <c r="F38" s="339"/>
      <c r="G38" s="338" t="s">
        <v>469</v>
      </c>
      <c r="H38" s="340">
        <v>2</v>
      </c>
      <c r="I38" s="340"/>
      <c r="J38" s="338"/>
    </row>
    <row r="39" spans="2:10" ht="18" x14ac:dyDescent="0.25">
      <c r="B39" s="337" t="s">
        <v>1207</v>
      </c>
      <c r="C39" s="338" t="s">
        <v>1208</v>
      </c>
      <c r="D39" s="338">
        <v>1.22E-4</v>
      </c>
      <c r="E39" s="339"/>
      <c r="F39" s="339"/>
      <c r="G39" s="338" t="s">
        <v>465</v>
      </c>
      <c r="H39" s="340">
        <v>2</v>
      </c>
      <c r="I39" s="340"/>
      <c r="J39" s="338"/>
    </row>
    <row r="41" spans="2:10" ht="15.75" thickBot="1" x14ac:dyDescent="0.3">
      <c r="C41" s="341" t="s">
        <v>472</v>
      </c>
    </row>
    <row r="42" spans="2:10" ht="15.75" thickBot="1" x14ac:dyDescent="0.3">
      <c r="B42" s="342" t="s">
        <v>0</v>
      </c>
      <c r="C42" s="343" t="s">
        <v>1</v>
      </c>
      <c r="D42" s="344" t="s">
        <v>150</v>
      </c>
      <c r="E42" s="344" t="s">
        <v>447</v>
      </c>
      <c r="F42" s="344" t="s">
        <v>448</v>
      </c>
      <c r="G42" s="344" t="s">
        <v>2</v>
      </c>
      <c r="H42" s="344" t="s">
        <v>380</v>
      </c>
      <c r="I42" s="344" t="s">
        <v>114</v>
      </c>
      <c r="J42" s="345" t="s">
        <v>115</v>
      </c>
    </row>
    <row r="43" spans="2:10" ht="18" x14ac:dyDescent="0.25">
      <c r="B43" s="337" t="s">
        <v>473</v>
      </c>
      <c r="C43" s="338" t="s">
        <v>474</v>
      </c>
      <c r="D43" s="338">
        <v>8.0713100000000004</v>
      </c>
      <c r="E43" s="339"/>
      <c r="F43" s="339"/>
      <c r="G43" s="338" t="s">
        <v>214</v>
      </c>
      <c r="H43" s="340"/>
      <c r="I43" s="340"/>
      <c r="J43" s="338"/>
    </row>
    <row r="44" spans="2:10" ht="18" x14ac:dyDescent="0.25">
      <c r="B44" s="337" t="s">
        <v>475</v>
      </c>
      <c r="C44" s="338" t="s">
        <v>476</v>
      </c>
      <c r="D44" s="338">
        <v>1730.63</v>
      </c>
      <c r="E44" s="339"/>
      <c r="F44" s="339"/>
      <c r="G44" s="338" t="s">
        <v>214</v>
      </c>
      <c r="H44" s="340"/>
      <c r="I44" s="340"/>
      <c r="J44" s="338"/>
    </row>
    <row r="45" spans="2:10" ht="18" x14ac:dyDescent="0.25">
      <c r="B45" s="337" t="s">
        <v>477</v>
      </c>
      <c r="C45" s="338" t="s">
        <v>478</v>
      </c>
      <c r="D45" s="338">
        <v>233.42599999999999</v>
      </c>
      <c r="E45" s="339"/>
      <c r="F45" s="339"/>
      <c r="G45" s="338" t="s">
        <v>214</v>
      </c>
      <c r="H45" s="340"/>
      <c r="I45" s="340"/>
      <c r="J45" s="338"/>
    </row>
    <row r="46" spans="2:10" ht="18" x14ac:dyDescent="0.25">
      <c r="B46" s="337" t="s">
        <v>1230</v>
      </c>
      <c r="C46" s="338" t="s">
        <v>1231</v>
      </c>
      <c r="D46" s="338">
        <v>7.2800000000000004E-2</v>
      </c>
      <c r="E46" s="339"/>
      <c r="F46" s="339"/>
      <c r="G46" s="338" t="s">
        <v>1232</v>
      </c>
      <c r="H46" s="340"/>
      <c r="I46" s="340"/>
      <c r="J46" s="338"/>
    </row>
    <row r="47" spans="2:10" ht="18" x14ac:dyDescent="0.25">
      <c r="B47" s="337" t="s">
        <v>479</v>
      </c>
      <c r="C47" s="338" t="s">
        <v>1233</v>
      </c>
      <c r="D47" s="338">
        <v>1000000</v>
      </c>
      <c r="E47" s="339"/>
      <c r="F47" s="339"/>
      <c r="G47" s="338" t="s">
        <v>480</v>
      </c>
      <c r="H47" s="340"/>
      <c r="I47" s="340"/>
      <c r="J47" s="338"/>
    </row>
    <row r="48" spans="2:10" ht="18" x14ac:dyDescent="0.25">
      <c r="B48" s="337" t="s">
        <v>1234</v>
      </c>
      <c r="C48" s="338" t="s">
        <v>1235</v>
      </c>
      <c r="D48" s="338">
        <f>10^-3</f>
        <v>1E-3</v>
      </c>
      <c r="E48" s="339"/>
      <c r="F48" s="339"/>
      <c r="G48" s="338" t="s">
        <v>1236</v>
      </c>
      <c r="H48" s="340"/>
      <c r="I48" s="340"/>
      <c r="J48" s="338"/>
    </row>
    <row r="50" spans="2:10" ht="15.75" thickBot="1" x14ac:dyDescent="0.3">
      <c r="C50" s="341" t="s">
        <v>481</v>
      </c>
    </row>
    <row r="51" spans="2:10" ht="15.75" thickBot="1" x14ac:dyDescent="0.3">
      <c r="B51" s="342" t="s">
        <v>0</v>
      </c>
      <c r="C51" s="343" t="s">
        <v>1</v>
      </c>
      <c r="D51" s="344" t="s">
        <v>150</v>
      </c>
      <c r="E51" s="344" t="s">
        <v>447</v>
      </c>
      <c r="F51" s="344" t="s">
        <v>448</v>
      </c>
      <c r="G51" s="344" t="s">
        <v>2</v>
      </c>
      <c r="H51" s="344" t="s">
        <v>380</v>
      </c>
      <c r="I51" s="344" t="s">
        <v>114</v>
      </c>
      <c r="J51" s="345" t="s">
        <v>115</v>
      </c>
    </row>
    <row r="52" spans="2:10" ht="18" x14ac:dyDescent="0.25">
      <c r="B52" s="337" t="s">
        <v>482</v>
      </c>
      <c r="C52" s="338" t="s">
        <v>483</v>
      </c>
      <c r="D52" s="338">
        <v>0.20949999999999999</v>
      </c>
      <c r="E52" s="339">
        <v>0</v>
      </c>
      <c r="F52" s="339">
        <v>1</v>
      </c>
      <c r="G52" s="338" t="s">
        <v>484</v>
      </c>
      <c r="H52" s="340"/>
      <c r="I52" s="340"/>
      <c r="J52" s="338"/>
    </row>
    <row r="53" spans="2:10" ht="18" x14ac:dyDescent="0.25">
      <c r="B53" s="337" t="s">
        <v>485</v>
      </c>
      <c r="C53" s="338" t="s">
        <v>486</v>
      </c>
      <c r="D53" s="338">
        <v>0.78080000000000005</v>
      </c>
      <c r="E53" s="339">
        <v>0</v>
      </c>
      <c r="F53" s="339">
        <v>1</v>
      </c>
      <c r="G53" s="338" t="s">
        <v>484</v>
      </c>
      <c r="H53" s="340"/>
      <c r="I53" s="340"/>
      <c r="J53" s="338"/>
    </row>
    <row r="54" spans="2:10" ht="18" x14ac:dyDescent="0.25">
      <c r="B54" s="337" t="s">
        <v>487</v>
      </c>
      <c r="C54" s="338" t="s">
        <v>488</v>
      </c>
      <c r="D54" s="338">
        <v>9.2999999999999992E-3</v>
      </c>
      <c r="E54" s="339">
        <v>0</v>
      </c>
      <c r="F54" s="339">
        <v>1</v>
      </c>
      <c r="G54" s="338" t="s">
        <v>484</v>
      </c>
      <c r="H54" s="340"/>
      <c r="I54" s="340"/>
      <c r="J54" s="338"/>
    </row>
    <row r="55" spans="2:10" ht="18" x14ac:dyDescent="0.25">
      <c r="B55" s="337" t="s">
        <v>489</v>
      </c>
      <c r="C55" s="338" t="s">
        <v>490</v>
      </c>
      <c r="D55" s="338">
        <v>4.0000000000000002E-4</v>
      </c>
      <c r="E55" s="339">
        <v>0</v>
      </c>
      <c r="F55" s="339">
        <v>1</v>
      </c>
      <c r="G55" s="338" t="s">
        <v>484</v>
      </c>
      <c r="H55" s="340"/>
      <c r="I55" s="340"/>
      <c r="J55" s="338"/>
    </row>
    <row r="56" spans="2:10" ht="18" x14ac:dyDescent="0.25">
      <c r="B56" s="337" t="s">
        <v>1237</v>
      </c>
      <c r="C56" s="338" t="s">
        <v>1238</v>
      </c>
      <c r="D56" s="338">
        <v>1200</v>
      </c>
      <c r="E56" s="339"/>
      <c r="F56" s="339"/>
      <c r="G56" s="338" t="s">
        <v>480</v>
      </c>
      <c r="H56" s="340"/>
      <c r="I56" s="340"/>
      <c r="J56" s="338"/>
    </row>
    <row r="57" spans="2:10" ht="18" x14ac:dyDescent="0.25">
      <c r="B57" s="337" t="s">
        <v>1239</v>
      </c>
      <c r="C57" s="338" t="s">
        <v>492</v>
      </c>
      <c r="D57" s="338">
        <v>101325</v>
      </c>
      <c r="E57" s="339">
        <v>0</v>
      </c>
      <c r="F57" s="339"/>
      <c r="G57" s="338" t="s">
        <v>493</v>
      </c>
      <c r="H57" s="340"/>
      <c r="I57" s="340"/>
      <c r="J57" s="338"/>
    </row>
    <row r="58" spans="2:10" ht="18" x14ac:dyDescent="0.25">
      <c r="B58" s="337" t="s">
        <v>1240</v>
      </c>
      <c r="C58" s="338" t="s">
        <v>1241</v>
      </c>
      <c r="D58" s="338">
        <v>101325</v>
      </c>
      <c r="E58" s="339">
        <v>0</v>
      </c>
      <c r="F58" s="339"/>
      <c r="G58" s="338" t="s">
        <v>493</v>
      </c>
      <c r="H58" s="340"/>
      <c r="I58" s="340"/>
      <c r="J58" s="338"/>
    </row>
    <row r="60" spans="2:10" ht="15.75" thickBot="1" x14ac:dyDescent="0.3">
      <c r="C60" s="341" t="s">
        <v>1242</v>
      </c>
    </row>
    <row r="61" spans="2:10" ht="15.75" thickBot="1" x14ac:dyDescent="0.3">
      <c r="B61" s="342" t="s">
        <v>0</v>
      </c>
      <c r="C61" s="343" t="s">
        <v>1</v>
      </c>
      <c r="D61" s="344" t="s">
        <v>150</v>
      </c>
      <c r="E61" s="344" t="s">
        <v>447</v>
      </c>
      <c r="F61" s="344" t="s">
        <v>448</v>
      </c>
      <c r="G61" s="344" t="s">
        <v>2</v>
      </c>
      <c r="H61" s="344" t="s">
        <v>380</v>
      </c>
      <c r="I61" s="344" t="s">
        <v>114</v>
      </c>
      <c r="J61" s="345" t="s">
        <v>115</v>
      </c>
    </row>
    <row r="62" spans="2:10" ht="18" x14ac:dyDescent="0.25">
      <c r="B62" s="337" t="s">
        <v>1180</v>
      </c>
      <c r="C62" s="338" t="s">
        <v>1181</v>
      </c>
      <c r="D62" s="338">
        <v>0.04</v>
      </c>
      <c r="E62" s="339">
        <v>0</v>
      </c>
      <c r="F62" s="339">
        <v>100</v>
      </c>
      <c r="G62" s="338" t="s">
        <v>1148</v>
      </c>
      <c r="H62" s="340"/>
      <c r="I62" s="340"/>
      <c r="J62" s="338"/>
    </row>
    <row r="63" spans="2:10" ht="18" x14ac:dyDescent="0.25">
      <c r="B63" s="337" t="s">
        <v>1182</v>
      </c>
      <c r="C63" s="338" t="s">
        <v>1183</v>
      </c>
      <c r="D63" s="338" t="s">
        <v>1145</v>
      </c>
      <c r="E63" s="339">
        <v>0</v>
      </c>
      <c r="F63" s="339">
        <v>100</v>
      </c>
      <c r="G63" s="338" t="s">
        <v>1148</v>
      </c>
      <c r="H63" s="340"/>
      <c r="I63" s="340"/>
      <c r="J63" s="338"/>
    </row>
    <row r="64" spans="2:10" ht="18" x14ac:dyDescent="0.25">
      <c r="B64" s="337" t="s">
        <v>1184</v>
      </c>
      <c r="C64" s="338" t="s">
        <v>1185</v>
      </c>
      <c r="D64" s="338" t="s">
        <v>1145</v>
      </c>
      <c r="E64" s="339">
        <v>0</v>
      </c>
      <c r="F64" s="339">
        <v>100</v>
      </c>
      <c r="G64" s="338" t="s">
        <v>1148</v>
      </c>
      <c r="H64" s="340"/>
      <c r="I64" s="340"/>
      <c r="J64" s="338"/>
    </row>
    <row r="65" spans="2:12" ht="18" x14ac:dyDescent="0.25">
      <c r="B65" s="337" t="s">
        <v>1186</v>
      </c>
      <c r="C65" s="338" t="s">
        <v>1187</v>
      </c>
      <c r="D65" s="338">
        <v>20.95</v>
      </c>
      <c r="E65" s="339">
        <v>0</v>
      </c>
      <c r="F65" s="339">
        <v>100</v>
      </c>
      <c r="G65" s="338" t="s">
        <v>1148</v>
      </c>
      <c r="H65" s="340"/>
      <c r="I65" s="340"/>
      <c r="J65" s="338"/>
    </row>
    <row r="66" spans="2:12" ht="18" x14ac:dyDescent="0.25">
      <c r="B66" s="337" t="s">
        <v>1188</v>
      </c>
      <c r="C66" s="338" t="s">
        <v>1189</v>
      </c>
      <c r="D66" s="338" t="s">
        <v>1145</v>
      </c>
      <c r="E66" s="339">
        <v>0</v>
      </c>
      <c r="F66" s="339">
        <v>100</v>
      </c>
      <c r="G66" s="338" t="s">
        <v>1148</v>
      </c>
      <c r="H66" s="340"/>
      <c r="I66" s="340"/>
      <c r="J66" s="338"/>
    </row>
    <row r="67" spans="2:12" ht="18" x14ac:dyDescent="0.25">
      <c r="B67" s="337" t="s">
        <v>1190</v>
      </c>
      <c r="C67" s="338" t="s">
        <v>1191</v>
      </c>
      <c r="D67" s="338">
        <v>79.010000000000005</v>
      </c>
      <c r="E67" s="339">
        <v>0</v>
      </c>
      <c r="F67" s="339">
        <v>100</v>
      </c>
      <c r="G67" s="338" t="s">
        <v>1148</v>
      </c>
      <c r="H67" s="340"/>
      <c r="I67" s="340"/>
      <c r="J67" s="338"/>
    </row>
    <row r="68" spans="2:12" ht="18" x14ac:dyDescent="0.25">
      <c r="B68" s="337" t="s">
        <v>1192</v>
      </c>
      <c r="C68" s="338" t="s">
        <v>1193</v>
      </c>
      <c r="D68" s="338" t="s">
        <v>1145</v>
      </c>
      <c r="E68" s="339">
        <v>0</v>
      </c>
      <c r="F68" s="339">
        <v>100</v>
      </c>
      <c r="G68" s="338" t="s">
        <v>1148</v>
      </c>
      <c r="H68" s="340"/>
      <c r="I68" s="340"/>
      <c r="J68" s="338"/>
    </row>
    <row r="69" spans="2:12" ht="18" x14ac:dyDescent="0.25">
      <c r="B69" s="337" t="s">
        <v>1194</v>
      </c>
      <c r="C69" s="338" t="s">
        <v>1195</v>
      </c>
      <c r="D69" s="338">
        <v>1</v>
      </c>
      <c r="E69" s="339">
        <v>0</v>
      </c>
      <c r="F69" s="339">
        <v>1</v>
      </c>
      <c r="G69" s="338" t="s">
        <v>1196</v>
      </c>
      <c r="H69" s="340"/>
      <c r="I69" s="340"/>
      <c r="J69" s="338" t="s">
        <v>1197</v>
      </c>
    </row>
    <row r="71" spans="2:12" ht="15.75" thickBot="1" x14ac:dyDescent="0.3">
      <c r="C71" s="341" t="s">
        <v>494</v>
      </c>
    </row>
    <row r="72" spans="2:12" ht="15.75" thickBot="1" x14ac:dyDescent="0.3">
      <c r="B72" s="342" t="s">
        <v>0</v>
      </c>
      <c r="C72" s="343" t="s">
        <v>1</v>
      </c>
      <c r="D72" s="344" t="s">
        <v>150</v>
      </c>
      <c r="E72" s="344" t="s">
        <v>447</v>
      </c>
      <c r="F72" s="344" t="s">
        <v>448</v>
      </c>
      <c r="G72" s="344" t="s">
        <v>2</v>
      </c>
      <c r="H72" s="344" t="s">
        <v>380</v>
      </c>
      <c r="I72" s="344" t="s">
        <v>114</v>
      </c>
      <c r="J72" s="345" t="s">
        <v>115</v>
      </c>
    </row>
    <row r="73" spans="2:12" ht="17.25" x14ac:dyDescent="0.25">
      <c r="B73" s="337" t="s">
        <v>495</v>
      </c>
      <c r="C73" s="338" t="s">
        <v>496</v>
      </c>
      <c r="D73" s="338">
        <v>8.3144721500000003</v>
      </c>
      <c r="E73" s="339"/>
      <c r="F73" s="339"/>
      <c r="G73" s="338" t="s">
        <v>497</v>
      </c>
      <c r="H73" s="340"/>
      <c r="I73" s="340"/>
      <c r="J73" s="338"/>
    </row>
    <row r="74" spans="2:12" ht="18" x14ac:dyDescent="0.25">
      <c r="B74" s="337" t="s">
        <v>1243</v>
      </c>
      <c r="C74" s="338" t="s">
        <v>1244</v>
      </c>
      <c r="D74" s="338">
        <v>287.10199999999998</v>
      </c>
      <c r="E74" s="339"/>
      <c r="F74" s="339"/>
      <c r="G74" s="338" t="s">
        <v>1245</v>
      </c>
      <c r="H74" s="340"/>
      <c r="I74" s="340"/>
      <c r="J74" s="338"/>
    </row>
    <row r="75" spans="2:12" ht="18" x14ac:dyDescent="0.25">
      <c r="B75" s="337" t="s">
        <v>1246</v>
      </c>
      <c r="C75" s="338" t="s">
        <v>1247</v>
      </c>
      <c r="D75" s="338">
        <f>(T_STP_K*R__)/p_N</f>
        <v>2.24139952407846E-2</v>
      </c>
      <c r="E75" s="339"/>
      <c r="F75" s="339"/>
      <c r="G75" s="338" t="s">
        <v>1248</v>
      </c>
      <c r="H75" s="340"/>
      <c r="I75" s="340"/>
      <c r="J75" s="338"/>
    </row>
    <row r="76" spans="2:12" x14ac:dyDescent="0.25">
      <c r="B76" s="337" t="s">
        <v>1249</v>
      </c>
      <c r="C76" s="338" t="s">
        <v>1250</v>
      </c>
      <c r="D76" s="338">
        <v>1.4</v>
      </c>
      <c r="E76" s="339"/>
      <c r="F76" s="339"/>
      <c r="G76" s="338" t="s">
        <v>214</v>
      </c>
      <c r="H76" s="340"/>
      <c r="I76" s="340"/>
      <c r="J76" s="338"/>
      <c r="L76" s="331">
        <v>2.24139952407846E-2</v>
      </c>
    </row>
    <row r="77" spans="2:12" ht="17.25" x14ac:dyDescent="0.25">
      <c r="B77" s="337" t="s">
        <v>498</v>
      </c>
      <c r="C77" s="338" t="s">
        <v>499</v>
      </c>
      <c r="D77" s="338">
        <v>96485.339924</v>
      </c>
      <c r="E77" s="339"/>
      <c r="F77" s="339"/>
      <c r="G77" s="338" t="s">
        <v>500</v>
      </c>
      <c r="H77" s="340"/>
      <c r="I77" s="340"/>
      <c r="J77" s="338"/>
    </row>
    <row r="78" spans="2:12" ht="18" x14ac:dyDescent="0.25">
      <c r="B78" s="337" t="s">
        <v>501</v>
      </c>
      <c r="C78" s="338" t="s">
        <v>502</v>
      </c>
      <c r="D78" s="338">
        <v>9.8066499999999994</v>
      </c>
      <c r="E78" s="339"/>
      <c r="F78" s="339"/>
      <c r="G78" s="338" t="s">
        <v>503</v>
      </c>
      <c r="H78" s="340"/>
      <c r="I78" s="340"/>
      <c r="J78" s="338"/>
    </row>
    <row r="79" spans="2:12" ht="18" x14ac:dyDescent="0.25">
      <c r="B79" s="337" t="s">
        <v>941</v>
      </c>
      <c r="C79" s="338" t="s">
        <v>942</v>
      </c>
      <c r="D79" s="338">
        <v>4.1813000000000002</v>
      </c>
      <c r="E79" s="339"/>
      <c r="F79" s="339"/>
      <c r="G79" s="338" t="s">
        <v>1251</v>
      </c>
      <c r="H79" s="340"/>
      <c r="I79" s="340"/>
      <c r="J79" s="338"/>
    </row>
    <row r="80" spans="2:12" ht="18" x14ac:dyDescent="0.25">
      <c r="B80" s="337" t="s">
        <v>1252</v>
      </c>
      <c r="C80" s="338" t="s">
        <v>1253</v>
      </c>
      <c r="D80" s="338">
        <v>298.14999999999998</v>
      </c>
      <c r="E80" s="339"/>
      <c r="F80" s="339"/>
      <c r="G80" s="338" t="s">
        <v>452</v>
      </c>
      <c r="H80" s="340"/>
      <c r="I80" s="340"/>
      <c r="J80" s="338" t="s">
        <v>1254</v>
      </c>
    </row>
    <row r="81" spans="2:10" ht="18" x14ac:dyDescent="0.25">
      <c r="B81" s="337" t="s">
        <v>1255</v>
      </c>
      <c r="C81" s="338" t="s">
        <v>1256</v>
      </c>
      <c r="D81" s="338">
        <v>293.14999999999998</v>
      </c>
      <c r="E81" s="339"/>
      <c r="F81" s="339"/>
      <c r="G81" s="338" t="s">
        <v>452</v>
      </c>
      <c r="H81" s="340"/>
      <c r="I81" s="340"/>
      <c r="J81" s="338" t="s">
        <v>1257</v>
      </c>
    </row>
    <row r="82" spans="2:10" ht="18" x14ac:dyDescent="0.25">
      <c r="B82" s="337" t="s">
        <v>1258</v>
      </c>
      <c r="C82" s="338" t="s">
        <v>1259</v>
      </c>
      <c r="D82" s="338">
        <v>273.14999999999998</v>
      </c>
      <c r="E82" s="339"/>
      <c r="F82" s="339"/>
      <c r="G82" s="338" t="s">
        <v>452</v>
      </c>
      <c r="H82" s="340"/>
      <c r="I82" s="340"/>
      <c r="J82" s="338" t="s">
        <v>1260</v>
      </c>
    </row>
    <row r="83" spans="2:10" ht="18" x14ac:dyDescent="0.25">
      <c r="B83" s="337" t="s">
        <v>1261</v>
      </c>
      <c r="C83" s="338" t="s">
        <v>1126</v>
      </c>
      <c r="D83" s="338">
        <v>0</v>
      </c>
      <c r="E83" s="339"/>
      <c r="F83" s="339"/>
      <c r="G83" s="338" t="s">
        <v>1216</v>
      </c>
      <c r="H83" s="340"/>
      <c r="I83" s="340"/>
      <c r="J83" s="338" t="s">
        <v>1262</v>
      </c>
    </row>
    <row r="85" spans="2:10" ht="15.75" thickBot="1" x14ac:dyDescent="0.3">
      <c r="C85" s="341" t="s">
        <v>504</v>
      </c>
    </row>
    <row r="86" spans="2:10" ht="15.75" thickBot="1" x14ac:dyDescent="0.3">
      <c r="B86" s="342" t="s">
        <v>0</v>
      </c>
      <c r="C86" s="343" t="s">
        <v>1</v>
      </c>
      <c r="D86" s="344" t="s">
        <v>150</v>
      </c>
      <c r="E86" s="344" t="s">
        <v>447</v>
      </c>
      <c r="F86" s="344" t="s">
        <v>448</v>
      </c>
      <c r="G86" s="344" t="s">
        <v>2</v>
      </c>
      <c r="H86" s="344" t="s">
        <v>380</v>
      </c>
      <c r="I86" s="344" t="s">
        <v>114</v>
      </c>
      <c r="J86" s="345" t="s">
        <v>115</v>
      </c>
    </row>
    <row r="87" spans="2:10" x14ac:dyDescent="0.25">
      <c r="B87" s="337" t="s">
        <v>505</v>
      </c>
      <c r="C87" s="338" t="s">
        <v>506</v>
      </c>
      <c r="D87" s="338">
        <v>3.1415926500000002</v>
      </c>
      <c r="E87" s="339"/>
      <c r="F87" s="339"/>
      <c r="G87" s="338" t="s">
        <v>214</v>
      </c>
      <c r="H87" s="340"/>
      <c r="I87" s="340"/>
      <c r="J87" s="338"/>
    </row>
    <row r="89" spans="2:10" ht="15.75" thickBot="1" x14ac:dyDescent="0.3">
      <c r="C89" s="341" t="s">
        <v>507</v>
      </c>
    </row>
    <row r="90" spans="2:10" ht="15.75" thickBot="1" x14ac:dyDescent="0.3">
      <c r="B90" s="342" t="s">
        <v>0</v>
      </c>
      <c r="C90" s="343" t="s">
        <v>1</v>
      </c>
      <c r="D90" s="344" t="s">
        <v>150</v>
      </c>
      <c r="E90" s="344" t="s">
        <v>447</v>
      </c>
      <c r="F90" s="344" t="s">
        <v>448</v>
      </c>
      <c r="G90" s="344" t="s">
        <v>2</v>
      </c>
      <c r="H90" s="344" t="s">
        <v>380</v>
      </c>
      <c r="I90" s="344" t="s">
        <v>114</v>
      </c>
      <c r="J90" s="345" t="s">
        <v>115</v>
      </c>
    </row>
    <row r="91" spans="2:10" ht="18" x14ac:dyDescent="0.25">
      <c r="B91" s="337" t="s">
        <v>508</v>
      </c>
      <c r="C91" s="338" t="s">
        <v>509</v>
      </c>
      <c r="D91" s="338">
        <v>1.0079400000000001</v>
      </c>
      <c r="E91" s="339"/>
      <c r="F91" s="339"/>
      <c r="G91" s="338" t="s">
        <v>510</v>
      </c>
      <c r="H91" s="340"/>
      <c r="I91" s="340"/>
      <c r="J91" s="338"/>
    </row>
    <row r="92" spans="2:10" ht="18" x14ac:dyDescent="0.25">
      <c r="B92" s="337" t="s">
        <v>511</v>
      </c>
      <c r="C92" s="338" t="s">
        <v>512</v>
      </c>
      <c r="D92" s="338">
        <v>4.0026020000000004</v>
      </c>
      <c r="E92" s="339"/>
      <c r="F92" s="339"/>
      <c r="G92" s="338" t="s">
        <v>510</v>
      </c>
      <c r="H92" s="340"/>
      <c r="I92" s="340"/>
      <c r="J92" s="338"/>
    </row>
    <row r="93" spans="2:10" ht="18" x14ac:dyDescent="0.25">
      <c r="B93" s="337" t="s">
        <v>513</v>
      </c>
      <c r="C93" s="338" t="s">
        <v>514</v>
      </c>
      <c r="D93" s="338">
        <v>6.9409999999999998</v>
      </c>
      <c r="E93" s="339"/>
      <c r="F93" s="339"/>
      <c r="G93" s="338" t="s">
        <v>510</v>
      </c>
      <c r="H93" s="340"/>
      <c r="I93" s="340"/>
      <c r="J93" s="338"/>
    </row>
    <row r="94" spans="2:10" ht="18" x14ac:dyDescent="0.25">
      <c r="B94" s="337" t="s">
        <v>515</v>
      </c>
      <c r="C94" s="338" t="s">
        <v>516</v>
      </c>
      <c r="D94" s="338">
        <v>9.0121819999999992</v>
      </c>
      <c r="E94" s="339"/>
      <c r="F94" s="339"/>
      <c r="G94" s="338" t="s">
        <v>510</v>
      </c>
      <c r="H94" s="340"/>
      <c r="I94" s="340"/>
      <c r="J94" s="338"/>
    </row>
    <row r="95" spans="2:10" ht="18" x14ac:dyDescent="0.25">
      <c r="B95" s="337" t="s">
        <v>517</v>
      </c>
      <c r="C95" s="338" t="s">
        <v>518</v>
      </c>
      <c r="D95" s="338">
        <v>10.811</v>
      </c>
      <c r="E95" s="339"/>
      <c r="F95" s="339"/>
      <c r="G95" s="338" t="s">
        <v>510</v>
      </c>
      <c r="H95" s="340"/>
      <c r="I95" s="340"/>
      <c r="J95" s="338"/>
    </row>
    <row r="96" spans="2:10" ht="18" x14ac:dyDescent="0.25">
      <c r="B96" s="337" t="s">
        <v>519</v>
      </c>
      <c r="C96" s="338" t="s">
        <v>520</v>
      </c>
      <c r="D96" s="338">
        <v>12.0107</v>
      </c>
      <c r="E96" s="339"/>
      <c r="F96" s="339"/>
      <c r="G96" s="338" t="s">
        <v>510</v>
      </c>
      <c r="H96" s="340"/>
      <c r="I96" s="340"/>
      <c r="J96" s="338"/>
    </row>
    <row r="97" spans="2:10" ht="18" x14ac:dyDescent="0.25">
      <c r="B97" s="337" t="s">
        <v>521</v>
      </c>
      <c r="C97" s="338" t="s">
        <v>522</v>
      </c>
      <c r="D97" s="338">
        <v>14.0067</v>
      </c>
      <c r="E97" s="339"/>
      <c r="F97" s="339"/>
      <c r="G97" s="338" t="s">
        <v>510</v>
      </c>
      <c r="H97" s="340"/>
      <c r="I97" s="340"/>
      <c r="J97" s="338"/>
    </row>
    <row r="98" spans="2:10" ht="18" x14ac:dyDescent="0.25">
      <c r="B98" s="337" t="s">
        <v>523</v>
      </c>
      <c r="C98" s="338" t="s">
        <v>524</v>
      </c>
      <c r="D98" s="338">
        <v>15.9994</v>
      </c>
      <c r="E98" s="339"/>
      <c r="F98" s="339"/>
      <c r="G98" s="338" t="s">
        <v>510</v>
      </c>
      <c r="H98" s="340"/>
      <c r="I98" s="340"/>
      <c r="J98" s="338"/>
    </row>
    <row r="99" spans="2:10" ht="18" x14ac:dyDescent="0.25">
      <c r="B99" s="337" t="s">
        <v>525</v>
      </c>
      <c r="C99" s="338" t="s">
        <v>526</v>
      </c>
      <c r="D99" s="338">
        <v>18.998403</v>
      </c>
      <c r="E99" s="339"/>
      <c r="F99" s="339"/>
      <c r="G99" s="338" t="s">
        <v>510</v>
      </c>
      <c r="H99" s="340"/>
      <c r="I99" s="340"/>
      <c r="J99" s="338"/>
    </row>
    <row r="100" spans="2:10" ht="18" x14ac:dyDescent="0.25">
      <c r="B100" s="337" t="s">
        <v>527</v>
      </c>
      <c r="C100" s="338" t="s">
        <v>528</v>
      </c>
      <c r="D100" s="338">
        <v>20.1797</v>
      </c>
      <c r="E100" s="339"/>
      <c r="F100" s="339"/>
      <c r="G100" s="338" t="s">
        <v>510</v>
      </c>
      <c r="H100" s="340"/>
      <c r="I100" s="340"/>
      <c r="J100" s="338"/>
    </row>
    <row r="101" spans="2:10" ht="18" x14ac:dyDescent="0.25">
      <c r="B101" s="337" t="s">
        <v>529</v>
      </c>
      <c r="C101" s="338" t="s">
        <v>530</v>
      </c>
      <c r="D101" s="338">
        <v>22.989768999999999</v>
      </c>
      <c r="E101" s="339"/>
      <c r="F101" s="339"/>
      <c r="G101" s="338" t="s">
        <v>510</v>
      </c>
      <c r="H101" s="340"/>
      <c r="I101" s="340"/>
      <c r="J101" s="338"/>
    </row>
    <row r="102" spans="2:10" ht="18" x14ac:dyDescent="0.25">
      <c r="B102" s="337" t="s">
        <v>531</v>
      </c>
      <c r="C102" s="338" t="s">
        <v>532</v>
      </c>
      <c r="D102" s="338">
        <v>24.305</v>
      </c>
      <c r="E102" s="339"/>
      <c r="F102" s="339"/>
      <c r="G102" s="338" t="s">
        <v>510</v>
      </c>
      <c r="H102" s="340"/>
      <c r="I102" s="340"/>
      <c r="J102" s="338"/>
    </row>
    <row r="103" spans="2:10" ht="18" x14ac:dyDescent="0.25">
      <c r="B103" s="337" t="s">
        <v>533</v>
      </c>
      <c r="C103" s="338" t="s">
        <v>534</v>
      </c>
      <c r="D103" s="338">
        <v>26.9815</v>
      </c>
      <c r="E103" s="339"/>
      <c r="F103" s="339"/>
      <c r="G103" s="338" t="s">
        <v>510</v>
      </c>
      <c r="H103" s="340"/>
      <c r="I103" s="340"/>
      <c r="J103" s="338"/>
    </row>
    <row r="104" spans="2:10" ht="18" x14ac:dyDescent="0.25">
      <c r="B104" s="337" t="s">
        <v>535</v>
      </c>
      <c r="C104" s="338" t="s">
        <v>536</v>
      </c>
      <c r="D104" s="338">
        <v>28.0855</v>
      </c>
      <c r="E104" s="339"/>
      <c r="F104" s="339"/>
      <c r="G104" s="338" t="s">
        <v>510</v>
      </c>
      <c r="H104" s="340"/>
      <c r="I104" s="340"/>
      <c r="J104" s="338"/>
    </row>
    <row r="105" spans="2:10" ht="18" x14ac:dyDescent="0.25">
      <c r="B105" s="337" t="s">
        <v>537</v>
      </c>
      <c r="C105" s="338" t="s">
        <v>538</v>
      </c>
      <c r="D105" s="338">
        <v>30.973762199999999</v>
      </c>
      <c r="E105" s="339"/>
      <c r="F105" s="339"/>
      <c r="G105" s="338" t="s">
        <v>510</v>
      </c>
      <c r="H105" s="340"/>
      <c r="I105" s="340"/>
      <c r="J105" s="338"/>
    </row>
    <row r="106" spans="2:10" ht="18" x14ac:dyDescent="0.25">
      <c r="B106" s="337" t="s">
        <v>539</v>
      </c>
      <c r="C106" s="338" t="s">
        <v>540</v>
      </c>
      <c r="D106" s="338">
        <v>32.064999999999998</v>
      </c>
      <c r="E106" s="339"/>
      <c r="F106" s="339"/>
      <c r="G106" s="338" t="s">
        <v>510</v>
      </c>
      <c r="H106" s="340"/>
      <c r="I106" s="340"/>
      <c r="J106" s="338"/>
    </row>
    <row r="107" spans="2:10" ht="18" x14ac:dyDescent="0.25">
      <c r="B107" s="337" t="s">
        <v>541</v>
      </c>
      <c r="C107" s="338" t="s">
        <v>542</v>
      </c>
      <c r="D107" s="338">
        <v>35.453000000000003</v>
      </c>
      <c r="E107" s="339"/>
      <c r="F107" s="339"/>
      <c r="G107" s="338" t="s">
        <v>510</v>
      </c>
      <c r="H107" s="340"/>
      <c r="I107" s="340"/>
      <c r="J107" s="338"/>
    </row>
    <row r="108" spans="2:10" ht="18" x14ac:dyDescent="0.25">
      <c r="B108" s="337" t="s">
        <v>543</v>
      </c>
      <c r="C108" s="338" t="s">
        <v>544</v>
      </c>
      <c r="D108" s="338">
        <v>39.948</v>
      </c>
      <c r="E108" s="339"/>
      <c r="F108" s="339"/>
      <c r="G108" s="338" t="s">
        <v>510</v>
      </c>
      <c r="H108" s="340"/>
      <c r="I108" s="340"/>
      <c r="J108" s="338"/>
    </row>
    <row r="109" spans="2:10" ht="18" x14ac:dyDescent="0.25">
      <c r="B109" s="337" t="s">
        <v>545</v>
      </c>
      <c r="C109" s="338" t="s">
        <v>546</v>
      </c>
      <c r="D109" s="338">
        <v>39.098300000000002</v>
      </c>
      <c r="E109" s="339"/>
      <c r="F109" s="339"/>
      <c r="G109" s="338" t="s">
        <v>510</v>
      </c>
      <c r="H109" s="340"/>
      <c r="I109" s="340"/>
      <c r="J109" s="338"/>
    </row>
    <row r="110" spans="2:10" ht="18" x14ac:dyDescent="0.25">
      <c r="B110" s="337" t="s">
        <v>547</v>
      </c>
      <c r="C110" s="338" t="s">
        <v>548</v>
      </c>
      <c r="D110" s="338">
        <v>40.078000000000003</v>
      </c>
      <c r="E110" s="339"/>
      <c r="F110" s="339"/>
      <c r="G110" s="338" t="s">
        <v>510</v>
      </c>
      <c r="H110" s="340"/>
      <c r="I110" s="340"/>
      <c r="J110" s="338"/>
    </row>
    <row r="111" spans="2:10" ht="18" x14ac:dyDescent="0.25">
      <c r="B111" s="337" t="s">
        <v>549</v>
      </c>
      <c r="C111" s="338" t="s">
        <v>550</v>
      </c>
      <c r="D111" s="338">
        <v>44.955911999999998</v>
      </c>
      <c r="E111" s="339"/>
      <c r="F111" s="339"/>
      <c r="G111" s="338" t="s">
        <v>510</v>
      </c>
      <c r="H111" s="340"/>
      <c r="I111" s="340"/>
      <c r="J111" s="338"/>
    </row>
    <row r="112" spans="2:10" ht="18" x14ac:dyDescent="0.25">
      <c r="B112" s="337" t="s">
        <v>551</v>
      </c>
      <c r="C112" s="338" t="s">
        <v>552</v>
      </c>
      <c r="D112" s="338">
        <v>47.866999999999997</v>
      </c>
      <c r="E112" s="339"/>
      <c r="F112" s="339"/>
      <c r="G112" s="338" t="s">
        <v>510</v>
      </c>
      <c r="H112" s="340"/>
      <c r="I112" s="340"/>
      <c r="J112" s="338"/>
    </row>
    <row r="113" spans="2:10" ht="18" x14ac:dyDescent="0.25">
      <c r="B113" s="337" t="s">
        <v>553</v>
      </c>
      <c r="C113" s="338" t="s">
        <v>554</v>
      </c>
      <c r="D113" s="338">
        <v>50.941499999999998</v>
      </c>
      <c r="E113" s="339"/>
      <c r="F113" s="339"/>
      <c r="G113" s="338" t="s">
        <v>510</v>
      </c>
      <c r="H113" s="340"/>
      <c r="I113" s="340"/>
      <c r="J113" s="338"/>
    </row>
    <row r="114" spans="2:10" ht="18" x14ac:dyDescent="0.25">
      <c r="B114" s="337" t="s">
        <v>555</v>
      </c>
      <c r="C114" s="338" t="s">
        <v>556</v>
      </c>
      <c r="D114" s="338">
        <v>51.996099999999998</v>
      </c>
      <c r="E114" s="339"/>
      <c r="F114" s="339"/>
      <c r="G114" s="338" t="s">
        <v>510</v>
      </c>
      <c r="H114" s="340"/>
      <c r="I114" s="340"/>
      <c r="J114" s="338"/>
    </row>
    <row r="115" spans="2:10" ht="18" x14ac:dyDescent="0.25">
      <c r="B115" s="337" t="s">
        <v>557</v>
      </c>
      <c r="C115" s="338" t="s">
        <v>558</v>
      </c>
      <c r="D115" s="338">
        <v>54.938045000000002</v>
      </c>
      <c r="E115" s="339"/>
      <c r="F115" s="339"/>
      <c r="G115" s="338" t="s">
        <v>510</v>
      </c>
      <c r="H115" s="340"/>
      <c r="I115" s="340"/>
      <c r="J115" s="338"/>
    </row>
    <row r="116" spans="2:10" ht="18" x14ac:dyDescent="0.25">
      <c r="B116" s="337" t="s">
        <v>559</v>
      </c>
      <c r="C116" s="338" t="s">
        <v>560</v>
      </c>
      <c r="D116" s="338">
        <v>55.844999999999999</v>
      </c>
      <c r="E116" s="339"/>
      <c r="F116" s="339"/>
      <c r="G116" s="338" t="s">
        <v>510</v>
      </c>
      <c r="H116" s="340"/>
      <c r="I116" s="340"/>
      <c r="J116" s="338"/>
    </row>
    <row r="117" spans="2:10" ht="18" x14ac:dyDescent="0.25">
      <c r="B117" s="337" t="s">
        <v>561</v>
      </c>
      <c r="C117" s="338" t="s">
        <v>562</v>
      </c>
      <c r="D117" s="338">
        <v>58.933194999999998</v>
      </c>
      <c r="E117" s="339"/>
      <c r="F117" s="339"/>
      <c r="G117" s="338" t="s">
        <v>510</v>
      </c>
      <c r="H117" s="340"/>
      <c r="I117" s="340"/>
      <c r="J117" s="338"/>
    </row>
    <row r="118" spans="2:10" ht="18" x14ac:dyDescent="0.25">
      <c r="B118" s="337" t="s">
        <v>563</v>
      </c>
      <c r="C118" s="338" t="s">
        <v>564</v>
      </c>
      <c r="D118" s="338">
        <v>58.693399999999997</v>
      </c>
      <c r="E118" s="339"/>
      <c r="F118" s="339"/>
      <c r="G118" s="338" t="s">
        <v>510</v>
      </c>
      <c r="H118" s="340"/>
      <c r="I118" s="340"/>
      <c r="J118" s="338"/>
    </row>
    <row r="119" spans="2:10" ht="18" x14ac:dyDescent="0.25">
      <c r="B119" s="337" t="s">
        <v>565</v>
      </c>
      <c r="C119" s="338" t="s">
        <v>566</v>
      </c>
      <c r="D119" s="338">
        <v>63.545999999999999</v>
      </c>
      <c r="E119" s="339"/>
      <c r="F119" s="339"/>
      <c r="G119" s="338" t="s">
        <v>510</v>
      </c>
      <c r="H119" s="340"/>
      <c r="I119" s="340"/>
      <c r="J119" s="338"/>
    </row>
    <row r="120" spans="2:10" ht="18" x14ac:dyDescent="0.25">
      <c r="B120" s="337" t="s">
        <v>567</v>
      </c>
      <c r="C120" s="338" t="s">
        <v>568</v>
      </c>
      <c r="D120" s="338">
        <v>65.38</v>
      </c>
      <c r="E120" s="339"/>
      <c r="F120" s="339"/>
      <c r="G120" s="338" t="s">
        <v>510</v>
      </c>
      <c r="H120" s="340"/>
      <c r="I120" s="340"/>
      <c r="J120" s="338"/>
    </row>
    <row r="121" spans="2:10" ht="18" x14ac:dyDescent="0.25">
      <c r="B121" s="337" t="s">
        <v>569</v>
      </c>
      <c r="C121" s="338" t="s">
        <v>570</v>
      </c>
      <c r="D121" s="338">
        <v>69.722999999999999</v>
      </c>
      <c r="E121" s="339"/>
      <c r="F121" s="339"/>
      <c r="G121" s="338" t="s">
        <v>510</v>
      </c>
      <c r="H121" s="340"/>
      <c r="I121" s="340"/>
      <c r="J121" s="338"/>
    </row>
    <row r="122" spans="2:10" ht="18" x14ac:dyDescent="0.25">
      <c r="B122" s="337" t="s">
        <v>571</v>
      </c>
      <c r="C122" s="338" t="s">
        <v>572</v>
      </c>
      <c r="D122" s="338">
        <v>72.64</v>
      </c>
      <c r="E122" s="339"/>
      <c r="F122" s="339"/>
      <c r="G122" s="338" t="s">
        <v>510</v>
      </c>
      <c r="H122" s="340"/>
      <c r="I122" s="340"/>
      <c r="J122" s="338"/>
    </row>
    <row r="123" spans="2:10" ht="18" x14ac:dyDescent="0.25">
      <c r="B123" s="337" t="s">
        <v>573</v>
      </c>
      <c r="C123" s="338" t="s">
        <v>574</v>
      </c>
      <c r="D123" s="338">
        <v>74.921599999999998</v>
      </c>
      <c r="E123" s="339"/>
      <c r="F123" s="339"/>
      <c r="G123" s="338" t="s">
        <v>510</v>
      </c>
      <c r="H123" s="340"/>
      <c r="I123" s="340"/>
      <c r="J123" s="338"/>
    </row>
    <row r="124" spans="2:10" ht="18" x14ac:dyDescent="0.25">
      <c r="B124" s="337" t="s">
        <v>575</v>
      </c>
      <c r="C124" s="338" t="s">
        <v>576</v>
      </c>
      <c r="D124" s="338">
        <v>78.959999999999994</v>
      </c>
      <c r="E124" s="339"/>
      <c r="F124" s="339"/>
      <c r="G124" s="338" t="s">
        <v>510</v>
      </c>
      <c r="H124" s="340"/>
      <c r="I124" s="340"/>
      <c r="J124" s="338"/>
    </row>
    <row r="125" spans="2:10" ht="18" x14ac:dyDescent="0.25">
      <c r="B125" s="337" t="s">
        <v>577</v>
      </c>
      <c r="C125" s="338" t="s">
        <v>578</v>
      </c>
      <c r="D125" s="338">
        <v>79.903999999999996</v>
      </c>
      <c r="E125" s="339"/>
      <c r="F125" s="339"/>
      <c r="G125" s="338" t="s">
        <v>510</v>
      </c>
      <c r="H125" s="340"/>
      <c r="I125" s="340"/>
      <c r="J125" s="338"/>
    </row>
    <row r="126" spans="2:10" ht="18" x14ac:dyDescent="0.25">
      <c r="B126" s="337" t="s">
        <v>579</v>
      </c>
      <c r="C126" s="338" t="s">
        <v>580</v>
      </c>
      <c r="D126" s="338">
        <v>83.798000000000002</v>
      </c>
      <c r="E126" s="339"/>
      <c r="F126" s="339"/>
      <c r="G126" s="338" t="s">
        <v>510</v>
      </c>
      <c r="H126" s="340"/>
      <c r="I126" s="340"/>
      <c r="J126" s="338"/>
    </row>
    <row r="127" spans="2:10" ht="18" x14ac:dyDescent="0.25">
      <c r="B127" s="337" t="s">
        <v>581</v>
      </c>
      <c r="C127" s="338" t="s">
        <v>582</v>
      </c>
      <c r="D127" s="338">
        <v>85.467799999999997</v>
      </c>
      <c r="E127" s="339"/>
      <c r="F127" s="339"/>
      <c r="G127" s="338" t="s">
        <v>510</v>
      </c>
      <c r="H127" s="340"/>
      <c r="I127" s="340"/>
      <c r="J127" s="338"/>
    </row>
    <row r="128" spans="2:10" ht="18" x14ac:dyDescent="0.25">
      <c r="B128" s="337" t="s">
        <v>583</v>
      </c>
      <c r="C128" s="338" t="s">
        <v>584</v>
      </c>
      <c r="D128" s="338">
        <v>87.62</v>
      </c>
      <c r="E128" s="339"/>
      <c r="F128" s="339"/>
      <c r="G128" s="338" t="s">
        <v>510</v>
      </c>
      <c r="H128" s="340"/>
      <c r="I128" s="340"/>
      <c r="J128" s="338"/>
    </row>
    <row r="129" spans="2:10" ht="18" x14ac:dyDescent="0.25">
      <c r="B129" s="337" t="s">
        <v>585</v>
      </c>
      <c r="C129" s="338" t="s">
        <v>586</v>
      </c>
      <c r="D129" s="338">
        <v>88.905850000000001</v>
      </c>
      <c r="E129" s="339"/>
      <c r="F129" s="339"/>
      <c r="G129" s="338" t="s">
        <v>510</v>
      </c>
      <c r="H129" s="340"/>
      <c r="I129" s="340"/>
      <c r="J129" s="338"/>
    </row>
    <row r="130" spans="2:10" ht="18" x14ac:dyDescent="0.25">
      <c r="B130" s="337" t="s">
        <v>587</v>
      </c>
      <c r="C130" s="338" t="s">
        <v>588</v>
      </c>
      <c r="D130" s="338">
        <v>91.224000000000004</v>
      </c>
      <c r="E130" s="339"/>
      <c r="F130" s="339"/>
      <c r="G130" s="338" t="s">
        <v>510</v>
      </c>
      <c r="H130" s="340"/>
      <c r="I130" s="340"/>
      <c r="J130" s="338"/>
    </row>
    <row r="131" spans="2:10" ht="18" x14ac:dyDescent="0.25">
      <c r="B131" s="337" t="s">
        <v>589</v>
      </c>
      <c r="C131" s="338" t="s">
        <v>590</v>
      </c>
      <c r="D131" s="338">
        <v>92.906379999999999</v>
      </c>
      <c r="E131" s="339"/>
      <c r="F131" s="339"/>
      <c r="G131" s="338" t="s">
        <v>510</v>
      </c>
      <c r="H131" s="340"/>
      <c r="I131" s="340"/>
      <c r="J131" s="338"/>
    </row>
    <row r="132" spans="2:10" ht="18" x14ac:dyDescent="0.25">
      <c r="B132" s="337" t="s">
        <v>591</v>
      </c>
      <c r="C132" s="338" t="s">
        <v>592</v>
      </c>
      <c r="D132" s="338">
        <v>95.94</v>
      </c>
      <c r="E132" s="339"/>
      <c r="F132" s="339"/>
      <c r="G132" s="338" t="s">
        <v>510</v>
      </c>
      <c r="H132" s="340"/>
      <c r="I132" s="340"/>
      <c r="J132" s="338"/>
    </row>
    <row r="133" spans="2:10" ht="18" x14ac:dyDescent="0.25">
      <c r="B133" s="337" t="s">
        <v>593</v>
      </c>
      <c r="C133" s="338" t="s">
        <v>594</v>
      </c>
      <c r="D133" s="338">
        <v>98</v>
      </c>
      <c r="E133" s="339"/>
      <c r="F133" s="339"/>
      <c r="G133" s="338" t="s">
        <v>510</v>
      </c>
      <c r="H133" s="340"/>
      <c r="I133" s="340"/>
      <c r="J133" s="338"/>
    </row>
    <row r="134" spans="2:10" ht="18" x14ac:dyDescent="0.25">
      <c r="B134" s="337" t="s">
        <v>595</v>
      </c>
      <c r="C134" s="338" t="s">
        <v>596</v>
      </c>
      <c r="D134" s="338">
        <v>101.07</v>
      </c>
      <c r="E134" s="339"/>
      <c r="F134" s="339"/>
      <c r="G134" s="338" t="s">
        <v>510</v>
      </c>
      <c r="H134" s="340"/>
      <c r="I134" s="340"/>
      <c r="J134" s="338"/>
    </row>
    <row r="135" spans="2:10" ht="18" x14ac:dyDescent="0.25">
      <c r="B135" s="337" t="s">
        <v>597</v>
      </c>
      <c r="C135" s="338" t="s">
        <v>598</v>
      </c>
      <c r="D135" s="338">
        <v>102.9055</v>
      </c>
      <c r="E135" s="339"/>
      <c r="F135" s="339"/>
      <c r="G135" s="338" t="s">
        <v>510</v>
      </c>
      <c r="H135" s="340"/>
      <c r="I135" s="340"/>
      <c r="J135" s="338"/>
    </row>
    <row r="136" spans="2:10" ht="18" x14ac:dyDescent="0.25">
      <c r="B136" s="337" t="s">
        <v>599</v>
      </c>
      <c r="C136" s="338" t="s">
        <v>600</v>
      </c>
      <c r="D136" s="338">
        <v>106.42</v>
      </c>
      <c r="E136" s="339"/>
      <c r="F136" s="339"/>
      <c r="G136" s="338" t="s">
        <v>510</v>
      </c>
      <c r="H136" s="340"/>
      <c r="I136" s="340"/>
      <c r="J136" s="338"/>
    </row>
    <row r="137" spans="2:10" ht="18" x14ac:dyDescent="0.25">
      <c r="B137" s="337" t="s">
        <v>601</v>
      </c>
      <c r="C137" s="338" t="s">
        <v>602</v>
      </c>
      <c r="D137" s="338">
        <v>107.8682</v>
      </c>
      <c r="E137" s="339"/>
      <c r="F137" s="339"/>
      <c r="G137" s="338" t="s">
        <v>510</v>
      </c>
      <c r="H137" s="340"/>
      <c r="I137" s="340"/>
      <c r="J137" s="338"/>
    </row>
    <row r="138" spans="2:10" ht="18" x14ac:dyDescent="0.25">
      <c r="B138" s="337" t="s">
        <v>603</v>
      </c>
      <c r="C138" s="338" t="s">
        <v>604</v>
      </c>
      <c r="D138" s="338">
        <v>112.411</v>
      </c>
      <c r="E138" s="339"/>
      <c r="F138" s="339"/>
      <c r="G138" s="338" t="s">
        <v>510</v>
      </c>
      <c r="H138" s="340"/>
      <c r="I138" s="340"/>
      <c r="J138" s="338"/>
    </row>
    <row r="139" spans="2:10" ht="18" x14ac:dyDescent="0.25">
      <c r="B139" s="337" t="s">
        <v>605</v>
      </c>
      <c r="C139" s="338" t="s">
        <v>606</v>
      </c>
      <c r="D139" s="338">
        <v>114.818</v>
      </c>
      <c r="E139" s="339"/>
      <c r="F139" s="339"/>
      <c r="G139" s="338" t="s">
        <v>510</v>
      </c>
      <c r="H139" s="340"/>
      <c r="I139" s="340"/>
      <c r="J139" s="338"/>
    </row>
    <row r="140" spans="2:10" ht="18" x14ac:dyDescent="0.25">
      <c r="B140" s="337" t="s">
        <v>607</v>
      </c>
      <c r="C140" s="338" t="s">
        <v>608</v>
      </c>
      <c r="D140" s="338">
        <v>118.71</v>
      </c>
      <c r="E140" s="339"/>
      <c r="F140" s="339"/>
      <c r="G140" s="338" t="s">
        <v>510</v>
      </c>
      <c r="H140" s="340"/>
      <c r="I140" s="340"/>
      <c r="J140" s="338"/>
    </row>
    <row r="141" spans="2:10" ht="18" x14ac:dyDescent="0.25">
      <c r="B141" s="337" t="s">
        <v>609</v>
      </c>
      <c r="C141" s="338" t="s">
        <v>610</v>
      </c>
      <c r="D141" s="338">
        <v>121.76</v>
      </c>
      <c r="E141" s="339"/>
      <c r="F141" s="339"/>
      <c r="G141" s="338" t="s">
        <v>510</v>
      </c>
      <c r="H141" s="340"/>
      <c r="I141" s="340"/>
      <c r="J141" s="338"/>
    </row>
    <row r="142" spans="2:10" ht="18" x14ac:dyDescent="0.25">
      <c r="B142" s="337" t="s">
        <v>611</v>
      </c>
      <c r="C142" s="338" t="s">
        <v>612</v>
      </c>
      <c r="D142" s="338">
        <v>127.6</v>
      </c>
      <c r="E142" s="339"/>
      <c r="F142" s="339"/>
      <c r="G142" s="338" t="s">
        <v>510</v>
      </c>
      <c r="H142" s="340"/>
      <c r="I142" s="340"/>
      <c r="J142" s="338"/>
    </row>
    <row r="143" spans="2:10" ht="18" x14ac:dyDescent="0.25">
      <c r="B143" s="337" t="s">
        <v>613</v>
      </c>
      <c r="C143" s="338" t="s">
        <v>614</v>
      </c>
      <c r="D143" s="338">
        <v>126.90447</v>
      </c>
      <c r="E143" s="339"/>
      <c r="F143" s="339"/>
      <c r="G143" s="338" t="s">
        <v>510</v>
      </c>
      <c r="H143" s="340"/>
      <c r="I143" s="340"/>
      <c r="J143" s="338"/>
    </row>
    <row r="144" spans="2:10" ht="18" x14ac:dyDescent="0.25">
      <c r="B144" s="337" t="s">
        <v>615</v>
      </c>
      <c r="C144" s="338" t="s">
        <v>616</v>
      </c>
      <c r="D144" s="338">
        <v>131.29300000000001</v>
      </c>
      <c r="E144" s="339"/>
      <c r="F144" s="339"/>
      <c r="G144" s="338" t="s">
        <v>510</v>
      </c>
      <c r="H144" s="340"/>
      <c r="I144" s="340"/>
      <c r="J144" s="338"/>
    </row>
    <row r="145" spans="2:10" ht="18" x14ac:dyDescent="0.25">
      <c r="B145" s="337" t="s">
        <v>617</v>
      </c>
      <c r="C145" s="338" t="s">
        <v>618</v>
      </c>
      <c r="D145" s="338">
        <v>132.90545</v>
      </c>
      <c r="E145" s="339"/>
      <c r="F145" s="339"/>
      <c r="G145" s="338" t="s">
        <v>510</v>
      </c>
      <c r="H145" s="340"/>
      <c r="I145" s="340"/>
      <c r="J145" s="338"/>
    </row>
    <row r="146" spans="2:10" ht="18" x14ac:dyDescent="0.25">
      <c r="B146" s="337" t="s">
        <v>619</v>
      </c>
      <c r="C146" s="338" t="s">
        <v>620</v>
      </c>
      <c r="D146" s="338">
        <v>137.327</v>
      </c>
      <c r="E146" s="339"/>
      <c r="F146" s="339"/>
      <c r="G146" s="338" t="s">
        <v>510</v>
      </c>
      <c r="H146" s="340"/>
      <c r="I146" s="340"/>
      <c r="J146" s="338"/>
    </row>
    <row r="147" spans="2:10" ht="18" x14ac:dyDescent="0.25">
      <c r="B147" s="337" t="s">
        <v>621</v>
      </c>
      <c r="C147" s="338" t="s">
        <v>622</v>
      </c>
      <c r="D147" s="338">
        <v>138.90547000000001</v>
      </c>
      <c r="E147" s="339"/>
      <c r="F147" s="339"/>
      <c r="G147" s="338" t="s">
        <v>510</v>
      </c>
      <c r="H147" s="340"/>
      <c r="I147" s="340"/>
      <c r="J147" s="338"/>
    </row>
    <row r="148" spans="2:10" ht="18" x14ac:dyDescent="0.25">
      <c r="B148" s="337" t="s">
        <v>623</v>
      </c>
      <c r="C148" s="338" t="s">
        <v>624</v>
      </c>
      <c r="D148" s="338">
        <v>140.11600000000001</v>
      </c>
      <c r="E148" s="339"/>
      <c r="F148" s="339"/>
      <c r="G148" s="338" t="s">
        <v>510</v>
      </c>
      <c r="H148" s="340"/>
      <c r="I148" s="340"/>
      <c r="J148" s="338"/>
    </row>
    <row r="149" spans="2:10" ht="18" x14ac:dyDescent="0.25">
      <c r="B149" s="337" t="s">
        <v>625</v>
      </c>
      <c r="C149" s="338" t="s">
        <v>626</v>
      </c>
      <c r="D149" s="338">
        <v>140.90764999999999</v>
      </c>
      <c r="E149" s="339"/>
      <c r="F149" s="339"/>
      <c r="G149" s="338" t="s">
        <v>510</v>
      </c>
      <c r="H149" s="340"/>
      <c r="I149" s="340"/>
      <c r="J149" s="338"/>
    </row>
    <row r="150" spans="2:10" ht="18" x14ac:dyDescent="0.25">
      <c r="B150" s="337" t="s">
        <v>627</v>
      </c>
      <c r="C150" s="338" t="s">
        <v>628</v>
      </c>
      <c r="D150" s="338">
        <v>144.24199999999999</v>
      </c>
      <c r="E150" s="339"/>
      <c r="F150" s="339"/>
      <c r="G150" s="338" t="s">
        <v>510</v>
      </c>
      <c r="H150" s="340"/>
      <c r="I150" s="340"/>
      <c r="J150" s="338"/>
    </row>
    <row r="151" spans="2:10" ht="18" x14ac:dyDescent="0.25">
      <c r="B151" s="337" t="s">
        <v>629</v>
      </c>
      <c r="C151" s="338" t="s">
        <v>630</v>
      </c>
      <c r="D151" s="338">
        <v>145</v>
      </c>
      <c r="E151" s="339"/>
      <c r="F151" s="339"/>
      <c r="G151" s="338" t="s">
        <v>510</v>
      </c>
      <c r="H151" s="340"/>
      <c r="I151" s="340"/>
      <c r="J151" s="338"/>
    </row>
    <row r="152" spans="2:10" ht="18" x14ac:dyDescent="0.25">
      <c r="B152" s="337" t="s">
        <v>631</v>
      </c>
      <c r="C152" s="338" t="s">
        <v>632</v>
      </c>
      <c r="D152" s="338">
        <v>150.36000000000001</v>
      </c>
      <c r="E152" s="339"/>
      <c r="F152" s="339"/>
      <c r="G152" s="338" t="s">
        <v>510</v>
      </c>
      <c r="H152" s="340"/>
      <c r="I152" s="340"/>
      <c r="J152" s="338"/>
    </row>
    <row r="153" spans="2:10" ht="18" x14ac:dyDescent="0.25">
      <c r="B153" s="337" t="s">
        <v>633</v>
      </c>
      <c r="C153" s="338" t="s">
        <v>634</v>
      </c>
      <c r="D153" s="338">
        <v>151.964</v>
      </c>
      <c r="E153" s="339"/>
      <c r="F153" s="339"/>
      <c r="G153" s="338" t="s">
        <v>510</v>
      </c>
      <c r="H153" s="340"/>
      <c r="I153" s="340"/>
      <c r="J153" s="338"/>
    </row>
    <row r="154" spans="2:10" ht="18" x14ac:dyDescent="0.25">
      <c r="B154" s="337" t="s">
        <v>635</v>
      </c>
      <c r="C154" s="338" t="s">
        <v>636</v>
      </c>
      <c r="D154" s="338">
        <v>157.25</v>
      </c>
      <c r="E154" s="339"/>
      <c r="F154" s="339"/>
      <c r="G154" s="338" t="s">
        <v>510</v>
      </c>
      <c r="H154" s="340"/>
      <c r="I154" s="340"/>
      <c r="J154" s="338"/>
    </row>
    <row r="155" spans="2:10" ht="18" x14ac:dyDescent="0.25">
      <c r="B155" s="337" t="s">
        <v>637</v>
      </c>
      <c r="C155" s="338" t="s">
        <v>638</v>
      </c>
      <c r="D155" s="338">
        <v>158.92535000000001</v>
      </c>
      <c r="E155" s="339"/>
      <c r="F155" s="339"/>
      <c r="G155" s="338" t="s">
        <v>510</v>
      </c>
      <c r="H155" s="340"/>
      <c r="I155" s="340"/>
      <c r="J155" s="338"/>
    </row>
    <row r="156" spans="2:10" ht="18" x14ac:dyDescent="0.25">
      <c r="B156" s="337" t="s">
        <v>639</v>
      </c>
      <c r="C156" s="338" t="s">
        <v>640</v>
      </c>
      <c r="D156" s="338">
        <v>162.5</v>
      </c>
      <c r="E156" s="339"/>
      <c r="F156" s="339"/>
      <c r="G156" s="338" t="s">
        <v>510</v>
      </c>
      <c r="H156" s="340"/>
      <c r="I156" s="340"/>
      <c r="J156" s="338"/>
    </row>
    <row r="157" spans="2:10" ht="18" x14ac:dyDescent="0.25">
      <c r="B157" s="337" t="s">
        <v>641</v>
      </c>
      <c r="C157" s="338" t="s">
        <v>642</v>
      </c>
      <c r="D157" s="338">
        <v>164.93031999999999</v>
      </c>
      <c r="E157" s="339"/>
      <c r="F157" s="339"/>
      <c r="G157" s="338" t="s">
        <v>510</v>
      </c>
      <c r="H157" s="340"/>
      <c r="I157" s="340"/>
      <c r="J157" s="338"/>
    </row>
    <row r="158" spans="2:10" ht="18" x14ac:dyDescent="0.25">
      <c r="B158" s="337" t="s">
        <v>643</v>
      </c>
      <c r="C158" s="338" t="s">
        <v>644</v>
      </c>
      <c r="D158" s="338">
        <v>167.25899999999999</v>
      </c>
      <c r="E158" s="339"/>
      <c r="F158" s="339"/>
      <c r="G158" s="338" t="s">
        <v>510</v>
      </c>
      <c r="H158" s="340"/>
      <c r="I158" s="340"/>
      <c r="J158" s="338"/>
    </row>
    <row r="159" spans="2:10" ht="18" x14ac:dyDescent="0.25">
      <c r="B159" s="337" t="s">
        <v>645</v>
      </c>
      <c r="C159" s="338" t="s">
        <v>646</v>
      </c>
      <c r="D159" s="338">
        <v>168.93421000000001</v>
      </c>
      <c r="E159" s="339"/>
      <c r="F159" s="339"/>
      <c r="G159" s="338" t="s">
        <v>510</v>
      </c>
      <c r="H159" s="340"/>
      <c r="I159" s="340"/>
      <c r="J159" s="338"/>
    </row>
    <row r="160" spans="2:10" ht="18" x14ac:dyDescent="0.25">
      <c r="B160" s="337" t="s">
        <v>647</v>
      </c>
      <c r="C160" s="338" t="s">
        <v>648</v>
      </c>
      <c r="D160" s="338">
        <v>173.04</v>
      </c>
      <c r="E160" s="339"/>
      <c r="F160" s="339"/>
      <c r="G160" s="338" t="s">
        <v>510</v>
      </c>
      <c r="H160" s="340"/>
      <c r="I160" s="340"/>
      <c r="J160" s="338"/>
    </row>
    <row r="161" spans="2:10" ht="18" x14ac:dyDescent="0.25">
      <c r="B161" s="337" t="s">
        <v>649</v>
      </c>
      <c r="C161" s="338" t="s">
        <v>650</v>
      </c>
      <c r="D161" s="338">
        <v>174.96700000000001</v>
      </c>
      <c r="E161" s="339"/>
      <c r="F161" s="339"/>
      <c r="G161" s="338" t="s">
        <v>510</v>
      </c>
      <c r="H161" s="340"/>
      <c r="I161" s="340"/>
      <c r="J161" s="338"/>
    </row>
    <row r="162" spans="2:10" ht="18" x14ac:dyDescent="0.25">
      <c r="B162" s="337" t="s">
        <v>651</v>
      </c>
      <c r="C162" s="338" t="s">
        <v>652</v>
      </c>
      <c r="D162" s="338">
        <v>178.49</v>
      </c>
      <c r="E162" s="339"/>
      <c r="F162" s="339"/>
      <c r="G162" s="338" t="s">
        <v>510</v>
      </c>
      <c r="H162" s="340"/>
      <c r="I162" s="340"/>
      <c r="J162" s="338"/>
    </row>
    <row r="163" spans="2:10" ht="18" x14ac:dyDescent="0.25">
      <c r="B163" s="337" t="s">
        <v>653</v>
      </c>
      <c r="C163" s="338" t="s">
        <v>654</v>
      </c>
      <c r="D163" s="338">
        <v>180.94788</v>
      </c>
      <c r="E163" s="339"/>
      <c r="F163" s="339"/>
      <c r="G163" s="338" t="s">
        <v>510</v>
      </c>
      <c r="H163" s="340"/>
      <c r="I163" s="340"/>
      <c r="J163" s="338"/>
    </row>
    <row r="164" spans="2:10" ht="18" x14ac:dyDescent="0.25">
      <c r="B164" s="337" t="s">
        <v>655</v>
      </c>
      <c r="C164" s="338" t="s">
        <v>656</v>
      </c>
      <c r="D164" s="338">
        <v>183.84</v>
      </c>
      <c r="E164" s="339"/>
      <c r="F164" s="339"/>
      <c r="G164" s="338" t="s">
        <v>510</v>
      </c>
      <c r="H164" s="340"/>
      <c r="I164" s="340"/>
      <c r="J164" s="338"/>
    </row>
    <row r="165" spans="2:10" ht="18" x14ac:dyDescent="0.25">
      <c r="B165" s="337" t="s">
        <v>657</v>
      </c>
      <c r="C165" s="338" t="s">
        <v>658</v>
      </c>
      <c r="D165" s="338">
        <v>186.20699999999999</v>
      </c>
      <c r="E165" s="339"/>
      <c r="F165" s="339"/>
      <c r="G165" s="338" t="s">
        <v>510</v>
      </c>
      <c r="H165" s="340"/>
      <c r="I165" s="340"/>
      <c r="J165" s="338"/>
    </row>
    <row r="166" spans="2:10" ht="18" x14ac:dyDescent="0.25">
      <c r="B166" s="337" t="s">
        <v>659</v>
      </c>
      <c r="C166" s="338" t="s">
        <v>660</v>
      </c>
      <c r="D166" s="338">
        <v>190.23</v>
      </c>
      <c r="E166" s="339"/>
      <c r="F166" s="339"/>
      <c r="G166" s="338" t="s">
        <v>510</v>
      </c>
      <c r="H166" s="340"/>
      <c r="I166" s="340"/>
      <c r="J166" s="338"/>
    </row>
    <row r="167" spans="2:10" ht="18" x14ac:dyDescent="0.25">
      <c r="B167" s="337" t="s">
        <v>661</v>
      </c>
      <c r="C167" s="338" t="s">
        <v>662</v>
      </c>
      <c r="D167" s="338">
        <v>192.21700000000001</v>
      </c>
      <c r="E167" s="339"/>
      <c r="F167" s="339"/>
      <c r="G167" s="338" t="s">
        <v>510</v>
      </c>
      <c r="H167" s="340"/>
      <c r="I167" s="340"/>
      <c r="J167" s="338"/>
    </row>
    <row r="168" spans="2:10" ht="18" x14ac:dyDescent="0.25">
      <c r="B168" s="337" t="s">
        <v>663</v>
      </c>
      <c r="C168" s="338" t="s">
        <v>664</v>
      </c>
      <c r="D168" s="338">
        <v>195.084</v>
      </c>
      <c r="E168" s="339"/>
      <c r="F168" s="339"/>
      <c r="G168" s="338" t="s">
        <v>510</v>
      </c>
      <c r="H168" s="340"/>
      <c r="I168" s="340"/>
      <c r="J168" s="338"/>
    </row>
    <row r="169" spans="2:10" ht="18" x14ac:dyDescent="0.25">
      <c r="B169" s="337" t="s">
        <v>665</v>
      </c>
      <c r="C169" s="338" t="s">
        <v>666</v>
      </c>
      <c r="D169" s="338">
        <v>196.96656999999999</v>
      </c>
      <c r="E169" s="339"/>
      <c r="F169" s="339"/>
      <c r="G169" s="338" t="s">
        <v>510</v>
      </c>
      <c r="H169" s="340"/>
      <c r="I169" s="340"/>
      <c r="J169" s="338"/>
    </row>
    <row r="170" spans="2:10" ht="18" x14ac:dyDescent="0.25">
      <c r="B170" s="337" t="s">
        <v>667</v>
      </c>
      <c r="C170" s="338" t="s">
        <v>668</v>
      </c>
      <c r="D170" s="338">
        <v>200.59</v>
      </c>
      <c r="E170" s="339"/>
      <c r="F170" s="339"/>
      <c r="G170" s="338" t="s">
        <v>510</v>
      </c>
      <c r="H170" s="340"/>
      <c r="I170" s="340"/>
      <c r="J170" s="338"/>
    </row>
    <row r="171" spans="2:10" ht="18" x14ac:dyDescent="0.25">
      <c r="B171" s="337" t="s">
        <v>669</v>
      </c>
      <c r="C171" s="338" t="s">
        <v>670</v>
      </c>
      <c r="D171" s="338">
        <v>204.38329999999999</v>
      </c>
      <c r="E171" s="339"/>
      <c r="F171" s="339"/>
      <c r="G171" s="338" t="s">
        <v>510</v>
      </c>
      <c r="H171" s="340"/>
      <c r="I171" s="340"/>
      <c r="J171" s="338"/>
    </row>
    <row r="172" spans="2:10" ht="18" x14ac:dyDescent="0.25">
      <c r="B172" s="337" t="s">
        <v>671</v>
      </c>
      <c r="C172" s="338" t="s">
        <v>672</v>
      </c>
      <c r="D172" s="338">
        <v>207.2</v>
      </c>
      <c r="E172" s="339"/>
      <c r="F172" s="339"/>
      <c r="G172" s="338" t="s">
        <v>510</v>
      </c>
      <c r="H172" s="340"/>
      <c r="I172" s="340"/>
      <c r="J172" s="338"/>
    </row>
    <row r="173" spans="2:10" ht="18" x14ac:dyDescent="0.25">
      <c r="B173" s="337" t="s">
        <v>673</v>
      </c>
      <c r="C173" s="338" t="s">
        <v>674</v>
      </c>
      <c r="D173" s="338">
        <v>208.9804</v>
      </c>
      <c r="E173" s="339"/>
      <c r="F173" s="339"/>
      <c r="G173" s="338" t="s">
        <v>510</v>
      </c>
      <c r="H173" s="340"/>
      <c r="I173" s="340"/>
      <c r="J173" s="338"/>
    </row>
    <row r="174" spans="2:10" ht="18" x14ac:dyDescent="0.25">
      <c r="B174" s="337" t="s">
        <v>675</v>
      </c>
      <c r="C174" s="338" t="s">
        <v>676</v>
      </c>
      <c r="D174" s="338">
        <v>209</v>
      </c>
      <c r="E174" s="339"/>
      <c r="F174" s="339"/>
      <c r="G174" s="338" t="s">
        <v>510</v>
      </c>
      <c r="H174" s="340"/>
      <c r="I174" s="340"/>
      <c r="J174" s="338"/>
    </row>
    <row r="175" spans="2:10" ht="18" x14ac:dyDescent="0.25">
      <c r="B175" s="337" t="s">
        <v>677</v>
      </c>
      <c r="C175" s="338" t="s">
        <v>678</v>
      </c>
      <c r="D175" s="338">
        <v>210</v>
      </c>
      <c r="E175" s="339"/>
      <c r="F175" s="339"/>
      <c r="G175" s="338" t="s">
        <v>510</v>
      </c>
      <c r="H175" s="340"/>
      <c r="I175" s="340"/>
      <c r="J175" s="338"/>
    </row>
    <row r="176" spans="2:10" ht="18" x14ac:dyDescent="0.25">
      <c r="B176" s="337" t="s">
        <v>679</v>
      </c>
      <c r="C176" s="338" t="s">
        <v>680</v>
      </c>
      <c r="D176" s="338">
        <v>222</v>
      </c>
      <c r="E176" s="339"/>
      <c r="F176" s="339"/>
      <c r="G176" s="338" t="s">
        <v>510</v>
      </c>
      <c r="H176" s="340"/>
      <c r="I176" s="340"/>
      <c r="J176" s="338"/>
    </row>
    <row r="177" spans="2:10" ht="18" x14ac:dyDescent="0.25">
      <c r="B177" s="337" t="s">
        <v>681</v>
      </c>
      <c r="C177" s="338" t="s">
        <v>682</v>
      </c>
      <c r="D177" s="338">
        <v>223</v>
      </c>
      <c r="E177" s="339"/>
      <c r="F177" s="339"/>
      <c r="G177" s="338" t="s">
        <v>510</v>
      </c>
      <c r="H177" s="340"/>
      <c r="I177" s="340"/>
      <c r="J177" s="338"/>
    </row>
    <row r="178" spans="2:10" ht="18" x14ac:dyDescent="0.25">
      <c r="B178" s="337" t="s">
        <v>683</v>
      </c>
      <c r="C178" s="338" t="s">
        <v>684</v>
      </c>
      <c r="D178" s="338">
        <v>226</v>
      </c>
      <c r="E178" s="339"/>
      <c r="F178" s="339"/>
      <c r="G178" s="338" t="s">
        <v>510</v>
      </c>
      <c r="H178" s="340"/>
      <c r="I178" s="340"/>
      <c r="J178" s="338"/>
    </row>
    <row r="179" spans="2:10" ht="18" x14ac:dyDescent="0.25">
      <c r="B179" s="337" t="s">
        <v>685</v>
      </c>
      <c r="C179" s="338" t="s">
        <v>686</v>
      </c>
      <c r="D179" s="338">
        <v>227</v>
      </c>
      <c r="E179" s="339"/>
      <c r="F179" s="339"/>
      <c r="G179" s="338" t="s">
        <v>510</v>
      </c>
      <c r="H179" s="340"/>
      <c r="I179" s="340"/>
      <c r="J179" s="338"/>
    </row>
    <row r="180" spans="2:10" ht="18" x14ac:dyDescent="0.25">
      <c r="B180" s="337" t="s">
        <v>687</v>
      </c>
      <c r="C180" s="338" t="s">
        <v>688</v>
      </c>
      <c r="D180" s="338">
        <v>232.03806</v>
      </c>
      <c r="E180" s="339"/>
      <c r="F180" s="339"/>
      <c r="G180" s="338" t="s">
        <v>510</v>
      </c>
      <c r="H180" s="340"/>
      <c r="I180" s="340"/>
      <c r="J180" s="338"/>
    </row>
    <row r="181" spans="2:10" ht="18" x14ac:dyDescent="0.25">
      <c r="B181" s="337" t="s">
        <v>689</v>
      </c>
      <c r="C181" s="338" t="s">
        <v>690</v>
      </c>
      <c r="D181" s="338">
        <v>231.03587999999999</v>
      </c>
      <c r="E181" s="339"/>
      <c r="F181" s="339"/>
      <c r="G181" s="338" t="s">
        <v>510</v>
      </c>
      <c r="H181" s="340"/>
      <c r="I181" s="340"/>
      <c r="J181" s="338"/>
    </row>
    <row r="182" spans="2:10" ht="18" x14ac:dyDescent="0.25">
      <c r="B182" s="337" t="s">
        <v>691</v>
      </c>
      <c r="C182" s="338" t="s">
        <v>692</v>
      </c>
      <c r="D182" s="338">
        <v>238.02891</v>
      </c>
      <c r="E182" s="339"/>
      <c r="F182" s="339"/>
      <c r="G182" s="338" t="s">
        <v>510</v>
      </c>
      <c r="H182" s="340"/>
      <c r="I182" s="340"/>
      <c r="J182" s="338"/>
    </row>
    <row r="183" spans="2:10" ht="18" x14ac:dyDescent="0.25">
      <c r="B183" s="337" t="s">
        <v>693</v>
      </c>
      <c r="C183" s="338" t="s">
        <v>694</v>
      </c>
      <c r="D183" s="338">
        <v>237</v>
      </c>
      <c r="E183" s="339"/>
      <c r="F183" s="339"/>
      <c r="G183" s="338" t="s">
        <v>510</v>
      </c>
      <c r="H183" s="340"/>
      <c r="I183" s="340"/>
      <c r="J183" s="338"/>
    </row>
    <row r="184" spans="2:10" ht="18" x14ac:dyDescent="0.25">
      <c r="B184" s="337" t="s">
        <v>695</v>
      </c>
      <c r="C184" s="338" t="s">
        <v>696</v>
      </c>
      <c r="D184" s="338">
        <v>244</v>
      </c>
      <c r="E184" s="339"/>
      <c r="F184" s="339"/>
      <c r="G184" s="338" t="s">
        <v>510</v>
      </c>
      <c r="H184" s="340"/>
      <c r="I184" s="340"/>
      <c r="J184" s="338"/>
    </row>
    <row r="185" spans="2:10" ht="18" x14ac:dyDescent="0.25">
      <c r="B185" s="337" t="s">
        <v>697</v>
      </c>
      <c r="C185" s="338" t="s">
        <v>698</v>
      </c>
      <c r="D185" s="338">
        <v>243</v>
      </c>
      <c r="E185" s="339"/>
      <c r="F185" s="339"/>
      <c r="G185" s="338" t="s">
        <v>510</v>
      </c>
      <c r="H185" s="340"/>
      <c r="I185" s="340"/>
      <c r="J185" s="338"/>
    </row>
    <row r="186" spans="2:10" ht="18" x14ac:dyDescent="0.25">
      <c r="B186" s="337" t="s">
        <v>699</v>
      </c>
      <c r="C186" s="338" t="s">
        <v>700</v>
      </c>
      <c r="D186" s="338">
        <v>247</v>
      </c>
      <c r="E186" s="339"/>
      <c r="F186" s="339"/>
      <c r="G186" s="338" t="s">
        <v>510</v>
      </c>
      <c r="H186" s="340"/>
      <c r="I186" s="340"/>
      <c r="J186" s="338"/>
    </row>
    <row r="187" spans="2:10" ht="18" x14ac:dyDescent="0.25">
      <c r="B187" s="337" t="s">
        <v>701</v>
      </c>
      <c r="C187" s="338" t="s">
        <v>702</v>
      </c>
      <c r="D187" s="338">
        <v>247</v>
      </c>
      <c r="E187" s="339"/>
      <c r="F187" s="339"/>
      <c r="G187" s="338" t="s">
        <v>510</v>
      </c>
      <c r="H187" s="340"/>
      <c r="I187" s="340"/>
      <c r="J187" s="338"/>
    </row>
    <row r="188" spans="2:10" ht="18" x14ac:dyDescent="0.25">
      <c r="B188" s="337" t="s">
        <v>703</v>
      </c>
      <c r="C188" s="338" t="s">
        <v>704</v>
      </c>
      <c r="D188" s="338">
        <v>251</v>
      </c>
      <c r="E188" s="339"/>
      <c r="F188" s="339"/>
      <c r="G188" s="338" t="s">
        <v>510</v>
      </c>
      <c r="H188" s="340"/>
      <c r="I188" s="340"/>
      <c r="J188" s="338"/>
    </row>
    <row r="189" spans="2:10" ht="18" x14ac:dyDescent="0.25">
      <c r="B189" s="337" t="s">
        <v>705</v>
      </c>
      <c r="C189" s="338" t="s">
        <v>706</v>
      </c>
      <c r="D189" s="338">
        <v>252</v>
      </c>
      <c r="E189" s="339"/>
      <c r="F189" s="339"/>
      <c r="G189" s="338" t="s">
        <v>510</v>
      </c>
      <c r="H189" s="340"/>
      <c r="I189" s="340"/>
      <c r="J189" s="338"/>
    </row>
    <row r="190" spans="2:10" ht="18" x14ac:dyDescent="0.25">
      <c r="B190" s="337" t="s">
        <v>707</v>
      </c>
      <c r="C190" s="338" t="s">
        <v>708</v>
      </c>
      <c r="D190" s="338">
        <v>257</v>
      </c>
      <c r="E190" s="339"/>
      <c r="F190" s="339"/>
      <c r="G190" s="338" t="s">
        <v>510</v>
      </c>
      <c r="H190" s="340"/>
      <c r="I190" s="340"/>
      <c r="J190" s="338"/>
    </row>
    <row r="191" spans="2:10" ht="18" x14ac:dyDescent="0.25">
      <c r="B191" s="337" t="s">
        <v>709</v>
      </c>
      <c r="C191" s="338" t="s">
        <v>710</v>
      </c>
      <c r="D191" s="338">
        <v>258</v>
      </c>
      <c r="E191" s="339"/>
      <c r="F191" s="339"/>
      <c r="G191" s="338" t="s">
        <v>510</v>
      </c>
      <c r="H191" s="340"/>
      <c r="I191" s="340"/>
      <c r="J191" s="338"/>
    </row>
    <row r="192" spans="2:10" ht="18" x14ac:dyDescent="0.25">
      <c r="B192" s="337" t="s">
        <v>711</v>
      </c>
      <c r="C192" s="338" t="s">
        <v>712</v>
      </c>
      <c r="D192" s="338">
        <v>259</v>
      </c>
      <c r="E192" s="339"/>
      <c r="F192" s="339"/>
      <c r="G192" s="338" t="s">
        <v>510</v>
      </c>
      <c r="H192" s="340"/>
      <c r="I192" s="340"/>
      <c r="J192" s="338"/>
    </row>
    <row r="193" spans="2:10" ht="18" x14ac:dyDescent="0.25">
      <c r="B193" s="337" t="s">
        <v>713</v>
      </c>
      <c r="C193" s="338" t="s">
        <v>714</v>
      </c>
      <c r="D193" s="338">
        <v>262</v>
      </c>
      <c r="E193" s="339"/>
      <c r="F193" s="339"/>
      <c r="G193" s="338" t="s">
        <v>510</v>
      </c>
      <c r="H193" s="340"/>
      <c r="I193" s="340"/>
      <c r="J193" s="338"/>
    </row>
    <row r="194" spans="2:10" ht="18" x14ac:dyDescent="0.25">
      <c r="B194" s="337" t="s">
        <v>715</v>
      </c>
      <c r="C194" s="338" t="s">
        <v>716</v>
      </c>
      <c r="D194" s="338">
        <v>261</v>
      </c>
      <c r="E194" s="339"/>
      <c r="F194" s="339"/>
      <c r="G194" s="338" t="s">
        <v>510</v>
      </c>
      <c r="H194" s="340"/>
      <c r="I194" s="340"/>
      <c r="J194" s="338"/>
    </row>
    <row r="195" spans="2:10" ht="18" x14ac:dyDescent="0.25">
      <c r="B195" s="337" t="s">
        <v>717</v>
      </c>
      <c r="C195" s="338" t="s">
        <v>718</v>
      </c>
      <c r="D195" s="338">
        <v>262</v>
      </c>
      <c r="E195" s="339"/>
      <c r="F195" s="339"/>
      <c r="G195" s="338" t="s">
        <v>510</v>
      </c>
      <c r="H195" s="340"/>
      <c r="I195" s="340"/>
      <c r="J195" s="338"/>
    </row>
    <row r="196" spans="2:10" ht="18" x14ac:dyDescent="0.25">
      <c r="B196" s="337" t="s">
        <v>719</v>
      </c>
      <c r="C196" s="338" t="s">
        <v>720</v>
      </c>
      <c r="D196" s="338">
        <v>266</v>
      </c>
      <c r="E196" s="339"/>
      <c r="F196" s="339"/>
      <c r="G196" s="338" t="s">
        <v>510</v>
      </c>
      <c r="H196" s="340"/>
      <c r="I196" s="340"/>
      <c r="J196" s="338"/>
    </row>
    <row r="197" spans="2:10" ht="18" x14ac:dyDescent="0.25">
      <c r="B197" s="337" t="s">
        <v>721</v>
      </c>
      <c r="C197" s="338" t="s">
        <v>722</v>
      </c>
      <c r="D197" s="338">
        <v>264</v>
      </c>
      <c r="E197" s="339"/>
      <c r="F197" s="339"/>
      <c r="G197" s="338" t="s">
        <v>510</v>
      </c>
      <c r="H197" s="340"/>
      <c r="I197" s="340"/>
      <c r="J197" s="338"/>
    </row>
    <row r="198" spans="2:10" ht="18" x14ac:dyDescent="0.25">
      <c r="B198" s="337" t="s">
        <v>723</v>
      </c>
      <c r="C198" s="338" t="s">
        <v>724</v>
      </c>
      <c r="D198" s="338">
        <v>277</v>
      </c>
      <c r="E198" s="339"/>
      <c r="F198" s="339"/>
      <c r="G198" s="338" t="s">
        <v>510</v>
      </c>
      <c r="H198" s="340"/>
      <c r="I198" s="340"/>
      <c r="J198" s="338"/>
    </row>
    <row r="199" spans="2:10" ht="18" x14ac:dyDescent="0.25">
      <c r="B199" s="337" t="s">
        <v>725</v>
      </c>
      <c r="C199" s="338" t="s">
        <v>726</v>
      </c>
      <c r="D199" s="338">
        <v>268</v>
      </c>
      <c r="E199" s="339"/>
      <c r="F199" s="339"/>
      <c r="G199" s="338" t="s">
        <v>510</v>
      </c>
      <c r="H199" s="340"/>
      <c r="I199" s="340"/>
      <c r="J199" s="338"/>
    </row>
    <row r="200" spans="2:10" ht="18" x14ac:dyDescent="0.25">
      <c r="B200" s="337" t="s">
        <v>727</v>
      </c>
      <c r="C200" s="338" t="s">
        <v>728</v>
      </c>
      <c r="D200" s="338">
        <v>281</v>
      </c>
      <c r="E200" s="339"/>
      <c r="F200" s="339"/>
      <c r="G200" s="338" t="s">
        <v>510</v>
      </c>
      <c r="H200" s="340"/>
      <c r="I200" s="340"/>
      <c r="J200" s="338"/>
    </row>
    <row r="201" spans="2:10" ht="18" x14ac:dyDescent="0.25">
      <c r="B201" s="337" t="s">
        <v>729</v>
      </c>
      <c r="C201" s="338" t="s">
        <v>730</v>
      </c>
      <c r="D201" s="338">
        <v>272</v>
      </c>
      <c r="E201" s="339"/>
      <c r="F201" s="339"/>
      <c r="G201" s="338" t="s">
        <v>510</v>
      </c>
      <c r="H201" s="340"/>
      <c r="I201" s="340"/>
      <c r="J201" s="338"/>
    </row>
    <row r="202" spans="2:10" ht="18" x14ac:dyDescent="0.25">
      <c r="B202" s="337" t="s">
        <v>731</v>
      </c>
      <c r="C202" s="338" t="s">
        <v>732</v>
      </c>
      <c r="D202" s="338">
        <v>285</v>
      </c>
      <c r="E202" s="339"/>
      <c r="F202" s="339"/>
      <c r="G202" s="338" t="s">
        <v>510</v>
      </c>
      <c r="H202" s="340"/>
      <c r="I202" s="340"/>
      <c r="J202" s="338"/>
    </row>
    <row r="203" spans="2:10" ht="18" x14ac:dyDescent="0.25">
      <c r="B203" s="337" t="s">
        <v>733</v>
      </c>
      <c r="C203" s="338" t="s">
        <v>734</v>
      </c>
      <c r="D203" s="338">
        <v>284</v>
      </c>
      <c r="E203" s="339"/>
      <c r="F203" s="339"/>
      <c r="G203" s="338" t="s">
        <v>510</v>
      </c>
      <c r="H203" s="340"/>
      <c r="I203" s="340"/>
      <c r="J203" s="338"/>
    </row>
    <row r="204" spans="2:10" ht="18" x14ac:dyDescent="0.25">
      <c r="B204" s="337" t="s">
        <v>735</v>
      </c>
      <c r="C204" s="338" t="s">
        <v>736</v>
      </c>
      <c r="D204" s="338">
        <v>289</v>
      </c>
      <c r="E204" s="339"/>
      <c r="F204" s="339"/>
      <c r="G204" s="338" t="s">
        <v>510</v>
      </c>
      <c r="H204" s="340"/>
      <c r="I204" s="340"/>
      <c r="J204" s="338"/>
    </row>
    <row r="205" spans="2:10" ht="18" x14ac:dyDescent="0.25">
      <c r="B205" s="337" t="s">
        <v>737</v>
      </c>
      <c r="C205" s="338" t="s">
        <v>738</v>
      </c>
      <c r="D205" s="338">
        <v>288</v>
      </c>
      <c r="E205" s="339"/>
      <c r="F205" s="339"/>
      <c r="G205" s="338" t="s">
        <v>510</v>
      </c>
      <c r="H205" s="340"/>
      <c r="I205" s="340"/>
      <c r="J205" s="338"/>
    </row>
    <row r="206" spans="2:10" ht="18" x14ac:dyDescent="0.25">
      <c r="B206" s="337" t="s">
        <v>739</v>
      </c>
      <c r="C206" s="338" t="s">
        <v>740</v>
      </c>
      <c r="D206" s="338">
        <v>292</v>
      </c>
      <c r="E206" s="339"/>
      <c r="F206" s="339"/>
      <c r="G206" s="338" t="s">
        <v>510</v>
      </c>
      <c r="H206" s="340"/>
      <c r="I206" s="340"/>
      <c r="J206" s="338"/>
    </row>
    <row r="207" spans="2:10" ht="18" x14ac:dyDescent="0.25">
      <c r="B207" s="337" t="s">
        <v>741</v>
      </c>
      <c r="C207" s="338" t="s">
        <v>742</v>
      </c>
      <c r="D207" s="338">
        <v>292</v>
      </c>
      <c r="E207" s="339"/>
      <c r="F207" s="339"/>
      <c r="G207" s="338" t="s">
        <v>510</v>
      </c>
      <c r="H207" s="340"/>
      <c r="I207" s="340"/>
      <c r="J207" s="338"/>
    </row>
    <row r="208" spans="2:10" ht="18" x14ac:dyDescent="0.25">
      <c r="B208" s="337" t="s">
        <v>743</v>
      </c>
      <c r="C208" s="338" t="s">
        <v>744</v>
      </c>
      <c r="D208" s="338">
        <v>294</v>
      </c>
      <c r="E208" s="339"/>
      <c r="F208" s="339"/>
      <c r="G208" s="338" t="s">
        <v>510</v>
      </c>
      <c r="H208" s="340"/>
      <c r="I208" s="340"/>
      <c r="J208" s="338"/>
    </row>
    <row r="210" spans="2:10" ht="15.75" thickBot="1" x14ac:dyDescent="0.3">
      <c r="C210" s="341" t="s">
        <v>745</v>
      </c>
    </row>
    <row r="211" spans="2:10" ht="15.75" thickBot="1" x14ac:dyDescent="0.3">
      <c r="B211" s="342" t="s">
        <v>0</v>
      </c>
      <c r="C211" s="343" t="s">
        <v>1</v>
      </c>
      <c r="D211" s="344" t="s">
        <v>150</v>
      </c>
      <c r="E211" s="344" t="s">
        <v>447</v>
      </c>
      <c r="F211" s="344" t="s">
        <v>448</v>
      </c>
      <c r="G211" s="344" t="s">
        <v>2</v>
      </c>
      <c r="H211" s="344" t="s">
        <v>380</v>
      </c>
      <c r="I211" s="344" t="s">
        <v>114</v>
      </c>
      <c r="J211" s="345" t="s">
        <v>115</v>
      </c>
    </row>
    <row r="212" spans="2:10" ht="18" x14ac:dyDescent="0.25">
      <c r="B212" s="337" t="s">
        <v>1263</v>
      </c>
      <c r="C212" s="338" t="s">
        <v>1264</v>
      </c>
      <c r="D212" s="338">
        <v>28.97</v>
      </c>
      <c r="E212" s="339"/>
      <c r="F212" s="339"/>
      <c r="G212" s="338" t="s">
        <v>510</v>
      </c>
      <c r="H212" s="340"/>
      <c r="I212" s="340"/>
      <c r="J212" s="338"/>
    </row>
    <row r="213" spans="2:10" ht="18" x14ac:dyDescent="0.25">
      <c r="B213" s="337" t="s">
        <v>746</v>
      </c>
      <c r="C213" s="338" t="s">
        <v>747</v>
      </c>
      <c r="D213" s="338">
        <f>2*A_MH</f>
        <v>2.0158800000000001</v>
      </c>
      <c r="E213" s="339"/>
      <c r="F213" s="339"/>
      <c r="G213" s="338" t="s">
        <v>510</v>
      </c>
      <c r="H213" s="340"/>
      <c r="I213" s="340"/>
      <c r="J213" s="338"/>
    </row>
    <row r="214" spans="2:10" ht="18" x14ac:dyDescent="0.25">
      <c r="B214" s="337" t="s">
        <v>748</v>
      </c>
      <c r="C214" s="338" t="s">
        <v>749</v>
      </c>
      <c r="D214" s="338">
        <f>A_MC+4*A_MH</f>
        <v>16.042459999999998</v>
      </c>
      <c r="E214" s="339"/>
      <c r="F214" s="339"/>
      <c r="G214" s="338" t="s">
        <v>510</v>
      </c>
      <c r="H214" s="340"/>
      <c r="I214" s="340"/>
      <c r="J214" s="338"/>
    </row>
    <row r="215" spans="2:10" ht="18" x14ac:dyDescent="0.25">
      <c r="B215" s="337" t="s">
        <v>750</v>
      </c>
      <c r="C215" s="338" t="s">
        <v>751</v>
      </c>
      <c r="D215" s="338">
        <f>A_MC+2*A_MO</f>
        <v>44.009500000000003</v>
      </c>
      <c r="E215" s="339"/>
      <c r="F215" s="339"/>
      <c r="G215" s="338" t="s">
        <v>510</v>
      </c>
      <c r="H215" s="340"/>
      <c r="I215" s="340"/>
      <c r="J215" s="338"/>
    </row>
    <row r="216" spans="2:10" ht="18" x14ac:dyDescent="0.25">
      <c r="B216" s="337" t="s">
        <v>1061</v>
      </c>
      <c r="C216" s="338" t="s">
        <v>767</v>
      </c>
      <c r="D216" s="338">
        <f>A_MN+3*A_MH</f>
        <v>17.030519999999999</v>
      </c>
      <c r="E216" s="339"/>
      <c r="F216" s="339"/>
      <c r="G216" s="338" t="s">
        <v>510</v>
      </c>
      <c r="H216" s="340"/>
      <c r="I216" s="340"/>
      <c r="J216" s="338"/>
    </row>
    <row r="217" spans="2:10" ht="18" x14ac:dyDescent="0.25">
      <c r="B217" s="337" t="s">
        <v>752</v>
      </c>
      <c r="C217" s="338" t="s">
        <v>753</v>
      </c>
      <c r="D217" s="338">
        <f>2*A_MN</f>
        <v>28.013400000000001</v>
      </c>
      <c r="E217" s="339"/>
      <c r="F217" s="339"/>
      <c r="G217" s="338" t="s">
        <v>510</v>
      </c>
      <c r="H217" s="340"/>
      <c r="I217" s="340"/>
      <c r="J217" s="338"/>
    </row>
    <row r="218" spans="2:10" ht="18" x14ac:dyDescent="0.25">
      <c r="B218" s="337" t="s">
        <v>754</v>
      </c>
      <c r="C218" s="338" t="s">
        <v>755</v>
      </c>
      <c r="D218" s="338">
        <f>2*A_MO</f>
        <v>31.998799999999999</v>
      </c>
      <c r="E218" s="339"/>
      <c r="F218" s="339"/>
      <c r="G218" s="338" t="s">
        <v>510</v>
      </c>
      <c r="H218" s="340"/>
      <c r="I218" s="340"/>
      <c r="J218" s="338" t="s">
        <v>756</v>
      </c>
    </row>
    <row r="219" spans="2:10" ht="18" x14ac:dyDescent="0.25">
      <c r="B219" s="337" t="s">
        <v>757</v>
      </c>
      <c r="C219" s="338" t="s">
        <v>758</v>
      </c>
      <c r="D219" s="338">
        <f>A_MN+A_MO</f>
        <v>30.0061</v>
      </c>
      <c r="E219" s="339"/>
      <c r="F219" s="339"/>
      <c r="G219" s="338" t="s">
        <v>510</v>
      </c>
      <c r="H219" s="340"/>
      <c r="I219" s="340"/>
      <c r="J219" s="338" t="s">
        <v>759</v>
      </c>
    </row>
    <row r="220" spans="2:10" ht="18" x14ac:dyDescent="0.25">
      <c r="B220" s="337" t="s">
        <v>760</v>
      </c>
      <c r="C220" s="338" t="s">
        <v>761</v>
      </c>
      <c r="D220" s="338">
        <f>2*A_MN+A_MO</f>
        <v>44.012799999999999</v>
      </c>
      <c r="E220" s="339"/>
      <c r="F220" s="339"/>
      <c r="G220" s="338" t="s">
        <v>510</v>
      </c>
      <c r="H220" s="340"/>
      <c r="I220" s="340"/>
      <c r="J220" s="338" t="s">
        <v>762</v>
      </c>
    </row>
    <row r="221" spans="2:10" ht="18" x14ac:dyDescent="0.25">
      <c r="B221" s="337" t="s">
        <v>1265</v>
      </c>
      <c r="C221" s="338" t="s">
        <v>1266</v>
      </c>
      <c r="D221" s="338">
        <f>M_MH2S</f>
        <v>34.080880000000001</v>
      </c>
      <c r="E221" s="339"/>
      <c r="F221" s="339"/>
      <c r="G221" s="338" t="s">
        <v>510</v>
      </c>
      <c r="H221" s="340"/>
      <c r="I221" s="340"/>
      <c r="J221" s="338"/>
    </row>
    <row r="223" spans="2:10" ht="15.75" thickBot="1" x14ac:dyDescent="0.3">
      <c r="C223" s="341" t="s">
        <v>763</v>
      </c>
    </row>
    <row r="224" spans="2:10" ht="15.75" thickBot="1" x14ac:dyDescent="0.3">
      <c r="B224" s="342" t="s">
        <v>0</v>
      </c>
      <c r="C224" s="343" t="s">
        <v>1</v>
      </c>
      <c r="D224" s="344" t="s">
        <v>150</v>
      </c>
      <c r="E224" s="344" t="s">
        <v>447</v>
      </c>
      <c r="F224" s="344" t="s">
        <v>448</v>
      </c>
      <c r="G224" s="344" t="s">
        <v>2</v>
      </c>
      <c r="H224" s="344" t="s">
        <v>380</v>
      </c>
      <c r="I224" s="344" t="s">
        <v>114</v>
      </c>
      <c r="J224" s="345" t="s">
        <v>115</v>
      </c>
    </row>
    <row r="225" spans="2:10" ht="18" x14ac:dyDescent="0.25">
      <c r="B225" s="337" t="s">
        <v>1062</v>
      </c>
      <c r="C225" s="338" t="s">
        <v>1063</v>
      </c>
      <c r="D225" s="338">
        <f>2*A_MH+A_MO</f>
        <v>18.015280000000001</v>
      </c>
      <c r="E225" s="339"/>
      <c r="F225" s="339"/>
      <c r="G225" s="338" t="s">
        <v>510</v>
      </c>
      <c r="H225" s="340"/>
      <c r="I225" s="340"/>
      <c r="J225" s="338"/>
    </row>
    <row r="226" spans="2:10" ht="18" x14ac:dyDescent="0.25">
      <c r="B226" s="337" t="s">
        <v>764</v>
      </c>
      <c r="C226" s="338" t="s">
        <v>755</v>
      </c>
      <c r="D226" s="338">
        <f>2*A_MO</f>
        <v>31.998799999999999</v>
      </c>
      <c r="E226" s="339"/>
      <c r="F226" s="339"/>
      <c r="G226" s="338" t="s">
        <v>510</v>
      </c>
      <c r="H226" s="340"/>
      <c r="I226" s="340"/>
      <c r="J226" s="338"/>
    </row>
    <row r="227" spans="2:10" ht="18" x14ac:dyDescent="0.25">
      <c r="B227" s="337" t="s">
        <v>765</v>
      </c>
      <c r="C227" s="338" t="s">
        <v>753</v>
      </c>
      <c r="D227" s="338">
        <f>2*A_MN</f>
        <v>28.013400000000001</v>
      </c>
      <c r="E227" s="339"/>
      <c r="F227" s="339"/>
      <c r="G227" s="338" t="s">
        <v>510</v>
      </c>
      <c r="H227" s="340"/>
      <c r="I227" s="340"/>
      <c r="J227" s="338"/>
    </row>
    <row r="228" spans="2:10" ht="18" x14ac:dyDescent="0.25">
      <c r="B228" s="337" t="s">
        <v>766</v>
      </c>
      <c r="C228" s="338" t="s">
        <v>767</v>
      </c>
      <c r="D228" s="338">
        <f>A_MN+3*A_MH</f>
        <v>17.030519999999999</v>
      </c>
      <c r="E228" s="339"/>
      <c r="F228" s="339"/>
      <c r="G228" s="338" t="s">
        <v>510</v>
      </c>
      <c r="H228" s="340"/>
      <c r="I228" s="340"/>
      <c r="J228" s="338"/>
    </row>
    <row r="229" spans="2:10" ht="18" x14ac:dyDescent="0.25">
      <c r="B229" s="337" t="s">
        <v>945</v>
      </c>
      <c r="C229" s="338" t="s">
        <v>1267</v>
      </c>
      <c r="D229" s="338">
        <f>A_MN+4*A_MH</f>
        <v>18.038460000000001</v>
      </c>
      <c r="E229" s="339"/>
      <c r="F229" s="339"/>
      <c r="G229" s="338" t="s">
        <v>510</v>
      </c>
      <c r="H229" s="340"/>
      <c r="I229" s="340"/>
      <c r="J229" s="338"/>
    </row>
    <row r="230" spans="2:10" ht="18" x14ac:dyDescent="0.25">
      <c r="B230" s="337" t="s">
        <v>946</v>
      </c>
      <c r="C230" s="338" t="s">
        <v>1268</v>
      </c>
      <c r="D230" s="338">
        <f>A_MN + 2*A_MO</f>
        <v>46.005499999999998</v>
      </c>
      <c r="E230" s="339"/>
      <c r="F230" s="339"/>
      <c r="G230" s="338" t="s">
        <v>510</v>
      </c>
      <c r="H230" s="340"/>
      <c r="I230" s="340"/>
      <c r="J230" s="338"/>
    </row>
    <row r="231" spans="2:10" ht="18" x14ac:dyDescent="0.25">
      <c r="B231" s="337" t="s">
        <v>947</v>
      </c>
      <c r="C231" s="338" t="s">
        <v>1269</v>
      </c>
      <c r="D231" s="338">
        <f>A_MN + 3*A_MO</f>
        <v>62.004899999999999</v>
      </c>
      <c r="E231" s="339"/>
      <c r="F231" s="339"/>
      <c r="G231" s="338" t="s">
        <v>510</v>
      </c>
      <c r="H231" s="340"/>
      <c r="I231" s="340"/>
      <c r="J231" s="338"/>
    </row>
    <row r="232" spans="2:10" ht="18" x14ac:dyDescent="0.25">
      <c r="B232" s="337" t="s">
        <v>1270</v>
      </c>
      <c r="C232" s="338" t="s">
        <v>1271</v>
      </c>
      <c r="D232" s="338">
        <f>2*A_MFe+3*A_MO</f>
        <v>159.68819999999999</v>
      </c>
      <c r="E232" s="339"/>
      <c r="F232" s="339"/>
      <c r="G232" s="338" t="s">
        <v>510</v>
      </c>
      <c r="H232" s="340"/>
      <c r="I232" s="340"/>
      <c r="J232" s="338"/>
    </row>
    <row r="233" spans="2:10" ht="18" x14ac:dyDescent="0.25">
      <c r="B233" s="337" t="s">
        <v>1272</v>
      </c>
      <c r="C233" s="338" t="s">
        <v>1273</v>
      </c>
      <c r="D233" s="338">
        <f>A_MFe+3*(A_MO+A_MH)</f>
        <v>106.86702</v>
      </c>
      <c r="E233" s="339"/>
      <c r="F233" s="339"/>
      <c r="G233" s="338" t="s">
        <v>510</v>
      </c>
      <c r="H233" s="340"/>
      <c r="I233" s="340"/>
      <c r="J233" s="338"/>
    </row>
    <row r="234" spans="2:10" ht="18" x14ac:dyDescent="0.25">
      <c r="B234" s="337" t="s">
        <v>1274</v>
      </c>
      <c r="C234" s="338" t="s">
        <v>1275</v>
      </c>
      <c r="D234" s="338">
        <f>A_MAl+3*(A_MO+A_MH)</f>
        <v>78.003519999999995</v>
      </c>
      <c r="E234" s="339"/>
      <c r="F234" s="339"/>
      <c r="G234" s="338" t="s">
        <v>510</v>
      </c>
      <c r="H234" s="340"/>
      <c r="I234" s="340"/>
      <c r="J234" s="338"/>
    </row>
    <row r="235" spans="2:10" ht="18" x14ac:dyDescent="0.25">
      <c r="B235" s="337" t="s">
        <v>1276</v>
      </c>
      <c r="C235" s="338" t="s">
        <v>1277</v>
      </c>
      <c r="D235" s="338">
        <f>A_MAl+A_MP+4*A_MO</f>
        <v>121.9528622</v>
      </c>
      <c r="E235" s="339"/>
      <c r="F235" s="339"/>
      <c r="G235" s="338" t="s">
        <v>510</v>
      </c>
      <c r="H235" s="340"/>
      <c r="I235" s="340"/>
      <c r="J235" s="338"/>
    </row>
    <row r="236" spans="2:10" ht="18" x14ac:dyDescent="0.25">
      <c r="B236" s="337" t="s">
        <v>1278</v>
      </c>
      <c r="C236" s="338" t="s">
        <v>768</v>
      </c>
      <c r="D236" s="338">
        <f>A_MP+4*A_MO</f>
        <v>94.971362200000002</v>
      </c>
      <c r="E236" s="339"/>
      <c r="F236" s="339"/>
      <c r="G236" s="338" t="s">
        <v>510</v>
      </c>
      <c r="H236" s="340"/>
      <c r="I236" s="340"/>
      <c r="J236" s="338"/>
    </row>
    <row r="237" spans="2:10" ht="18" x14ac:dyDescent="0.25">
      <c r="B237" s="337" t="s">
        <v>1279</v>
      </c>
      <c r="C237" s="338" t="s">
        <v>751</v>
      </c>
      <c r="D237" s="338">
        <f>A_MC+2*A_MO</f>
        <v>44.009500000000003</v>
      </c>
      <c r="E237" s="339"/>
      <c r="F237" s="339"/>
      <c r="G237" s="338" t="s">
        <v>510</v>
      </c>
      <c r="H237" s="340"/>
      <c r="I237" s="340"/>
      <c r="J237" s="338"/>
    </row>
    <row r="238" spans="2:10" ht="18" x14ac:dyDescent="0.25">
      <c r="B238" s="337" t="s">
        <v>948</v>
      </c>
      <c r="C238" s="338" t="s">
        <v>949</v>
      </c>
      <c r="D238" s="338">
        <f>A_MC + 3*A_MO</f>
        <v>60.008899999999997</v>
      </c>
      <c r="E238" s="339"/>
      <c r="F238" s="339"/>
      <c r="G238" s="338" t="s">
        <v>510</v>
      </c>
      <c r="H238" s="340"/>
      <c r="I238" s="340"/>
      <c r="J238" s="338"/>
    </row>
    <row r="239" spans="2:10" ht="18" x14ac:dyDescent="0.25">
      <c r="B239" s="337" t="s">
        <v>950</v>
      </c>
      <c r="C239" s="338" t="s">
        <v>951</v>
      </c>
      <c r="D239" s="338">
        <f>A_MH + A_MC + 3*A_MO</f>
        <v>61.016839999999995</v>
      </c>
      <c r="E239" s="339"/>
      <c r="F239" s="339"/>
      <c r="G239" s="338" t="s">
        <v>510</v>
      </c>
      <c r="H239" s="340"/>
      <c r="I239" s="340"/>
      <c r="J239" s="338"/>
    </row>
    <row r="240" spans="2:10" ht="18" x14ac:dyDescent="0.25">
      <c r="B240" s="337" t="s">
        <v>952</v>
      </c>
      <c r="C240" s="338" t="s">
        <v>953</v>
      </c>
      <c r="D240" s="338">
        <f>2*A_MH+A_MC + 3*A_MO</f>
        <v>62.024779999999993</v>
      </c>
      <c r="E240" s="339"/>
      <c r="F240" s="339"/>
      <c r="G240" s="338" t="s">
        <v>510</v>
      </c>
      <c r="H240" s="340"/>
      <c r="I240" s="340"/>
      <c r="J240" s="338"/>
    </row>
    <row r="241" spans="2:10" ht="18" x14ac:dyDescent="0.25">
      <c r="B241" s="337" t="s">
        <v>1064</v>
      </c>
      <c r="C241" s="338" t="s">
        <v>1065</v>
      </c>
      <c r="D241" s="338">
        <f>A_MS+4*A_MO</f>
        <v>96.062600000000003</v>
      </c>
      <c r="E241" s="339"/>
      <c r="F241" s="339"/>
      <c r="G241" s="338" t="s">
        <v>510</v>
      </c>
      <c r="H241" s="340"/>
      <c r="I241" s="340"/>
      <c r="J241" s="338"/>
    </row>
    <row r="242" spans="2:10" ht="18" x14ac:dyDescent="0.25">
      <c r="B242" s="337" t="s">
        <v>1066</v>
      </c>
      <c r="C242" s="338" t="s">
        <v>1067</v>
      </c>
      <c r="D242" s="338">
        <f>A_MH + A_MS+4*A_MO</f>
        <v>97.070539999999994</v>
      </c>
      <c r="E242" s="339"/>
      <c r="F242" s="339"/>
      <c r="G242" s="338" t="s">
        <v>510</v>
      </c>
      <c r="H242" s="340"/>
      <c r="I242" s="340"/>
      <c r="J242" s="338"/>
    </row>
    <row r="243" spans="2:10" ht="18" x14ac:dyDescent="0.25">
      <c r="B243" s="337" t="s">
        <v>1068</v>
      </c>
      <c r="C243" s="338" t="s">
        <v>954</v>
      </c>
      <c r="D243" s="338">
        <f>2*A_MH + A_MS+4*A_MO</f>
        <v>98.078479999999999</v>
      </c>
      <c r="E243" s="339"/>
      <c r="F243" s="339"/>
      <c r="G243" s="338" t="s">
        <v>510</v>
      </c>
      <c r="H243" s="340"/>
      <c r="I243" s="340"/>
      <c r="J243" s="338"/>
    </row>
    <row r="244" spans="2:10" ht="18" x14ac:dyDescent="0.25">
      <c r="B244" s="337" t="s">
        <v>1069</v>
      </c>
      <c r="C244" s="338" t="s">
        <v>956</v>
      </c>
      <c r="D244" s="338">
        <f>2*A_MH + A_MS</f>
        <v>34.080880000000001</v>
      </c>
      <c r="E244" s="339"/>
      <c r="F244" s="339"/>
      <c r="G244" s="338" t="s">
        <v>510</v>
      </c>
      <c r="H244" s="340"/>
      <c r="I244" s="340"/>
      <c r="J244" s="338"/>
    </row>
    <row r="245" spans="2:10" ht="18" x14ac:dyDescent="0.25">
      <c r="B245" s="337" t="s">
        <v>955</v>
      </c>
      <c r="C245" s="338" t="s">
        <v>1070</v>
      </c>
      <c r="D245" s="338">
        <f>A_MH + A_MCl</f>
        <v>36.460940000000001</v>
      </c>
      <c r="E245" s="339"/>
      <c r="F245" s="339"/>
      <c r="G245" s="338" t="s">
        <v>510</v>
      </c>
      <c r="H245" s="340"/>
      <c r="I245" s="340"/>
      <c r="J245" s="338"/>
    </row>
    <row r="246" spans="2:10" ht="18" x14ac:dyDescent="0.25">
      <c r="B246" s="337" t="s">
        <v>769</v>
      </c>
      <c r="C246" s="338" t="s">
        <v>770</v>
      </c>
      <c r="D246" s="338">
        <f>A_MC+3*A_MH+A_MO+A_MH</f>
        <v>32.04186</v>
      </c>
      <c r="E246" s="339"/>
      <c r="F246" s="339"/>
      <c r="G246" s="338" t="s">
        <v>510</v>
      </c>
      <c r="H246" s="340"/>
      <c r="I246" s="340"/>
      <c r="J246" s="338"/>
    </row>
    <row r="247" spans="2:10" ht="18" x14ac:dyDescent="0.25">
      <c r="B247" s="337" t="s">
        <v>771</v>
      </c>
      <c r="C247" s="338" t="s">
        <v>772</v>
      </c>
      <c r="D247" s="338">
        <f>A_MC+3*A_MH+A_MC+2*A_MO+A_MH</f>
        <v>60.051960000000001</v>
      </c>
      <c r="E247" s="339"/>
      <c r="F247" s="339"/>
      <c r="G247" s="338" t="s">
        <v>510</v>
      </c>
      <c r="H247" s="340"/>
      <c r="I247" s="340"/>
      <c r="J247" s="338"/>
    </row>
    <row r="248" spans="2:10" ht="18" x14ac:dyDescent="0.25">
      <c r="B248" s="337" t="s">
        <v>1280</v>
      </c>
      <c r="C248" s="338" t="s">
        <v>957</v>
      </c>
      <c r="D248" s="338">
        <f>A_MCa+A_MC+3*A_MO</f>
        <v>100.0869</v>
      </c>
      <c r="E248" s="339"/>
      <c r="F248" s="339"/>
      <c r="G248" s="338" t="s">
        <v>510</v>
      </c>
      <c r="H248" s="340"/>
      <c r="I248" s="340"/>
      <c r="J248" s="338"/>
    </row>
    <row r="249" spans="2:10" ht="18" x14ac:dyDescent="0.25">
      <c r="B249" s="337" t="s">
        <v>1071</v>
      </c>
      <c r="C249" s="338" t="s">
        <v>1072</v>
      </c>
      <c r="D249" s="338">
        <f>3*A_MCa+2*M_MPO4+4*M_MH2O</f>
        <v>382.23784440000003</v>
      </c>
      <c r="E249" s="339"/>
      <c r="F249" s="339"/>
      <c r="G249" s="338" t="s">
        <v>510</v>
      </c>
      <c r="H249" s="340"/>
      <c r="I249" s="340"/>
      <c r="J249" s="338"/>
    </row>
    <row r="250" spans="2:10" ht="18" x14ac:dyDescent="0.25">
      <c r="B250" s="337" t="s">
        <v>1281</v>
      </c>
      <c r="C250" s="338" t="s">
        <v>958</v>
      </c>
      <c r="D250" s="338">
        <f>A_MMg+A_MN+4*A_MH+A_MP+4*A_MO+6*(M_MH2O)</f>
        <v>245.40650220000001</v>
      </c>
      <c r="E250" s="339"/>
      <c r="F250" s="339"/>
      <c r="G250" s="338" t="s">
        <v>510</v>
      </c>
      <c r="H250" s="340"/>
      <c r="I250" s="340"/>
      <c r="J250" s="338"/>
    </row>
    <row r="251" spans="2:10" ht="18" x14ac:dyDescent="0.25">
      <c r="B251" s="337" t="s">
        <v>1282</v>
      </c>
      <c r="C251" s="338" t="s">
        <v>1283</v>
      </c>
      <c r="D251" s="338">
        <f>A_MMg+A_MK+A_MP+4*A_MO+6*2*A_MH+6*A_MO</f>
        <v>266.46634219999999</v>
      </c>
      <c r="E251" s="339"/>
      <c r="F251" s="339"/>
      <c r="G251" s="338" t="s">
        <v>510</v>
      </c>
      <c r="H251" s="340"/>
      <c r="I251" s="340"/>
      <c r="J251" s="338"/>
    </row>
    <row r="252" spans="2:10" ht="18" x14ac:dyDescent="0.25">
      <c r="B252" s="337" t="s">
        <v>1073</v>
      </c>
      <c r="C252" s="338" t="s">
        <v>1074</v>
      </c>
      <c r="D252" s="338">
        <f>3*A_MFe+2*(A_MP+4*A_MO)+8*M_MH2O</f>
        <v>501.59996439999998</v>
      </c>
      <c r="E252" s="339"/>
      <c r="F252" s="339"/>
      <c r="G252" s="338" t="s">
        <v>510</v>
      </c>
      <c r="H252" s="340"/>
      <c r="I252" s="340"/>
      <c r="J252" s="338"/>
    </row>
    <row r="253" spans="2:10" ht="18" x14ac:dyDescent="0.25">
      <c r="B253" s="337" t="s">
        <v>1075</v>
      </c>
      <c r="C253" s="338" t="s">
        <v>1076</v>
      </c>
      <c r="D253" s="338">
        <f>A_MFe+A_MS</f>
        <v>87.91</v>
      </c>
      <c r="E253" s="339"/>
      <c r="F253" s="339"/>
      <c r="G253" s="338" t="s">
        <v>510</v>
      </c>
      <c r="H253" s="340"/>
      <c r="I253" s="340"/>
      <c r="J253" s="338"/>
    </row>
    <row r="254" spans="2:10" ht="18" x14ac:dyDescent="0.25">
      <c r="B254" s="337" t="s">
        <v>1284</v>
      </c>
      <c r="C254" s="338" t="s">
        <v>1285</v>
      </c>
      <c r="D254" s="338">
        <f>A_MFe+3*A_MCl</f>
        <v>162.20400000000001</v>
      </c>
      <c r="E254" s="339"/>
      <c r="F254" s="339"/>
      <c r="G254" s="338" t="s">
        <v>510</v>
      </c>
      <c r="H254" s="340"/>
      <c r="I254" s="340"/>
      <c r="J254" s="338"/>
    </row>
    <row r="255" spans="2:10" ht="18" x14ac:dyDescent="0.25">
      <c r="B255" s="337" t="s">
        <v>1286</v>
      </c>
      <c r="C255" s="338" t="s">
        <v>1287</v>
      </c>
      <c r="D255" s="338">
        <f>A_MFe+2*A_MCl</f>
        <v>126.751</v>
      </c>
      <c r="E255" s="339"/>
      <c r="F255" s="339"/>
      <c r="G255" s="338" t="s">
        <v>510</v>
      </c>
      <c r="H255" s="340"/>
      <c r="I255" s="340"/>
      <c r="J255" s="338"/>
    </row>
    <row r="256" spans="2:10" ht="18" x14ac:dyDescent="0.25">
      <c r="B256" s="337" t="s">
        <v>1288</v>
      </c>
      <c r="C256" s="338" t="s">
        <v>1289</v>
      </c>
      <c r="D256" s="338">
        <f>A_MFe+M_MSO4</f>
        <v>151.9076</v>
      </c>
      <c r="E256" s="339"/>
      <c r="F256" s="339"/>
      <c r="G256" s="338" t="s">
        <v>510</v>
      </c>
      <c r="H256" s="340"/>
      <c r="I256" s="340"/>
      <c r="J256" s="338"/>
    </row>
    <row r="257" spans="2:10" ht="18" x14ac:dyDescent="0.25">
      <c r="B257" s="337" t="s">
        <v>959</v>
      </c>
      <c r="C257" s="338" t="s">
        <v>960</v>
      </c>
      <c r="D257" s="338">
        <f>A_MSi + 2*A_MO</f>
        <v>60.084299999999999</v>
      </c>
      <c r="E257" s="339"/>
      <c r="F257" s="339"/>
      <c r="G257" s="338" t="s">
        <v>510</v>
      </c>
      <c r="H257" s="340"/>
      <c r="I257" s="340"/>
      <c r="J257" s="338"/>
    </row>
    <row r="258" spans="2:10" ht="18" x14ac:dyDescent="0.25">
      <c r="B258" s="337" t="s">
        <v>1290</v>
      </c>
      <c r="C258" s="338" t="s">
        <v>1291</v>
      </c>
      <c r="D258" s="338">
        <f>2*A_MCa+A_MP+4*A_MO+2*(A_MO+A_MH)</f>
        <v>209.14204219999999</v>
      </c>
      <c r="E258" s="339"/>
      <c r="F258" s="339"/>
      <c r="G258" s="338" t="s">
        <v>510</v>
      </c>
      <c r="H258" s="340"/>
      <c r="I258" s="340"/>
      <c r="J258" s="338"/>
    </row>
    <row r="259" spans="2:10" ht="18" x14ac:dyDescent="0.25">
      <c r="B259" s="337" t="s">
        <v>1292</v>
      </c>
      <c r="C259" s="338" t="s">
        <v>1293</v>
      </c>
      <c r="D259" s="338">
        <f>5*A_MCa+A_MP*3+4*3*A_MO+A_MO+A_MH</f>
        <v>502.3114266</v>
      </c>
      <c r="E259" s="339"/>
      <c r="F259" s="339"/>
      <c r="G259" s="338" t="s">
        <v>510</v>
      </c>
      <c r="H259" s="340"/>
      <c r="I259" s="340"/>
      <c r="J259" s="338"/>
    </row>
    <row r="260" spans="2:10" ht="18" x14ac:dyDescent="0.25">
      <c r="B260" s="337" t="s">
        <v>1294</v>
      </c>
      <c r="C260" s="338" t="s">
        <v>1295</v>
      </c>
      <c r="D260" s="338">
        <f>A_MCa+A_MO+A_MH</f>
        <v>57.085340000000002</v>
      </c>
      <c r="E260" s="339"/>
      <c r="F260" s="339"/>
      <c r="G260" s="338" t="s">
        <v>510</v>
      </c>
      <c r="H260" s="340"/>
      <c r="I260" s="340"/>
      <c r="J260" s="338"/>
    </row>
    <row r="261" spans="2:10" ht="18" x14ac:dyDescent="0.25">
      <c r="B261" s="337" t="s">
        <v>1296</v>
      </c>
      <c r="C261" s="338" t="s">
        <v>1297</v>
      </c>
      <c r="D261" s="338">
        <f>A_MCa+A_MH+A_MC+3*A_MO</f>
        <v>101.09484</v>
      </c>
      <c r="E261" s="339"/>
      <c r="F261" s="339"/>
      <c r="G261" s="338" t="s">
        <v>510</v>
      </c>
      <c r="H261" s="340"/>
      <c r="I261" s="340"/>
      <c r="J261" s="338"/>
    </row>
    <row r="262" spans="2:10" ht="18" x14ac:dyDescent="0.25">
      <c r="B262" s="337" t="s">
        <v>1298</v>
      </c>
      <c r="C262" s="338" t="s">
        <v>1299</v>
      </c>
      <c r="D262" s="338">
        <f>A_MCa+A_MP+4*A_MO</f>
        <v>135.04936219999999</v>
      </c>
      <c r="E262" s="339"/>
      <c r="F262" s="339"/>
      <c r="G262" s="338" t="s">
        <v>510</v>
      </c>
      <c r="H262" s="340"/>
      <c r="I262" s="340"/>
      <c r="J262" s="338"/>
    </row>
    <row r="263" spans="2:10" ht="18" x14ac:dyDescent="0.25">
      <c r="B263" s="337" t="s">
        <v>1300</v>
      </c>
      <c r="C263" s="338" t="s">
        <v>1301</v>
      </c>
      <c r="D263" s="338">
        <f>A_MCa+A_MH+A_MP+4*A_MO</f>
        <v>136.05730220000001</v>
      </c>
      <c r="E263" s="339"/>
      <c r="F263" s="339"/>
      <c r="G263" s="338" t="s">
        <v>510</v>
      </c>
      <c r="H263" s="340"/>
      <c r="I263" s="340"/>
      <c r="J263" s="338"/>
    </row>
    <row r="264" spans="2:10" ht="18" x14ac:dyDescent="0.25">
      <c r="B264" s="337" t="s">
        <v>1302</v>
      </c>
      <c r="C264" s="338" t="s">
        <v>1303</v>
      </c>
      <c r="D264" s="338">
        <f>A_MCa+2*A_MH+A_MP+4*A_MO</f>
        <v>137.0652422</v>
      </c>
      <c r="E264" s="339"/>
      <c r="F264" s="339"/>
      <c r="G264" s="338" t="s">
        <v>510</v>
      </c>
      <c r="H264" s="340"/>
      <c r="I264" s="340"/>
      <c r="J264" s="338"/>
    </row>
    <row r="265" spans="2:10" ht="18" x14ac:dyDescent="0.25">
      <c r="B265" s="337" t="s">
        <v>1304</v>
      </c>
      <c r="C265" s="338" t="s">
        <v>1305</v>
      </c>
      <c r="D265" s="338">
        <f>A_MMg+A_MO+A_MH</f>
        <v>41.312339999999999</v>
      </c>
      <c r="E265" s="339"/>
      <c r="F265" s="339"/>
      <c r="G265" s="338" t="s">
        <v>510</v>
      </c>
      <c r="H265" s="340"/>
      <c r="I265" s="340"/>
      <c r="J265" s="338"/>
    </row>
    <row r="266" spans="2:10" ht="18" x14ac:dyDescent="0.25">
      <c r="B266" s="337" t="s">
        <v>1306</v>
      </c>
      <c r="C266" s="338" t="s">
        <v>1307</v>
      </c>
      <c r="D266" s="338">
        <f>A_MMg+2*(A_MO+A_MH)</f>
        <v>58.319679999999998</v>
      </c>
      <c r="E266" s="339"/>
      <c r="F266" s="339"/>
      <c r="G266" s="338" t="s">
        <v>510</v>
      </c>
      <c r="H266" s="340"/>
      <c r="I266" s="340"/>
      <c r="J266" s="338"/>
    </row>
    <row r="267" spans="2:10" ht="18" x14ac:dyDescent="0.25">
      <c r="B267" s="337" t="s">
        <v>1308</v>
      </c>
      <c r="C267" s="338" t="s">
        <v>1309</v>
      </c>
      <c r="D267" s="338">
        <f>A_MMg+A_MC+3*A_MO</f>
        <v>84.31389999999999</v>
      </c>
      <c r="E267" s="339"/>
      <c r="F267" s="339"/>
      <c r="G267" s="338" t="s">
        <v>510</v>
      </c>
      <c r="H267" s="340"/>
      <c r="I267" s="340"/>
      <c r="J267" s="338"/>
    </row>
    <row r="268" spans="2:10" ht="18" x14ac:dyDescent="0.25">
      <c r="B268" s="337" t="s">
        <v>1310</v>
      </c>
      <c r="C268" s="338" t="s">
        <v>1311</v>
      </c>
      <c r="D268" s="338">
        <f>A_MMg+A_MH+A_MC+3*A_MO</f>
        <v>85.321839999999995</v>
      </c>
      <c r="E268" s="339"/>
      <c r="F268" s="339"/>
      <c r="G268" s="338" t="s">
        <v>510</v>
      </c>
      <c r="H268" s="340"/>
      <c r="I268" s="340"/>
      <c r="J268" s="338"/>
    </row>
    <row r="269" spans="2:10" ht="18" x14ac:dyDescent="0.25">
      <c r="B269" s="337" t="s">
        <v>1312</v>
      </c>
      <c r="C269" s="338" t="s">
        <v>1313</v>
      </c>
      <c r="D269" s="338">
        <f>A_MMg+A_MH+A_MP+4*A_MO</f>
        <v>120.2843022</v>
      </c>
      <c r="E269" s="339"/>
      <c r="F269" s="339"/>
      <c r="G269" s="338" t="s">
        <v>510</v>
      </c>
      <c r="H269" s="340"/>
      <c r="I269" s="340"/>
      <c r="J269" s="338"/>
    </row>
    <row r="270" spans="2:10" ht="18" x14ac:dyDescent="0.25">
      <c r="B270" s="337" t="s">
        <v>1314</v>
      </c>
      <c r="C270" s="338" t="s">
        <v>1315</v>
      </c>
      <c r="D270" s="338">
        <f>A_MMg+A_MP+4*A_MO</f>
        <v>119.27636219999999</v>
      </c>
      <c r="E270" s="339"/>
      <c r="F270" s="339"/>
      <c r="G270" s="338" t="s">
        <v>510</v>
      </c>
      <c r="H270" s="340"/>
      <c r="I270" s="340"/>
      <c r="J270" s="338"/>
    </row>
    <row r="271" spans="2:10" ht="18" x14ac:dyDescent="0.25">
      <c r="B271" s="337" t="s">
        <v>1316</v>
      </c>
      <c r="C271" s="338" t="s">
        <v>1317</v>
      </c>
      <c r="D271" s="338">
        <f>A_MMg+2*A_MH+A_MP+4*A_MO</f>
        <v>121.2922422</v>
      </c>
      <c r="E271" s="339"/>
      <c r="F271" s="339"/>
      <c r="G271" s="338" t="s">
        <v>510</v>
      </c>
      <c r="H271" s="340"/>
      <c r="I271" s="340"/>
      <c r="J271" s="338"/>
    </row>
    <row r="272" spans="2:10" ht="18" x14ac:dyDescent="0.25">
      <c r="B272" s="337" t="s">
        <v>1318</v>
      </c>
      <c r="C272" s="338" t="s">
        <v>1319</v>
      </c>
      <c r="D272" s="338">
        <f>A_MNa+A_MH+A_MP+4*A_MO</f>
        <v>118.9690712</v>
      </c>
      <c r="E272" s="339"/>
      <c r="F272" s="339"/>
      <c r="G272" s="338" t="s">
        <v>510</v>
      </c>
      <c r="H272" s="340"/>
      <c r="I272" s="340"/>
      <c r="J272" s="338"/>
    </row>
    <row r="273" spans="2:10" ht="18" x14ac:dyDescent="0.25">
      <c r="B273" s="337" t="s">
        <v>1320</v>
      </c>
      <c r="C273" s="338" t="s">
        <v>1321</v>
      </c>
      <c r="D273" s="338">
        <f>A_MNa+A_MCl</f>
        <v>58.442768999999998</v>
      </c>
      <c r="E273" s="339"/>
      <c r="F273" s="339"/>
      <c r="G273" s="338" t="s">
        <v>510</v>
      </c>
      <c r="H273" s="340"/>
      <c r="I273" s="340"/>
      <c r="J273" s="338"/>
    </row>
    <row r="274" spans="2:10" ht="18" x14ac:dyDescent="0.25">
      <c r="B274" s="337" t="s">
        <v>1322</v>
      </c>
      <c r="C274" s="338" t="s">
        <v>1323</v>
      </c>
      <c r="D274" s="338">
        <f>A_MNa+A_MH+A_MO</f>
        <v>39.997109000000002</v>
      </c>
      <c r="E274" s="339"/>
      <c r="F274" s="339"/>
      <c r="G274" s="338" t="s">
        <v>510</v>
      </c>
      <c r="H274" s="340"/>
      <c r="I274" s="340"/>
      <c r="J274" s="338"/>
    </row>
    <row r="275" spans="2:10" ht="18" x14ac:dyDescent="0.25">
      <c r="B275" s="337" t="s">
        <v>1324</v>
      </c>
      <c r="C275" s="338" t="s">
        <v>1325</v>
      </c>
      <c r="D275" s="338">
        <f>2*A_MNa+A_MC+3*A_MO</f>
        <v>105.988438</v>
      </c>
      <c r="E275" s="339"/>
      <c r="F275" s="339"/>
      <c r="G275" s="338" t="s">
        <v>510</v>
      </c>
      <c r="H275" s="340"/>
      <c r="I275" s="340"/>
      <c r="J275" s="338"/>
    </row>
    <row r="276" spans="2:10" ht="18" x14ac:dyDescent="0.25">
      <c r="B276" s="337" t="s">
        <v>1326</v>
      </c>
      <c r="C276" s="338" t="s">
        <v>1327</v>
      </c>
      <c r="D276" s="338">
        <f>A_MNa+A_MH+A_MC+3*A_MO</f>
        <v>84.006608999999997</v>
      </c>
      <c r="E276" s="339"/>
      <c r="F276" s="339"/>
      <c r="G276" s="338" t="s">
        <v>510</v>
      </c>
      <c r="H276" s="340"/>
      <c r="I276" s="340"/>
      <c r="J276" s="338"/>
    </row>
    <row r="277" spans="2:10" ht="18" x14ac:dyDescent="0.25">
      <c r="B277" s="337" t="s">
        <v>1328</v>
      </c>
      <c r="C277" s="338" t="s">
        <v>1329</v>
      </c>
      <c r="D277" s="338">
        <f>4*A_MH+A_MC+A_MS</f>
        <v>48.107459999999996</v>
      </c>
      <c r="E277" s="339"/>
      <c r="F277" s="339"/>
      <c r="G277" s="338" t="s">
        <v>510</v>
      </c>
      <c r="H277" s="340"/>
      <c r="I277" s="340"/>
      <c r="J277" s="338"/>
    </row>
    <row r="279" spans="2:10" ht="15.75" thickBot="1" x14ac:dyDescent="0.3">
      <c r="C279" s="341" t="s">
        <v>773</v>
      </c>
    </row>
    <row r="280" spans="2:10" ht="15.75" thickBot="1" x14ac:dyDescent="0.3">
      <c r="B280" s="342" t="s">
        <v>0</v>
      </c>
      <c r="C280" s="343" t="s">
        <v>1</v>
      </c>
      <c r="D280" s="344" t="s">
        <v>150</v>
      </c>
      <c r="E280" s="344" t="s">
        <v>447</v>
      </c>
      <c r="F280" s="344" t="s">
        <v>448</v>
      </c>
      <c r="G280" s="344" t="s">
        <v>2</v>
      </c>
      <c r="H280" s="344" t="s">
        <v>380</v>
      </c>
      <c r="I280" s="344" t="s">
        <v>114</v>
      </c>
      <c r="J280" s="345" t="s">
        <v>115</v>
      </c>
    </row>
    <row r="281" spans="2:10" ht="18" x14ac:dyDescent="0.25">
      <c r="B281" s="337" t="s">
        <v>1330</v>
      </c>
      <c r="C281" s="338" t="s">
        <v>1077</v>
      </c>
      <c r="D281" s="338">
        <f>2*A_MN</f>
        <v>28.013400000000001</v>
      </c>
      <c r="E281" s="339"/>
      <c r="F281" s="339"/>
      <c r="G281" s="338" t="s">
        <v>1331</v>
      </c>
      <c r="H281" s="340"/>
      <c r="I281" s="340"/>
      <c r="J281" s="338"/>
    </row>
    <row r="282" spans="2:10" ht="18" x14ac:dyDescent="0.25">
      <c r="B282" s="337" t="s">
        <v>1332</v>
      </c>
      <c r="C282" s="338" t="s">
        <v>1078</v>
      </c>
      <c r="D282" s="338">
        <f>A_MN</f>
        <v>14.0067</v>
      </c>
      <c r="E282" s="339"/>
      <c r="F282" s="339"/>
      <c r="G282" s="338" t="s">
        <v>1331</v>
      </c>
      <c r="H282" s="340"/>
      <c r="I282" s="340"/>
      <c r="J282" s="338"/>
    </row>
    <row r="283" spans="2:10" ht="18" x14ac:dyDescent="0.25">
      <c r="B283" s="337" t="s">
        <v>1333</v>
      </c>
      <c r="C283" s="338" t="s">
        <v>1079</v>
      </c>
      <c r="D283" s="338">
        <f>A_MN</f>
        <v>14.0067</v>
      </c>
      <c r="E283" s="339"/>
      <c r="F283" s="339"/>
      <c r="G283" s="338" t="s">
        <v>1331</v>
      </c>
      <c r="H283" s="340"/>
      <c r="I283" s="340"/>
      <c r="J283" s="338"/>
    </row>
    <row r="284" spans="2:10" ht="18" x14ac:dyDescent="0.25">
      <c r="B284" s="337" t="s">
        <v>1334</v>
      </c>
      <c r="C284" s="338" t="s">
        <v>1080</v>
      </c>
      <c r="D284" s="338">
        <f>2*A_MN</f>
        <v>28.013400000000001</v>
      </c>
      <c r="E284" s="339"/>
      <c r="F284" s="339"/>
      <c r="G284" s="338" t="s">
        <v>1331</v>
      </c>
      <c r="H284" s="340"/>
      <c r="I284" s="340"/>
      <c r="J284" s="338"/>
    </row>
    <row r="285" spans="2:10" ht="18" x14ac:dyDescent="0.25">
      <c r="B285" s="337" t="s">
        <v>1335</v>
      </c>
      <c r="C285" s="338" t="s">
        <v>1081</v>
      </c>
      <c r="D285" s="338">
        <v>12.0107</v>
      </c>
      <c r="E285" s="339"/>
      <c r="F285" s="339"/>
      <c r="G285" s="338" t="s">
        <v>510</v>
      </c>
      <c r="H285" s="340"/>
      <c r="I285" s="340"/>
      <c r="J285" s="338" t="s">
        <v>1336</v>
      </c>
    </row>
    <row r="286" spans="2:10" ht="18" x14ac:dyDescent="0.25">
      <c r="B286" s="337" t="s">
        <v>1337</v>
      </c>
      <c r="C286" s="338" t="s">
        <v>1082</v>
      </c>
      <c r="D286" s="338">
        <f>2*A_MO</f>
        <v>31.998799999999999</v>
      </c>
      <c r="E286" s="339"/>
      <c r="F286" s="339"/>
      <c r="G286" s="338" t="s">
        <v>510</v>
      </c>
      <c r="H286" s="340"/>
      <c r="I286" s="340"/>
      <c r="J286" s="338"/>
    </row>
    <row r="287" spans="2:10" ht="18" x14ac:dyDescent="0.25">
      <c r="B287" s="337" t="s">
        <v>774</v>
      </c>
      <c r="C287" s="338" t="s">
        <v>1083</v>
      </c>
      <c r="D287" s="338">
        <v>63.997599999999998</v>
      </c>
      <c r="E287" s="339"/>
      <c r="F287" s="339"/>
      <c r="G287" s="338" t="s">
        <v>1338</v>
      </c>
      <c r="H287" s="340"/>
      <c r="I287" s="340"/>
      <c r="J287" s="338"/>
    </row>
    <row r="288" spans="2:10" ht="18" x14ac:dyDescent="0.25">
      <c r="B288" s="337" t="s">
        <v>775</v>
      </c>
      <c r="C288" s="338" t="s">
        <v>1084</v>
      </c>
      <c r="D288" s="338">
        <f>2*7.9997</f>
        <v>15.9994</v>
      </c>
      <c r="E288" s="339"/>
      <c r="F288" s="339"/>
      <c r="G288" s="338" t="s">
        <v>1338</v>
      </c>
      <c r="H288" s="340"/>
      <c r="I288" s="340"/>
      <c r="J288" s="338"/>
    </row>
    <row r="289" spans="2:10" ht="18" x14ac:dyDescent="0.25">
      <c r="B289" s="337" t="s">
        <v>1339</v>
      </c>
      <c r="C289" s="338" t="s">
        <v>1340</v>
      </c>
      <c r="D289" s="338">
        <f>A_MS</f>
        <v>32.064999999999998</v>
      </c>
      <c r="E289" s="339"/>
      <c r="F289" s="339"/>
      <c r="G289" s="338" t="s">
        <v>1341</v>
      </c>
      <c r="H289" s="340"/>
      <c r="I289" s="340"/>
      <c r="J289" s="338"/>
    </row>
    <row r="291" spans="2:10" ht="15.75" thickBot="1" x14ac:dyDescent="0.3">
      <c r="C291" s="341" t="s">
        <v>776</v>
      </c>
    </row>
    <row r="292" spans="2:10" ht="15.75" thickBot="1" x14ac:dyDescent="0.3">
      <c r="B292" s="342" t="s">
        <v>0</v>
      </c>
      <c r="C292" s="343" t="s">
        <v>1</v>
      </c>
      <c r="D292" s="344" t="s">
        <v>150</v>
      </c>
      <c r="E292" s="344" t="s">
        <v>447</v>
      </c>
      <c r="F292" s="344" t="s">
        <v>448</v>
      </c>
      <c r="G292" s="344" t="s">
        <v>2</v>
      </c>
      <c r="H292" s="344" t="s">
        <v>380</v>
      </c>
      <c r="I292" s="344" t="s">
        <v>114</v>
      </c>
      <c r="J292" s="345" t="s">
        <v>115</v>
      </c>
    </row>
    <row r="293" spans="2:10" ht="18" x14ac:dyDescent="0.25">
      <c r="B293" s="337" t="s">
        <v>961</v>
      </c>
      <c r="C293" s="338" t="s">
        <v>1342</v>
      </c>
      <c r="D293" s="338">
        <f>10^-13.997</f>
        <v>1.0069316688518014E-14</v>
      </c>
      <c r="E293" s="339"/>
      <c r="F293" s="339"/>
      <c r="G293" s="338"/>
      <c r="H293" s="340"/>
      <c r="I293" s="340"/>
      <c r="J293" s="338" t="s">
        <v>1343</v>
      </c>
    </row>
    <row r="294" spans="2:10" ht="18" x14ac:dyDescent="0.25">
      <c r="B294" s="337" t="s">
        <v>1344</v>
      </c>
      <c r="C294" s="338" t="s">
        <v>1345</v>
      </c>
      <c r="D294" s="338">
        <f>10^-9.244</f>
        <v>5.7016427228074759E-10</v>
      </c>
      <c r="E294" s="339"/>
      <c r="F294" s="339"/>
      <c r="G294" s="338"/>
      <c r="H294" s="340"/>
      <c r="I294" s="340"/>
      <c r="J294" s="338" t="s">
        <v>1346</v>
      </c>
    </row>
    <row r="295" spans="2:10" ht="18" x14ac:dyDescent="0.25">
      <c r="B295" s="337" t="s">
        <v>1347</v>
      </c>
      <c r="C295" s="338" t="s">
        <v>1348</v>
      </c>
      <c r="D295" s="338">
        <f>10^-3.35</f>
        <v>4.4668359215096267E-4</v>
      </c>
      <c r="E295" s="339"/>
      <c r="F295" s="339"/>
      <c r="G295" s="338"/>
      <c r="H295" s="340"/>
      <c r="I295" s="340"/>
      <c r="J295" s="338" t="s">
        <v>1349</v>
      </c>
    </row>
    <row r="296" spans="2:10" ht="18" x14ac:dyDescent="0.25">
      <c r="B296" s="337" t="s">
        <v>962</v>
      </c>
      <c r="C296" s="338" t="s">
        <v>1350</v>
      </c>
      <c r="D296" s="338">
        <f>10^-6.352</f>
        <v>4.4463126746910741E-7</v>
      </c>
      <c r="E296" s="339"/>
      <c r="F296" s="339"/>
      <c r="G296" s="338"/>
      <c r="H296" s="340"/>
      <c r="I296" s="340"/>
      <c r="J296" s="338" t="s">
        <v>1351</v>
      </c>
    </row>
    <row r="297" spans="2:10" ht="18" x14ac:dyDescent="0.25">
      <c r="B297" s="337" t="s">
        <v>963</v>
      </c>
      <c r="C297" s="338" t="s">
        <v>1352</v>
      </c>
      <c r="D297" s="338">
        <f>10^-10.329</f>
        <v>4.6881338214526346E-11</v>
      </c>
      <c r="E297" s="339"/>
      <c r="F297" s="339"/>
      <c r="G297" s="338"/>
      <c r="H297" s="340"/>
      <c r="I297" s="340"/>
      <c r="J297" s="338" t="s">
        <v>1353</v>
      </c>
    </row>
    <row r="298" spans="2:10" ht="18" x14ac:dyDescent="0.25">
      <c r="B298" s="337" t="s">
        <v>964</v>
      </c>
      <c r="C298" s="338" t="s">
        <v>1354</v>
      </c>
      <c r="D298" s="338">
        <f>10^-2.148</f>
        <v>7.1121351365332815E-3</v>
      </c>
      <c r="E298" s="339"/>
      <c r="F298" s="339"/>
      <c r="G298" s="338"/>
      <c r="H298" s="340"/>
      <c r="I298" s="340"/>
      <c r="J298" s="338" t="s">
        <v>1355</v>
      </c>
    </row>
    <row r="299" spans="2:10" ht="18" x14ac:dyDescent="0.25">
      <c r="B299" s="337" t="s">
        <v>965</v>
      </c>
      <c r="C299" s="338" t="s">
        <v>1356</v>
      </c>
      <c r="D299" s="338">
        <f>10^-7.198</f>
        <v>6.3386971125692633E-8</v>
      </c>
      <c r="E299" s="339"/>
      <c r="F299" s="339"/>
      <c r="G299" s="338"/>
      <c r="H299" s="340"/>
      <c r="I299" s="340"/>
      <c r="J299" s="338" t="s">
        <v>1357</v>
      </c>
    </row>
    <row r="300" spans="2:10" ht="18" x14ac:dyDescent="0.25">
      <c r="B300" s="337" t="s">
        <v>966</v>
      </c>
      <c r="C300" s="338" t="s">
        <v>1358</v>
      </c>
      <c r="D300" s="338">
        <f>10^-12.375</f>
        <v>4.216965034285812E-13</v>
      </c>
      <c r="E300" s="339"/>
      <c r="F300" s="339"/>
      <c r="G300" s="338"/>
      <c r="H300" s="340"/>
      <c r="I300" s="340"/>
      <c r="J300" s="338" t="s">
        <v>1359</v>
      </c>
    </row>
    <row r="301" spans="2:10" ht="18" x14ac:dyDescent="0.25">
      <c r="B301" s="337" t="s">
        <v>1360</v>
      </c>
      <c r="C301" s="338" t="s">
        <v>1361</v>
      </c>
      <c r="D301" s="338">
        <f>10^-4.757</f>
        <v>1.7498466886246563E-5</v>
      </c>
      <c r="E301" s="339"/>
      <c r="F301" s="339"/>
      <c r="G301" s="338"/>
      <c r="H301" s="340"/>
      <c r="I301" s="340"/>
      <c r="J301" s="338" t="s">
        <v>1362</v>
      </c>
    </row>
    <row r="302" spans="2:10" ht="18" x14ac:dyDescent="0.25">
      <c r="B302" s="337" t="s">
        <v>1363</v>
      </c>
      <c r="C302" s="338" t="s">
        <v>1364</v>
      </c>
      <c r="D302" s="338">
        <f>10^(-7.02)</f>
        <v>9.5499258602143556E-8</v>
      </c>
      <c r="E302" s="339"/>
      <c r="F302" s="339"/>
      <c r="G302" s="338"/>
      <c r="H302" s="340"/>
      <c r="I302" s="340"/>
      <c r="J302" s="338" t="s">
        <v>1365</v>
      </c>
    </row>
    <row r="303" spans="2:10" ht="18" x14ac:dyDescent="0.25">
      <c r="B303" s="337" t="s">
        <v>1366</v>
      </c>
      <c r="C303" s="338" t="s">
        <v>1367</v>
      </c>
      <c r="D303" s="338">
        <f>10^(-17.3)</f>
        <v>5.0118723362726963E-18</v>
      </c>
      <c r="E303" s="339"/>
      <c r="F303" s="339"/>
      <c r="G303" s="338"/>
      <c r="H303" s="340"/>
      <c r="I303" s="340"/>
      <c r="J303" s="338" t="s">
        <v>1365</v>
      </c>
    </row>
    <row r="304" spans="2:10" ht="18" x14ac:dyDescent="0.25">
      <c r="B304" s="337" t="s">
        <v>1368</v>
      </c>
      <c r="C304" s="338" t="s">
        <v>1369</v>
      </c>
      <c r="D304" s="338">
        <f>10^(3)</f>
        <v>1000</v>
      </c>
      <c r="E304" s="339"/>
      <c r="F304" s="339"/>
      <c r="G304" s="338"/>
      <c r="H304" s="340"/>
      <c r="I304" s="340"/>
      <c r="J304" s="338" t="s">
        <v>1370</v>
      </c>
    </row>
    <row r="305" spans="2:10" ht="18" x14ac:dyDescent="0.25">
      <c r="B305" s="337" t="s">
        <v>1371</v>
      </c>
      <c r="C305" s="338" t="s">
        <v>1372</v>
      </c>
      <c r="D305" s="338">
        <f>10^(-1.99)</f>
        <v>1.0232929922807535E-2</v>
      </c>
      <c r="E305" s="339"/>
      <c r="F305" s="339"/>
      <c r="G305" s="338"/>
      <c r="H305" s="340"/>
      <c r="I305" s="340"/>
      <c r="J305" s="338" t="s">
        <v>1373</v>
      </c>
    </row>
    <row r="306" spans="2:10" ht="18" x14ac:dyDescent="0.25">
      <c r="B306" s="337" t="s">
        <v>1374</v>
      </c>
      <c r="C306" s="338" t="s">
        <v>1364</v>
      </c>
      <c r="D306" s="338">
        <f>10^(-7.02)</f>
        <v>9.5499258602143556E-8</v>
      </c>
      <c r="E306" s="339"/>
      <c r="F306" s="339"/>
      <c r="G306" s="338"/>
      <c r="H306" s="340"/>
      <c r="I306" s="340"/>
      <c r="J306" s="338" t="s">
        <v>1373</v>
      </c>
    </row>
    <row r="308" spans="2:10" ht="15.75" thickBot="1" x14ac:dyDescent="0.3">
      <c r="C308" s="341" t="s">
        <v>1375</v>
      </c>
    </row>
    <row r="309" spans="2:10" ht="15.75" thickBot="1" x14ac:dyDescent="0.3">
      <c r="B309" s="342" t="s">
        <v>0</v>
      </c>
      <c r="C309" s="343" t="s">
        <v>1</v>
      </c>
      <c r="D309" s="344" t="s">
        <v>150</v>
      </c>
      <c r="E309" s="344" t="s">
        <v>447</v>
      </c>
      <c r="F309" s="344" t="s">
        <v>448</v>
      </c>
      <c r="G309" s="344" t="s">
        <v>2</v>
      </c>
      <c r="H309" s="344" t="s">
        <v>380</v>
      </c>
      <c r="I309" s="344" t="s">
        <v>114</v>
      </c>
      <c r="J309" s="345" t="s">
        <v>115</v>
      </c>
    </row>
    <row r="310" spans="2:10" ht="18" x14ac:dyDescent="0.25">
      <c r="B310" s="337" t="s">
        <v>1376</v>
      </c>
      <c r="C310" s="338" t="s">
        <v>1377</v>
      </c>
      <c r="D310" s="338">
        <f>10^(-6.35)</f>
        <v>4.4668359215096327E-7</v>
      </c>
      <c r="E310" s="339"/>
      <c r="F310" s="339"/>
      <c r="G310" s="338"/>
      <c r="H310" s="340"/>
      <c r="I310" s="340"/>
      <c r="J310" s="338"/>
    </row>
    <row r="311" spans="2:10" ht="18" x14ac:dyDescent="0.25">
      <c r="B311" s="337" t="s">
        <v>1378</v>
      </c>
      <c r="C311" s="338" t="s">
        <v>1379</v>
      </c>
      <c r="D311" s="338">
        <v>6.9180000000000002E-14</v>
      </c>
      <c r="E311" s="339"/>
      <c r="F311" s="339"/>
      <c r="G311" s="338"/>
      <c r="H311" s="340"/>
      <c r="I311" s="340"/>
      <c r="J311" s="338"/>
    </row>
    <row r="312" spans="2:10" ht="18" x14ac:dyDescent="0.25">
      <c r="B312" s="337" t="s">
        <v>1380</v>
      </c>
      <c r="C312" s="338" t="s">
        <v>1381</v>
      </c>
      <c r="D312" s="338">
        <v>3.162277660168363E-26</v>
      </c>
      <c r="E312" s="339"/>
      <c r="F312" s="339"/>
      <c r="G312" s="338"/>
      <c r="H312" s="340"/>
      <c r="I312" s="340"/>
      <c r="J312" s="338" t="s">
        <v>1382</v>
      </c>
    </row>
    <row r="313" spans="2:10" ht="18" x14ac:dyDescent="0.25">
      <c r="B313" s="337" t="s">
        <v>1383</v>
      </c>
      <c r="C313" s="338" t="s">
        <v>1384</v>
      </c>
      <c r="D313" s="338">
        <v>9.9999999999999994E-37</v>
      </c>
      <c r="E313" s="339"/>
      <c r="F313" s="339"/>
      <c r="G313" s="338"/>
      <c r="H313" s="340"/>
      <c r="I313" s="340"/>
      <c r="J313" s="338" t="s">
        <v>1385</v>
      </c>
    </row>
    <row r="314" spans="2:10" ht="18" x14ac:dyDescent="0.25">
      <c r="B314" s="337" t="s">
        <v>1386</v>
      </c>
      <c r="C314" s="338" t="s">
        <v>1387</v>
      </c>
      <c r="D314" s="338">
        <f>3.7*10^-19</f>
        <v>3.7000000000000001E-19</v>
      </c>
      <c r="E314" s="339"/>
      <c r="F314" s="339"/>
      <c r="G314" s="338"/>
      <c r="H314" s="340"/>
      <c r="I314" s="340"/>
      <c r="J314" s="338"/>
    </row>
    <row r="315" spans="2:10" ht="18" x14ac:dyDescent="0.25">
      <c r="B315" s="337" t="s">
        <v>1388</v>
      </c>
      <c r="C315" s="338" t="s">
        <v>1389</v>
      </c>
      <c r="D315" s="338">
        <v>2.7500000000000001E-22</v>
      </c>
      <c r="E315" s="339"/>
      <c r="F315" s="339"/>
      <c r="G315" s="338"/>
      <c r="H315" s="340"/>
      <c r="I315" s="340"/>
      <c r="J315" s="338"/>
    </row>
    <row r="316" spans="2:10" ht="18" x14ac:dyDescent="0.25">
      <c r="B316" s="337" t="s">
        <v>1390</v>
      </c>
      <c r="C316" s="338" t="s">
        <v>1391</v>
      </c>
      <c r="D316" s="338">
        <f>10^(-16)</f>
        <v>9.9999999999999998E-17</v>
      </c>
      <c r="E316" s="339"/>
      <c r="F316" s="339"/>
      <c r="G316" s="338"/>
      <c r="H316" s="340"/>
      <c r="I316" s="340"/>
      <c r="J316" s="338"/>
    </row>
    <row r="318" spans="2:10" ht="15.75" thickBot="1" x14ac:dyDescent="0.3">
      <c r="C318" s="341" t="s">
        <v>777</v>
      </c>
    </row>
    <row r="319" spans="2:10" ht="15.75" thickBot="1" x14ac:dyDescent="0.3">
      <c r="B319" s="342" t="s">
        <v>0</v>
      </c>
      <c r="C319" s="343" t="s">
        <v>1</v>
      </c>
      <c r="D319" s="344" t="s">
        <v>150</v>
      </c>
      <c r="E319" s="344" t="s">
        <v>447</v>
      </c>
      <c r="F319" s="344" t="s">
        <v>448</v>
      </c>
      <c r="G319" s="344" t="s">
        <v>2</v>
      </c>
      <c r="H319" s="344" t="s">
        <v>380</v>
      </c>
      <c r="I319" s="344" t="s">
        <v>114</v>
      </c>
      <c r="J319" s="345" t="s">
        <v>115</v>
      </c>
    </row>
    <row r="320" spans="2:10" ht="18" x14ac:dyDescent="0.25">
      <c r="B320" s="337" t="s">
        <v>778</v>
      </c>
      <c r="C320" s="338" t="s">
        <v>779</v>
      </c>
      <c r="D320" s="338">
        <f>3*A_MO/(2*A_MN)</f>
        <v>1.7134014435948508</v>
      </c>
      <c r="E320" s="339"/>
      <c r="F320" s="339"/>
      <c r="G320" s="338" t="s">
        <v>1392</v>
      </c>
      <c r="H320" s="340"/>
      <c r="I320" s="340"/>
      <c r="J320" s="338" t="s">
        <v>780</v>
      </c>
    </row>
    <row r="321" spans="2:10" ht="18" x14ac:dyDescent="0.25">
      <c r="B321" s="337" t="s">
        <v>781</v>
      </c>
      <c r="C321" s="338" t="s">
        <v>782</v>
      </c>
      <c r="D321" s="338">
        <f>2*A_MO/(A_MN)</f>
        <v>2.2845352581264677</v>
      </c>
      <c r="E321" s="339"/>
      <c r="F321" s="339"/>
      <c r="G321" s="338" t="s">
        <v>1392</v>
      </c>
      <c r="H321" s="340"/>
      <c r="I321" s="340"/>
      <c r="J321" s="338" t="s">
        <v>780</v>
      </c>
    </row>
    <row r="322" spans="2:10" ht="18" x14ac:dyDescent="0.25">
      <c r="B322" s="337" t="s">
        <v>783</v>
      </c>
      <c r="C322" s="338" t="s">
        <v>784</v>
      </c>
      <c r="D322" s="338">
        <f>2.5*A_MO/(A_MN)</f>
        <v>2.8556690726580851</v>
      </c>
      <c r="E322" s="339"/>
      <c r="F322" s="339"/>
      <c r="G322" s="338" t="s">
        <v>1392</v>
      </c>
      <c r="H322" s="340"/>
      <c r="I322" s="340"/>
      <c r="J322" s="338" t="s">
        <v>780</v>
      </c>
    </row>
    <row r="323" spans="2:10" ht="18" x14ac:dyDescent="0.25">
      <c r="B323" s="337" t="s">
        <v>785</v>
      </c>
      <c r="C323" s="338" t="s">
        <v>786</v>
      </c>
      <c r="D323" s="338">
        <f>3*A_MO/A_MN</f>
        <v>3.4268028871897016</v>
      </c>
      <c r="E323" s="339"/>
      <c r="F323" s="339"/>
      <c r="G323" s="338" t="s">
        <v>1392</v>
      </c>
      <c r="H323" s="340"/>
      <c r="I323" s="340"/>
      <c r="J323" s="338" t="s">
        <v>780</v>
      </c>
    </row>
    <row r="324" spans="2:10" ht="18" x14ac:dyDescent="0.25">
      <c r="B324" s="337" t="s">
        <v>787</v>
      </c>
      <c r="C324" s="338" t="s">
        <v>788</v>
      </c>
      <c r="D324" s="338">
        <f>4*A_MO/A_MN</f>
        <v>4.5690705162529355</v>
      </c>
      <c r="E324" s="339"/>
      <c r="F324" s="339"/>
      <c r="G324" s="338" t="s">
        <v>1392</v>
      </c>
      <c r="H324" s="340"/>
      <c r="I324" s="340"/>
      <c r="J324" s="338" t="s">
        <v>780</v>
      </c>
    </row>
    <row r="325" spans="2:10" ht="18" x14ac:dyDescent="0.25">
      <c r="B325" s="337" t="s">
        <v>967</v>
      </c>
      <c r="C325" s="338" t="s">
        <v>789</v>
      </c>
      <c r="D325" s="338">
        <f>A_MO/A_MN</f>
        <v>1.1422676290632339</v>
      </c>
      <c r="E325" s="339"/>
      <c r="F325" s="339"/>
      <c r="G325" s="338" t="s">
        <v>1392</v>
      </c>
      <c r="H325" s="340"/>
      <c r="I325" s="340"/>
      <c r="J325" s="338"/>
    </row>
    <row r="326" spans="2:10" ht="18" x14ac:dyDescent="0.25">
      <c r="B326" s="337" t="s">
        <v>968</v>
      </c>
      <c r="C326" s="338" t="s">
        <v>790</v>
      </c>
      <c r="D326" s="338">
        <f>3*A_MO/(2*A_MN)</f>
        <v>1.7134014435948508</v>
      </c>
      <c r="E326" s="339"/>
      <c r="F326" s="339"/>
      <c r="G326" s="338" t="s">
        <v>1392</v>
      </c>
      <c r="H326" s="340"/>
      <c r="I326" s="340"/>
      <c r="J326" s="338"/>
    </row>
    <row r="327" spans="2:10" ht="18" x14ac:dyDescent="0.25">
      <c r="B327" s="337" t="s">
        <v>969</v>
      </c>
      <c r="C327" s="338" t="s">
        <v>791</v>
      </c>
      <c r="D327" s="338">
        <f>0.5*A_MO/A_MN</f>
        <v>0.57113381453161693</v>
      </c>
      <c r="E327" s="339"/>
      <c r="F327" s="339"/>
      <c r="G327" s="338" t="s">
        <v>1392</v>
      </c>
      <c r="H327" s="340"/>
      <c r="I327" s="340"/>
      <c r="J327" s="338"/>
    </row>
    <row r="328" spans="2:10" ht="18" x14ac:dyDescent="0.25">
      <c r="B328" s="337" t="s">
        <v>970</v>
      </c>
      <c r="C328" s="338" t="s">
        <v>792</v>
      </c>
      <c r="D328" s="338">
        <f>0.5*A_MO/A_MN</f>
        <v>0.57113381453161693</v>
      </c>
      <c r="E328" s="339"/>
      <c r="F328" s="339"/>
      <c r="G328" s="338" t="s">
        <v>1392</v>
      </c>
      <c r="H328" s="340"/>
      <c r="I328" s="340"/>
      <c r="J328" s="338"/>
    </row>
    <row r="329" spans="2:10" ht="18" x14ac:dyDescent="0.25">
      <c r="B329" s="337" t="s">
        <v>971</v>
      </c>
      <c r="C329" s="338" t="s">
        <v>793</v>
      </c>
      <c r="D329" s="338">
        <f>0.5*A_MO/A_MN</f>
        <v>0.57113381453161693</v>
      </c>
      <c r="E329" s="339"/>
      <c r="F329" s="339"/>
      <c r="G329" s="338" t="s">
        <v>1392</v>
      </c>
      <c r="H329" s="340"/>
      <c r="I329" s="340"/>
      <c r="J329" s="338"/>
    </row>
    <row r="330" spans="2:10" ht="18" x14ac:dyDescent="0.25">
      <c r="B330" s="337" t="s">
        <v>1085</v>
      </c>
      <c r="C330" s="338" t="s">
        <v>794</v>
      </c>
      <c r="D330" s="338">
        <f>5*A_MO/(2*A_MN)</f>
        <v>2.8556690726580851</v>
      </c>
      <c r="E330" s="339"/>
      <c r="F330" s="339"/>
      <c r="G330" s="338" t="s">
        <v>1392</v>
      </c>
      <c r="H330" s="340"/>
      <c r="I330" s="340"/>
      <c r="J330" s="338"/>
    </row>
    <row r="331" spans="2:10" ht="18" x14ac:dyDescent="0.25">
      <c r="B331" s="337" t="s">
        <v>1393</v>
      </c>
      <c r="C331" s="338" t="s">
        <v>1394</v>
      </c>
      <c r="D331" s="338">
        <f>8/A_MFe</f>
        <v>0.14325364849136002</v>
      </c>
      <c r="E331" s="339"/>
      <c r="F331" s="339"/>
      <c r="G331" s="338" t="s">
        <v>1395</v>
      </c>
      <c r="H331" s="340"/>
      <c r="I331" s="340"/>
      <c r="J331" s="338"/>
    </row>
    <row r="332" spans="2:10" ht="18" x14ac:dyDescent="0.25">
      <c r="B332" s="337" t="s">
        <v>1396</v>
      </c>
      <c r="C332" s="338" t="s">
        <v>1397</v>
      </c>
      <c r="D332" s="338">
        <f>3*A_MO/(A_MS)</f>
        <v>1.4969031654451894</v>
      </c>
      <c r="E332" s="339"/>
      <c r="F332" s="339"/>
      <c r="G332" s="338" t="s">
        <v>1398</v>
      </c>
      <c r="H332" s="340"/>
      <c r="I332" s="340"/>
      <c r="J332" s="338" t="s">
        <v>1399</v>
      </c>
    </row>
    <row r="333" spans="2:10" ht="18" x14ac:dyDescent="0.25">
      <c r="B333" s="337" t="s">
        <v>1127</v>
      </c>
      <c r="C333" s="338" t="s">
        <v>1086</v>
      </c>
      <c r="D333" s="338">
        <f>4*A_MO/(A_MS)</f>
        <v>1.9958708872602526</v>
      </c>
      <c r="E333" s="339"/>
      <c r="F333" s="339"/>
      <c r="G333" s="338" t="s">
        <v>1400</v>
      </c>
      <c r="H333" s="340"/>
      <c r="I333" s="340"/>
      <c r="J333" s="338" t="s">
        <v>1399</v>
      </c>
    </row>
    <row r="335" spans="2:10" ht="15.75" thickBot="1" x14ac:dyDescent="0.3">
      <c r="C335" s="341" t="s">
        <v>972</v>
      </c>
    </row>
    <row r="336" spans="2:10" ht="15.75" thickBot="1" x14ac:dyDescent="0.3">
      <c r="B336" s="342" t="s">
        <v>0</v>
      </c>
      <c r="C336" s="343" t="s">
        <v>1</v>
      </c>
      <c r="D336" s="344" t="s">
        <v>150</v>
      </c>
      <c r="E336" s="344" t="s">
        <v>447</v>
      </c>
      <c r="F336" s="344" t="s">
        <v>448</v>
      </c>
      <c r="G336" s="344" t="s">
        <v>2</v>
      </c>
      <c r="H336" s="344" t="s">
        <v>380</v>
      </c>
      <c r="I336" s="344" t="s">
        <v>114</v>
      </c>
      <c r="J336" s="345" t="s">
        <v>115</v>
      </c>
    </row>
    <row r="337" spans="2:10" ht="18" x14ac:dyDescent="0.25">
      <c r="B337" s="337" t="s">
        <v>973</v>
      </c>
      <c r="C337" s="338" t="s">
        <v>974</v>
      </c>
      <c r="D337" s="338">
        <v>0.5</v>
      </c>
      <c r="E337" s="339"/>
      <c r="F337" s="339"/>
      <c r="G337" s="338"/>
      <c r="H337" s="340"/>
      <c r="I337" s="340"/>
      <c r="J337" s="338" t="s">
        <v>1087</v>
      </c>
    </row>
    <row r="338" spans="2:10" ht="18" x14ac:dyDescent="0.25">
      <c r="B338" s="337" t="s">
        <v>975</v>
      </c>
      <c r="C338" s="338" t="s">
        <v>976</v>
      </c>
      <c r="D338" s="338">
        <v>0.5</v>
      </c>
      <c r="E338" s="339"/>
      <c r="F338" s="339"/>
      <c r="G338" s="338"/>
      <c r="H338" s="340"/>
      <c r="I338" s="340"/>
      <c r="J338" s="338" t="s">
        <v>1088</v>
      </c>
    </row>
    <row r="339" spans="2:10" ht="18" x14ac:dyDescent="0.25">
      <c r="B339" s="337" t="s">
        <v>977</v>
      </c>
      <c r="C339" s="338" t="s">
        <v>978</v>
      </c>
      <c r="D339" s="338">
        <v>2</v>
      </c>
      <c r="E339" s="339"/>
      <c r="F339" s="339"/>
      <c r="G339" s="338"/>
      <c r="H339" s="340"/>
      <c r="I339" s="340"/>
      <c r="J339" s="338" t="s">
        <v>1089</v>
      </c>
    </row>
    <row r="340" spans="2:10" ht="18" x14ac:dyDescent="0.25">
      <c r="B340" s="337" t="s">
        <v>979</v>
      </c>
      <c r="C340" s="338" t="s">
        <v>980</v>
      </c>
      <c r="D340" s="338">
        <v>2</v>
      </c>
      <c r="E340" s="339"/>
      <c r="F340" s="339"/>
      <c r="G340" s="338"/>
      <c r="H340" s="340"/>
      <c r="I340" s="340"/>
      <c r="J340" s="338" t="s">
        <v>1090</v>
      </c>
    </row>
    <row r="341" spans="2:10" ht="18" x14ac:dyDescent="0.25">
      <c r="B341" s="337" t="s">
        <v>981</v>
      </c>
      <c r="C341" s="338" t="s">
        <v>982</v>
      </c>
      <c r="D341" s="338">
        <v>4.5</v>
      </c>
      <c r="E341" s="339"/>
      <c r="F341" s="339"/>
      <c r="G341" s="338"/>
      <c r="H341" s="340"/>
      <c r="I341" s="340"/>
      <c r="J341" s="338" t="s">
        <v>1091</v>
      </c>
    </row>
    <row r="342" spans="2:10" ht="18" x14ac:dyDescent="0.25">
      <c r="B342" s="337" t="s">
        <v>983</v>
      </c>
      <c r="C342" s="338" t="s">
        <v>984</v>
      </c>
      <c r="D342" s="338">
        <v>4.5</v>
      </c>
      <c r="E342" s="339"/>
      <c r="F342" s="339"/>
      <c r="G342" s="338"/>
      <c r="H342" s="340"/>
      <c r="I342" s="340"/>
      <c r="J342" s="338" t="s">
        <v>1092</v>
      </c>
    </row>
    <row r="344" spans="2:10" ht="15.75" thickBot="1" x14ac:dyDescent="0.3">
      <c r="C344" s="341" t="s">
        <v>985</v>
      </c>
    </row>
    <row r="345" spans="2:10" ht="15.75" thickBot="1" x14ac:dyDescent="0.3">
      <c r="B345" s="342" t="s">
        <v>0</v>
      </c>
      <c r="C345" s="343" t="s">
        <v>1</v>
      </c>
      <c r="D345" s="344" t="s">
        <v>150</v>
      </c>
      <c r="E345" s="344" t="s">
        <v>447</v>
      </c>
      <c r="F345" s="344" t="s">
        <v>448</v>
      </c>
      <c r="G345" s="344" t="s">
        <v>2</v>
      </c>
      <c r="H345" s="344" t="s">
        <v>380</v>
      </c>
      <c r="I345" s="344" t="s">
        <v>114</v>
      </c>
      <c r="J345" s="345" t="s">
        <v>115</v>
      </c>
    </row>
    <row r="346" spans="2:10" ht="18" x14ac:dyDescent="0.25">
      <c r="B346" s="337" t="s">
        <v>986</v>
      </c>
      <c r="C346" s="338" t="s">
        <v>987</v>
      </c>
      <c r="D346" s="338">
        <v>6.4135999999999997E-5</v>
      </c>
      <c r="E346" s="339"/>
      <c r="F346" s="339"/>
      <c r="G346" s="338" t="s">
        <v>988</v>
      </c>
      <c r="H346" s="340"/>
      <c r="I346" s="340"/>
      <c r="J346" s="338" t="s">
        <v>1401</v>
      </c>
    </row>
    <row r="348" spans="2:10" ht="15.75" thickBot="1" x14ac:dyDescent="0.3">
      <c r="C348" s="341" t="s">
        <v>985</v>
      </c>
    </row>
    <row r="349" spans="2:10" ht="15.75" thickBot="1" x14ac:dyDescent="0.3">
      <c r="B349" s="342" t="s">
        <v>0</v>
      </c>
      <c r="C349" s="343" t="s">
        <v>1</v>
      </c>
      <c r="D349" s="344" t="s">
        <v>150</v>
      </c>
      <c r="E349" s="344" t="s">
        <v>447</v>
      </c>
      <c r="F349" s="344" t="s">
        <v>448</v>
      </c>
      <c r="G349" s="344" t="s">
        <v>2</v>
      </c>
      <c r="H349" s="344" t="s">
        <v>380</v>
      </c>
      <c r="I349" s="344" t="s">
        <v>114</v>
      </c>
      <c r="J349" s="345" t="s">
        <v>115</v>
      </c>
    </row>
    <row r="350" spans="2:10" ht="18" x14ac:dyDescent="0.25">
      <c r="B350" s="337" t="s">
        <v>1402</v>
      </c>
      <c r="C350" s="338" t="s">
        <v>1403</v>
      </c>
      <c r="D350" s="338">
        <v>0.6</v>
      </c>
      <c r="E350" s="339" t="s">
        <v>1137</v>
      </c>
      <c r="F350" s="339" t="s">
        <v>1404</v>
      </c>
      <c r="G350" s="338" t="s">
        <v>1405</v>
      </c>
      <c r="H350" s="340"/>
      <c r="I350" s="340"/>
      <c r="J350" s="338" t="s">
        <v>1406</v>
      </c>
    </row>
    <row r="352" spans="2:10" ht="15.75" thickBot="1" x14ac:dyDescent="0.3">
      <c r="C352" s="341" t="s">
        <v>989</v>
      </c>
    </row>
    <row r="353" spans="2:10" ht="15.75" thickBot="1" x14ac:dyDescent="0.3">
      <c r="B353" s="342" t="s">
        <v>0</v>
      </c>
      <c r="C353" s="343" t="s">
        <v>1</v>
      </c>
      <c r="D353" s="344" t="s">
        <v>150</v>
      </c>
      <c r="E353" s="344" t="s">
        <v>447</v>
      </c>
      <c r="F353" s="344" t="s">
        <v>448</v>
      </c>
      <c r="G353" s="344" t="s">
        <v>2</v>
      </c>
      <c r="H353" s="344" t="s">
        <v>380</v>
      </c>
      <c r="I353" s="344" t="s">
        <v>114</v>
      </c>
      <c r="J353" s="345" t="s">
        <v>115</v>
      </c>
    </row>
    <row r="354" spans="2:10" ht="18" x14ac:dyDescent="0.25">
      <c r="B354" s="337" t="s">
        <v>990</v>
      </c>
      <c r="C354" s="338" t="s">
        <v>991</v>
      </c>
      <c r="D354" s="338">
        <v>1000000</v>
      </c>
      <c r="E354" s="339"/>
      <c r="F354" s="339"/>
      <c r="G354" s="338" t="s">
        <v>1407</v>
      </c>
      <c r="H354" s="340"/>
      <c r="I354" s="340"/>
      <c r="J354" s="338"/>
    </row>
    <row r="355" spans="2:10" ht="18" x14ac:dyDescent="0.25">
      <c r="B355" s="337" t="s">
        <v>1150</v>
      </c>
      <c r="C355" s="338" t="s">
        <v>1151</v>
      </c>
      <c r="D355" s="338">
        <v>100</v>
      </c>
      <c r="E355" s="339"/>
      <c r="F355" s="339"/>
      <c r="G355" s="338" t="s">
        <v>1408</v>
      </c>
      <c r="H355" s="340"/>
      <c r="I355" s="340"/>
      <c r="J355" s="338"/>
    </row>
    <row r="356" spans="2:10" ht="18" x14ac:dyDescent="0.25">
      <c r="B356" s="337" t="s">
        <v>1152</v>
      </c>
      <c r="C356" s="338" t="s">
        <v>1153</v>
      </c>
      <c r="D356" s="338">
        <v>100</v>
      </c>
      <c r="E356" s="339"/>
      <c r="F356" s="339"/>
      <c r="G356" s="338" t="s">
        <v>1154</v>
      </c>
      <c r="H356" s="340"/>
      <c r="I356" s="340"/>
      <c r="J356" s="338"/>
    </row>
    <row r="357" spans="2:10" ht="18" x14ac:dyDescent="0.25">
      <c r="B357" s="337" t="s">
        <v>992</v>
      </c>
      <c r="C357" s="338" t="s">
        <v>1409</v>
      </c>
      <c r="D357" s="338">
        <v>86400</v>
      </c>
      <c r="E357" s="339"/>
      <c r="F357" s="339"/>
      <c r="G357" s="338" t="s">
        <v>1410</v>
      </c>
      <c r="H357" s="340"/>
      <c r="I357" s="340"/>
      <c r="J357" s="338"/>
    </row>
    <row r="358" spans="2:10" ht="18" x14ac:dyDescent="0.25">
      <c r="B358" s="337" t="s">
        <v>1411</v>
      </c>
      <c r="C358" s="338" t="s">
        <v>1412</v>
      </c>
      <c r="D358" s="338">
        <v>3600</v>
      </c>
      <c r="E358" s="339"/>
      <c r="F358" s="339"/>
      <c r="G358" s="338" t="s">
        <v>1413</v>
      </c>
      <c r="H358" s="340"/>
      <c r="I358" s="340"/>
      <c r="J358" s="338"/>
    </row>
    <row r="359" spans="2:10" ht="18" x14ac:dyDescent="0.25">
      <c r="B359" s="337" t="s">
        <v>1414</v>
      </c>
      <c r="C359" s="338" t="s">
        <v>1415</v>
      </c>
      <c r="D359" s="338">
        <v>60</v>
      </c>
      <c r="E359" s="339"/>
      <c r="F359" s="339"/>
      <c r="G359" s="338" t="s">
        <v>1416</v>
      </c>
      <c r="H359" s="340"/>
      <c r="I359" s="340"/>
      <c r="J359" s="338"/>
    </row>
    <row r="360" spans="2:10" ht="18" x14ac:dyDescent="0.25">
      <c r="B360" s="337" t="s">
        <v>1417</v>
      </c>
      <c r="C360" s="338" t="s">
        <v>1418</v>
      </c>
      <c r="D360" s="338">
        <v>24</v>
      </c>
      <c r="E360" s="339"/>
      <c r="F360" s="339"/>
      <c r="G360" s="338" t="s">
        <v>1419</v>
      </c>
      <c r="H360" s="340"/>
      <c r="I360" s="340"/>
      <c r="J360" s="338"/>
    </row>
    <row r="361" spans="2:10" ht="18" x14ac:dyDescent="0.25">
      <c r="B361" s="337" t="s">
        <v>1420</v>
      </c>
      <c r="C361" s="338" t="s">
        <v>1421</v>
      </c>
      <c r="D361" s="338">
        <v>86400000</v>
      </c>
      <c r="E361" s="339"/>
      <c r="F361" s="339"/>
      <c r="G361" s="338" t="s">
        <v>1422</v>
      </c>
      <c r="H361" s="340"/>
      <c r="I361" s="340"/>
      <c r="J361" s="338"/>
    </row>
    <row r="362" spans="2:10" ht="18" x14ac:dyDescent="0.25">
      <c r="B362" s="337" t="s">
        <v>1093</v>
      </c>
      <c r="C362" s="338" t="s">
        <v>1094</v>
      </c>
      <c r="D362" s="338">
        <v>3600000</v>
      </c>
      <c r="E362" s="339"/>
      <c r="F362" s="339"/>
      <c r="G362" s="338" t="s">
        <v>1095</v>
      </c>
      <c r="H362" s="340"/>
      <c r="I362" s="340"/>
      <c r="J362" s="338"/>
    </row>
    <row r="363" spans="2:10" ht="18" x14ac:dyDescent="0.25">
      <c r="B363" s="337" t="s">
        <v>1423</v>
      </c>
      <c r="C363" s="338" t="s">
        <v>1424</v>
      </c>
      <c r="D363" s="338">
        <v>60000</v>
      </c>
      <c r="E363" s="339"/>
      <c r="F363" s="339"/>
      <c r="G363" s="338" t="s">
        <v>1425</v>
      </c>
      <c r="H363" s="340"/>
      <c r="I363" s="340"/>
      <c r="J363" s="338"/>
    </row>
    <row r="364" spans="2:10" ht="18" x14ac:dyDescent="0.25">
      <c r="B364" s="337" t="s">
        <v>1426</v>
      </c>
      <c r="C364" s="338" t="s">
        <v>1427</v>
      </c>
      <c r="D364" s="338">
        <v>1000</v>
      </c>
      <c r="E364" s="339"/>
      <c r="F364" s="339"/>
      <c r="G364" s="338" t="s">
        <v>1428</v>
      </c>
      <c r="H364" s="340"/>
      <c r="I364" s="340"/>
      <c r="J364" s="338"/>
    </row>
    <row r="365" spans="2:10" ht="18" x14ac:dyDescent="0.25">
      <c r="B365" s="337" t="s">
        <v>993</v>
      </c>
      <c r="C365" s="338" t="s">
        <v>994</v>
      </c>
      <c r="D365" s="338">
        <v>1000</v>
      </c>
      <c r="E365" s="339"/>
      <c r="F365" s="339"/>
      <c r="G365" s="338" t="s">
        <v>1429</v>
      </c>
      <c r="H365" s="340"/>
      <c r="I365" s="340"/>
      <c r="J365" s="338"/>
    </row>
    <row r="366" spans="2:10" ht="18" x14ac:dyDescent="0.25">
      <c r="B366" s="337" t="s">
        <v>995</v>
      </c>
      <c r="C366" s="338" t="s">
        <v>996</v>
      </c>
      <c r="D366" s="338">
        <v>1000</v>
      </c>
      <c r="E366" s="339"/>
      <c r="F366" s="339"/>
      <c r="G366" s="338" t="s">
        <v>1430</v>
      </c>
      <c r="H366" s="340"/>
      <c r="I366" s="340"/>
      <c r="J366" s="338"/>
    </row>
    <row r="367" spans="2:10" ht="18" x14ac:dyDescent="0.25">
      <c r="B367" s="337" t="s">
        <v>997</v>
      </c>
      <c r="C367" s="338" t="s">
        <v>1431</v>
      </c>
      <c r="D367" s="338">
        <v>1000</v>
      </c>
      <c r="E367" s="339"/>
      <c r="F367" s="339"/>
      <c r="G367" s="338" t="s">
        <v>1432</v>
      </c>
      <c r="H367" s="340"/>
      <c r="I367" s="340"/>
      <c r="J367" s="338"/>
    </row>
    <row r="368" spans="2:10" ht="18" x14ac:dyDescent="0.25">
      <c r="B368" s="346" t="s">
        <v>1433</v>
      </c>
      <c r="C368" s="346" t="s">
        <v>1434</v>
      </c>
      <c r="D368" s="346">
        <v>1000</v>
      </c>
      <c r="E368" s="346"/>
      <c r="F368" s="346"/>
      <c r="G368" s="346" t="s">
        <v>1435</v>
      </c>
      <c r="H368" s="346"/>
      <c r="I368" s="346"/>
      <c r="J368" s="346"/>
    </row>
    <row r="369" spans="2:10" ht="18" x14ac:dyDescent="0.25">
      <c r="B369" s="337" t="s">
        <v>998</v>
      </c>
      <c r="C369" s="338" t="s">
        <v>1436</v>
      </c>
      <c r="D369" s="338">
        <v>133.32236800000001</v>
      </c>
      <c r="E369" s="339"/>
      <c r="F369" s="339"/>
      <c r="G369" s="338" t="s">
        <v>1437</v>
      </c>
      <c r="H369" s="340"/>
      <c r="I369" s="340"/>
      <c r="J369" s="338"/>
    </row>
    <row r="370" spans="2:10" ht="18" x14ac:dyDescent="0.25">
      <c r="B370" s="337" t="s">
        <v>999</v>
      </c>
      <c r="C370" s="338" t="s">
        <v>1438</v>
      </c>
      <c r="D370" s="338">
        <v>100000</v>
      </c>
      <c r="E370" s="339"/>
      <c r="F370" s="339"/>
      <c r="G370" s="338" t="s">
        <v>1439</v>
      </c>
      <c r="H370" s="340"/>
      <c r="I370" s="340"/>
      <c r="J370" s="338"/>
    </row>
    <row r="371" spans="2:10" ht="18" x14ac:dyDescent="0.25">
      <c r="B371" s="337" t="s">
        <v>1440</v>
      </c>
      <c r="C371" s="338" t="s">
        <v>1441</v>
      </c>
      <c r="D371" s="338">
        <v>100</v>
      </c>
      <c r="E371" s="339"/>
      <c r="F371" s="339"/>
      <c r="G371" s="338" t="s">
        <v>1442</v>
      </c>
      <c r="H371" s="340"/>
      <c r="I371" s="340"/>
      <c r="J371" s="338"/>
    </row>
    <row r="372" spans="2:10" ht="18" x14ac:dyDescent="0.25">
      <c r="B372" s="337" t="s">
        <v>1000</v>
      </c>
      <c r="C372" s="338" t="s">
        <v>1443</v>
      </c>
      <c r="D372" s="338">
        <v>10000</v>
      </c>
      <c r="E372" s="339"/>
      <c r="F372" s="339"/>
      <c r="G372" s="338" t="s">
        <v>1442</v>
      </c>
      <c r="H372" s="340"/>
      <c r="I372" s="340"/>
      <c r="J372" s="338"/>
    </row>
    <row r="373" spans="2:10" ht="18" x14ac:dyDescent="0.25">
      <c r="B373" s="337" t="s">
        <v>1444</v>
      </c>
      <c r="C373" s="338" t="s">
        <v>1445</v>
      </c>
      <c r="D373" s="338">
        <v>1000000</v>
      </c>
      <c r="E373" s="339"/>
      <c r="F373" s="339"/>
      <c r="G373" s="338" t="s">
        <v>1446</v>
      </c>
      <c r="H373" s="340"/>
      <c r="I373" s="340"/>
      <c r="J373" s="338"/>
    </row>
    <row r="375" spans="2:10" ht="15.75" thickBot="1" x14ac:dyDescent="0.3">
      <c r="C375" s="341" t="s">
        <v>1001</v>
      </c>
    </row>
    <row r="376" spans="2:10" ht="15.75" thickBot="1" x14ac:dyDescent="0.3">
      <c r="B376" s="342" t="s">
        <v>0</v>
      </c>
      <c r="C376" s="343" t="s">
        <v>1</v>
      </c>
      <c r="D376" s="344" t="s">
        <v>150</v>
      </c>
      <c r="E376" s="344" t="s">
        <v>447</v>
      </c>
      <c r="F376" s="344" t="s">
        <v>448</v>
      </c>
      <c r="G376" s="344" t="s">
        <v>2</v>
      </c>
      <c r="H376" s="344" t="s">
        <v>380</v>
      </c>
      <c r="I376" s="344" t="s">
        <v>114</v>
      </c>
      <c r="J376" s="345" t="s">
        <v>115</v>
      </c>
    </row>
    <row r="377" spans="2:10" ht="18" x14ac:dyDescent="0.25">
      <c r="B377" s="337" t="s">
        <v>1096</v>
      </c>
      <c r="C377" s="338" t="s">
        <v>1002</v>
      </c>
      <c r="D377" s="338">
        <v>0</v>
      </c>
      <c r="E377" s="339"/>
      <c r="F377" s="339"/>
      <c r="G377" s="338" t="s">
        <v>1447</v>
      </c>
      <c r="H377" s="340"/>
      <c r="I377" s="340"/>
      <c r="J377" s="338" t="s">
        <v>1003</v>
      </c>
    </row>
    <row r="378" spans="2:10" ht="18" x14ac:dyDescent="0.25">
      <c r="B378" s="337" t="s">
        <v>1097</v>
      </c>
      <c r="C378" s="338" t="s">
        <v>1004</v>
      </c>
      <c r="D378" s="338">
        <v>-285840</v>
      </c>
      <c r="E378" s="339"/>
      <c r="F378" s="339"/>
      <c r="G378" s="338" t="s">
        <v>1447</v>
      </c>
      <c r="H378" s="340"/>
      <c r="I378" s="340"/>
      <c r="J378" s="338" t="s">
        <v>1005</v>
      </c>
    </row>
    <row r="379" spans="2:10" ht="18" x14ac:dyDescent="0.25">
      <c r="B379" s="337" t="s">
        <v>1098</v>
      </c>
      <c r="C379" s="338" t="s">
        <v>1006</v>
      </c>
      <c r="D379" s="338">
        <v>-229994</v>
      </c>
      <c r="E379" s="339"/>
      <c r="F379" s="339"/>
      <c r="G379" s="338" t="s">
        <v>1447</v>
      </c>
      <c r="H379" s="340"/>
      <c r="I379" s="340"/>
      <c r="J379" s="338" t="s">
        <v>1003</v>
      </c>
    </row>
    <row r="380" spans="2:10" ht="18" x14ac:dyDescent="0.25">
      <c r="B380" s="337" t="s">
        <v>1099</v>
      </c>
      <c r="C380" s="338" t="s">
        <v>1007</v>
      </c>
      <c r="D380" s="338">
        <v>-80920</v>
      </c>
      <c r="E380" s="339"/>
      <c r="F380" s="339"/>
      <c r="G380" s="338" t="s">
        <v>1447</v>
      </c>
      <c r="H380" s="340"/>
      <c r="I380" s="340"/>
      <c r="J380" s="338" t="s">
        <v>1003</v>
      </c>
    </row>
    <row r="381" spans="2:10" ht="18" x14ac:dyDescent="0.25">
      <c r="B381" s="337" t="s">
        <v>1100</v>
      </c>
      <c r="C381" s="338" t="s">
        <v>1008</v>
      </c>
      <c r="D381" s="338">
        <v>-132510</v>
      </c>
      <c r="E381" s="339"/>
      <c r="F381" s="339"/>
      <c r="G381" s="338" t="s">
        <v>1447</v>
      </c>
      <c r="H381" s="340"/>
      <c r="I381" s="340"/>
      <c r="J381" s="338" t="s">
        <v>1003</v>
      </c>
    </row>
    <row r="382" spans="2:10" ht="18" x14ac:dyDescent="0.25">
      <c r="B382" s="337" t="s">
        <v>1101</v>
      </c>
      <c r="C382" s="338" t="s">
        <v>1009</v>
      </c>
      <c r="D382" s="338">
        <v>-119200</v>
      </c>
      <c r="E382" s="339"/>
      <c r="F382" s="339"/>
      <c r="G382" s="338" t="s">
        <v>1447</v>
      </c>
      <c r="H382" s="340"/>
      <c r="I382" s="340"/>
      <c r="J382" s="338" t="s">
        <v>1003</v>
      </c>
    </row>
    <row r="383" spans="2:10" ht="18" x14ac:dyDescent="0.25">
      <c r="B383" s="337" t="s">
        <v>1102</v>
      </c>
      <c r="C383" s="338" t="s">
        <v>1010</v>
      </c>
      <c r="D383" s="338">
        <v>-106000</v>
      </c>
      <c r="E383" s="339"/>
      <c r="F383" s="339"/>
      <c r="G383" s="338" t="s">
        <v>1447</v>
      </c>
      <c r="H383" s="340"/>
      <c r="I383" s="340"/>
      <c r="J383" s="338" t="s">
        <v>1005</v>
      </c>
    </row>
    <row r="384" spans="2:10" ht="18" x14ac:dyDescent="0.25">
      <c r="B384" s="337" t="s">
        <v>1103</v>
      </c>
      <c r="C384" s="338" t="s">
        <v>1011</v>
      </c>
      <c r="D384" s="338">
        <v>-205000</v>
      </c>
      <c r="E384" s="339"/>
      <c r="F384" s="339"/>
      <c r="G384" s="338" t="s">
        <v>1447</v>
      </c>
      <c r="H384" s="340"/>
      <c r="I384" s="340"/>
      <c r="J384" s="338" t="s">
        <v>1003</v>
      </c>
    </row>
    <row r="385" spans="2:10" ht="18" x14ac:dyDescent="0.25">
      <c r="B385" s="337" t="s">
        <v>1104</v>
      </c>
      <c r="C385" s="338" t="s">
        <v>1012</v>
      </c>
      <c r="D385" s="338">
        <v>-699650</v>
      </c>
      <c r="E385" s="339"/>
      <c r="F385" s="339"/>
      <c r="G385" s="338" t="s">
        <v>1447</v>
      </c>
      <c r="H385" s="340"/>
      <c r="I385" s="340"/>
      <c r="J385" s="338" t="s">
        <v>1003</v>
      </c>
    </row>
    <row r="386" spans="2:10" ht="18" x14ac:dyDescent="0.25">
      <c r="B386" s="337" t="s">
        <v>1105</v>
      </c>
      <c r="C386" s="338" t="s">
        <v>1013</v>
      </c>
      <c r="D386" s="338">
        <v>-691990</v>
      </c>
      <c r="E386" s="339"/>
      <c r="F386" s="339"/>
      <c r="G386" s="338" t="s">
        <v>1447</v>
      </c>
      <c r="H386" s="340"/>
      <c r="I386" s="340"/>
      <c r="J386" s="338" t="s">
        <v>1003</v>
      </c>
    </row>
    <row r="387" spans="2:10" ht="18" x14ac:dyDescent="0.25">
      <c r="B387" s="337" t="s">
        <v>1106</v>
      </c>
      <c r="C387" s="338" t="s">
        <v>1014</v>
      </c>
      <c r="D387" s="338">
        <v>-677140</v>
      </c>
      <c r="E387" s="339"/>
      <c r="F387" s="339"/>
      <c r="G387" s="338" t="s">
        <v>1447</v>
      </c>
      <c r="H387" s="340"/>
      <c r="I387" s="340"/>
      <c r="J387" s="338" t="s">
        <v>1003</v>
      </c>
    </row>
    <row r="388" spans="2:10" ht="18" x14ac:dyDescent="0.25">
      <c r="B388" s="337" t="s">
        <v>1107</v>
      </c>
      <c r="C388" s="338" t="s">
        <v>1015</v>
      </c>
      <c r="D388" s="338">
        <v>-1299144</v>
      </c>
      <c r="E388" s="339"/>
      <c r="F388" s="339"/>
      <c r="G388" s="338" t="s">
        <v>1447</v>
      </c>
      <c r="H388" s="340"/>
      <c r="I388" s="340"/>
      <c r="J388" s="338" t="s">
        <v>1016</v>
      </c>
    </row>
    <row r="389" spans="2:10" ht="18" x14ac:dyDescent="0.25">
      <c r="B389" s="337" t="s">
        <v>1108</v>
      </c>
      <c r="C389" s="338" t="s">
        <v>1017</v>
      </c>
      <c r="D389" s="338">
        <v>1296000</v>
      </c>
      <c r="E389" s="339"/>
      <c r="F389" s="339"/>
      <c r="G389" s="338" t="s">
        <v>1447</v>
      </c>
      <c r="H389" s="340"/>
      <c r="I389" s="340"/>
      <c r="J389" s="338" t="s">
        <v>1018</v>
      </c>
    </row>
    <row r="390" spans="2:10" ht="18" x14ac:dyDescent="0.25">
      <c r="B390" s="337" t="s">
        <v>1109</v>
      </c>
      <c r="C390" s="338" t="s">
        <v>1019</v>
      </c>
      <c r="D390" s="338">
        <v>-1292000</v>
      </c>
      <c r="E390" s="339"/>
      <c r="F390" s="339"/>
      <c r="G390" s="338" t="s">
        <v>1447</v>
      </c>
      <c r="H390" s="340"/>
      <c r="I390" s="340"/>
      <c r="J390" s="338" t="s">
        <v>1018</v>
      </c>
    </row>
    <row r="391" spans="2:10" ht="18" x14ac:dyDescent="0.25">
      <c r="B391" s="337" t="s">
        <v>1110</v>
      </c>
      <c r="C391" s="338" t="s">
        <v>1020</v>
      </c>
      <c r="D391" s="338">
        <v>-1277400</v>
      </c>
      <c r="E391" s="339"/>
      <c r="F391" s="339"/>
      <c r="G391" s="338" t="s">
        <v>1447</v>
      </c>
      <c r="H391" s="340"/>
      <c r="I391" s="340"/>
      <c r="J391" s="338" t="s">
        <v>1003</v>
      </c>
    </row>
    <row r="392" spans="2:10" ht="18" x14ac:dyDescent="0.25">
      <c r="B392" s="337" t="s">
        <v>1111</v>
      </c>
      <c r="C392" s="338" t="s">
        <v>1021</v>
      </c>
      <c r="D392" s="338">
        <v>-488453</v>
      </c>
      <c r="E392" s="339"/>
      <c r="F392" s="339"/>
      <c r="G392" s="338" t="s">
        <v>1447</v>
      </c>
      <c r="H392" s="340"/>
      <c r="I392" s="340"/>
      <c r="J392" s="338" t="s">
        <v>1005</v>
      </c>
    </row>
    <row r="393" spans="2:10" ht="18" x14ac:dyDescent="0.25">
      <c r="B393" s="337" t="s">
        <v>1112</v>
      </c>
      <c r="C393" s="338" t="s">
        <v>1022</v>
      </c>
      <c r="D393" s="338">
        <v>-488871</v>
      </c>
      <c r="E393" s="339"/>
      <c r="F393" s="339"/>
      <c r="G393" s="338" t="s">
        <v>1447</v>
      </c>
      <c r="H393" s="340"/>
      <c r="I393" s="340"/>
      <c r="J393" s="338" t="s">
        <v>1005</v>
      </c>
    </row>
    <row r="394" spans="2:10" ht="18" x14ac:dyDescent="0.25">
      <c r="B394" s="337" t="s">
        <v>1448</v>
      </c>
      <c r="C394" s="338" t="s">
        <v>1449</v>
      </c>
      <c r="D394" s="338">
        <v>-39000</v>
      </c>
      <c r="E394" s="339"/>
      <c r="F394" s="339"/>
      <c r="G394" s="338" t="s">
        <v>1447</v>
      </c>
      <c r="H394" s="340"/>
      <c r="I394" s="340"/>
      <c r="J394" s="338" t="s">
        <v>1005</v>
      </c>
    </row>
    <row r="395" spans="2:10" ht="18" x14ac:dyDescent="0.25">
      <c r="B395" s="337" t="s">
        <v>1450</v>
      </c>
      <c r="C395" s="338" t="s">
        <v>1451</v>
      </c>
      <c r="D395" s="338">
        <v>-17000</v>
      </c>
      <c r="E395" s="339"/>
      <c r="F395" s="339"/>
      <c r="G395" s="338" t="s">
        <v>1447</v>
      </c>
      <c r="H395" s="340"/>
      <c r="I395" s="340"/>
      <c r="J395" s="338" t="s">
        <v>1452</v>
      </c>
    </row>
    <row r="396" spans="2:10" ht="18" x14ac:dyDescent="0.25">
      <c r="B396" s="337" t="s">
        <v>1453</v>
      </c>
      <c r="C396" s="338" t="s">
        <v>1454</v>
      </c>
      <c r="D396" s="338">
        <v>33000</v>
      </c>
      <c r="E396" s="339"/>
      <c r="F396" s="339"/>
      <c r="G396" s="338" t="s">
        <v>1447</v>
      </c>
      <c r="H396" s="340"/>
      <c r="I396" s="340"/>
      <c r="J396" s="338" t="s">
        <v>1005</v>
      </c>
    </row>
    <row r="397" spans="2:10" ht="18" x14ac:dyDescent="0.25">
      <c r="B397" s="337" t="s">
        <v>1455</v>
      </c>
      <c r="C397" s="338" t="s">
        <v>1456</v>
      </c>
      <c r="D397" s="338">
        <v>-909000</v>
      </c>
      <c r="E397" s="339"/>
      <c r="F397" s="339"/>
      <c r="G397" s="338" t="s">
        <v>1447</v>
      </c>
      <c r="H397" s="340"/>
      <c r="I397" s="340"/>
      <c r="J397" s="338" t="s">
        <v>1018</v>
      </c>
    </row>
    <row r="398" spans="2:10" ht="18" x14ac:dyDescent="0.25">
      <c r="B398" s="337" t="s">
        <v>1457</v>
      </c>
      <c r="C398" s="338" t="s">
        <v>1458</v>
      </c>
      <c r="D398" s="338">
        <v>-887000</v>
      </c>
      <c r="E398" s="339"/>
      <c r="F398" s="339"/>
      <c r="G398" s="338" t="s">
        <v>1447</v>
      </c>
      <c r="H398" s="340"/>
      <c r="I398" s="340"/>
      <c r="J398" s="338" t="s">
        <v>1459</v>
      </c>
    </row>
    <row r="399" spans="2:10" ht="18" x14ac:dyDescent="0.25">
      <c r="B399" s="337" t="s">
        <v>1460</v>
      </c>
      <c r="C399" s="338" t="s">
        <v>1461</v>
      </c>
      <c r="D399" s="338">
        <v>-909000</v>
      </c>
      <c r="E399" s="339"/>
      <c r="F399" s="339"/>
      <c r="G399" s="338" t="s">
        <v>1447</v>
      </c>
      <c r="H399" s="340"/>
      <c r="I399" s="340"/>
      <c r="J399" s="338" t="s">
        <v>1018</v>
      </c>
    </row>
    <row r="400" spans="2:10" ht="18" x14ac:dyDescent="0.25">
      <c r="B400" s="337" t="s">
        <v>1462</v>
      </c>
      <c r="C400" s="338" t="s">
        <v>1463</v>
      </c>
      <c r="D400" s="338">
        <v>-542960</v>
      </c>
      <c r="E400" s="339"/>
      <c r="F400" s="339"/>
      <c r="G400" s="338" t="s">
        <v>1447</v>
      </c>
      <c r="H400" s="340"/>
      <c r="I400" s="340"/>
      <c r="J400" s="338" t="s">
        <v>1005</v>
      </c>
    </row>
    <row r="401" spans="2:12" ht="18" x14ac:dyDescent="0.25">
      <c r="B401" s="337" t="s">
        <v>1464</v>
      </c>
      <c r="C401" s="338" t="s">
        <v>1465</v>
      </c>
      <c r="D401" s="338">
        <v>-461960</v>
      </c>
      <c r="E401" s="339"/>
      <c r="F401" s="339"/>
      <c r="G401" s="338" t="s">
        <v>1447</v>
      </c>
      <c r="H401" s="340"/>
      <c r="I401" s="340"/>
      <c r="J401" s="338" t="s">
        <v>1005</v>
      </c>
    </row>
    <row r="402" spans="2:12" ht="18" x14ac:dyDescent="0.25">
      <c r="B402" s="337" t="s">
        <v>1466</v>
      </c>
      <c r="C402" s="338" t="s">
        <v>1467</v>
      </c>
      <c r="D402" s="338">
        <v>-239660</v>
      </c>
      <c r="E402" s="339"/>
      <c r="F402" s="339"/>
      <c r="G402" s="338" t="s">
        <v>1447</v>
      </c>
      <c r="H402" s="340"/>
      <c r="I402" s="340"/>
      <c r="J402" s="338" t="s">
        <v>1005</v>
      </c>
    </row>
    <row r="404" spans="2:12" ht="15.75" thickBot="1" x14ac:dyDescent="0.3">
      <c r="C404" s="341" t="s">
        <v>1023</v>
      </c>
    </row>
    <row r="405" spans="2:12" ht="15.75" thickBot="1" x14ac:dyDescent="0.3">
      <c r="B405" s="342" t="s">
        <v>0</v>
      </c>
      <c r="C405" s="343" t="s">
        <v>1</v>
      </c>
      <c r="D405" s="344" t="s">
        <v>150</v>
      </c>
      <c r="E405" s="344" t="s">
        <v>447</v>
      </c>
      <c r="F405" s="344" t="s">
        <v>448</v>
      </c>
      <c r="G405" s="344" t="s">
        <v>2</v>
      </c>
      <c r="H405" s="344" t="s">
        <v>380</v>
      </c>
      <c r="I405" s="344" t="s">
        <v>114</v>
      </c>
      <c r="J405" s="345" t="s">
        <v>115</v>
      </c>
    </row>
    <row r="406" spans="2:12" ht="18" x14ac:dyDescent="0.25">
      <c r="B406" s="337" t="s">
        <v>1024</v>
      </c>
      <c r="C406" s="338" t="s">
        <v>1025</v>
      </c>
      <c r="D406" s="338">
        <v>-286933.08</v>
      </c>
      <c r="E406" s="339"/>
      <c r="F406" s="339"/>
      <c r="G406" s="338" t="s">
        <v>1447</v>
      </c>
      <c r="H406" s="340"/>
      <c r="I406" s="340"/>
      <c r="J406" s="338" t="s">
        <v>1026</v>
      </c>
    </row>
    <row r="408" spans="2:12" ht="15.75" thickBot="1" x14ac:dyDescent="0.3">
      <c r="C408" s="341" t="s">
        <v>1468</v>
      </c>
    </row>
    <row r="409" spans="2:12" ht="15.75" thickBot="1" x14ac:dyDescent="0.3">
      <c r="B409" s="342" t="s">
        <v>0</v>
      </c>
      <c r="C409" s="343" t="s">
        <v>1</v>
      </c>
      <c r="D409" s="344" t="s">
        <v>150</v>
      </c>
      <c r="E409" s="344" t="s">
        <v>447</v>
      </c>
      <c r="F409" s="344" t="s">
        <v>448</v>
      </c>
      <c r="G409" s="344" t="s">
        <v>2</v>
      </c>
      <c r="H409" s="344" t="s">
        <v>380</v>
      </c>
      <c r="I409" s="344" t="s">
        <v>114</v>
      </c>
      <c r="J409" s="345" t="s">
        <v>115</v>
      </c>
      <c r="L409" s="331" t="s">
        <v>1469</v>
      </c>
    </row>
    <row r="410" spans="2:12" ht="18" x14ac:dyDescent="0.25">
      <c r="B410" s="337" t="s">
        <v>1470</v>
      </c>
      <c r="C410" s="338" t="s">
        <v>1471</v>
      </c>
      <c r="D410" s="338">
        <v>58032.160000000098</v>
      </c>
      <c r="E410" s="339"/>
      <c r="F410" s="339"/>
      <c r="G410" s="338" t="s">
        <v>1447</v>
      </c>
      <c r="H410" s="340">
        <v>1</v>
      </c>
      <c r="I410" s="340"/>
      <c r="J410" s="338" t="s">
        <v>1472</v>
      </c>
      <c r="L410" s="331">
        <f>(H_OHm+H_H3Op) - 2*H_H2O</f>
        <v>58032.160000000033</v>
      </c>
    </row>
    <row r="411" spans="2:12" ht="18" x14ac:dyDescent="0.25">
      <c r="B411" s="337" t="s">
        <v>1473</v>
      </c>
      <c r="C411" s="338" t="s">
        <v>1474</v>
      </c>
      <c r="D411" s="338">
        <v>5349.0800000000099</v>
      </c>
      <c r="E411" s="339"/>
      <c r="F411" s="339"/>
      <c r="G411" s="338" t="s">
        <v>1447</v>
      </c>
      <c r="H411" s="340">
        <v>1</v>
      </c>
      <c r="I411" s="340"/>
      <c r="J411" s="338" t="s">
        <v>1475</v>
      </c>
      <c r="L411" s="331">
        <f>(H_NH4p + H_OHm) - (H_NH3 + H_H2O)</f>
        <v>5349.0800000000163</v>
      </c>
    </row>
    <row r="412" spans="2:12" ht="18" x14ac:dyDescent="0.25">
      <c r="B412" s="337" t="s">
        <v>1476</v>
      </c>
      <c r="C412" s="338" t="s">
        <v>1477</v>
      </c>
      <c r="D412" s="338">
        <v>14293.080000000031</v>
      </c>
      <c r="E412" s="339"/>
      <c r="F412" s="339"/>
      <c r="G412" s="338" t="s">
        <v>1447</v>
      </c>
      <c r="H412" s="340">
        <v>1</v>
      </c>
      <c r="I412" s="340"/>
      <c r="J412" s="338" t="s">
        <v>1478</v>
      </c>
      <c r="L412" s="331">
        <f>(H_H3Op+H_NO2m)-(H_HNO2+H_H2O)</f>
        <v>14293.080000000016</v>
      </c>
    </row>
    <row r="413" spans="2:12" ht="18" x14ac:dyDescent="0.25">
      <c r="B413" s="337" t="s">
        <v>1479</v>
      </c>
      <c r="C413" s="338" t="s">
        <v>1480</v>
      </c>
      <c r="D413" s="338">
        <v>8753.0800000000672</v>
      </c>
      <c r="E413" s="339"/>
      <c r="F413" s="339"/>
      <c r="G413" s="338" t="s">
        <v>1447</v>
      </c>
      <c r="H413" s="340">
        <v>1</v>
      </c>
      <c r="I413" s="340"/>
      <c r="J413" s="338" t="s">
        <v>1481</v>
      </c>
      <c r="L413" s="331">
        <f>(H_HCO3m + H_H3Op) - (H_H2CO3 + H_H2O)</f>
        <v>8753.0800000000745</v>
      </c>
    </row>
    <row r="414" spans="2:12" ht="18" x14ac:dyDescent="0.25">
      <c r="B414" s="337" t="s">
        <v>1482</v>
      </c>
      <c r="C414" s="338" t="s">
        <v>1483</v>
      </c>
      <c r="D414" s="338">
        <v>15943.080000000009</v>
      </c>
      <c r="E414" s="339"/>
      <c r="F414" s="339"/>
      <c r="G414" s="338" t="s">
        <v>1447</v>
      </c>
      <c r="H414" s="340">
        <v>1</v>
      </c>
      <c r="I414" s="340"/>
      <c r="J414" s="338" t="s">
        <v>1484</v>
      </c>
      <c r="L414" s="331">
        <f>(H_H3Op + H_CO32m) - (H_HCO3m + H_H2O)</f>
        <v>15943.080000000075</v>
      </c>
    </row>
    <row r="415" spans="2:12" ht="18" x14ac:dyDescent="0.25">
      <c r="B415" s="337" t="s">
        <v>1485</v>
      </c>
      <c r="C415" s="338" t="s">
        <v>1486</v>
      </c>
      <c r="D415" s="338">
        <v>2596237.08</v>
      </c>
      <c r="E415" s="339"/>
      <c r="F415" s="339"/>
      <c r="G415" s="338" t="s">
        <v>1447</v>
      </c>
      <c r="H415" s="340">
        <v>1</v>
      </c>
      <c r="I415" s="340"/>
      <c r="J415" s="338" t="s">
        <v>1487</v>
      </c>
      <c r="L415" s="331">
        <f>(H_H3Op + H_H2PO4m) - (H_H3PO4 + H_H2O)</f>
        <v>2596237.08</v>
      </c>
    </row>
    <row r="416" spans="2:12" ht="18" x14ac:dyDescent="0.25">
      <c r="B416" s="337" t="s">
        <v>1488</v>
      </c>
      <c r="C416" s="338" t="s">
        <v>1489</v>
      </c>
      <c r="D416" s="338">
        <v>-2586906.92</v>
      </c>
      <c r="E416" s="339"/>
      <c r="F416" s="339"/>
      <c r="G416" s="338" t="s">
        <v>1447</v>
      </c>
      <c r="H416" s="340">
        <v>1</v>
      </c>
      <c r="I416" s="340"/>
      <c r="J416" s="338" t="s">
        <v>1490</v>
      </c>
      <c r="L416" s="331">
        <f>(H_H3Op + H_HPO42m) - (H_H2PO4m + H_H2O)</f>
        <v>-2586906.92</v>
      </c>
    </row>
    <row r="417" spans="2:12" ht="18" x14ac:dyDescent="0.25">
      <c r="B417" s="337" t="s">
        <v>1491</v>
      </c>
      <c r="C417" s="338" t="s">
        <v>1492</v>
      </c>
      <c r="D417" s="338">
        <v>15693.080000000009</v>
      </c>
      <c r="E417" s="339"/>
      <c r="F417" s="339"/>
      <c r="G417" s="338" t="s">
        <v>1447</v>
      </c>
      <c r="H417" s="340">
        <v>1</v>
      </c>
      <c r="I417" s="340"/>
      <c r="J417" s="338" t="s">
        <v>1493</v>
      </c>
      <c r="L417" s="331">
        <f>(H_H3Op + H_PO43m) - (H_HPO42m + H_H2O)</f>
        <v>15693.080000000075</v>
      </c>
    </row>
    <row r="418" spans="2:12" ht="18" x14ac:dyDescent="0.25">
      <c r="B418" s="337" t="s">
        <v>1494</v>
      </c>
      <c r="C418" s="338" t="s">
        <v>1495</v>
      </c>
      <c r="D418" s="338">
        <v>675.07999999997992</v>
      </c>
      <c r="E418" s="339"/>
      <c r="F418" s="339"/>
      <c r="G418" s="338" t="s">
        <v>1447</v>
      </c>
      <c r="H418" s="340">
        <v>1</v>
      </c>
      <c r="I418" s="340"/>
      <c r="J418" s="338" t="s">
        <v>1496</v>
      </c>
      <c r="L418" s="331">
        <f>(H_H3Op + H_Acm) - (H_HAc + H_H2O)</f>
        <v>675.08000000007451</v>
      </c>
    </row>
    <row r="419" spans="2:12" ht="18" x14ac:dyDescent="0.25">
      <c r="B419" s="337" t="s">
        <v>1497</v>
      </c>
      <c r="C419" s="338" t="s">
        <v>1498</v>
      </c>
      <c r="D419" s="338">
        <v>23093.080000000042</v>
      </c>
      <c r="E419" s="339"/>
      <c r="F419" s="339"/>
      <c r="G419" s="338" t="s">
        <v>1447</v>
      </c>
      <c r="H419" s="340">
        <v>1</v>
      </c>
      <c r="I419" s="340"/>
      <c r="J419" s="338" t="s">
        <v>1499</v>
      </c>
      <c r="L419" s="331">
        <f>(H_HSm+H_H3Op)-(H_H2S+H_H2O)</f>
        <v>23093.080000000016</v>
      </c>
    </row>
    <row r="420" spans="2:12" ht="18" x14ac:dyDescent="0.25">
      <c r="B420" s="337" t="s">
        <v>1500</v>
      </c>
      <c r="C420" s="338" t="s">
        <v>1501</v>
      </c>
      <c r="D420" s="338">
        <v>51093.080000000045</v>
      </c>
      <c r="E420" s="339"/>
      <c r="F420" s="339"/>
      <c r="G420" s="338" t="s">
        <v>1447</v>
      </c>
      <c r="H420" s="340">
        <v>1</v>
      </c>
      <c r="I420" s="340"/>
      <c r="J420" s="338" t="s">
        <v>1502</v>
      </c>
      <c r="L420" s="331">
        <f>(H_H3Op+H_S2m)-(H_HSm+H_H2O)</f>
        <v>51093.080000000016</v>
      </c>
    </row>
    <row r="421" spans="2:12" ht="18" x14ac:dyDescent="0.25">
      <c r="B421" s="337" t="s">
        <v>1503</v>
      </c>
      <c r="C421" s="338" t="s">
        <v>1504</v>
      </c>
      <c r="D421" s="338">
        <v>23093.0800000001</v>
      </c>
      <c r="E421" s="339"/>
      <c r="F421" s="339"/>
      <c r="G421" s="338" t="s">
        <v>1447</v>
      </c>
      <c r="H421" s="340">
        <v>1</v>
      </c>
      <c r="I421" s="340"/>
      <c r="J421" s="338" t="s">
        <v>1505</v>
      </c>
      <c r="L421" s="331">
        <f>(H_HSO4m+H_H3Op)-(H_H2SO4+H_H2O)</f>
        <v>23093.080000000075</v>
      </c>
    </row>
    <row r="422" spans="2:12" ht="18" x14ac:dyDescent="0.25">
      <c r="B422" s="337" t="s">
        <v>1506</v>
      </c>
      <c r="C422" s="338" t="s">
        <v>1507</v>
      </c>
      <c r="D422" s="338">
        <v>-20906.9199999999</v>
      </c>
      <c r="E422" s="339"/>
      <c r="F422" s="339"/>
      <c r="G422" s="338" t="s">
        <v>1447</v>
      </c>
      <c r="H422" s="340">
        <v>1</v>
      </c>
      <c r="I422" s="340"/>
      <c r="J422" s="338" t="s">
        <v>1508</v>
      </c>
      <c r="L422" s="331">
        <f>(H_H3Op+H_SO42m)-(H_HSO4m+H_H2O)</f>
        <v>-20906.919999999925</v>
      </c>
    </row>
    <row r="423" spans="2:12" ht="18" x14ac:dyDescent="0.25">
      <c r="B423" s="337" t="s">
        <v>1509</v>
      </c>
      <c r="C423" s="338" t="s">
        <v>1510</v>
      </c>
      <c r="D423" s="338">
        <v>64110</v>
      </c>
      <c r="E423" s="339"/>
      <c r="F423" s="339"/>
      <c r="G423" s="338" t="s">
        <v>1447</v>
      </c>
      <c r="H423" s="340">
        <v>1</v>
      </c>
      <c r="I423" s="340"/>
      <c r="J423" s="338"/>
    </row>
    <row r="424" spans="2:12" ht="18" x14ac:dyDescent="0.25">
      <c r="B424" s="337" t="s">
        <v>1511</v>
      </c>
      <c r="C424" s="338" t="s">
        <v>1512</v>
      </c>
      <c r="D424" s="338">
        <v>16000</v>
      </c>
      <c r="E424" s="339"/>
      <c r="F424" s="339"/>
      <c r="G424" s="338" t="s">
        <v>1447</v>
      </c>
      <c r="H424" s="340">
        <v>1</v>
      </c>
      <c r="I424" s="340"/>
      <c r="J424" s="338"/>
    </row>
    <row r="425" spans="2:12" ht="18" x14ac:dyDescent="0.25">
      <c r="B425" s="337" t="s">
        <v>1513</v>
      </c>
      <c r="C425" s="338" t="s">
        <v>1514</v>
      </c>
      <c r="D425" s="338">
        <v>5400</v>
      </c>
      <c r="E425" s="339"/>
      <c r="F425" s="339"/>
      <c r="G425" s="338" t="s">
        <v>1447</v>
      </c>
      <c r="H425" s="340">
        <v>1</v>
      </c>
      <c r="I425" s="340"/>
      <c r="J425" s="338"/>
    </row>
    <row r="426" spans="2:12" ht="18" x14ac:dyDescent="0.25">
      <c r="B426" s="337" t="s">
        <v>1515</v>
      </c>
      <c r="C426" s="338" t="s">
        <v>1516</v>
      </c>
      <c r="D426" s="338">
        <v>12970.4</v>
      </c>
      <c r="E426" s="339"/>
      <c r="F426" s="339"/>
      <c r="G426" s="338" t="s">
        <v>1447</v>
      </c>
      <c r="H426" s="340">
        <v>1</v>
      </c>
      <c r="I426" s="340"/>
      <c r="J426" s="338"/>
    </row>
    <row r="427" spans="2:12" ht="18" x14ac:dyDescent="0.25">
      <c r="B427" s="337" t="s">
        <v>1517</v>
      </c>
      <c r="C427" s="338" t="s">
        <v>1518</v>
      </c>
      <c r="D427" s="338">
        <v>-3000</v>
      </c>
      <c r="E427" s="339"/>
      <c r="F427" s="339"/>
      <c r="G427" s="338" t="s">
        <v>1447</v>
      </c>
      <c r="H427" s="340">
        <v>1</v>
      </c>
      <c r="I427" s="340"/>
      <c r="J427" s="338"/>
    </row>
    <row r="428" spans="2:12" ht="18" x14ac:dyDescent="0.25">
      <c r="B428" s="337" t="s">
        <v>1519</v>
      </c>
      <c r="C428" s="338" t="s">
        <v>1520</v>
      </c>
      <c r="D428" s="338">
        <v>-6000</v>
      </c>
      <c r="E428" s="339"/>
      <c r="F428" s="339"/>
      <c r="G428" s="338" t="s">
        <v>1447</v>
      </c>
      <c r="H428" s="340">
        <v>1</v>
      </c>
      <c r="I428" s="340"/>
      <c r="J428" s="338"/>
    </row>
    <row r="429" spans="2:12" ht="18" x14ac:dyDescent="0.25">
      <c r="B429" s="337" t="s">
        <v>1521</v>
      </c>
      <c r="C429" s="338" t="s">
        <v>1522</v>
      </c>
      <c r="D429" s="338">
        <v>67810</v>
      </c>
      <c r="E429" s="339"/>
      <c r="F429" s="339"/>
      <c r="G429" s="338" t="s">
        <v>1447</v>
      </c>
      <c r="H429" s="340">
        <v>1</v>
      </c>
      <c r="I429" s="340"/>
      <c r="J429" s="338"/>
    </row>
    <row r="430" spans="2:12" ht="18" x14ac:dyDescent="0.25">
      <c r="B430" s="337" t="s">
        <v>1523</v>
      </c>
      <c r="C430" s="338" t="s">
        <v>1524</v>
      </c>
      <c r="D430" s="338">
        <v>12000</v>
      </c>
      <c r="E430" s="339"/>
      <c r="F430" s="339"/>
      <c r="G430" s="338" t="s">
        <v>1447</v>
      </c>
      <c r="H430" s="340">
        <v>1</v>
      </c>
      <c r="I430" s="340"/>
      <c r="J430" s="338"/>
    </row>
    <row r="431" spans="2:12" ht="18" x14ac:dyDescent="0.25">
      <c r="B431" s="337" t="s">
        <v>1525</v>
      </c>
      <c r="C431" s="338" t="s">
        <v>1526</v>
      </c>
      <c r="D431" s="338">
        <v>-10600</v>
      </c>
      <c r="E431" s="339"/>
      <c r="F431" s="339"/>
      <c r="G431" s="338" t="s">
        <v>1447</v>
      </c>
      <c r="H431" s="340">
        <v>1</v>
      </c>
      <c r="I431" s="340"/>
      <c r="J431" s="338"/>
    </row>
    <row r="432" spans="2:12" ht="18" x14ac:dyDescent="0.25">
      <c r="B432" s="337" t="s">
        <v>1527</v>
      </c>
      <c r="C432" s="338" t="s">
        <v>1528</v>
      </c>
      <c r="D432" s="338">
        <v>-3000</v>
      </c>
      <c r="E432" s="339"/>
      <c r="F432" s="339"/>
      <c r="G432" s="338" t="s">
        <v>1447</v>
      </c>
      <c r="H432" s="340">
        <v>1</v>
      </c>
      <c r="I432" s="340"/>
      <c r="J432" s="338"/>
    </row>
    <row r="433" spans="2:12" ht="18" x14ac:dyDescent="0.25">
      <c r="B433" s="337" t="s">
        <v>1529</v>
      </c>
      <c r="C433" s="338" t="s">
        <v>1530</v>
      </c>
      <c r="D433" s="338">
        <v>12970.4</v>
      </c>
      <c r="E433" s="339"/>
      <c r="F433" s="339"/>
      <c r="G433" s="338" t="s">
        <v>1447</v>
      </c>
      <c r="H433" s="340">
        <v>1</v>
      </c>
      <c r="I433" s="340"/>
      <c r="J433" s="338"/>
    </row>
    <row r="434" spans="2:12" ht="18" x14ac:dyDescent="0.25">
      <c r="B434" s="337" t="s">
        <v>1531</v>
      </c>
      <c r="C434" s="338" t="s">
        <v>1532</v>
      </c>
      <c r="D434" s="338">
        <v>21256.1</v>
      </c>
      <c r="E434" s="339"/>
      <c r="F434" s="339"/>
      <c r="G434" s="338" t="s">
        <v>1447</v>
      </c>
      <c r="H434" s="340">
        <v>1</v>
      </c>
      <c r="I434" s="340"/>
      <c r="J434" s="338"/>
    </row>
    <row r="435" spans="2:12" ht="18" x14ac:dyDescent="0.25">
      <c r="B435" s="337" t="s">
        <v>1533</v>
      </c>
      <c r="C435" s="338" t="s">
        <v>1534</v>
      </c>
      <c r="D435" s="338">
        <v>0</v>
      </c>
      <c r="E435" s="339"/>
      <c r="F435" s="339"/>
      <c r="G435" s="338" t="s">
        <v>1447</v>
      </c>
      <c r="H435" s="340">
        <v>1</v>
      </c>
      <c r="I435" s="340"/>
      <c r="J435" s="338"/>
    </row>
    <row r="437" spans="2:12" ht="15.75" thickBot="1" x14ac:dyDescent="0.3">
      <c r="C437" s="341" t="s">
        <v>1535</v>
      </c>
    </row>
    <row r="438" spans="2:12" ht="15.75" thickBot="1" x14ac:dyDescent="0.3">
      <c r="B438" s="342" t="s">
        <v>0</v>
      </c>
      <c r="C438" s="343" t="s">
        <v>1</v>
      </c>
      <c r="D438" s="344" t="s">
        <v>150</v>
      </c>
      <c r="E438" s="344" t="s">
        <v>447</v>
      </c>
      <c r="F438" s="344" t="s">
        <v>448</v>
      </c>
      <c r="G438" s="344" t="s">
        <v>2</v>
      </c>
      <c r="H438" s="344" t="s">
        <v>380</v>
      </c>
      <c r="I438" s="344" t="s">
        <v>114</v>
      </c>
      <c r="J438" s="345" t="s">
        <v>115</v>
      </c>
      <c r="L438" s="331" t="s">
        <v>1469</v>
      </c>
    </row>
    <row r="439" spans="2:12" ht="18" x14ac:dyDescent="0.25">
      <c r="B439" s="337" t="s">
        <v>1536</v>
      </c>
      <c r="C439" s="338" t="s">
        <v>1537</v>
      </c>
      <c r="D439" s="338">
        <v>2.5000000000000001E-5</v>
      </c>
      <c r="E439" s="339" t="s">
        <v>1137</v>
      </c>
      <c r="F439" s="339" t="s">
        <v>1138</v>
      </c>
      <c r="G439" s="338" t="s">
        <v>1538</v>
      </c>
      <c r="H439" s="340">
        <v>2</v>
      </c>
      <c r="I439" s="340"/>
      <c r="J439" s="338" t="s">
        <v>1539</v>
      </c>
    </row>
    <row r="440" spans="2:12" ht="18" x14ac:dyDescent="0.25">
      <c r="B440" s="337" t="s">
        <v>1540</v>
      </c>
      <c r="C440" s="338" t="s">
        <v>1537</v>
      </c>
      <c r="D440" s="338">
        <v>2.5000000000000001E-5</v>
      </c>
      <c r="E440" s="339" t="s">
        <v>1137</v>
      </c>
      <c r="F440" s="339" t="s">
        <v>1138</v>
      </c>
      <c r="G440" s="338" t="s">
        <v>1538</v>
      </c>
      <c r="H440" s="340">
        <v>2</v>
      </c>
      <c r="I440" s="340"/>
      <c r="J440" s="338" t="s">
        <v>1539</v>
      </c>
    </row>
    <row r="441" spans="2:12" ht="18" x14ac:dyDescent="0.25">
      <c r="B441" s="337" t="s">
        <v>1541</v>
      </c>
      <c r="C441" s="338" t="s">
        <v>1537</v>
      </c>
      <c r="D441" s="338">
        <v>2.5000000000000001E-5</v>
      </c>
      <c r="E441" s="339" t="s">
        <v>1137</v>
      </c>
      <c r="F441" s="339" t="s">
        <v>1138</v>
      </c>
      <c r="G441" s="338" t="s">
        <v>1538</v>
      </c>
      <c r="H441" s="340">
        <v>2</v>
      </c>
      <c r="I441" s="340"/>
      <c r="J441" s="338" t="s">
        <v>1539</v>
      </c>
    </row>
    <row r="442" spans="2:12" ht="18" x14ac:dyDescent="0.25">
      <c r="B442" s="337" t="s">
        <v>1542</v>
      </c>
      <c r="C442" s="338" t="s">
        <v>1543</v>
      </c>
      <c r="D442" s="338">
        <v>1.24E-5</v>
      </c>
      <c r="E442" s="339" t="s">
        <v>1137</v>
      </c>
      <c r="F442" s="339" t="s">
        <v>1138</v>
      </c>
      <c r="G442" s="338" t="s">
        <v>1538</v>
      </c>
      <c r="H442" s="340">
        <v>2</v>
      </c>
      <c r="I442" s="340"/>
      <c r="J442" s="338" t="s">
        <v>1539</v>
      </c>
    </row>
    <row r="443" spans="2:12" ht="18" x14ac:dyDescent="0.25">
      <c r="B443" s="337" t="s">
        <v>1544</v>
      </c>
      <c r="C443" s="338" t="s">
        <v>1545</v>
      </c>
      <c r="D443" s="338">
        <v>1.24E-5</v>
      </c>
      <c r="E443" s="339" t="s">
        <v>1137</v>
      </c>
      <c r="F443" s="339" t="s">
        <v>1138</v>
      </c>
      <c r="G443" s="338" t="s">
        <v>1538</v>
      </c>
      <c r="H443" s="340">
        <v>2</v>
      </c>
      <c r="I443" s="340"/>
      <c r="J443" s="338" t="s">
        <v>1539</v>
      </c>
    </row>
    <row r="444" spans="2:12" ht="18" x14ac:dyDescent="0.25">
      <c r="B444" s="337" t="s">
        <v>1546</v>
      </c>
      <c r="C444" s="338" t="s">
        <v>1547</v>
      </c>
      <c r="D444" s="338">
        <v>1.24E-5</v>
      </c>
      <c r="E444" s="339" t="s">
        <v>1137</v>
      </c>
      <c r="F444" s="339" t="s">
        <v>1138</v>
      </c>
      <c r="G444" s="338" t="s">
        <v>1538</v>
      </c>
      <c r="H444" s="340">
        <v>2</v>
      </c>
      <c r="I444" s="340"/>
      <c r="J444" s="338" t="s">
        <v>1539</v>
      </c>
    </row>
    <row r="445" spans="2:12" ht="18" x14ac:dyDescent="0.25">
      <c r="B445" s="337" t="s">
        <v>1548</v>
      </c>
      <c r="C445" s="338" t="s">
        <v>1543</v>
      </c>
      <c r="D445" s="338">
        <v>1.24E-5</v>
      </c>
      <c r="E445" s="339" t="s">
        <v>1137</v>
      </c>
      <c r="F445" s="339" t="s">
        <v>1138</v>
      </c>
      <c r="G445" s="338" t="s">
        <v>1538</v>
      </c>
      <c r="H445" s="340">
        <v>2</v>
      </c>
      <c r="I445" s="340"/>
      <c r="J445" s="338" t="s">
        <v>1539</v>
      </c>
    </row>
    <row r="446" spans="2:12" ht="18" x14ac:dyDescent="0.25">
      <c r="B446" s="337" t="s">
        <v>1549</v>
      </c>
      <c r="C446" s="338" t="s">
        <v>1550</v>
      </c>
      <c r="D446" s="338">
        <v>1.24E-5</v>
      </c>
      <c r="E446" s="339" t="s">
        <v>1137</v>
      </c>
      <c r="F446" s="339" t="s">
        <v>1138</v>
      </c>
      <c r="G446" s="338" t="s">
        <v>1538</v>
      </c>
      <c r="H446" s="340">
        <v>2</v>
      </c>
      <c r="I446" s="340"/>
      <c r="J446" s="338" t="s">
        <v>1539</v>
      </c>
    </row>
    <row r="447" spans="2:12" ht="18" x14ac:dyDescent="0.25">
      <c r="B447" s="337" t="s">
        <v>1551</v>
      </c>
      <c r="C447" s="338" t="s">
        <v>1550</v>
      </c>
      <c r="D447" s="338">
        <v>1.24E-5</v>
      </c>
      <c r="E447" s="339" t="s">
        <v>1137</v>
      </c>
      <c r="F447" s="339" t="s">
        <v>1138</v>
      </c>
      <c r="G447" s="338" t="s">
        <v>1538</v>
      </c>
      <c r="H447" s="340">
        <v>2</v>
      </c>
      <c r="I447" s="340"/>
      <c r="J447" s="338" t="s">
        <v>1539</v>
      </c>
    </row>
    <row r="448" spans="2:12" ht="18" x14ac:dyDescent="0.25">
      <c r="B448" s="337" t="s">
        <v>1552</v>
      </c>
      <c r="C448" s="338" t="s">
        <v>1553</v>
      </c>
      <c r="D448" s="338">
        <v>1.24E-5</v>
      </c>
      <c r="E448" s="339" t="s">
        <v>1137</v>
      </c>
      <c r="F448" s="339" t="s">
        <v>1138</v>
      </c>
      <c r="G448" s="338" t="s">
        <v>1538</v>
      </c>
      <c r="H448" s="340">
        <v>2</v>
      </c>
      <c r="I448" s="340"/>
      <c r="J448" s="338" t="s">
        <v>1539</v>
      </c>
    </row>
    <row r="449" spans="2:10" ht="18" x14ac:dyDescent="0.25">
      <c r="B449" s="337" t="s">
        <v>1554</v>
      </c>
      <c r="C449" s="338" t="s">
        <v>1555</v>
      </c>
      <c r="D449" s="338">
        <v>1.0000000000000001E-5</v>
      </c>
      <c r="E449" s="339" t="s">
        <v>1137</v>
      </c>
      <c r="F449" s="339" t="s">
        <v>1138</v>
      </c>
      <c r="G449" s="338" t="s">
        <v>1538</v>
      </c>
      <c r="H449" s="340">
        <v>2</v>
      </c>
      <c r="I449" s="340"/>
      <c r="J449" s="338"/>
    </row>
    <row r="450" spans="2:10" ht="18" x14ac:dyDescent="0.25">
      <c r="B450" s="337" t="s">
        <v>1556</v>
      </c>
      <c r="C450" s="338" t="s">
        <v>1555</v>
      </c>
      <c r="D450" s="338">
        <v>1.0000000000000001E-5</v>
      </c>
      <c r="E450" s="339" t="s">
        <v>1137</v>
      </c>
      <c r="F450" s="339" t="s">
        <v>1138</v>
      </c>
      <c r="G450" s="338" t="s">
        <v>1538</v>
      </c>
      <c r="H450" s="340">
        <v>2</v>
      </c>
      <c r="I450" s="340"/>
      <c r="J450" s="338"/>
    </row>
    <row r="451" spans="2:10" ht="18" x14ac:dyDescent="0.25">
      <c r="B451" s="337" t="s">
        <v>1557</v>
      </c>
      <c r="C451" s="338" t="s">
        <v>1558</v>
      </c>
      <c r="D451" s="338">
        <v>2.5000000000000002E-6</v>
      </c>
      <c r="E451" s="339" t="s">
        <v>1137</v>
      </c>
      <c r="F451" s="339" t="s">
        <v>1138</v>
      </c>
      <c r="G451" s="338" t="s">
        <v>1538</v>
      </c>
      <c r="H451" s="340">
        <v>2</v>
      </c>
      <c r="I451" s="340"/>
      <c r="J451" s="338" t="s">
        <v>1539</v>
      </c>
    </row>
    <row r="452" spans="2:10" ht="18" x14ac:dyDescent="0.25">
      <c r="B452" s="337" t="s">
        <v>1559</v>
      </c>
      <c r="C452" s="338" t="s">
        <v>1560</v>
      </c>
      <c r="D452" s="338">
        <v>2.5000000000000002E-6</v>
      </c>
      <c r="E452" s="339" t="s">
        <v>1137</v>
      </c>
      <c r="F452" s="339" t="s">
        <v>1138</v>
      </c>
      <c r="G452" s="338" t="s">
        <v>1538</v>
      </c>
      <c r="H452" s="340">
        <v>2</v>
      </c>
      <c r="I452" s="340"/>
      <c r="J452" s="338" t="s">
        <v>1539</v>
      </c>
    </row>
    <row r="453" spans="2:10" ht="18" x14ac:dyDescent="0.25">
      <c r="B453" s="337" t="s">
        <v>1561</v>
      </c>
      <c r="C453" s="338" t="s">
        <v>1562</v>
      </c>
      <c r="D453" s="338">
        <v>2.0000000000000002E-5</v>
      </c>
      <c r="E453" s="339" t="s">
        <v>1137</v>
      </c>
      <c r="F453" s="339" t="s">
        <v>1138</v>
      </c>
      <c r="G453" s="338" t="s">
        <v>1538</v>
      </c>
      <c r="H453" s="340">
        <v>2</v>
      </c>
      <c r="I453" s="340"/>
      <c r="J453" s="338" t="s">
        <v>1563</v>
      </c>
    </row>
    <row r="454" spans="2:10" ht="18" x14ac:dyDescent="0.25">
      <c r="B454" s="337" t="s">
        <v>1564</v>
      </c>
      <c r="C454" s="338" t="s">
        <v>1562</v>
      </c>
      <c r="D454" s="338">
        <v>2.0000000000000002E-5</v>
      </c>
      <c r="E454" s="339" t="s">
        <v>1137</v>
      </c>
      <c r="F454" s="339" t="s">
        <v>1138</v>
      </c>
      <c r="G454" s="338" t="s">
        <v>1538</v>
      </c>
      <c r="H454" s="340">
        <v>2</v>
      </c>
      <c r="I454" s="340"/>
      <c r="J454" s="338" t="s">
        <v>1563</v>
      </c>
    </row>
    <row r="455" spans="2:10" ht="18" x14ac:dyDescent="0.25">
      <c r="B455" s="337" t="s">
        <v>1565</v>
      </c>
      <c r="C455" s="338" t="s">
        <v>1562</v>
      </c>
      <c r="D455" s="338">
        <v>2.0000000000000002E-5</v>
      </c>
      <c r="E455" s="339" t="s">
        <v>1137</v>
      </c>
      <c r="F455" s="339" t="s">
        <v>1138</v>
      </c>
      <c r="G455" s="338" t="s">
        <v>1538</v>
      </c>
      <c r="H455" s="340">
        <v>2</v>
      </c>
      <c r="I455" s="340"/>
      <c r="J455" s="338" t="s">
        <v>1563</v>
      </c>
    </row>
    <row r="456" spans="2:10" ht="18" x14ac:dyDescent="0.25">
      <c r="B456" s="337" t="s">
        <v>1566</v>
      </c>
      <c r="C456" s="338" t="s">
        <v>1567</v>
      </c>
      <c r="D456" s="338">
        <v>2.0000000000000002E-5</v>
      </c>
      <c r="E456" s="339" t="s">
        <v>1137</v>
      </c>
      <c r="F456" s="339" t="s">
        <v>1404</v>
      </c>
      <c r="G456" s="338" t="s">
        <v>1538</v>
      </c>
      <c r="H456" s="340">
        <v>2</v>
      </c>
      <c r="I456" s="340"/>
      <c r="J456" s="338" t="s">
        <v>1568</v>
      </c>
    </row>
    <row r="457" spans="2:10" ht="18" x14ac:dyDescent="0.25">
      <c r="B457" s="337" t="s">
        <v>1569</v>
      </c>
      <c r="C457" s="338" t="s">
        <v>1570</v>
      </c>
      <c r="D457" s="338">
        <v>1.0000000000000001E-5</v>
      </c>
      <c r="E457" s="339" t="s">
        <v>1137</v>
      </c>
      <c r="F457" s="339" t="s">
        <v>1404</v>
      </c>
      <c r="G457" s="338" t="s">
        <v>1538</v>
      </c>
      <c r="H457" s="340">
        <v>2</v>
      </c>
      <c r="I457" s="340"/>
      <c r="J457" s="338" t="s">
        <v>1539</v>
      </c>
    </row>
    <row r="458" spans="2:10" ht="18" x14ac:dyDescent="0.25">
      <c r="B458" s="337" t="s">
        <v>1571</v>
      </c>
      <c r="C458" s="338" t="s">
        <v>1572</v>
      </c>
      <c r="D458" s="338">
        <v>1.24E-5</v>
      </c>
      <c r="E458" s="339" t="s">
        <v>1137</v>
      </c>
      <c r="F458" s="339" t="s">
        <v>1404</v>
      </c>
      <c r="G458" s="338" t="s">
        <v>1538</v>
      </c>
      <c r="H458" s="340">
        <v>2</v>
      </c>
      <c r="I458" s="340"/>
      <c r="J458" s="338" t="s">
        <v>1539</v>
      </c>
    </row>
    <row r="459" spans="2:10" ht="18" x14ac:dyDescent="0.25">
      <c r="B459" s="337" t="s">
        <v>1573</v>
      </c>
      <c r="C459" s="338" t="s">
        <v>1574</v>
      </c>
      <c r="D459" s="338">
        <v>1.9000000000000001E-5</v>
      </c>
      <c r="E459" s="339" t="s">
        <v>1137</v>
      </c>
      <c r="F459" s="339" t="s">
        <v>1404</v>
      </c>
      <c r="G459" s="338" t="s">
        <v>1538</v>
      </c>
      <c r="H459" s="340">
        <v>2</v>
      </c>
      <c r="I459" s="340"/>
      <c r="J459" s="338" t="s">
        <v>1575</v>
      </c>
    </row>
    <row r="460" spans="2:10" ht="18" x14ac:dyDescent="0.25">
      <c r="B460" s="337" t="s">
        <v>1576</v>
      </c>
      <c r="C460" s="338" t="s">
        <v>1577</v>
      </c>
      <c r="D460" s="338">
        <v>1.24E-5</v>
      </c>
      <c r="E460" s="339" t="s">
        <v>1137</v>
      </c>
      <c r="F460" s="339" t="s">
        <v>1404</v>
      </c>
      <c r="G460" s="338" t="s">
        <v>1538</v>
      </c>
      <c r="H460" s="340">
        <v>2</v>
      </c>
      <c r="I460" s="340"/>
      <c r="J460" s="338" t="s">
        <v>1578</v>
      </c>
    </row>
    <row r="461" spans="2:10" ht="18" x14ac:dyDescent="0.25">
      <c r="B461" s="337" t="s">
        <v>1579</v>
      </c>
      <c r="C461" s="338" t="s">
        <v>1580</v>
      </c>
      <c r="D461" s="338">
        <v>1.24E-5</v>
      </c>
      <c r="E461" s="339" t="s">
        <v>1137</v>
      </c>
      <c r="F461" s="339" t="s">
        <v>1404</v>
      </c>
      <c r="G461" s="338" t="s">
        <v>1538</v>
      </c>
      <c r="H461" s="340">
        <v>2</v>
      </c>
      <c r="I461" s="340"/>
      <c r="J461" s="338" t="s">
        <v>1578</v>
      </c>
    </row>
    <row r="462" spans="2:10" ht="18" x14ac:dyDescent="0.25">
      <c r="B462" s="337" t="s">
        <v>1581</v>
      </c>
      <c r="C462" s="338" t="s">
        <v>1555</v>
      </c>
      <c r="D462" s="338">
        <v>1.0000000000000001E-5</v>
      </c>
      <c r="E462" s="339" t="s">
        <v>1137</v>
      </c>
      <c r="F462" s="339" t="s">
        <v>1404</v>
      </c>
      <c r="G462" s="338" t="s">
        <v>1538</v>
      </c>
      <c r="H462" s="340">
        <v>2</v>
      </c>
      <c r="I462" s="340"/>
      <c r="J462" s="338" t="s">
        <v>1539</v>
      </c>
    </row>
    <row r="463" spans="2:10" ht="18" x14ac:dyDescent="0.25">
      <c r="B463" s="337" t="s">
        <v>1582</v>
      </c>
      <c r="C463" s="338" t="s">
        <v>1570</v>
      </c>
      <c r="D463" s="338">
        <v>1.0000000000000001E-5</v>
      </c>
      <c r="E463" s="339" t="s">
        <v>1137</v>
      </c>
      <c r="F463" s="339" t="s">
        <v>1138</v>
      </c>
      <c r="G463" s="338" t="s">
        <v>1538</v>
      </c>
      <c r="H463" s="340">
        <v>2</v>
      </c>
      <c r="I463" s="340"/>
      <c r="J463" s="338"/>
    </row>
    <row r="464" spans="2:10" ht="18" x14ac:dyDescent="0.25">
      <c r="B464" s="337" t="s">
        <v>1583</v>
      </c>
      <c r="C464" s="338" t="s">
        <v>1570</v>
      </c>
      <c r="D464" s="338">
        <v>1.0000000000000001E-5</v>
      </c>
      <c r="E464" s="339" t="s">
        <v>1137</v>
      </c>
      <c r="F464" s="339" t="s">
        <v>1138</v>
      </c>
      <c r="G464" s="338" t="s">
        <v>1538</v>
      </c>
      <c r="H464" s="340">
        <v>2</v>
      </c>
      <c r="I464" s="340"/>
      <c r="J464" s="338"/>
    </row>
    <row r="465" spans="2:10" ht="18" x14ac:dyDescent="0.25">
      <c r="B465" s="337" t="s">
        <v>1584</v>
      </c>
      <c r="C465" s="338" t="s">
        <v>1585</v>
      </c>
      <c r="D465" s="338">
        <v>1.0000000000000001E-5</v>
      </c>
      <c r="E465" s="339" t="s">
        <v>1137</v>
      </c>
      <c r="F465" s="339" t="s">
        <v>1404</v>
      </c>
      <c r="G465" s="338" t="s">
        <v>1538</v>
      </c>
      <c r="H465" s="340">
        <v>2</v>
      </c>
      <c r="I465" s="340"/>
      <c r="J465" s="338"/>
    </row>
    <row r="466" spans="2:10" ht="18" x14ac:dyDescent="0.25">
      <c r="B466" s="337" t="s">
        <v>1586</v>
      </c>
      <c r="C466" s="338" t="s">
        <v>1587</v>
      </c>
      <c r="D466" s="338">
        <v>1.0000000000000001E-5</v>
      </c>
      <c r="E466" s="339" t="s">
        <v>1137</v>
      </c>
      <c r="F466" s="339" t="s">
        <v>1404</v>
      </c>
      <c r="G466" s="338" t="s">
        <v>1538</v>
      </c>
      <c r="H466" s="340">
        <v>2</v>
      </c>
      <c r="I466" s="340"/>
      <c r="J466" s="338"/>
    </row>
    <row r="467" spans="2:10" ht="18" x14ac:dyDescent="0.25">
      <c r="B467" s="337" t="s">
        <v>1588</v>
      </c>
      <c r="C467" s="338" t="s">
        <v>1589</v>
      </c>
      <c r="D467" s="338">
        <v>1.24E-5</v>
      </c>
      <c r="E467" s="339" t="s">
        <v>1137</v>
      </c>
      <c r="F467" s="339" t="s">
        <v>1138</v>
      </c>
      <c r="G467" s="338" t="s">
        <v>1538</v>
      </c>
      <c r="H467" s="340">
        <v>2</v>
      </c>
      <c r="I467" s="340"/>
      <c r="J467" s="338" t="s">
        <v>1578</v>
      </c>
    </row>
    <row r="468" spans="2:10" ht="18" x14ac:dyDescent="0.25">
      <c r="B468" s="337" t="s">
        <v>1590</v>
      </c>
      <c r="C468" s="338" t="s">
        <v>1589</v>
      </c>
      <c r="D468" s="338">
        <v>1.24E-5</v>
      </c>
      <c r="E468" s="339" t="s">
        <v>1137</v>
      </c>
      <c r="F468" s="339" t="s">
        <v>1138</v>
      </c>
      <c r="G468" s="338" t="s">
        <v>1538</v>
      </c>
      <c r="H468" s="340">
        <v>2</v>
      </c>
      <c r="I468" s="340"/>
      <c r="J468" s="338" t="s">
        <v>1578</v>
      </c>
    </row>
    <row r="469" spans="2:10" ht="18" x14ac:dyDescent="0.25">
      <c r="B469" s="337" t="s">
        <v>1591</v>
      </c>
      <c r="C469" s="338" t="s">
        <v>1572</v>
      </c>
      <c r="D469" s="338">
        <v>1.24E-5</v>
      </c>
      <c r="E469" s="339" t="s">
        <v>1137</v>
      </c>
      <c r="F469" s="339" t="s">
        <v>1138</v>
      </c>
      <c r="G469" s="338" t="s">
        <v>1538</v>
      </c>
      <c r="H469" s="340">
        <v>2</v>
      </c>
      <c r="I469" s="340"/>
      <c r="J469" s="338" t="s">
        <v>1539</v>
      </c>
    </row>
    <row r="470" spans="2:10" ht="18" x14ac:dyDescent="0.25">
      <c r="B470" s="337" t="s">
        <v>1592</v>
      </c>
      <c r="C470" s="338" t="s">
        <v>1572</v>
      </c>
      <c r="D470" s="338">
        <v>1.24E-5</v>
      </c>
      <c r="E470" s="339" t="s">
        <v>1137</v>
      </c>
      <c r="F470" s="339" t="s">
        <v>1138</v>
      </c>
      <c r="G470" s="338" t="s">
        <v>1538</v>
      </c>
      <c r="H470" s="340">
        <v>2</v>
      </c>
      <c r="I470" s="340"/>
      <c r="J470" s="338" t="s">
        <v>1539</v>
      </c>
    </row>
    <row r="471" spans="2:10" ht="18" x14ac:dyDescent="0.25">
      <c r="B471" s="337" t="s">
        <v>1593</v>
      </c>
      <c r="C471" s="338" t="s">
        <v>1594</v>
      </c>
      <c r="D471" s="338">
        <v>1.24E-5</v>
      </c>
      <c r="E471" s="339" t="s">
        <v>1137</v>
      </c>
      <c r="F471" s="339" t="s">
        <v>1138</v>
      </c>
      <c r="G471" s="338" t="s">
        <v>1538</v>
      </c>
      <c r="H471" s="340">
        <v>2</v>
      </c>
      <c r="I471" s="340"/>
      <c r="J471" s="338" t="s">
        <v>1578</v>
      </c>
    </row>
    <row r="472" spans="2:10" ht="18" x14ac:dyDescent="0.25">
      <c r="B472" s="337" t="s">
        <v>1595</v>
      </c>
      <c r="C472" s="338" t="s">
        <v>1596</v>
      </c>
      <c r="D472" s="338">
        <v>2.5000000000000001E-5</v>
      </c>
      <c r="E472" s="339" t="s">
        <v>1137</v>
      </c>
      <c r="F472" s="339" t="s">
        <v>1138</v>
      </c>
      <c r="G472" s="338" t="s">
        <v>1538</v>
      </c>
      <c r="H472" s="340">
        <v>2</v>
      </c>
      <c r="I472" s="340"/>
      <c r="J472" s="338" t="s">
        <v>1597</v>
      </c>
    </row>
    <row r="473" spans="2:10" ht="18" x14ac:dyDescent="0.25">
      <c r="B473" s="337" t="s">
        <v>1598</v>
      </c>
      <c r="C473" s="338" t="s">
        <v>1599</v>
      </c>
      <c r="D473" s="338">
        <v>2.5000000000000001E-5</v>
      </c>
      <c r="E473" s="339" t="s">
        <v>1137</v>
      </c>
      <c r="F473" s="339" t="s">
        <v>1138</v>
      </c>
      <c r="G473" s="338" t="s">
        <v>1538</v>
      </c>
      <c r="H473" s="340">
        <v>2</v>
      </c>
      <c r="I473" s="340"/>
      <c r="J473" s="338" t="s">
        <v>1539</v>
      </c>
    </row>
    <row r="474" spans="2:10" ht="18" x14ac:dyDescent="0.25">
      <c r="B474" s="337" t="s">
        <v>1600</v>
      </c>
      <c r="C474" s="338" t="s">
        <v>1601</v>
      </c>
      <c r="D474" s="338">
        <v>2.5000000000000001E-5</v>
      </c>
      <c r="E474" s="339" t="s">
        <v>1137</v>
      </c>
      <c r="F474" s="339" t="s">
        <v>1138</v>
      </c>
      <c r="G474" s="338" t="s">
        <v>1538</v>
      </c>
      <c r="H474" s="340">
        <v>2</v>
      </c>
      <c r="I474" s="340"/>
      <c r="J474" s="338" t="s">
        <v>1539</v>
      </c>
    </row>
    <row r="475" spans="2:10" ht="18" x14ac:dyDescent="0.25">
      <c r="B475" s="337" t="s">
        <v>1602</v>
      </c>
      <c r="C475" s="338" t="s">
        <v>1603</v>
      </c>
      <c r="D475" s="338">
        <v>1.0000000000000001E-5</v>
      </c>
      <c r="E475" s="339" t="s">
        <v>1137</v>
      </c>
      <c r="F475" s="339" t="s">
        <v>1138</v>
      </c>
      <c r="G475" s="338" t="s">
        <v>1538</v>
      </c>
      <c r="H475" s="340">
        <v>2</v>
      </c>
      <c r="I475" s="340"/>
      <c r="J475" s="338" t="s">
        <v>1539</v>
      </c>
    </row>
    <row r="476" spans="2:10" ht="18" x14ac:dyDescent="0.25">
      <c r="B476" s="337" t="s">
        <v>1604</v>
      </c>
      <c r="C476" s="338" t="s">
        <v>1605</v>
      </c>
      <c r="D476" s="338">
        <v>1.9000000000000001E-5</v>
      </c>
      <c r="E476" s="339" t="s">
        <v>1137</v>
      </c>
      <c r="F476" s="339" t="s">
        <v>1138</v>
      </c>
      <c r="G476" s="338" t="s">
        <v>1538</v>
      </c>
      <c r="H476" s="340">
        <v>2</v>
      </c>
      <c r="I476" s="340"/>
      <c r="J476" s="338" t="s">
        <v>1539</v>
      </c>
    </row>
    <row r="477" spans="2:10" ht="18" x14ac:dyDescent="0.25">
      <c r="B477" s="337" t="s">
        <v>1606</v>
      </c>
      <c r="C477" s="338" t="s">
        <v>1607</v>
      </c>
      <c r="D477" s="338">
        <v>1.9000000000000001E-5</v>
      </c>
      <c r="E477" s="339" t="s">
        <v>1137</v>
      </c>
      <c r="F477" s="339" t="s">
        <v>1138</v>
      </c>
      <c r="G477" s="338" t="s">
        <v>1538</v>
      </c>
      <c r="H477" s="340">
        <v>2</v>
      </c>
      <c r="I477" s="340"/>
      <c r="J477" s="338" t="s">
        <v>1539</v>
      </c>
    </row>
    <row r="478" spans="2:10" ht="18" x14ac:dyDescent="0.25">
      <c r="B478" s="337" t="s">
        <v>1608</v>
      </c>
      <c r="C478" s="338" t="s">
        <v>1609</v>
      </c>
      <c r="D478" s="338">
        <v>1.9000000000000001E-5</v>
      </c>
      <c r="E478" s="339" t="s">
        <v>1137</v>
      </c>
      <c r="F478" s="339" t="s">
        <v>1138</v>
      </c>
      <c r="G478" s="338" t="s">
        <v>1538</v>
      </c>
      <c r="H478" s="340">
        <v>2</v>
      </c>
      <c r="I478" s="340"/>
      <c r="J478" s="338" t="s">
        <v>1539</v>
      </c>
    </row>
    <row r="479" spans="2:10" ht="18" x14ac:dyDescent="0.25">
      <c r="B479" s="337" t="s">
        <v>1610</v>
      </c>
      <c r="C479" s="338" t="s">
        <v>1611</v>
      </c>
      <c r="D479" s="338">
        <v>1.9000000000000001E-5</v>
      </c>
      <c r="E479" s="339" t="s">
        <v>1137</v>
      </c>
      <c r="F479" s="339" t="s">
        <v>1138</v>
      </c>
      <c r="G479" s="338" t="s">
        <v>1538</v>
      </c>
      <c r="H479" s="340">
        <v>2</v>
      </c>
      <c r="I479" s="340"/>
      <c r="J479" s="338" t="s">
        <v>1539</v>
      </c>
    </row>
    <row r="480" spans="2:10" ht="18" x14ac:dyDescent="0.25">
      <c r="B480" s="337" t="s">
        <v>1612</v>
      </c>
      <c r="C480" s="338" t="s">
        <v>1613</v>
      </c>
      <c r="D480" s="338">
        <v>1.9000000000000001E-5</v>
      </c>
      <c r="E480" s="339" t="s">
        <v>1137</v>
      </c>
      <c r="F480" s="339" t="s">
        <v>1138</v>
      </c>
      <c r="G480" s="338" t="s">
        <v>1538</v>
      </c>
      <c r="H480" s="340">
        <v>2</v>
      </c>
      <c r="I480" s="340"/>
      <c r="J480" s="338" t="s">
        <v>1539</v>
      </c>
    </row>
    <row r="481" spans="2:10" ht="18" x14ac:dyDescent="0.25">
      <c r="B481" s="337" t="s">
        <v>1614</v>
      </c>
      <c r="C481" s="338" t="s">
        <v>1615</v>
      </c>
      <c r="D481" s="338">
        <v>1.9000000000000001E-5</v>
      </c>
      <c r="E481" s="339" t="s">
        <v>1137</v>
      </c>
      <c r="F481" s="339" t="s">
        <v>1138</v>
      </c>
      <c r="G481" s="338" t="s">
        <v>1538</v>
      </c>
      <c r="H481" s="340">
        <v>2</v>
      </c>
      <c r="I481" s="340"/>
      <c r="J481" s="338" t="s">
        <v>1539</v>
      </c>
    </row>
    <row r="482" spans="2:10" ht="18" x14ac:dyDescent="0.25">
      <c r="B482" s="337" t="s">
        <v>1616</v>
      </c>
      <c r="C482" s="338" t="s">
        <v>1617</v>
      </c>
      <c r="D482" s="338">
        <v>1.9000000000000001E-5</v>
      </c>
      <c r="E482" s="339" t="s">
        <v>1137</v>
      </c>
      <c r="F482" s="339" t="s">
        <v>1138</v>
      </c>
      <c r="G482" s="338" t="s">
        <v>1538</v>
      </c>
      <c r="H482" s="340">
        <v>2</v>
      </c>
      <c r="I482" s="340"/>
      <c r="J482" s="338" t="s">
        <v>1539</v>
      </c>
    </row>
    <row r="483" spans="2:10" ht="18" x14ac:dyDescent="0.25">
      <c r="B483" s="337" t="s">
        <v>1618</v>
      </c>
      <c r="C483" s="338" t="s">
        <v>1619</v>
      </c>
      <c r="D483" s="338">
        <v>1.9000000000000001E-5</v>
      </c>
      <c r="E483" s="339" t="s">
        <v>1137</v>
      </c>
      <c r="F483" s="339" t="s">
        <v>1138</v>
      </c>
      <c r="G483" s="338" t="s">
        <v>1538</v>
      </c>
      <c r="H483" s="340">
        <v>2</v>
      </c>
      <c r="I483" s="340"/>
      <c r="J483" s="338" t="s">
        <v>1539</v>
      </c>
    </row>
    <row r="484" spans="2:10" ht="18" x14ac:dyDescent="0.25">
      <c r="B484" s="337" t="s">
        <v>1620</v>
      </c>
      <c r="C484" s="338" t="s">
        <v>1621</v>
      </c>
      <c r="D484" s="338">
        <v>1.0000000000000001E-5</v>
      </c>
      <c r="E484" s="339" t="s">
        <v>1137</v>
      </c>
      <c r="F484" s="339" t="s">
        <v>1404</v>
      </c>
      <c r="G484" s="338" t="s">
        <v>1538</v>
      </c>
      <c r="H484" s="340"/>
      <c r="I484" s="340"/>
      <c r="J484" s="338"/>
    </row>
    <row r="485" spans="2:10" ht="18" x14ac:dyDescent="0.25">
      <c r="B485" s="337" t="s">
        <v>1622</v>
      </c>
      <c r="C485" s="338" t="s">
        <v>1623</v>
      </c>
      <c r="D485" s="338">
        <v>1.9000000000000001E-5</v>
      </c>
      <c r="E485" s="339" t="s">
        <v>1137</v>
      </c>
      <c r="F485" s="339" t="s">
        <v>1404</v>
      </c>
      <c r="G485" s="338" t="s">
        <v>1538</v>
      </c>
      <c r="H485" s="340">
        <v>2</v>
      </c>
      <c r="I485" s="340"/>
      <c r="J485" s="338" t="s">
        <v>1539</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9"/>
  <sheetViews>
    <sheetView zoomScaleNormal="100" workbookViewId="0">
      <selection sqref="A1:XFD1048576"/>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1" customWidth="1"/>
    <col min="9" max="9" width="22.7109375" customWidth="1"/>
  </cols>
  <sheetData>
    <row r="1" spans="2:8" ht="53.25" customHeight="1" thickBot="1" x14ac:dyDescent="0.3"/>
    <row r="2" spans="2:8" ht="15.75" thickBot="1" x14ac:dyDescent="0.3">
      <c r="C2" s="167" t="s">
        <v>423</v>
      </c>
      <c r="D2" s="1"/>
      <c r="E2" s="1"/>
    </row>
    <row r="3" spans="2:8" ht="15.75" thickBot="1" x14ac:dyDescent="0.3">
      <c r="B3" s="204" t="s">
        <v>0</v>
      </c>
      <c r="C3" s="205" t="s">
        <v>1</v>
      </c>
      <c r="D3" s="206" t="s">
        <v>4</v>
      </c>
      <c r="E3" s="206" t="s">
        <v>114</v>
      </c>
      <c r="F3" s="207" t="s">
        <v>2</v>
      </c>
      <c r="H3" s="168" t="s">
        <v>424</v>
      </c>
    </row>
    <row r="4" spans="2:8" ht="18.75" customHeight="1" x14ac:dyDescent="0.25">
      <c r="B4" s="169" t="s">
        <v>163</v>
      </c>
      <c r="C4" s="164" t="s">
        <v>164</v>
      </c>
      <c r="D4" s="170" t="s">
        <v>165</v>
      </c>
      <c r="E4" s="170"/>
      <c r="F4" s="171"/>
    </row>
    <row r="5" spans="2:8" x14ac:dyDescent="0.25">
      <c r="B5" s="173" t="s">
        <v>908</v>
      </c>
      <c r="C5" s="97" t="s">
        <v>425</v>
      </c>
      <c r="D5" s="172" t="s">
        <v>909</v>
      </c>
      <c r="E5" s="172"/>
      <c r="F5" s="175"/>
    </row>
    <row r="6" spans="2:8" x14ac:dyDescent="0.25">
      <c r="B6" s="173" t="s">
        <v>166</v>
      </c>
      <c r="C6" s="174" t="s">
        <v>167</v>
      </c>
      <c r="D6" s="174" t="s">
        <v>168</v>
      </c>
      <c r="E6" s="174"/>
      <c r="F6" s="175"/>
    </row>
    <row r="7" spans="2:8" x14ac:dyDescent="0.25">
      <c r="B7" s="173" t="s">
        <v>910</v>
      </c>
      <c r="C7" s="97" t="s">
        <v>426</v>
      </c>
      <c r="D7" s="172" t="s">
        <v>911</v>
      </c>
      <c r="E7" s="174"/>
      <c r="F7" s="175"/>
    </row>
    <row r="8" spans="2:8" x14ac:dyDescent="0.25">
      <c r="B8" s="173" t="s">
        <v>427</v>
      </c>
      <c r="C8" s="174" t="s">
        <v>428</v>
      </c>
      <c r="D8" s="174" t="s">
        <v>429</v>
      </c>
      <c r="E8" s="174"/>
      <c r="F8" s="175"/>
    </row>
    <row r="9" spans="2:8" x14ac:dyDescent="0.25">
      <c r="B9" s="173" t="s">
        <v>430</v>
      </c>
      <c r="C9" s="174" t="s">
        <v>431</v>
      </c>
      <c r="D9" s="174" t="s">
        <v>1128</v>
      </c>
      <c r="E9" s="174"/>
      <c r="F9" s="175"/>
    </row>
    <row r="10" spans="2:8" x14ac:dyDescent="0.25">
      <c r="B10" s="173" t="s">
        <v>169</v>
      </c>
      <c r="C10" s="174" t="s">
        <v>170</v>
      </c>
      <c r="D10" s="174" t="s">
        <v>171</v>
      </c>
      <c r="E10" s="174"/>
      <c r="F10" s="175"/>
    </row>
    <row r="11" spans="2:8" x14ac:dyDescent="0.25">
      <c r="B11" s="173" t="s">
        <v>432</v>
      </c>
      <c r="C11" s="97" t="s">
        <v>433</v>
      </c>
      <c r="D11" s="172" t="s">
        <v>833</v>
      </c>
      <c r="E11" s="174"/>
      <c r="F11" s="175"/>
    </row>
    <row r="12" spans="2:8" x14ac:dyDescent="0.25">
      <c r="B12" s="173" t="s">
        <v>172</v>
      </c>
      <c r="C12" s="174" t="s">
        <v>173</v>
      </c>
      <c r="D12" s="174" t="s">
        <v>1050</v>
      </c>
      <c r="E12" s="174"/>
      <c r="F12" s="175"/>
    </row>
    <row r="13" spans="2:8" x14ac:dyDescent="0.25">
      <c r="B13" s="173" t="s">
        <v>912</v>
      </c>
      <c r="C13" s="174" t="s">
        <v>913</v>
      </c>
      <c r="D13" s="174" t="s">
        <v>914</v>
      </c>
      <c r="E13" s="174"/>
      <c r="F13" s="175"/>
    </row>
    <row r="14" spans="2:8" x14ac:dyDescent="0.25">
      <c r="B14" s="173" t="s">
        <v>175</v>
      </c>
      <c r="C14" s="174" t="s">
        <v>176</v>
      </c>
      <c r="D14" s="174" t="s">
        <v>1051</v>
      </c>
      <c r="E14" s="174"/>
      <c r="F14" s="175"/>
    </row>
    <row r="15" spans="2:8" x14ac:dyDescent="0.25">
      <c r="B15" s="173" t="s">
        <v>1052</v>
      </c>
      <c r="C15" s="174" t="s">
        <v>1053</v>
      </c>
      <c r="D15" s="174" t="s">
        <v>1054</v>
      </c>
      <c r="E15" s="174"/>
      <c r="F15" s="175"/>
    </row>
    <row r="16" spans="2:8" x14ac:dyDescent="0.25">
      <c r="B16" s="208" t="s">
        <v>1055</v>
      </c>
      <c r="C16" s="209" t="s">
        <v>1056</v>
      </c>
      <c r="D16" s="209" t="s">
        <v>1129</v>
      </c>
      <c r="E16" s="209"/>
      <c r="F16" s="210"/>
    </row>
    <row r="17" spans="2:8" x14ac:dyDescent="0.25">
      <c r="B17" s="173" t="s">
        <v>1057</v>
      </c>
      <c r="C17" s="209" t="s">
        <v>1058</v>
      </c>
      <c r="D17" s="209" t="s">
        <v>1059</v>
      </c>
      <c r="E17" s="209"/>
      <c r="F17" s="210"/>
    </row>
    <row r="18" spans="2:8" x14ac:dyDescent="0.25">
      <c r="B18" s="173" t="s">
        <v>178</v>
      </c>
      <c r="C18" s="174" t="s">
        <v>179</v>
      </c>
      <c r="D18" s="174" t="s">
        <v>180</v>
      </c>
      <c r="E18" s="174"/>
      <c r="F18" s="175"/>
      <c r="H18" s="176" t="s">
        <v>438</v>
      </c>
    </row>
    <row r="19" spans="2:8" x14ac:dyDescent="0.25">
      <c r="B19" s="173" t="s">
        <v>181</v>
      </c>
      <c r="C19" s="174" t="s">
        <v>182</v>
      </c>
      <c r="D19" s="174" t="s">
        <v>434</v>
      </c>
      <c r="E19" s="174"/>
      <c r="F19" s="175"/>
    </row>
    <row r="20" spans="2:8" x14ac:dyDescent="0.25">
      <c r="B20" s="173" t="s">
        <v>149</v>
      </c>
      <c r="C20" s="174" t="s">
        <v>147</v>
      </c>
      <c r="D20" s="174" t="s">
        <v>148</v>
      </c>
      <c r="E20" s="174"/>
      <c r="F20" s="175"/>
    </row>
    <row r="21" spans="2:8" x14ac:dyDescent="0.25">
      <c r="B21" s="173" t="s">
        <v>435</v>
      </c>
      <c r="C21" s="100" t="s">
        <v>436</v>
      </c>
      <c r="D21" s="172" t="s">
        <v>437</v>
      </c>
      <c r="E21" s="174"/>
      <c r="F21" s="175"/>
    </row>
    <row r="22" spans="2:8" ht="18" x14ac:dyDescent="0.35">
      <c r="B22" s="173" t="s">
        <v>915</v>
      </c>
      <c r="C22" s="100" t="s">
        <v>439</v>
      </c>
      <c r="D22" s="172" t="s">
        <v>1130</v>
      </c>
      <c r="E22" s="174"/>
      <c r="F22" s="175"/>
    </row>
    <row r="23" spans="2:8" ht="18" x14ac:dyDescent="0.35">
      <c r="B23" s="173" t="s">
        <v>916</v>
      </c>
      <c r="C23" s="100" t="s">
        <v>440</v>
      </c>
      <c r="D23" s="172" t="s">
        <v>1131</v>
      </c>
      <c r="E23" s="174"/>
      <c r="F23" s="175"/>
    </row>
    <row r="24" spans="2:8" ht="18" x14ac:dyDescent="0.35">
      <c r="B24" s="173" t="s">
        <v>917</v>
      </c>
      <c r="C24" s="100" t="s">
        <v>441</v>
      </c>
      <c r="D24" s="172" t="s">
        <v>1132</v>
      </c>
      <c r="E24" s="174"/>
      <c r="F24" s="175"/>
    </row>
    <row r="25" spans="2:8" ht="18" x14ac:dyDescent="0.35">
      <c r="B25" s="173" t="s">
        <v>918</v>
      </c>
      <c r="C25" s="100" t="s">
        <v>442</v>
      </c>
      <c r="D25" s="172" t="s">
        <v>1133</v>
      </c>
      <c r="E25" s="174"/>
      <c r="F25" s="175"/>
    </row>
    <row r="26" spans="2:8" ht="18" x14ac:dyDescent="0.35">
      <c r="B26" s="173" t="s">
        <v>919</v>
      </c>
      <c r="C26" s="100" t="s">
        <v>443</v>
      </c>
      <c r="D26" s="172" t="s">
        <v>1134</v>
      </c>
      <c r="E26" s="174"/>
      <c r="F26" s="175"/>
    </row>
    <row r="27" spans="2:8" ht="15.75" customHeight="1" x14ac:dyDescent="0.35">
      <c r="B27" s="173" t="s">
        <v>920</v>
      </c>
      <c r="C27" s="100" t="s">
        <v>444</v>
      </c>
      <c r="D27" s="172" t="s">
        <v>1135</v>
      </c>
      <c r="E27" s="174"/>
      <c r="F27" s="175"/>
    </row>
    <row r="28" spans="2:8" ht="16.5" customHeight="1" thickBot="1" x14ac:dyDescent="0.4">
      <c r="B28" s="211" t="s">
        <v>921</v>
      </c>
      <c r="C28" s="112" t="s">
        <v>445</v>
      </c>
      <c r="D28" s="212" t="s">
        <v>1136</v>
      </c>
      <c r="E28" s="177"/>
      <c r="F28" s="128"/>
    </row>
    <row r="29" spans="2:8" ht="16.5" customHeight="1" x14ac:dyDescent="0.25"/>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178"/>
    <col min="2" max="2" width="19.28515625" style="178" bestFit="1" customWidth="1"/>
    <col min="3" max="3" width="43.140625" style="178" bestFit="1" customWidth="1"/>
    <col min="4" max="5" width="9.140625" style="178"/>
    <col min="6" max="6" width="17.85546875" style="178" customWidth="1"/>
    <col min="7" max="8" width="9.140625" style="178"/>
    <col min="9" max="9" width="12.85546875" style="178" bestFit="1" customWidth="1"/>
    <col min="10" max="16384" width="9.140625" style="178"/>
  </cols>
  <sheetData>
    <row r="1" spans="2:9" ht="15.75" thickBot="1" x14ac:dyDescent="0.3"/>
    <row r="2" spans="2:9" ht="15.75" thickBot="1" x14ac:dyDescent="0.3">
      <c r="B2" s="148"/>
      <c r="C2" s="149" t="s">
        <v>795</v>
      </c>
      <c r="D2" s="148"/>
      <c r="E2" s="148"/>
      <c r="F2" s="148"/>
      <c r="G2" s="148"/>
      <c r="H2" s="148"/>
      <c r="I2" s="148"/>
    </row>
    <row r="3" spans="2:9" ht="15.75" thickBot="1" x14ac:dyDescent="0.3">
      <c r="B3" s="179" t="s">
        <v>0</v>
      </c>
      <c r="C3" s="180" t="s">
        <v>1</v>
      </c>
      <c r="D3" s="180" t="s">
        <v>150</v>
      </c>
      <c r="E3" s="181" t="s">
        <v>447</v>
      </c>
      <c r="F3" s="181" t="s">
        <v>448</v>
      </c>
      <c r="G3" s="180" t="s">
        <v>2</v>
      </c>
      <c r="H3" s="180" t="s">
        <v>380</v>
      </c>
      <c r="I3" s="182" t="s">
        <v>114</v>
      </c>
    </row>
    <row r="4" spans="2:9" ht="15.75" thickBot="1" x14ac:dyDescent="0.3">
      <c r="B4" s="165"/>
      <c r="C4" s="216"/>
      <c r="D4" s="217"/>
      <c r="E4" s="218"/>
      <c r="F4" s="219"/>
      <c r="G4" s="217"/>
      <c r="H4" s="217"/>
      <c r="I4" s="220"/>
    </row>
    <row r="5" spans="2:9" ht="15.75" thickBot="1" x14ac:dyDescent="0.3">
      <c r="B5" s="165"/>
      <c r="C5" s="149" t="s">
        <v>1119</v>
      </c>
      <c r="D5" s="217"/>
      <c r="E5" s="218"/>
      <c r="F5" s="219"/>
      <c r="G5" s="217"/>
      <c r="H5" s="217"/>
      <c r="I5" s="220"/>
    </row>
    <row r="6" spans="2:9" ht="15.75" thickBot="1" x14ac:dyDescent="0.3">
      <c r="B6" s="221" t="s">
        <v>0</v>
      </c>
      <c r="C6" s="222" t="s">
        <v>1</v>
      </c>
      <c r="D6" s="222" t="s">
        <v>150</v>
      </c>
      <c r="E6" s="223" t="s">
        <v>447</v>
      </c>
      <c r="F6" s="223" t="s">
        <v>448</v>
      </c>
      <c r="G6" s="222" t="s">
        <v>2</v>
      </c>
      <c r="H6" s="222" t="s">
        <v>380</v>
      </c>
      <c r="I6" s="224" t="s">
        <v>114</v>
      </c>
    </row>
    <row r="7" spans="2:9" ht="15.75" thickBot="1" x14ac:dyDescent="0.3">
      <c r="B7" s="225" t="s">
        <v>834</v>
      </c>
      <c r="C7" s="226" t="s">
        <v>796</v>
      </c>
      <c r="D7" s="227" t="b">
        <v>0</v>
      </c>
      <c r="E7" s="226"/>
      <c r="F7" s="226"/>
      <c r="G7" s="226"/>
      <c r="H7" s="226"/>
      <c r="I7" s="228" t="s">
        <v>797</v>
      </c>
    </row>
    <row r="8" spans="2:9" ht="15.75" thickBot="1" x14ac:dyDescent="0.3"/>
    <row r="9" spans="2:9" ht="15.75" thickBot="1" x14ac:dyDescent="0.3">
      <c r="B9" s="229" t="s">
        <v>1120</v>
      </c>
      <c r="C9" s="149" t="s">
        <v>1121</v>
      </c>
      <c r="D9" s="148"/>
      <c r="E9" s="148"/>
      <c r="F9" s="148"/>
      <c r="G9" s="148"/>
      <c r="H9" s="148"/>
      <c r="I9" s="148"/>
    </row>
    <row r="10" spans="2:9" ht="15.75" thickBot="1" x14ac:dyDescent="0.3">
      <c r="B10" s="221" t="s">
        <v>0</v>
      </c>
      <c r="C10" s="222" t="s">
        <v>1</v>
      </c>
      <c r="D10" s="222" t="s">
        <v>150</v>
      </c>
      <c r="E10" s="223" t="s">
        <v>447</v>
      </c>
      <c r="F10" s="223" t="s">
        <v>448</v>
      </c>
      <c r="G10" s="222" t="s">
        <v>2</v>
      </c>
      <c r="H10" s="222" t="s">
        <v>380</v>
      </c>
      <c r="I10" s="224" t="s">
        <v>114</v>
      </c>
    </row>
    <row r="11" spans="2:9" x14ac:dyDescent="0.25">
      <c r="B11" s="183" t="s">
        <v>1118</v>
      </c>
      <c r="C11" s="184"/>
      <c r="D11" s="184" t="b">
        <v>0</v>
      </c>
      <c r="E11" s="184"/>
      <c r="F11" s="184"/>
      <c r="G11" s="184"/>
      <c r="H11" s="184"/>
      <c r="I11" s="185" t="s">
        <v>1123</v>
      </c>
    </row>
    <row r="12" spans="2:9" x14ac:dyDescent="0.25">
      <c r="B12" s="183" t="s">
        <v>1122</v>
      </c>
      <c r="C12" s="184"/>
      <c r="D12" s="184" t="b">
        <v>0</v>
      </c>
      <c r="E12" s="184"/>
      <c r="F12" s="184"/>
      <c r="G12" s="184"/>
      <c r="H12" s="184"/>
      <c r="I12" s="185" t="s">
        <v>1123</v>
      </c>
    </row>
    <row r="13" spans="2:9" x14ac:dyDescent="0.25">
      <c r="B13" s="230" t="s">
        <v>1124</v>
      </c>
      <c r="C13" s="231"/>
      <c r="D13" s="231" t="b">
        <v>1</v>
      </c>
      <c r="E13" s="231"/>
      <c r="F13" s="231"/>
      <c r="G13" s="231"/>
      <c r="H13" s="231"/>
      <c r="I13" s="232" t="s">
        <v>1123</v>
      </c>
    </row>
    <row r="14" spans="2:9" ht="15.75" thickBot="1" x14ac:dyDescent="0.3">
      <c r="B14" s="233" t="s">
        <v>323</v>
      </c>
      <c r="C14" s="234"/>
      <c r="D14" s="234" t="b">
        <v>1</v>
      </c>
      <c r="E14" s="234"/>
      <c r="F14" s="234"/>
      <c r="G14" s="234"/>
      <c r="H14" s="234"/>
      <c r="I14" s="235" t="s">
        <v>1123</v>
      </c>
    </row>
  </sheetData>
  <pageMargins left="0.7" right="0.7" top="0.75" bottom="0.75" header="0.3" footer="0.3"/>
  <pageSetup paperSize="9"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6" customFormat="1" ht="44.25" customHeight="1" thickBot="1" x14ac:dyDescent="0.3"/>
    <row r="2" spans="2:7" ht="16.5" customHeight="1" thickBot="1" x14ac:dyDescent="0.3">
      <c r="B2" s="3"/>
      <c r="C2" s="60"/>
      <c r="D2" s="59"/>
      <c r="E2" s="3"/>
      <c r="F2" s="3"/>
      <c r="G2" s="3"/>
    </row>
    <row r="3" spans="2:7" ht="13.5" customHeight="1" thickBot="1" x14ac:dyDescent="0.3">
      <c r="B3" s="62"/>
      <c r="C3" s="63" t="s">
        <v>1</v>
      </c>
      <c r="D3" s="63" t="s">
        <v>4</v>
      </c>
      <c r="E3" s="65" t="s">
        <v>2</v>
      </c>
      <c r="F3" s="66" t="s">
        <v>114</v>
      </c>
      <c r="G3" s="64" t="s">
        <v>115</v>
      </c>
    </row>
    <row r="4" spans="2:7" ht="20.25" customHeight="1" x14ac:dyDescent="0.25">
      <c r="B4" s="41"/>
      <c r="C4" s="41"/>
      <c r="D4" s="40"/>
      <c r="E4" s="42"/>
      <c r="F4" s="43"/>
      <c r="G4" s="43"/>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7"/>
    <col min="2" max="7" width="16.42578125" style="7" customWidth="1"/>
    <col min="8" max="73" width="9.140625" style="7"/>
  </cols>
  <sheetData>
    <row r="1" spans="2:7" ht="15.75" thickBot="1" x14ac:dyDescent="0.3"/>
    <row r="2" spans="2:7" x14ac:dyDescent="0.25">
      <c r="B2" s="8"/>
      <c r="C2" s="9"/>
      <c r="D2" s="9"/>
      <c r="E2" s="9"/>
      <c r="F2" s="9"/>
      <c r="G2" s="10"/>
    </row>
    <row r="3" spans="2:7" x14ac:dyDescent="0.25">
      <c r="B3" s="421" t="s">
        <v>107</v>
      </c>
      <c r="C3" s="422"/>
      <c r="D3" s="422"/>
      <c r="E3" s="422"/>
      <c r="F3" s="422"/>
      <c r="G3" s="423"/>
    </row>
    <row r="4" spans="2:7" x14ac:dyDescent="0.25">
      <c r="B4" s="421"/>
      <c r="C4" s="422"/>
      <c r="D4" s="422"/>
      <c r="E4" s="422"/>
      <c r="F4" s="422"/>
      <c r="G4" s="423"/>
    </row>
    <row r="5" spans="2:7" x14ac:dyDescent="0.25">
      <c r="B5" s="421"/>
      <c r="C5" s="422"/>
      <c r="D5" s="422"/>
      <c r="E5" s="422"/>
      <c r="F5" s="422"/>
      <c r="G5" s="423"/>
    </row>
    <row r="6" spans="2:7" x14ac:dyDescent="0.25">
      <c r="B6" s="421"/>
      <c r="C6" s="422"/>
      <c r="D6" s="422"/>
      <c r="E6" s="422"/>
      <c r="F6" s="422"/>
      <c r="G6" s="423"/>
    </row>
    <row r="7" spans="2:7" x14ac:dyDescent="0.25">
      <c r="B7" s="421"/>
      <c r="C7" s="422"/>
      <c r="D7" s="422"/>
      <c r="E7" s="422"/>
      <c r="F7" s="422"/>
      <c r="G7" s="423"/>
    </row>
    <row r="8" spans="2:7" ht="15.75" thickBot="1" x14ac:dyDescent="0.3">
      <c r="B8" s="424"/>
      <c r="C8" s="425"/>
      <c r="D8" s="425"/>
      <c r="E8" s="425"/>
      <c r="F8" s="425"/>
      <c r="G8" s="426"/>
    </row>
    <row r="10" spans="2:7" x14ac:dyDescent="0.25">
      <c r="B10" s="427"/>
      <c r="C10" s="427"/>
      <c r="D10" s="427"/>
      <c r="E10" s="427"/>
      <c r="F10" s="427"/>
      <c r="G10" s="427"/>
    </row>
    <row r="11" spans="2:7" x14ac:dyDescent="0.25">
      <c r="B11" s="427"/>
      <c r="C11" s="427"/>
      <c r="D11" s="427"/>
      <c r="E11" s="427"/>
      <c r="F11" s="427"/>
      <c r="G11" s="427"/>
    </row>
    <row r="12" spans="2:7" x14ac:dyDescent="0.25">
      <c r="B12" s="427"/>
      <c r="C12" s="427"/>
      <c r="D12" s="427"/>
      <c r="E12" s="427"/>
      <c r="F12" s="427"/>
      <c r="G12" s="427"/>
    </row>
    <row r="13" spans="2:7" x14ac:dyDescent="0.25">
      <c r="B13" s="427"/>
      <c r="C13" s="427"/>
      <c r="D13" s="427"/>
      <c r="E13" s="427"/>
      <c r="F13" s="427"/>
      <c r="G13" s="427"/>
    </row>
    <row r="14" spans="2:7" x14ac:dyDescent="0.25">
      <c r="B14" s="427"/>
      <c r="C14" s="427"/>
      <c r="D14" s="427"/>
      <c r="E14" s="427"/>
      <c r="F14" s="427"/>
      <c r="G14" s="427"/>
    </row>
    <row r="15" spans="2:7" x14ac:dyDescent="0.25">
      <c r="B15" s="427"/>
      <c r="C15" s="427"/>
      <c r="D15" s="427"/>
      <c r="E15" s="427"/>
      <c r="F15" s="427"/>
      <c r="G15" s="427"/>
    </row>
    <row r="16" spans="2:7" x14ac:dyDescent="0.25">
      <c r="B16" s="427"/>
      <c r="C16" s="427"/>
      <c r="D16" s="427"/>
      <c r="E16" s="427"/>
      <c r="F16" s="427"/>
      <c r="G16" s="427"/>
    </row>
    <row r="17" spans="2:7" x14ac:dyDescent="0.25">
      <c r="B17" s="427"/>
      <c r="C17" s="427"/>
      <c r="D17" s="427"/>
      <c r="E17" s="427"/>
      <c r="F17" s="427"/>
      <c r="G17" s="427"/>
    </row>
    <row r="18" spans="2:7" x14ac:dyDescent="0.25">
      <c r="B18" s="427"/>
      <c r="C18" s="427"/>
      <c r="D18" s="427"/>
      <c r="E18" s="427"/>
      <c r="F18" s="427"/>
      <c r="G18" s="427"/>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105</v>
      </c>
      <c r="B1" s="6">
        <v>387</v>
      </c>
    </row>
    <row r="2" spans="1:3" x14ac:dyDescent="0.25">
      <c r="A2" t="s">
        <v>106</v>
      </c>
      <c r="B2" s="6">
        <v>441</v>
      </c>
    </row>
    <row r="3" spans="1:3" x14ac:dyDescent="0.25">
      <c r="A3" t="s">
        <v>108</v>
      </c>
      <c r="B3">
        <v>517</v>
      </c>
    </row>
    <row r="4" spans="1:3" x14ac:dyDescent="0.25">
      <c r="A4" t="s">
        <v>111</v>
      </c>
      <c r="B4">
        <v>444</v>
      </c>
    </row>
    <row r="5" spans="1:3" x14ac:dyDescent="0.25">
      <c r="A5" t="s">
        <v>118</v>
      </c>
      <c r="B5">
        <v>364</v>
      </c>
    </row>
    <row r="6" spans="1:3" x14ac:dyDescent="0.25">
      <c r="A6" t="s">
        <v>124</v>
      </c>
      <c r="B6">
        <v>418</v>
      </c>
    </row>
    <row r="7" spans="1:3" x14ac:dyDescent="0.25">
      <c r="A7" t="s">
        <v>125</v>
      </c>
      <c r="B7">
        <v>510</v>
      </c>
    </row>
    <row r="8" spans="1:3" x14ac:dyDescent="0.25">
      <c r="A8" t="s">
        <v>127</v>
      </c>
      <c r="B8">
        <v>452</v>
      </c>
      <c r="C8" t="s">
        <v>128</v>
      </c>
    </row>
    <row r="9" spans="1:3" x14ac:dyDescent="0.25">
      <c r="A9" t="s">
        <v>129</v>
      </c>
      <c r="B9">
        <v>611</v>
      </c>
      <c r="C9" t="s">
        <v>130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F22" sqref="F22"/>
    </sheetView>
  </sheetViews>
  <sheetFormatPr defaultColWidth="9.140625" defaultRowHeight="15" x14ac:dyDescent="0.25"/>
  <cols>
    <col min="3" max="3" width="24.42578125" customWidth="1"/>
    <col min="6" max="6" width="9.28515625" customWidth="1"/>
    <col min="8" max="8" width="24.140625" customWidth="1"/>
  </cols>
  <sheetData>
    <row r="1" spans="2:8" s="46" customFormat="1" ht="56.25" customHeight="1" thickBot="1" x14ac:dyDescent="0.3"/>
    <row r="2" spans="2:8" ht="15.75" thickBot="1" x14ac:dyDescent="0.3">
      <c r="B2" s="150"/>
      <c r="C2" s="151" t="s">
        <v>7</v>
      </c>
      <c r="D2" s="150"/>
      <c r="E2" s="150"/>
      <c r="F2" s="150"/>
      <c r="G2" s="94"/>
      <c r="H2" s="94"/>
    </row>
    <row r="3" spans="2:8" ht="15.75" thickBot="1" x14ac:dyDescent="0.3">
      <c r="B3" s="134" t="s">
        <v>0</v>
      </c>
      <c r="C3" s="135" t="s">
        <v>1</v>
      </c>
      <c r="D3" s="136" t="s">
        <v>150</v>
      </c>
      <c r="E3" s="135" t="s">
        <v>2</v>
      </c>
      <c r="F3" s="135" t="s">
        <v>380</v>
      </c>
      <c r="G3" s="135" t="s">
        <v>114</v>
      </c>
      <c r="H3" s="137" t="s">
        <v>115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674</vt:i4>
      </vt:variant>
    </vt:vector>
  </HeadingPairs>
  <TitlesOfParts>
    <vt:vector size="689" baseType="lpstr">
      <vt:lpstr>Help</vt:lpstr>
      <vt:lpstr>Parameters</vt:lpstr>
      <vt:lpstr>Model</vt:lpstr>
      <vt:lpstr>pH</vt:lpstr>
      <vt:lpstr>Tableau</vt:lpstr>
      <vt:lpstr>Components</vt:lpstr>
      <vt:lpstr>Algebraic model</vt:lpstr>
      <vt:lpstr>Expert knowledge</vt:lpstr>
      <vt:lpstr>Functions</vt:lpstr>
      <vt:lpstr>Calculated variables</vt:lpstr>
      <vt:lpstr>systemcode_constants</vt:lpstr>
      <vt:lpstr>systemcode_functions</vt:lpstr>
      <vt:lpstr>other parameters</vt:lpstr>
      <vt:lpstr>Code</vt:lpstr>
      <vt:lpstr>Species</vt:lpstr>
      <vt:lpstr>A_dvanced</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b_A_NOX</vt:lpstr>
      <vt:lpstr>b_A_O2</vt:lpstr>
      <vt:lpstr>b_H_NOX</vt:lpstr>
      <vt:lpstr>b_H_O2</vt:lpstr>
      <vt:lpstr>B_H2O</vt:lpstr>
      <vt:lpstr>b_STO_NOX</vt:lpstr>
      <vt:lpstr>b_STO_O2</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f_di_IS_an</vt:lpstr>
      <vt:lpstr>f_di_IS_cat</vt:lpstr>
      <vt:lpstr>f_mono_IS_an</vt:lpstr>
      <vt:lpstr>f_mono_IS_cat</vt:lpstr>
      <vt:lpstr>f_N2_air</vt:lpstr>
      <vt:lpstr>f_O2_air</vt:lpstr>
      <vt:lpstr>f_SI</vt:lpstr>
      <vt:lpstr>f_tri_IS_an</vt:lpstr>
      <vt:lpstr>f_tri_IS_cat</vt:lpstr>
      <vt:lpstr>f_XI</vt:lpstr>
      <vt:lpstr>G_CH4_atm</vt:lpstr>
      <vt:lpstr>G_CO2_atm</vt:lpstr>
      <vt:lpstr>g_grav</vt:lpstr>
      <vt:lpstr>G_H2_atm</vt:lpstr>
      <vt:lpstr>G_H2S_atm</vt:lpstr>
      <vt:lpstr>G_N2_atm</vt:lpstr>
      <vt:lpstr>G_NH3_atm</vt:lpstr>
      <vt:lpstr>G_O2_atm</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i_Charge_SNHx</vt:lpstr>
      <vt:lpstr>i_Charge_SNOx</vt:lpstr>
      <vt:lpstr>i_COD_N2</vt:lpstr>
      <vt:lpstr>i_COD_NO3</vt:lpstr>
      <vt:lpstr>i_CV</vt:lpstr>
      <vt:lpstr>i_CV_SI</vt:lpstr>
      <vt:lpstr>i_CV_SS</vt:lpstr>
      <vt:lpstr>i_N_BM</vt:lpstr>
      <vt:lpstr>i_N_SI</vt:lpstr>
      <vt:lpstr>i_N_SS</vt:lpstr>
      <vt:lpstr>i_N_XI</vt:lpstr>
      <vt:lpstr>i_N_XS</vt:lpstr>
      <vt:lpstr>i_NO3_N2</vt:lpstr>
      <vt:lpstr>i_SS_BM</vt:lpstr>
      <vt:lpstr>i_SS_STO</vt:lpstr>
      <vt:lpstr>i_SS_XI</vt:lpstr>
      <vt:lpstr>i_SS_XS</vt:lpstr>
      <vt:lpstr>K_A_ALK</vt:lpstr>
      <vt:lpstr>K_A_NH4</vt:lpstr>
      <vt:lpstr>K_A_O2</vt:lpstr>
      <vt:lpstr>K_Ac_param</vt:lpstr>
      <vt:lpstr>K_ALK</vt:lpstr>
      <vt:lpstr>K_C1_param</vt:lpstr>
      <vt:lpstr>K_C2_param</vt:lpstr>
      <vt:lpstr>k_H</vt:lpstr>
      <vt:lpstr>K_H2S_param</vt:lpstr>
      <vt:lpstr>K_NH3_param</vt:lpstr>
      <vt:lpstr>K_NH4</vt:lpstr>
      <vt:lpstr>K_NO2_param</vt:lpstr>
      <vt:lpstr>K_NOX</vt:lpstr>
      <vt:lpstr>K_O2</vt:lpstr>
      <vt:lpstr>K_P1_param</vt:lpstr>
      <vt:lpstr>K_P2_param</vt:lpstr>
      <vt:lpstr>K_P3_param</vt:lpstr>
      <vt:lpstr>K_S</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K_STO</vt:lpstr>
      <vt:lpstr>K_W_param</vt:lpstr>
      <vt:lpstr>K_X</vt:lpstr>
      <vt:lpstr>M_inhSO2_KA_O2</vt:lpstr>
      <vt:lpstr>M_inhSO2_KO2</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M_RsatXS_XH_KX</vt:lpstr>
      <vt:lpstr>M_RsatXSTO_XH_KSTO</vt:lpstr>
      <vt:lpstr>M_satSALK_KA_ALK</vt:lpstr>
      <vt:lpstr>M_satSALK_KALK</vt:lpstr>
      <vt:lpstr>M_satSNH4_KA_NH4</vt:lpstr>
      <vt:lpstr>M_satSNH4_KNH4</vt:lpstr>
      <vt:lpstr>M_satSNOX_KNOX</vt:lpstr>
      <vt:lpstr>M_satSO2_KA_O2</vt:lpstr>
      <vt:lpstr>M_satSO2_KO2</vt:lpstr>
      <vt:lpstr>M_satSS_KS</vt:lpstr>
      <vt:lpstr>N_UR</vt:lpstr>
      <vt:lpstr>O_UR</vt:lpstr>
      <vt:lpstr>p_i</vt:lpstr>
      <vt:lpstr>p_N</vt:lpstr>
      <vt:lpstr>p_St</vt:lpstr>
      <vt:lpstr>p_STP</vt:lpstr>
      <vt:lpstr>q_STO</vt:lpstr>
      <vt:lpstr>R__</vt:lpstr>
      <vt:lpstr>r_1</vt:lpstr>
      <vt:lpstr>r_10</vt:lpstr>
      <vt:lpstr>r_11</vt:lpstr>
      <vt:lpstr>r_12</vt:lpstr>
      <vt:lpstr>r_2</vt:lpstr>
      <vt:lpstr>r_3</vt:lpstr>
      <vt:lpstr>r_4</vt:lpstr>
      <vt:lpstr>r_5</vt:lpstr>
      <vt:lpstr>r_6</vt:lpstr>
      <vt:lpstr>r_7</vt:lpstr>
      <vt:lpstr>r_8</vt:lpstr>
      <vt:lpstr>r_9</vt:lpstr>
      <vt:lpstr>R_air</vt:lpstr>
      <vt:lpstr>S_ALK</vt:lpstr>
      <vt:lpstr>S_BOD_5</vt:lpstr>
      <vt:lpstr>S_BOD_ult</vt:lpstr>
      <vt:lpstr>S_COD</vt:lpstr>
      <vt:lpstr>S_I</vt:lpstr>
      <vt:lpstr>S_N2</vt:lpstr>
      <vt:lpstr>S_NH4</vt:lpstr>
      <vt:lpstr>S_NOX</vt:lpstr>
      <vt:lpstr>S_O2</vt:lpstr>
      <vt:lpstr>S_S</vt:lpstr>
      <vt:lpstr>S_umo__pHEffects</vt:lpstr>
      <vt:lpstr>T_BOD_5</vt:lpstr>
      <vt:lpstr>T_BOD_ult</vt:lpstr>
      <vt:lpstr>T_COD</vt:lpstr>
      <vt:lpstr>T_KN</vt:lpstr>
      <vt:lpstr>T_N</vt:lpstr>
      <vt:lpstr>T_NTP_K</vt:lpstr>
      <vt:lpstr>T_null</vt:lpstr>
      <vt:lpstr>T_st_K</vt:lpstr>
      <vt:lpstr>T_STP_K</vt:lpstr>
      <vt:lpstr>v_1_SALK</vt:lpstr>
      <vt:lpstr>v_1_SI</vt:lpstr>
      <vt:lpstr>v_1_SN2</vt:lpstr>
      <vt:lpstr>v_1_SNH4</vt:lpstr>
      <vt:lpstr>v_1_SNOX</vt:lpstr>
      <vt:lpstr>v_1_SO2</vt:lpstr>
      <vt:lpstr>v_1_SS</vt:lpstr>
      <vt:lpstr>v_1_XA</vt:lpstr>
      <vt:lpstr>v_1_XH</vt:lpstr>
      <vt:lpstr>v_1_XI</vt:lpstr>
      <vt:lpstr>v_1_XS</vt:lpstr>
      <vt:lpstr>v_1_XSS</vt:lpstr>
      <vt:lpstr>v_1_XSTO</vt:lpstr>
      <vt:lpstr>v_10_SALK</vt:lpstr>
      <vt:lpstr>v_10_SI</vt:lpstr>
      <vt:lpstr>v_10_SN2</vt:lpstr>
      <vt:lpstr>v_10_SNH4</vt:lpstr>
      <vt:lpstr>v_10_SNOX</vt:lpstr>
      <vt:lpstr>v_10_SO2</vt:lpstr>
      <vt:lpstr>v_10_SS</vt:lpstr>
      <vt:lpstr>v_10_XA</vt:lpstr>
      <vt:lpstr>v_10_XH</vt:lpstr>
      <vt:lpstr>v_10_XI</vt:lpstr>
      <vt:lpstr>v_10_XS</vt:lpstr>
      <vt:lpstr>v_10_XSS</vt:lpstr>
      <vt:lpstr>v_10_XSTO</vt:lpstr>
      <vt:lpstr>v_11_SALK</vt:lpstr>
      <vt:lpstr>v_11_SI</vt:lpstr>
      <vt:lpstr>v_11_SN2</vt:lpstr>
      <vt:lpstr>v_11_SNH4</vt:lpstr>
      <vt:lpstr>v_11_SNOX</vt:lpstr>
      <vt:lpstr>v_11_SO2</vt:lpstr>
      <vt:lpstr>v_11_SS</vt:lpstr>
      <vt:lpstr>v_11_XA</vt:lpstr>
      <vt:lpstr>v_11_XH</vt:lpstr>
      <vt:lpstr>v_11_XI</vt:lpstr>
      <vt:lpstr>v_11_XS</vt:lpstr>
      <vt:lpstr>v_11_XSS</vt:lpstr>
      <vt:lpstr>v_11_XSTO</vt:lpstr>
      <vt:lpstr>v_12_SALK</vt:lpstr>
      <vt:lpstr>v_12_SI</vt:lpstr>
      <vt:lpstr>v_12_SN2</vt:lpstr>
      <vt:lpstr>v_12_SNH4</vt:lpstr>
      <vt:lpstr>v_12_SNOX</vt:lpstr>
      <vt:lpstr>v_12_SO2</vt:lpstr>
      <vt:lpstr>v_12_SS</vt:lpstr>
      <vt:lpstr>v_12_XA</vt:lpstr>
      <vt:lpstr>v_12_XH</vt:lpstr>
      <vt:lpstr>v_12_XI</vt:lpstr>
      <vt:lpstr>v_12_XS</vt:lpstr>
      <vt:lpstr>v_12_XSS</vt:lpstr>
      <vt:lpstr>v_12_XSTO</vt:lpstr>
      <vt:lpstr>v_2_SALK</vt:lpstr>
      <vt:lpstr>v_2_SI</vt:lpstr>
      <vt:lpstr>v_2_SN2</vt:lpstr>
      <vt:lpstr>v_2_SNH4</vt:lpstr>
      <vt:lpstr>v_2_SNOX</vt:lpstr>
      <vt:lpstr>v_2_SO2</vt:lpstr>
      <vt:lpstr>v_2_SS</vt:lpstr>
      <vt:lpstr>v_2_XA</vt:lpstr>
      <vt:lpstr>v_2_XH</vt:lpstr>
      <vt:lpstr>v_2_XI</vt:lpstr>
      <vt:lpstr>v_2_XS</vt:lpstr>
      <vt:lpstr>v_2_XSS</vt:lpstr>
      <vt:lpstr>v_2_XSTO</vt:lpstr>
      <vt:lpstr>v_3_SALK</vt:lpstr>
      <vt:lpstr>v_3_SI</vt:lpstr>
      <vt:lpstr>v_3_SN2</vt:lpstr>
      <vt:lpstr>v_3_SNH4</vt:lpstr>
      <vt:lpstr>v_3_SNOX</vt:lpstr>
      <vt:lpstr>v_3_SO2</vt:lpstr>
      <vt:lpstr>v_3_SS</vt:lpstr>
      <vt:lpstr>v_3_XA</vt:lpstr>
      <vt:lpstr>v_3_XH</vt:lpstr>
      <vt:lpstr>v_3_XI</vt:lpstr>
      <vt:lpstr>v_3_XS</vt:lpstr>
      <vt:lpstr>v_3_XSS</vt:lpstr>
      <vt:lpstr>v_3_XSTO</vt:lpstr>
      <vt:lpstr>v_4_SALK</vt:lpstr>
      <vt:lpstr>v_4_SI</vt:lpstr>
      <vt:lpstr>v_4_SN2</vt:lpstr>
      <vt:lpstr>v_4_SNH4</vt:lpstr>
      <vt:lpstr>v_4_SNOX</vt:lpstr>
      <vt:lpstr>v_4_SO2</vt:lpstr>
      <vt:lpstr>v_4_SS</vt:lpstr>
      <vt:lpstr>v_4_XA</vt:lpstr>
      <vt:lpstr>v_4_XH</vt:lpstr>
      <vt:lpstr>v_4_XI</vt:lpstr>
      <vt:lpstr>v_4_XS</vt:lpstr>
      <vt:lpstr>v_4_XSS</vt:lpstr>
      <vt:lpstr>v_4_XSTO</vt:lpstr>
      <vt:lpstr>v_5_SALK</vt:lpstr>
      <vt:lpstr>v_5_SI</vt:lpstr>
      <vt:lpstr>v_5_SN2</vt:lpstr>
      <vt:lpstr>v_5_SNH4</vt:lpstr>
      <vt:lpstr>v_5_SNOX</vt:lpstr>
      <vt:lpstr>v_5_SO2</vt:lpstr>
      <vt:lpstr>v_5_SS</vt:lpstr>
      <vt:lpstr>v_5_XA</vt:lpstr>
      <vt:lpstr>v_5_XH</vt:lpstr>
      <vt:lpstr>v_5_XI</vt:lpstr>
      <vt:lpstr>v_5_XS</vt:lpstr>
      <vt:lpstr>v_5_XSS</vt:lpstr>
      <vt:lpstr>v_5_XSTO</vt:lpstr>
      <vt:lpstr>v_6_SALK</vt:lpstr>
      <vt:lpstr>v_6_SI</vt:lpstr>
      <vt:lpstr>v_6_SN2</vt:lpstr>
      <vt:lpstr>v_6_SNH4</vt:lpstr>
      <vt:lpstr>v_6_SNOX</vt:lpstr>
      <vt:lpstr>v_6_SO2</vt:lpstr>
      <vt:lpstr>v_6_SS</vt:lpstr>
      <vt:lpstr>v_6_XA</vt:lpstr>
      <vt:lpstr>v_6_XH</vt:lpstr>
      <vt:lpstr>v_6_XI</vt:lpstr>
      <vt:lpstr>v_6_XS</vt:lpstr>
      <vt:lpstr>v_6_XSS</vt:lpstr>
      <vt:lpstr>v_6_XSTO</vt:lpstr>
      <vt:lpstr>v_7_SALK</vt:lpstr>
      <vt:lpstr>v_7_SI</vt:lpstr>
      <vt:lpstr>v_7_SN2</vt:lpstr>
      <vt:lpstr>v_7_SNH4</vt:lpstr>
      <vt:lpstr>v_7_SNOX</vt:lpstr>
      <vt:lpstr>v_7_SO2</vt:lpstr>
      <vt:lpstr>v_7_SS</vt:lpstr>
      <vt:lpstr>v_7_XA</vt:lpstr>
      <vt:lpstr>v_7_XH</vt:lpstr>
      <vt:lpstr>v_7_XI</vt:lpstr>
      <vt:lpstr>v_7_XS</vt:lpstr>
      <vt:lpstr>v_7_XSS</vt:lpstr>
      <vt:lpstr>v_7_XSTO</vt:lpstr>
      <vt:lpstr>v_8_SALK</vt:lpstr>
      <vt:lpstr>v_8_SI</vt:lpstr>
      <vt:lpstr>v_8_SN2</vt:lpstr>
      <vt:lpstr>v_8_SNH4</vt:lpstr>
      <vt:lpstr>v_8_SNOX</vt:lpstr>
      <vt:lpstr>v_8_SO2</vt:lpstr>
      <vt:lpstr>v_8_SS</vt:lpstr>
      <vt:lpstr>v_8_XA</vt:lpstr>
      <vt:lpstr>v_8_XH</vt:lpstr>
      <vt:lpstr>v_8_XI</vt:lpstr>
      <vt:lpstr>v_8_XS</vt:lpstr>
      <vt:lpstr>v_8_XSS</vt:lpstr>
      <vt:lpstr>v_8_XSTO</vt:lpstr>
      <vt:lpstr>v_9_SALK</vt:lpstr>
      <vt:lpstr>v_9_SI</vt:lpstr>
      <vt:lpstr>v_9_SN2</vt:lpstr>
      <vt:lpstr>v_9_SNH4</vt:lpstr>
      <vt:lpstr>v_9_SNOX</vt:lpstr>
      <vt:lpstr>v_9_SO2</vt:lpstr>
      <vt:lpstr>v_9_SS</vt:lpstr>
      <vt:lpstr>v_9_XA</vt:lpstr>
      <vt:lpstr>v_9_XH</vt:lpstr>
      <vt:lpstr>v_9_XI</vt:lpstr>
      <vt:lpstr>v_9_XS</vt:lpstr>
      <vt:lpstr>v_9_XSS</vt:lpstr>
      <vt:lpstr>v_9_XSTO</vt:lpstr>
      <vt:lpstr>V_mol_N</vt:lpstr>
      <vt:lpstr>X_A</vt:lpstr>
      <vt:lpstr>X_BOD_5</vt:lpstr>
      <vt:lpstr>X_BOD_ult</vt:lpstr>
      <vt:lpstr>X_COD</vt:lpstr>
      <vt:lpstr>X_DM</vt:lpstr>
      <vt:lpstr>X_H</vt:lpstr>
      <vt:lpstr>X_I</vt:lpstr>
      <vt:lpstr>X_ISS</vt:lpstr>
      <vt:lpstr>X_S</vt:lpstr>
      <vt:lpstr>X_SS</vt:lpstr>
      <vt:lpstr>X_STO</vt:lpstr>
      <vt:lpstr>X_TSS</vt:lpstr>
      <vt:lpstr>X_VSS</vt:lpstr>
      <vt:lpstr>Y_A</vt:lpstr>
      <vt:lpstr>Y_H_NOX</vt:lpstr>
      <vt:lpstr>Y_H_O2</vt:lpstr>
      <vt:lpstr>Y_STO_NOX</vt:lpstr>
      <vt:lpstr>Y_STO_O2</vt:lpstr>
      <vt:lpstr>Δ_atm</vt:lpstr>
      <vt:lpstr>η_H2O</vt:lpstr>
      <vt:lpstr>η_NOX</vt:lpstr>
      <vt:lpstr>κ__</vt:lpstr>
      <vt:lpstr>λ_H</vt:lpstr>
      <vt:lpstr>μ_A</vt:lpstr>
      <vt:lpstr>μ_H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2023-09-05T13:43:53Z</dcterms:modified>
</cp:coreProperties>
</file>