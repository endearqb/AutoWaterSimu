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Other models\"/>
    </mc:Choice>
  </mc:AlternateContent>
  <bookViews>
    <workbookView xWindow="38295" yWindow="-105" windowWidth="38625" windowHeight="21360" tabRatio="815"/>
  </bookViews>
  <sheets>
    <sheet name="Help" sheetId="24" r:id="rId1"/>
    <sheet name="Parameters" sheetId="9" r:id="rId2"/>
    <sheet name="Components" sheetId="2" r:id="rId3"/>
    <sheet name="Species" sheetId="18" state="hidden" r:id="rId4"/>
    <sheet name="Model" sheetId="1" r:id="rId5"/>
    <sheet name="pH" sheetId="4" state="hidden" r:id="rId6"/>
    <sheet name="Tableau" sheetId="17" state="hidden" r:id="rId7"/>
    <sheet name="Algebraic model" sheetId="13" state="hidden" r:id="rId8"/>
    <sheet name="Expert knowledge" sheetId="14" state="hidden" r:id="rId9"/>
    <sheet name="Functions" sheetId="3" r:id="rId10"/>
    <sheet name="Calculated variables" sheetId="5" r:id="rId11"/>
    <sheet name="systemcode_functions" sheetId="21" state="hidden" r:id="rId12"/>
    <sheet name="systemcode_constants" sheetId="22" state="hidden" r:id="rId13"/>
    <sheet name="other parameters" sheetId="23" state="hidden" r:id="rId14"/>
    <sheet name="Code" sheetId="10" state="hidden" r:id="rId15"/>
    <sheet name="Alert" sheetId="15" state="veryHidden" r:id="rId16"/>
    <sheet name="Security" sheetId="16" state="veryHidden" r:id="rId17"/>
  </sheets>
  <functionGroups builtInGroupCount="18"/>
  <definedNames>
    <definedName name="A_H2O">systemcode_constants!$D$31</definedName>
    <definedName name="A_MAc">systemcode_constants!$D$144</definedName>
    <definedName name="A_MAg">systemcode_constants!$D$102</definedName>
    <definedName name="A_MAl">systemcode_constants!$D$68</definedName>
    <definedName name="A_MAm">systemcode_constants!$D$150</definedName>
    <definedName name="A_MAr">systemcode_constants!$D$73</definedName>
    <definedName name="A_MAs">systemcode_constants!$D$88</definedName>
    <definedName name="A_MAt">systemcode_constants!$D$140</definedName>
    <definedName name="A_MAu">systemcode_constants!$D$134</definedName>
    <definedName name="A_MB">systemcode_constants!$D$60</definedName>
    <definedName name="A_MBa">systemcode_constants!$D$111</definedName>
    <definedName name="A_MBe">systemcode_constants!$D$59</definedName>
    <definedName name="A_MBh">systemcode_constants!$D$162</definedName>
    <definedName name="A_MBi">systemcode_constants!$D$138</definedName>
    <definedName name="A_MBk">systemcode_constants!$D$152</definedName>
    <definedName name="A_MBr">systemcode_constants!$D$90</definedName>
    <definedName name="A_MC">systemcode_constants!$D$61</definedName>
    <definedName name="A_MCa">systemcode_constants!$D$75</definedName>
    <definedName name="A_MCd">systemcode_constants!$D$103</definedName>
    <definedName name="A_MCe">systemcode_constants!$D$113</definedName>
    <definedName name="A_MCf">systemcode_constants!$D$153</definedName>
    <definedName name="A_MCl">systemcode_constants!$D$72</definedName>
    <definedName name="A_MCm">systemcode_constants!$D$151</definedName>
    <definedName name="A_MCn">systemcode_constants!$D$167</definedName>
    <definedName name="A_MCo">systemcode_constants!$D$82</definedName>
    <definedName name="A_MCr">systemcode_constants!$D$79</definedName>
    <definedName name="A_MCu">systemcode_constants!$D$84</definedName>
    <definedName name="A_MCs">systemcode_constants!$D$110</definedName>
    <definedName name="A_MDb">systemcode_constants!$D$160</definedName>
    <definedName name="A_MDs">systemcode_constants!$D$165</definedName>
    <definedName name="A_MDy">systemcode_constants!$D$121</definedName>
    <definedName name="A_MEr">systemcode_constants!$D$123</definedName>
    <definedName name="A_MEs">systemcode_constants!$D$154</definedName>
    <definedName name="A_MEu">systemcode_constants!$D$118</definedName>
    <definedName name="A_MF">systemcode_constants!$D$64</definedName>
    <definedName name="A_MFe">systemcode_constants!$D$81</definedName>
    <definedName name="A_MFl">systemcode_constants!$D$169</definedName>
    <definedName name="A_MFm">systemcode_constants!$D$155</definedName>
    <definedName name="A_MFr">systemcode_constants!$D$142</definedName>
    <definedName name="A_MGa">systemcode_constants!$D$86</definedName>
    <definedName name="A_MGd">systemcode_constants!$D$119</definedName>
    <definedName name="A_MGe">systemcode_constants!$D$87</definedName>
    <definedName name="A_MH">systemcode_constants!$D$56</definedName>
    <definedName name="A_MHe">systemcode_constants!$D$57</definedName>
    <definedName name="A_MHf">systemcode_constants!$D$127</definedName>
    <definedName name="A_MHg">systemcode_constants!$D$135</definedName>
    <definedName name="A_MHo">systemcode_constants!$D$122</definedName>
    <definedName name="A_MHs">systemcode_constants!$D$163</definedName>
    <definedName name="A_MI">systemcode_constants!$D$108</definedName>
    <definedName name="A_MIn">systemcode_constants!$D$104</definedName>
    <definedName name="A_MIr">systemcode_constants!$D$132</definedName>
    <definedName name="A_MK">systemcode_constants!$D$74</definedName>
    <definedName name="A_MKr">systemcode_constants!$D$91</definedName>
    <definedName name="A_MLa">systemcode_constants!$D$112</definedName>
    <definedName name="A_MLi">systemcode_constants!$D$58</definedName>
    <definedName name="A_MLr">systemcode_constants!$D$158</definedName>
    <definedName name="A_MLu">systemcode_constants!$D$126</definedName>
    <definedName name="A_MLv">systemcode_constants!$D$171</definedName>
    <definedName name="A_MMd">systemcode_constants!$D$156</definedName>
    <definedName name="A_MMg">systemcode_constants!$D$67</definedName>
    <definedName name="A_MMn">systemcode_constants!$D$80</definedName>
    <definedName name="A_MMo">systemcode_constants!$D$97</definedName>
    <definedName name="A_MMt">systemcode_constants!$D$164</definedName>
    <definedName name="A_MN">systemcode_constants!$D$62</definedName>
    <definedName name="A_MNa">systemcode_constants!$D$66</definedName>
    <definedName name="A_MNb">systemcode_constants!$D$96</definedName>
    <definedName name="A_MNd">systemcode_constants!$D$115</definedName>
    <definedName name="A_MNe">systemcode_constants!$D$65</definedName>
    <definedName name="A_MNi">systemcode_constants!$D$83</definedName>
    <definedName name="A_MNo">systemcode_constants!$D$157</definedName>
    <definedName name="A_MNp">systemcode_constants!$D$148</definedName>
    <definedName name="A_MO">systemcode_constants!$D$63</definedName>
    <definedName name="A_MOs">systemcode_constants!$D$131</definedName>
    <definedName name="A_MP">systemcode_constants!$D$70</definedName>
    <definedName name="A_MPa">systemcode_constants!$D$146</definedName>
    <definedName name="A_MPb">systemcode_constants!$D$137</definedName>
    <definedName name="A_MPd">systemcode_constants!$D$101</definedName>
    <definedName name="A_MPm">systemcode_constants!$D$116</definedName>
    <definedName name="A_MPo">systemcode_constants!$D$139</definedName>
    <definedName name="A_MPr">systemcode_constants!$D$114</definedName>
    <definedName name="A_MPt">systemcode_constants!$D$133</definedName>
    <definedName name="A_MPu">systemcode_constants!$D$149</definedName>
    <definedName name="A_MRa">systemcode_constants!$D$143</definedName>
    <definedName name="A_MRb">systemcode_constants!$D$92</definedName>
    <definedName name="A_MRe">systemcode_constants!$D$130</definedName>
    <definedName name="A_MRf">systemcode_constants!$D$159</definedName>
    <definedName name="A_MRg">systemcode_constants!$D$166</definedName>
    <definedName name="A_MRh">systemcode_constants!$D$100</definedName>
    <definedName name="A_MRn">systemcode_constants!$D$141</definedName>
    <definedName name="A_MRu">systemcode_constants!$D$99</definedName>
    <definedName name="A_MS">systemcode_constants!$D$71</definedName>
    <definedName name="A_MSb">systemcode_constants!$D$106</definedName>
    <definedName name="A_MSc">systemcode_constants!$D$76</definedName>
    <definedName name="A_MSe">systemcode_constants!$D$89</definedName>
    <definedName name="A_MSg">systemcode_constants!$D$161</definedName>
    <definedName name="A_MSi">systemcode_constants!$D$69</definedName>
    <definedName name="A_MSm">systemcode_constants!$D$117</definedName>
    <definedName name="A_MSn">systemcode_constants!$D$105</definedName>
    <definedName name="A_MSr">systemcode_constants!$D$93</definedName>
    <definedName name="A_MTa">systemcode_constants!$D$128</definedName>
    <definedName name="A_MTb">systemcode_constants!$D$120</definedName>
    <definedName name="A_MTc">systemcode_constants!$D$98</definedName>
    <definedName name="A_MTe">systemcode_constants!$D$107</definedName>
    <definedName name="A_MTh">systemcode_constants!$D$145</definedName>
    <definedName name="A_MTi">systemcode_constants!$D$77</definedName>
    <definedName name="A_MTl">systemcode_constants!$D$136</definedName>
    <definedName name="A_MTm">systemcode_constants!$D$124</definedName>
    <definedName name="A_MU">systemcode_constants!$D$147</definedName>
    <definedName name="A_MUuo">systemcode_constants!$D$173</definedName>
    <definedName name="A_MUup">systemcode_constants!$D$170</definedName>
    <definedName name="A_MUus">systemcode_constants!$D$172</definedName>
    <definedName name="A_MUut">systemcode_constants!$D$168</definedName>
    <definedName name="A_MV">systemcode_constants!$D$78</definedName>
    <definedName name="A_MW">systemcode_constants!$D$129</definedName>
    <definedName name="A_MXe">systemcode_constants!$D$109</definedName>
    <definedName name="A_MY">systemcode_constants!$D$94</definedName>
    <definedName name="A_MYb">systemcode_constants!$D$125</definedName>
    <definedName name="A_MZn">systemcode_constants!$D$85</definedName>
    <definedName name="A_MZr">systemcode_constants!$D$95</definedName>
    <definedName name="B_H2O">systemcode_constants!$D$32</definedName>
    <definedName name="C_H2O">systemcode_constants!$D$33</definedName>
    <definedName name="D_CH4_25">systemcode_constants!$D$25</definedName>
    <definedName name="D_CO2_25">systemcode_constants!$D$23</definedName>
    <definedName name="D_H2_25">systemcode_constants!$D$24</definedName>
    <definedName name="D_N2_25">systemcode_constants!$D$22</definedName>
    <definedName name="D_N2O_25">systemcode_constants!$D$27</definedName>
    <definedName name="D_NO_25">systemcode_constants!$D$26</definedName>
    <definedName name="D_O2_25">systemcode_constants!$D$21</definedName>
    <definedName name="E_EQN2">systemcode_constants!$D$222</definedName>
    <definedName name="E_EQN2_N2O">systemcode_constants!$D$231</definedName>
    <definedName name="E_EQN2_NO2">systemcode_constants!$D$228</definedName>
    <definedName name="E_EQN2_NO3">systemcode_constants!$D$232</definedName>
    <definedName name="E_EQN2O">systemcode_constants!$D$223</definedName>
    <definedName name="E_EQN2O_NO">systemcode_constants!$D$230</definedName>
    <definedName name="E_EQNO">systemcode_constants!$D$224</definedName>
    <definedName name="E_EQNO_NO2">systemcode_constants!$D$229</definedName>
    <definedName name="E_EQNO2">systemcode_constants!$D$225</definedName>
    <definedName name="E_EQNO2_NO3">systemcode_constants!$D$227</definedName>
    <definedName name="E_EQNO3">systemcode_constants!$D$226</definedName>
    <definedName name="F__">systemcode_constants!$D$47</definedName>
    <definedName name="f_Ar_air">systemcode_constants!$D$40</definedName>
    <definedName name="f_CO2_air">systemcode_constants!$D$41</definedName>
    <definedName name="f_N2_air">systemcode_constants!$D$39</definedName>
    <definedName name="f_O2_air">systemcode_constants!$D$38</definedName>
    <definedName name="g_grav">systemcode_constants!$D$48</definedName>
    <definedName name="H_enryCH4_25">systemcode_constants!$D$16</definedName>
    <definedName name="H_enryCH4_dt">systemcode_constants!$D$17</definedName>
    <definedName name="H_enryCO2_25">systemcode_constants!$D$6</definedName>
    <definedName name="H_enryCO2_dt">systemcode_constants!$D$7</definedName>
    <definedName name="H_enryH2_25">systemcode_constants!$D$14</definedName>
    <definedName name="H_enryH2_dt">systemcode_constants!$D$15</definedName>
    <definedName name="H_enryN2_25">systemcode_constants!$D$12</definedName>
    <definedName name="H_enryN2_dt">systemcode_constants!$D$13</definedName>
    <definedName name="H_enryN2O_25">systemcode_constants!$D$10</definedName>
    <definedName name="H_enryN2O_dt">systemcode_constants!$D$11</definedName>
    <definedName name="H_enryNO_25">systemcode_constants!$D$8</definedName>
    <definedName name="H_enryNO_dt">systemcode_constants!$D$9</definedName>
    <definedName name="H_enryO2_25">systemcode_constants!$D$4</definedName>
    <definedName name="H_enryO2_dt">systemcode_constants!$D$5</definedName>
    <definedName name="K_C1_param">systemcode_constants!$D$213</definedName>
    <definedName name="K_C2_param">systemcode_constants!$D$214</definedName>
    <definedName name="K_iAc_param">systemcode_constants!$D$218</definedName>
    <definedName name="K_iNH3">systemcode_constants!$D$211</definedName>
    <definedName name="K_iNO2_param">systemcode_constants!$D$212</definedName>
    <definedName name="k_LaO2_field">'other parameters'!$D$4</definedName>
    <definedName name="K_P1_param">systemcode_constants!$D$215</definedName>
    <definedName name="K_P2_param">systemcode_constants!$D$216</definedName>
    <definedName name="K_P3_param">systemcode_constants!$D$217</definedName>
    <definedName name="K_W_param">systemcode_constants!$D$210</definedName>
    <definedName name="M_MCaCO3">systemcode_constants!$D$196</definedName>
    <definedName name="M_MCH3COOH">systemcode_constants!$D$195</definedName>
    <definedName name="M_MCH3OH">systemcode_constants!$D$194</definedName>
    <definedName name="M_MCO2">systemcode_constants!$D$192</definedName>
    <definedName name="M_MEQ_GCH4">systemcode_constants!$D$205</definedName>
    <definedName name="M_MEQ_GCO2">systemcode_constants!$D$203</definedName>
    <definedName name="M_MEQ_GH2">systemcode_constants!$D$206</definedName>
    <definedName name="M_MEQ_GN2">systemcode_constants!$D$200</definedName>
    <definedName name="M_MEQ_GN2O">systemcode_constants!$D$202</definedName>
    <definedName name="M_MEQ_GNO">systemcode_constants!$D$201</definedName>
    <definedName name="M_MEQ_GO2">systemcode_constants!$D$204</definedName>
    <definedName name="M_MFe2O3">systemcode_constants!$D$190</definedName>
    <definedName name="M_MGCH4">systemcode_constants!$D$178</definedName>
    <definedName name="M_MGCO2">systemcode_constants!$D$179</definedName>
    <definedName name="M_MGH2">systemcode_constants!$D$177</definedName>
    <definedName name="M_MGN2">systemcode_constants!$D$180</definedName>
    <definedName name="M_MGN2O">systemcode_constants!$D$183</definedName>
    <definedName name="M_MGNO">systemcode_constants!$D$182</definedName>
    <definedName name="M_MGO2">systemcode_constants!$D$181</definedName>
    <definedName name="M_MN2">systemcode_constants!$D$188</definedName>
    <definedName name="M_MNH3">systemcode_constants!$D$189</definedName>
    <definedName name="M_MO2">systemcode_constants!$D$187</definedName>
    <definedName name="M_MPO4">systemcode_constants!$D$191</definedName>
    <definedName name="M_MSO4">systemcode_constants!$D$193</definedName>
    <definedName name="p_i">systemcode_constants!$D$52</definedName>
    <definedName name="p_St">systemcode_constants!$D$42</definedName>
    <definedName name="R__">systemcode_constants!$D$46</definedName>
    <definedName name="S_ALK_input">'other parameters'!$D$6</definedName>
    <definedName name="S_umo__pHEffects">'other parameters'!$D$5</definedName>
    <definedName name="ρ_H2O">systemcode_constants!$D$34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32" i="22" l="1"/>
  <c r="D231" i="22"/>
  <c r="D230" i="22"/>
  <c r="D229" i="22"/>
  <c r="D228" i="22"/>
  <c r="D227" i="22"/>
  <c r="D226" i="22"/>
  <c r="D225" i="22"/>
  <c r="D224" i="22"/>
  <c r="D223" i="22"/>
  <c r="D222" i="22"/>
  <c r="D214" i="22"/>
  <c r="D213" i="22"/>
  <c r="D212" i="22"/>
  <c r="D210" i="22"/>
  <c r="D206" i="22"/>
  <c r="D205" i="22"/>
  <c r="D204" i="22"/>
  <c r="D203" i="22"/>
  <c r="D202" i="22"/>
  <c r="D201" i="22"/>
  <c r="D200" i="22"/>
  <c r="D196" i="22"/>
  <c r="D195" i="22"/>
  <c r="D194" i="22"/>
  <c r="D193" i="22"/>
  <c r="D192" i="22"/>
  <c r="D191" i="22"/>
  <c r="D190" i="22"/>
  <c r="D189" i="22"/>
  <c r="D188" i="22"/>
  <c r="D187" i="22"/>
  <c r="D183" i="22"/>
  <c r="D182" i="22"/>
  <c r="D181" i="22"/>
  <c r="D180" i="22"/>
  <c r="D179" i="22"/>
  <c r="D178" i="22"/>
  <c r="D177" i="22"/>
  <c r="N14" i="4" l="1"/>
  <c r="N13" i="4"/>
</calcChain>
</file>

<file path=xl/sharedStrings.xml><?xml version="1.0" encoding="utf-8"?>
<sst xmlns="http://schemas.openxmlformats.org/spreadsheetml/2006/main" count="1418" uniqueCount="919">
  <si>
    <t>Symbol</t>
  </si>
  <si>
    <t>Name</t>
  </si>
  <si>
    <t>Unit</t>
  </si>
  <si>
    <t>Handling</t>
  </si>
  <si>
    <t xml:space="preserve">Equilibrium matrix </t>
  </si>
  <si>
    <t>Expression</t>
  </si>
  <si>
    <t>Default value</t>
  </si>
  <si>
    <t>Chemical formula</t>
  </si>
  <si>
    <t>Equilibrium species</t>
  </si>
  <si>
    <t>Charge</t>
  </si>
  <si>
    <t>Reaction</t>
  </si>
  <si>
    <t>The elemental composition matrix should have as many columns as the kinetic matrix (minus Rate and Reaction)</t>
  </si>
  <si>
    <t>Influent</t>
  </si>
  <si>
    <t>Initial concentration</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</si>
  <si>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</si>
  <si>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</si>
  <si>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</si>
  <si>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</si>
  <si>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</si>
  <si>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</si>
  <si>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</si>
  <si>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</si>
  <si>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</si>
  <si>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</si>
  <si>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</si>
  <si>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</si>
  <si>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</si>
  <si>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</si>
  <si>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</si>
  <si>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</si>
  <si>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</si>
  <si>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</si>
  <si>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</si>
  <si>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</si>
  <si>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</si>
  <si>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</si>
  <si>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</si>
  <si>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</si>
  <si>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</si>
  <si>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</si>
  <si>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</si>
  <si>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</si>
  <si>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</si>
  <si>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</si>
  <si>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</si>
  <si>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</si>
  <si>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</si>
  <si>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</si>
  <si>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</si>
  <si>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</si>
  <si>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</si>
  <si>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</si>
  <si>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</si>
  <si>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</si>
  <si>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</si>
  <si>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</si>
  <si>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</si>
  <si>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</si>
  <si>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</si>
  <si>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</si>
  <si>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</si>
  <si>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</si>
  <si>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</si>
  <si>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</si>
  <si>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</si>
  <si>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</si>
  <si>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</si>
  <si>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</si>
  <si>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</si>
  <si>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</si>
  <si>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</si>
  <si>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</si>
  <si>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</si>
  <si>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</si>
  <si>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</si>
  <si>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</si>
  <si>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</si>
  <si>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</si>
  <si>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</si>
  <si>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</si>
  <si>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</si>
  <si>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</si>
  <si>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</si>
  <si>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</si>
  <si>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</si>
  <si>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</si>
  <si>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</si>
  <si>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</si>
  <si>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</si>
  <si>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</si>
  <si>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</si>
  <si>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</si>
  <si>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</si>
  <si>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</si>
  <si>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</si>
  <si>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</si>
  <si>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</si>
  <si>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</si>
  <si>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</si>
  <si>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</si>
  <si>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</si>
  <si>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</si>
  <si>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</si>
  <si>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</si>
  <si>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</si>
  <si>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</si>
  <si>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</si>
  <si>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</si>
  <si>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</si>
  <si>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</si>
  <si>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</si>
  <si>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</si>
  <si>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</si>
  <si>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</si>
  <si>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Code section</t>
  </si>
  <si>
    <t>Rule</t>
  </si>
  <si>
    <t>Principle/comment</t>
  </si>
  <si>
    <t>-</t>
  </si>
  <si>
    <t>Codelocation(Algebraic blocksection #1)</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</si>
  <si>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</si>
  <si>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</si>
  <si>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</si>
  <si>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</si>
  <si>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</si>
  <si>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</si>
  <si>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</si>
  <si>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</si>
  <si>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</si>
  <si>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</si>
  <si>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</si>
  <si>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</si>
  <si>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</si>
  <si>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</si>
  <si>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</si>
  <si>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Tableau</t>
  </si>
  <si>
    <t>H</t>
  </si>
  <si>
    <t>NH3</t>
  </si>
  <si>
    <t>Cl-</t>
  </si>
  <si>
    <t>NO3-</t>
  </si>
  <si>
    <t>Cat</t>
  </si>
  <si>
    <t>An</t>
  </si>
  <si>
    <t>logK</t>
  </si>
  <si>
    <t>Cl</t>
  </si>
  <si>
    <t>NO3</t>
  </si>
  <si>
    <t>OH</t>
  </si>
  <si>
    <t>NH4</t>
  </si>
  <si>
    <t>Total Concentrations</t>
  </si>
  <si>
    <t>Initial Guesses</t>
  </si>
  <si>
    <t>Water dissociation</t>
  </si>
  <si>
    <t xml:space="preserve">Ammonia protonation </t>
  </si>
  <si>
    <t>K carbonate first step</t>
  </si>
  <si>
    <t>K carbonate second step</t>
  </si>
  <si>
    <t>Dissociation of water</t>
  </si>
  <si>
    <t>10^(-pH)</t>
  </si>
  <si>
    <t>Ionization of ammonia</t>
  </si>
  <si>
    <t>Nitrate fully dissociated</t>
  </si>
  <si>
    <t>Cations fully dissociated</t>
  </si>
  <si>
    <t>Anions fully dissociated</t>
  </si>
  <si>
    <t>Alkalinity (ALK)</t>
  </si>
  <si>
    <t>Steps</t>
  </si>
  <si>
    <t>use Solver to solve for pH and IS</t>
  </si>
  <si>
    <t>The sheet uses values from the Parameters and States Tabs</t>
  </si>
  <si>
    <t>Charge balance</t>
  </si>
  <si>
    <t>Temperature sensitivity</t>
  </si>
  <si>
    <t>theta^(temp-tbase)</t>
  </si>
  <si>
    <t>Arrh(theta;temp;tbase)</t>
  </si>
  <si>
    <t>Value</t>
  </si>
  <si>
    <t>Carbonate dissociated</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</si>
  <si>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</si>
  <si>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</si>
  <si>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</si>
  <si>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</si>
  <si>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</si>
  <si>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</si>
  <si>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</si>
  <si>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</si>
  <si>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</si>
  <si>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</si>
  <si>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</si>
  <si>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</si>
  <si>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</si>
  <si>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</si>
  <si>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</si>
  <si>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</si>
  <si>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</si>
  <si>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</si>
  <si>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</si>
  <si>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</si>
  <si>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</si>
  <si>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</si>
  <si>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</si>
  <si>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</si>
  <si>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</si>
  <si>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</si>
  <si>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</si>
  <si>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</si>
  <si>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</si>
  <si>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</si>
  <si>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</si>
  <si>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</si>
  <si>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</si>
  <si>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</si>
  <si>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</si>
  <si>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</si>
  <si>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</si>
  <si>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</si>
  <si>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</si>
  <si>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</si>
  <si>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</si>
  <si>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</si>
  <si>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</si>
  <si>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</si>
  <si>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</si>
  <si>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</si>
  <si>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</si>
  <si>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</si>
  <si>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</si>
  <si>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</si>
  <si>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</si>
  <si>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</si>
  <si>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</si>
  <si>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</si>
  <si>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</si>
  <si>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</si>
  <si>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</si>
  <si>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</si>
  <si>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</si>
  <si>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</si>
  <si>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</si>
  <si>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Decimals</t>
  </si>
  <si>
    <r>
      <t>K</t>
    </r>
    <r>
      <rPr>
        <vertAlign val="subscript"/>
        <sz val="11"/>
        <rFont val="Calibri"/>
        <family val="2"/>
        <scheme val="minor"/>
      </rPr>
      <t>C1_param</t>
    </r>
  </si>
  <si>
    <r>
      <t>K</t>
    </r>
    <r>
      <rPr>
        <vertAlign val="subscript"/>
        <sz val="11"/>
        <rFont val="Calibri"/>
        <family val="2"/>
        <scheme val="minor"/>
      </rPr>
      <t>C2_param</t>
    </r>
  </si>
  <si>
    <r>
      <t>Ki</t>
    </r>
    <r>
      <rPr>
        <vertAlign val="subscript"/>
        <sz val="11"/>
        <rFont val="Calibri"/>
        <family val="2"/>
        <scheme val="minor"/>
      </rPr>
      <t>NH3</t>
    </r>
  </si>
  <si>
    <r>
      <t>K</t>
    </r>
    <r>
      <rPr>
        <vertAlign val="subscript"/>
        <sz val="11"/>
        <rFont val="Calibri"/>
        <family val="2"/>
        <scheme val="minor"/>
      </rPr>
      <t>W_param</t>
    </r>
  </si>
  <si>
    <r>
      <t>m</t>
    </r>
    <r>
      <rPr>
        <vertAlign val="superscript"/>
        <sz val="11"/>
        <rFont val="Calibri"/>
        <family val="2"/>
      </rPr>
      <t>2</t>
    </r>
    <r>
      <rPr>
        <sz val="11"/>
        <rFont val="Calibri"/>
        <family val="2"/>
      </rPr>
      <t>.d</t>
    </r>
    <r>
      <rPr>
        <vertAlign val="superscript"/>
        <sz val="11"/>
        <rFont val="Calibri"/>
        <family val="2"/>
      </rPr>
      <t>-1</t>
    </r>
  </si>
  <si>
    <t>Physical constants</t>
  </si>
  <si>
    <r>
      <t>Henry</t>
    </r>
    <r>
      <rPr>
        <vertAlign val="subscript"/>
        <sz val="11"/>
        <rFont val="Calibri"/>
        <family val="2"/>
        <scheme val="minor"/>
      </rPr>
      <t>O2,25</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</si>
  <si>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</si>
  <si>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Henry</t>
    </r>
    <r>
      <rPr>
        <vertAlign val="subscript"/>
        <sz val="11"/>
        <rFont val="Calibri"/>
        <family val="2"/>
        <scheme val="minor"/>
      </rPr>
      <t>CO2,25</t>
    </r>
  </si>
  <si>
    <r>
      <t>Henry</t>
    </r>
    <r>
      <rPr>
        <vertAlign val="subscript"/>
        <sz val="11"/>
        <rFont val="Calibri"/>
        <family val="2"/>
        <scheme val="minor"/>
      </rPr>
      <t>N2,25</t>
    </r>
  </si>
  <si>
    <r>
      <t>Rate expression (r</t>
    </r>
    <r>
      <rPr>
        <b/>
        <vertAlign val="subscript"/>
        <sz val="11"/>
        <color indexed="8"/>
        <rFont val="Calibri"/>
        <family val="2"/>
        <scheme val="minor"/>
      </rPr>
      <t>j</t>
    </r>
    <r>
      <rPr>
        <b/>
        <sz val="11"/>
        <color indexed="8"/>
        <rFont val="Calibri"/>
        <family val="2"/>
        <scheme val="minor"/>
      </rPr>
      <t>)</t>
    </r>
  </si>
  <si>
    <t>Charge balance and ionic strength</t>
  </si>
  <si>
    <r>
      <t>[H</t>
    </r>
    <r>
      <rPr>
        <b/>
        <vertAlign val="superscript"/>
        <sz val="11"/>
        <rFont val="Calibri"/>
        <family val="2"/>
      </rPr>
      <t>+</t>
    </r>
    <r>
      <rPr>
        <b/>
        <sz val="11"/>
        <rFont val="Calibri"/>
        <family val="2"/>
      </rPr>
      <t>]</t>
    </r>
  </si>
  <si>
    <r>
      <t>[OH</t>
    </r>
    <r>
      <rPr>
        <b/>
        <vertAlign val="superscript"/>
        <sz val="11"/>
        <rFont val="Calibri"/>
        <family val="2"/>
      </rPr>
      <t>-</t>
    </r>
    <r>
      <rPr>
        <b/>
        <sz val="11"/>
        <rFont val="Calibri"/>
        <family val="2"/>
      </rPr>
      <t>]</t>
    </r>
  </si>
  <si>
    <r>
      <t>[NH</t>
    </r>
    <r>
      <rPr>
        <b/>
        <vertAlign val="subscript"/>
        <sz val="11"/>
        <rFont val="Calibri"/>
        <family val="2"/>
      </rPr>
      <t>3</t>
    </r>
    <r>
      <rPr>
        <b/>
        <sz val="11"/>
        <rFont val="Calibri"/>
        <family val="2"/>
      </rPr>
      <t>]</t>
    </r>
  </si>
  <si>
    <r>
      <t>[NH</t>
    </r>
    <r>
      <rPr>
        <b/>
        <vertAlign val="subscript"/>
        <sz val="11"/>
        <rFont val="Calibri"/>
        <family val="2"/>
      </rPr>
      <t>4</t>
    </r>
    <r>
      <rPr>
        <b/>
        <vertAlign val="superscript"/>
        <sz val="11"/>
        <rFont val="Calibri"/>
        <family val="2"/>
      </rPr>
      <t>+</t>
    </r>
    <r>
      <rPr>
        <b/>
        <sz val="11"/>
        <rFont val="Calibri"/>
        <family val="2"/>
      </rPr>
      <t>]</t>
    </r>
  </si>
  <si>
    <r>
      <t>[NO</t>
    </r>
    <r>
      <rPr>
        <b/>
        <vertAlign val="subscript"/>
        <sz val="11"/>
        <rFont val="Calibri"/>
        <family val="2"/>
      </rPr>
      <t>3</t>
    </r>
    <r>
      <rPr>
        <b/>
        <vertAlign val="superscript"/>
        <sz val="11"/>
        <rFont val="Calibri"/>
        <family val="2"/>
      </rPr>
      <t>-</t>
    </r>
    <r>
      <rPr>
        <b/>
        <sz val="11"/>
        <rFont val="Calibri"/>
        <family val="2"/>
      </rPr>
      <t>]</t>
    </r>
  </si>
  <si>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</si>
  <si>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r>
      <t>[HCO</t>
    </r>
    <r>
      <rPr>
        <b/>
        <vertAlign val="subscript"/>
        <sz val="11"/>
        <rFont val="Calibri"/>
        <family val="2"/>
      </rPr>
      <t>3</t>
    </r>
    <r>
      <rPr>
        <b/>
        <vertAlign val="superscript"/>
        <sz val="11"/>
        <rFont val="Calibri"/>
        <family val="2"/>
      </rPr>
      <t>-</t>
    </r>
    <r>
      <rPr>
        <b/>
        <sz val="11"/>
        <rFont val="Calibri"/>
        <family val="2"/>
      </rPr>
      <t>]</t>
    </r>
  </si>
  <si>
    <r>
      <t>[CO</t>
    </r>
    <r>
      <rPr>
        <b/>
        <vertAlign val="subscript"/>
        <sz val="11"/>
        <rFont val="Calibri"/>
        <family val="2"/>
      </rPr>
      <t>3</t>
    </r>
    <r>
      <rPr>
        <b/>
        <vertAlign val="superscript"/>
        <sz val="11"/>
        <rFont val="Calibri"/>
        <family val="2"/>
      </rPr>
      <t>2-</t>
    </r>
    <r>
      <rPr>
        <b/>
        <sz val="11"/>
        <rFont val="Calibri"/>
        <family val="2"/>
      </rPr>
      <t>]</t>
    </r>
  </si>
  <si>
    <r>
      <t>[CAT</t>
    </r>
    <r>
      <rPr>
        <b/>
        <vertAlign val="superscript"/>
        <sz val="11"/>
        <rFont val="Calibri"/>
        <family val="2"/>
      </rPr>
      <t>+</t>
    </r>
    <r>
      <rPr>
        <b/>
        <sz val="11"/>
        <rFont val="Calibri"/>
        <family val="2"/>
      </rPr>
      <t>]</t>
    </r>
  </si>
  <si>
    <r>
      <t>[AN</t>
    </r>
    <r>
      <rPr>
        <b/>
        <vertAlign val="superscript"/>
        <sz val="11"/>
        <rFont val="Calibri"/>
        <family val="2"/>
      </rPr>
      <t>-</t>
    </r>
    <r>
      <rPr>
        <b/>
        <sz val="11"/>
        <rFont val="Calibri"/>
        <family val="2"/>
        <charset val="238"/>
      </rPr>
      <t>]</t>
    </r>
  </si>
  <si>
    <t>chargebalance</t>
  </si>
  <si>
    <t>-1</t>
  </si>
  <si>
    <t>-2</t>
  </si>
  <si>
    <t>Ionic strength (IS)</t>
  </si>
  <si>
    <t>0.5*(1)^2</t>
  </si>
  <si>
    <t>0.5*(-1)^2</t>
  </si>
  <si>
    <t>0.5*(-2)^2</t>
  </si>
  <si>
    <t>Minimum</t>
  </si>
  <si>
    <t>Maximum</t>
  </si>
  <si>
    <t>Equilibrium matrix</t>
  </si>
  <si>
    <t>Labeled array</t>
  </si>
  <si>
    <r>
      <t>diss</t>
    </r>
    <r>
      <rPr>
        <vertAlign val="subscript"/>
        <sz val="11"/>
        <rFont val="Calibri"/>
        <family val="2"/>
      </rPr>
      <t>H2O</t>
    </r>
  </si>
  <si>
    <r>
      <t>K</t>
    </r>
    <r>
      <rPr>
        <vertAlign val="subscript"/>
        <sz val="11"/>
        <rFont val="Calibri"/>
        <family val="2"/>
      </rPr>
      <t>W</t>
    </r>
    <r>
      <rPr>
        <sz val="11"/>
        <rFont val="Calibri"/>
        <family val="2"/>
      </rPr>
      <t>/[H</t>
    </r>
    <r>
      <rPr>
        <vertAlign val="superscript"/>
        <sz val="11"/>
        <rFont val="Calibri"/>
        <family val="2"/>
      </rPr>
      <t>+</t>
    </r>
    <r>
      <rPr>
        <sz val="11"/>
        <rFont val="Calibri"/>
        <family val="2"/>
      </rPr>
      <t>]</t>
    </r>
  </si>
  <si>
    <r>
      <t>ion</t>
    </r>
    <r>
      <rPr>
        <vertAlign val="subscript"/>
        <sz val="11"/>
        <rFont val="Calibri"/>
        <family val="2"/>
      </rPr>
      <t>amm</t>
    </r>
  </si>
  <si>
    <r>
      <t>(S</t>
    </r>
    <r>
      <rPr>
        <vertAlign val="subscript"/>
        <sz val="11"/>
        <rFont val="Calibri"/>
        <family val="2"/>
      </rPr>
      <t>NH</t>
    </r>
    <r>
      <rPr>
        <sz val="11"/>
        <rFont val="Calibri"/>
        <family val="2"/>
      </rPr>
      <t>/14000)*Ki</t>
    </r>
    <r>
      <rPr>
        <vertAlign val="subscript"/>
        <sz val="11"/>
        <rFont val="Calibri"/>
        <family val="2"/>
      </rPr>
      <t>NH3</t>
    </r>
    <r>
      <rPr>
        <sz val="11"/>
        <rFont val="Calibri"/>
        <family val="2"/>
      </rPr>
      <t>/([H</t>
    </r>
    <r>
      <rPr>
        <vertAlign val="superscript"/>
        <sz val="11"/>
        <rFont val="Calibri"/>
        <family val="2"/>
      </rPr>
      <t>+</t>
    </r>
    <r>
      <rPr>
        <sz val="11"/>
        <rFont val="Calibri"/>
        <family val="2"/>
      </rPr>
      <t>]+Ki</t>
    </r>
    <r>
      <rPr>
        <vertAlign val="subscript"/>
        <sz val="11"/>
        <rFont val="Calibri"/>
        <family val="2"/>
      </rPr>
      <t>NH3</t>
    </r>
    <r>
      <rPr>
        <sz val="11"/>
        <rFont val="Calibri"/>
        <family val="2"/>
      </rPr>
      <t>)</t>
    </r>
  </si>
  <si>
    <r>
      <t>(S</t>
    </r>
    <r>
      <rPr>
        <vertAlign val="subscript"/>
        <sz val="11"/>
        <rFont val="Calibri"/>
        <family val="2"/>
      </rPr>
      <t>NH</t>
    </r>
    <r>
      <rPr>
        <sz val="11"/>
        <rFont val="Calibri"/>
        <family val="2"/>
      </rPr>
      <t>/14000)*[H</t>
    </r>
    <r>
      <rPr>
        <vertAlign val="superscript"/>
        <sz val="11"/>
        <rFont val="Calibri"/>
        <family val="2"/>
      </rPr>
      <t>+</t>
    </r>
    <r>
      <rPr>
        <sz val="11"/>
        <rFont val="Calibri"/>
        <family val="2"/>
      </rPr>
      <t>]/([H</t>
    </r>
    <r>
      <rPr>
        <vertAlign val="superscript"/>
        <sz val="11"/>
        <rFont val="Calibri"/>
        <family val="2"/>
      </rPr>
      <t>+</t>
    </r>
    <r>
      <rPr>
        <sz val="11"/>
        <rFont val="Calibri"/>
        <family val="2"/>
      </rPr>
      <t>]+Ki</t>
    </r>
    <r>
      <rPr>
        <vertAlign val="subscript"/>
        <sz val="11"/>
        <rFont val="Calibri"/>
        <family val="2"/>
      </rPr>
      <t>NH3</t>
    </r>
    <r>
      <rPr>
        <sz val="11"/>
        <rFont val="Calibri"/>
        <family val="2"/>
      </rPr>
      <t>)</t>
    </r>
  </si>
  <si>
    <r>
      <t>map</t>
    </r>
    <r>
      <rPr>
        <vertAlign val="subscript"/>
        <sz val="11"/>
        <rFont val="Calibri"/>
        <family val="2"/>
      </rPr>
      <t>SNO</t>
    </r>
  </si>
  <si>
    <r>
      <t>S</t>
    </r>
    <r>
      <rPr>
        <vertAlign val="subscript"/>
        <sz val="11"/>
        <rFont val="Calibri"/>
        <family val="2"/>
      </rPr>
      <t>NO</t>
    </r>
    <r>
      <rPr>
        <sz val="11"/>
        <rFont val="Calibri"/>
        <family val="2"/>
      </rPr>
      <t>/14000</t>
    </r>
  </si>
  <si>
    <r>
      <t>diss</t>
    </r>
    <r>
      <rPr>
        <vertAlign val="subscript"/>
        <sz val="11"/>
        <rFont val="Calibri"/>
        <family val="2"/>
      </rPr>
      <t>CO2</t>
    </r>
  </si>
  <si>
    <r>
      <t>S</t>
    </r>
    <r>
      <rPr>
        <vertAlign val="subscript"/>
        <sz val="11"/>
        <rFont val="Calibri"/>
        <family val="2"/>
      </rPr>
      <t>CO2</t>
    </r>
    <r>
      <rPr>
        <sz val="11"/>
        <rFont val="Calibri"/>
        <family val="2"/>
      </rPr>
      <t>*[H</t>
    </r>
    <r>
      <rPr>
        <vertAlign val="superscript"/>
        <sz val="11"/>
        <rFont val="Calibri"/>
        <family val="2"/>
      </rPr>
      <t>+</t>
    </r>
    <r>
      <rPr>
        <sz val="11"/>
        <rFont val="Calibri"/>
        <family val="2"/>
      </rPr>
      <t>]^2/([H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</si>
  <si>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[H</t>
    </r>
    <r>
      <rPr>
        <vertAlign val="superscript"/>
        <sz val="11"/>
        <rFont val="Calibri"/>
        <family val="2"/>
      </rPr>
      <t>+</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</si>
  <si>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K</t>
    </r>
    <r>
      <rPr>
        <vertAlign val="subscript"/>
        <sz val="11"/>
        <rFont val="Calibri"/>
        <family val="2"/>
      </rPr>
      <t>C2</t>
    </r>
    <r>
      <rPr>
        <sz val="11"/>
        <rFont val="Calibri"/>
        <family val="2"/>
      </rPr>
      <t>*K</t>
    </r>
    <r>
      <rPr>
        <vertAlign val="subscript"/>
        <sz val="11"/>
        <rFont val="Calibri"/>
        <family val="2"/>
      </rPr>
      <t>C1</t>
    </r>
    <r>
      <rPr>
        <sz val="11"/>
        <rFont val="Calibri"/>
        <family val="2"/>
      </rPr>
      <t>*S</t>
    </r>
    <r>
      <rPr>
        <vertAlign val="subscript"/>
        <sz val="11"/>
        <rFont val="Calibri"/>
        <family val="2"/>
      </rPr>
      <t>CO2</t>
    </r>
    <r>
      <rPr>
        <sz val="11"/>
        <rFont val="Calibri"/>
        <family val="2"/>
      </rPr>
      <t>/([H</t>
    </r>
    <r>
      <rPr>
        <vertAlign val="superscript"/>
        <sz val="11"/>
        <rFont val="Calibri"/>
        <family val="2"/>
      </rPr>
      <t>+</t>
    </r>
    <r>
      <rPr>
        <sz val="11"/>
        <rFont val="Calibri"/>
        <family val="2"/>
      </rPr>
      <t>]^2+[H</t>
    </r>
    <r>
      <rPr>
        <vertAlign val="superscript"/>
        <sz val="11"/>
        <rFont val="Calibri"/>
        <family val="2"/>
      </rPr>
      <t>+</t>
    </r>
    <r>
      <rPr>
        <sz val="11"/>
        <rFont val="Calibri"/>
        <family val="2"/>
      </rPr>
      <t>]*K</t>
    </r>
    <r>
      <rPr>
        <vertAlign val="subscript"/>
        <sz val="11"/>
        <rFont val="Calibri"/>
        <family val="2"/>
      </rPr>
      <t>C1</t>
    </r>
    <r>
      <rPr>
        <sz val="11"/>
        <rFont val="Calibri"/>
        <family val="2"/>
      </rPr>
      <t>+K</t>
    </r>
    <r>
      <rPr>
        <vertAlign val="subscript"/>
        <sz val="11"/>
        <rFont val="Calibri"/>
        <family val="2"/>
      </rPr>
      <t>C1</t>
    </r>
    <r>
      <rPr>
        <sz val="11"/>
        <rFont val="Calibri"/>
        <family val="2"/>
      </rPr>
      <t>*K</t>
    </r>
    <r>
      <rPr>
        <vertAlign val="subscript"/>
        <sz val="11"/>
        <rFont val="Calibri"/>
        <family val="2"/>
      </rPr>
      <t>C2</t>
    </r>
    <r>
      <rPr>
        <sz val="11"/>
        <rFont val="Calibri"/>
        <family val="2"/>
      </rPr>
      <t>)</t>
    </r>
  </si>
  <si>
    <r>
      <t>map</t>
    </r>
    <r>
      <rPr>
        <vertAlign val="subscript"/>
        <sz val="11"/>
        <rFont val="Calibri"/>
        <family val="2"/>
      </rPr>
      <t>CAT</t>
    </r>
  </si>
  <si>
    <r>
      <t>S</t>
    </r>
    <r>
      <rPr>
        <vertAlign val="subscript"/>
        <sz val="11"/>
        <rFont val="Calibri"/>
        <family val="2"/>
      </rPr>
      <t>CAT</t>
    </r>
  </si>
  <si>
    <r>
      <t>S</t>
    </r>
    <r>
      <rPr>
        <vertAlign val="subscript"/>
        <sz val="11"/>
        <rFont val="Calibri"/>
        <family val="2"/>
      </rPr>
      <t>AN</t>
    </r>
  </si>
  <si>
    <r>
      <t>map</t>
    </r>
    <r>
      <rPr>
        <vertAlign val="subscript"/>
        <sz val="11"/>
        <rFont val="Calibri"/>
        <family val="2"/>
      </rPr>
      <t>AN</t>
    </r>
  </si>
  <si>
    <t>SUMO functions</t>
  </si>
  <si>
    <t>Sumo functions used both by Excel and C++</t>
  </si>
  <si>
    <t>MsatpH(var;k)</t>
  </si>
  <si>
    <t>Monod saturation with check for pH availability</t>
  </si>
  <si>
    <t>MinhpH(var;k)</t>
  </si>
  <si>
    <t>Monod inhibition with check for pH availability</t>
  </si>
  <si>
    <t>MRsat(s;x;k)</t>
  </si>
  <si>
    <t>Monod ratio saturation</t>
  </si>
  <si>
    <t>(s/x)/(s/x+k)</t>
  </si>
  <si>
    <t>MRinh(s;x;k)</t>
  </si>
  <si>
    <t>Monod ratio inhibition</t>
  </si>
  <si>
    <t>(k)/(s/x+k)</t>
  </si>
  <si>
    <t>BellinhpH(var; Klo; Khi)</t>
  </si>
  <si>
    <t>Bell-shaped inhibition with check for pH availability</t>
  </si>
  <si>
    <t>LogsatpH(var; slope; halfval)</t>
  </si>
  <si>
    <t>Logistic saturation with chech for pH availability</t>
  </si>
  <si>
    <t>Sign(x)</t>
  </si>
  <si>
    <t>Sign</t>
  </si>
  <si>
    <t>this can be used in Excel from FuncEngine 1.5.2</t>
  </si>
  <si>
    <t>Dmp(dx; x)</t>
  </si>
  <si>
    <t xml:space="preserve">Derivative damping </t>
  </si>
  <si>
    <t>if (x &lt; Sumo__DampingLimit &amp;&amp; dx &lt; 0.0 &amp;&amp; fabs(dx/x) &gt; Sumo__DerivToStateRatiolimit)
{
     pvt x_d = 1/((1+exp(-Sumo__DampingStrength/(Sumo__DampingLimit)*
                      (x - Sumo__DampingLimit/2.0))));
    return x_d*dx;
}
else return dx;</t>
  </si>
  <si>
    <r>
      <t>Henry</t>
    </r>
    <r>
      <rPr>
        <vertAlign val="subscript"/>
        <sz val="11"/>
        <rFont val="Calibri"/>
        <family val="2"/>
        <scheme val="minor"/>
      </rPr>
      <t>O2</t>
    </r>
    <r>
      <rPr>
        <sz val="11"/>
        <rFont val="Calibri"/>
        <family val="2"/>
        <scheme val="minor"/>
      </rPr>
      <t>(T)</t>
    </r>
  </si>
  <si>
    <r>
      <t>Temperature dependent Henry coefficient for O</t>
    </r>
    <r>
      <rPr>
        <vertAlign val="subscript"/>
        <sz val="11"/>
        <rFont val="Calibri"/>
        <family val="2"/>
        <scheme val="minor"/>
      </rPr>
      <t>2</t>
    </r>
  </si>
  <si>
    <r>
      <t>Henry</t>
    </r>
    <r>
      <rPr>
        <vertAlign val="subscript"/>
        <sz val="11"/>
        <rFont val="Calibri"/>
        <family val="2"/>
        <scheme val="minor"/>
      </rPr>
      <t>CO2</t>
    </r>
    <r>
      <rPr>
        <sz val="11"/>
        <rFont val="Calibri"/>
        <family val="2"/>
        <scheme val="minor"/>
      </rPr>
      <t>(T)</t>
    </r>
  </si>
  <si>
    <r>
      <t>Temperature dependent Henry coefficient for CO</t>
    </r>
    <r>
      <rPr>
        <vertAlign val="subscript"/>
        <sz val="11"/>
        <rFont val="Calibri"/>
        <family val="2"/>
        <scheme val="minor"/>
      </rPr>
      <t>2</t>
    </r>
  </si>
  <si>
    <r>
      <t>Henry</t>
    </r>
    <r>
      <rPr>
        <vertAlign val="subscript"/>
        <sz val="11"/>
        <rFont val="Calibri"/>
        <family val="2"/>
        <scheme val="minor"/>
      </rPr>
      <t>NO</t>
    </r>
    <r>
      <rPr>
        <sz val="11"/>
        <rFont val="Calibri"/>
        <family val="2"/>
        <scheme val="minor"/>
      </rPr>
      <t>(T)</t>
    </r>
  </si>
  <si>
    <t>Temperature dependent Henry coefficient for NO</t>
  </si>
  <si>
    <r>
      <t>Henry</t>
    </r>
    <r>
      <rPr>
        <vertAlign val="subscript"/>
        <sz val="11"/>
        <rFont val="Calibri"/>
        <family val="2"/>
        <scheme val="minor"/>
      </rPr>
      <t>N2O</t>
    </r>
    <r>
      <rPr>
        <sz val="11"/>
        <rFont val="Calibri"/>
        <family val="2"/>
        <scheme val="minor"/>
      </rPr>
      <t>(T)</t>
    </r>
  </si>
  <si>
    <r>
      <t>Temperature dependent Henry coefficient for N</t>
    </r>
    <r>
      <rPr>
        <vertAlign val="subscript"/>
        <sz val="11"/>
        <rFont val="Calibri"/>
        <family val="2"/>
        <scheme val="minor"/>
      </rPr>
      <t>2</t>
    </r>
    <r>
      <rPr>
        <sz val="11"/>
        <rFont val="Calibri"/>
        <family val="2"/>
        <scheme val="minor"/>
      </rPr>
      <t>O</t>
    </r>
  </si>
  <si>
    <r>
      <t>Henry</t>
    </r>
    <r>
      <rPr>
        <vertAlign val="subscript"/>
        <sz val="11"/>
        <rFont val="Calibri"/>
        <family val="2"/>
        <scheme val="minor"/>
      </rPr>
      <t>N2</t>
    </r>
    <r>
      <rPr>
        <sz val="11"/>
        <rFont val="Calibri"/>
        <family val="2"/>
        <scheme val="minor"/>
      </rPr>
      <t>(T)</t>
    </r>
  </si>
  <si>
    <r>
      <t>Temperature dependent Henry coefficient for N</t>
    </r>
    <r>
      <rPr>
        <vertAlign val="subscript"/>
        <sz val="11"/>
        <rFont val="Calibri"/>
        <family val="2"/>
        <scheme val="minor"/>
      </rPr>
      <t>2</t>
    </r>
  </si>
  <si>
    <r>
      <t>Henry</t>
    </r>
    <r>
      <rPr>
        <vertAlign val="subscript"/>
        <sz val="11"/>
        <rFont val="Calibri"/>
        <family val="2"/>
        <scheme val="minor"/>
      </rPr>
      <t>H2</t>
    </r>
    <r>
      <rPr>
        <sz val="11"/>
        <rFont val="Calibri"/>
        <family val="2"/>
        <scheme val="minor"/>
      </rPr>
      <t>(T)</t>
    </r>
  </si>
  <si>
    <r>
      <t>Temperature dependent Henry coefficient for H</t>
    </r>
    <r>
      <rPr>
        <vertAlign val="subscript"/>
        <sz val="11"/>
        <rFont val="Calibri"/>
        <family val="2"/>
        <scheme val="minor"/>
      </rPr>
      <t>2</t>
    </r>
  </si>
  <si>
    <r>
      <t>Henry</t>
    </r>
    <r>
      <rPr>
        <vertAlign val="subscript"/>
        <sz val="11"/>
        <rFont val="Calibri"/>
        <family val="2"/>
        <scheme val="minor"/>
      </rPr>
      <t>CH4</t>
    </r>
    <r>
      <rPr>
        <sz val="11"/>
        <rFont val="Calibri"/>
        <family val="2"/>
        <scheme val="minor"/>
      </rPr>
      <t>(T)</t>
    </r>
  </si>
  <si>
    <r>
      <t>Temperature dependent Henry coefficient for CH</t>
    </r>
    <r>
      <rPr>
        <vertAlign val="subscript"/>
        <sz val="11"/>
        <rFont val="Calibri"/>
        <family val="2"/>
        <scheme val="minor"/>
      </rPr>
      <t>4</t>
    </r>
  </si>
  <si>
    <t>C++ functions</t>
  </si>
  <si>
    <t>New functions to be used only in C++ (must follow C++ syntax)</t>
  </si>
  <si>
    <t>SignedAbs(x1; x2)</t>
  </si>
  <si>
    <t>Abs value with sign of x2</t>
  </si>
  <si>
    <t>Sign(x2) * abs(x1)</t>
  </si>
  <si>
    <t>Damp(x)</t>
  </si>
  <si>
    <t xml:space="preserve">Logarithmic damping </t>
  </si>
  <si>
    <t xml:space="preserve">if (x &lt; 0) 
  return -log10(-x+1); </t>
  </si>
  <si>
    <t>else</t>
  </si>
  <si>
    <t>return log10(x+1);</t>
  </si>
  <si>
    <t>Cval(v; thr; if_above; if_below)</t>
  </si>
  <si>
    <t>Conditional value depending on a threshold</t>
  </si>
  <si>
    <t>return v &gt;= thr ? if_above : if_below;</t>
  </si>
  <si>
    <t>CvalEq(v; thr; if_yes; if_no)</t>
  </si>
  <si>
    <t>return v == thr ? if_yes : if_no;</t>
  </si>
  <si>
    <t>AbsError(modelvar;data)</t>
  </si>
  <si>
    <t>Absolute error</t>
  </si>
  <si>
    <t>abs(modelvar-data)</t>
  </si>
  <si>
    <t>RelError(modelvar;data)</t>
  </si>
  <si>
    <t>Relative error</t>
  </si>
  <si>
    <t>abs((modelvar-data)/modelvar)</t>
  </si>
  <si>
    <t>AbsSumOfSquares(modelvar;data)</t>
  </si>
  <si>
    <t>Sum of squares</t>
  </si>
  <si>
    <t>pow((modelvar-data), 2)</t>
  </si>
  <si>
    <t>RelSumOfSquares(modelvar;data)</t>
  </si>
  <si>
    <t>Sum of relative squares</t>
  </si>
  <si>
    <t>pow(((modelvar-data)/modelvar), 2)</t>
  </si>
  <si>
    <t>MaxElemIndex([] x)</t>
  </si>
  <si>
    <t>Index of element with maximum value in 'x'</t>
  </si>
  <si>
    <t>return std::distance(x.data, std::max_element(x.data, x.data+x.size))+1;</t>
  </si>
  <si>
    <t>SumIf([] x;[] y; z)</t>
  </si>
  <si>
    <t>Conditional sum</t>
  </si>
  <si>
    <t>pvt sum = 0.0;
for( int i = 0; i &lt; y.size; ++i )
{
  if( y(i) == z ) sum += x(i);
}
return sum;</t>
  </si>
  <si>
    <t>If(BOOL a;b;c)</t>
  </si>
  <si>
    <t>if (a is true) then b else c</t>
  </si>
  <si>
    <t>return a ? b : c;</t>
  </si>
  <si>
    <t>Average([] x)</t>
  </si>
  <si>
    <t>Average of array elements</t>
  </si>
  <si>
    <t>pvt sum = 0.0;
for( int i = 0; i &lt; x.size; ++i )
{
  sum += x(i);
}
return sum/x.size;</t>
  </si>
  <si>
    <t>Max([] x)</t>
  </si>
  <si>
    <t>Maximum of array elements</t>
  </si>
  <si>
    <t>pvt m = x(0);
for( int i = 1; i &lt; x.size; ++i )
{
    m = max( m, x(i) );
}
return m;</t>
  </si>
  <si>
    <t>Min([] x)</t>
  </si>
  <si>
    <t>Minimum of array elements</t>
  </si>
  <si>
    <t>pvt m = x(0);
for( int i = 1; i &lt; x.size; ++i )
{
    m = min( m, x(i) );
}
return m;</t>
  </si>
  <si>
    <t>Sum([] x)</t>
  </si>
  <si>
    <t>Sum of array elements</t>
  </si>
  <si>
    <t>pvt sum = 0.0;
for( int i = 0; i &lt;= x.size; ++i )
{
  sum += x(i);
}
return sum;</t>
  </si>
  <si>
    <t>SUMO to C++ mapping</t>
  </si>
  <si>
    <t>Straight mapping from Excel to C++. Will work in both</t>
  </si>
  <si>
    <t>Min(a;b)</t>
  </si>
  <si>
    <t>min(a,b)</t>
  </si>
  <si>
    <t>Power</t>
  </si>
  <si>
    <t>Absolute value</t>
  </si>
  <si>
    <t>Natural base exponent</t>
  </si>
  <si>
    <t>Ln(x)</t>
  </si>
  <si>
    <t>e based logarithm</t>
  </si>
  <si>
    <t>log(x)</t>
  </si>
  <si>
    <t>Min(a;b;c)</t>
  </si>
  <si>
    <t>Minimum of three numbers</t>
  </si>
  <si>
    <t>min(min(a;b);c)</t>
  </si>
  <si>
    <t>Min(a;b;c;d)</t>
  </si>
  <si>
    <t>Minimum of four numbers</t>
  </si>
  <si>
    <t>min(Min(a;b;c);d)</t>
  </si>
  <si>
    <t>Min(a;b;c;d;e)</t>
  </si>
  <si>
    <t>Minimum of five numbers</t>
  </si>
  <si>
    <t>min(Min(a;b;c;d);e)</t>
  </si>
  <si>
    <t>Built in C++ functions</t>
  </si>
  <si>
    <t>valid C++ functions (don't need definition)</t>
  </si>
  <si>
    <t>Argument</t>
  </si>
  <si>
    <t>cos</t>
  </si>
  <si>
    <t>Compute cosine</t>
  </si>
  <si>
    <t>sin</t>
  </si>
  <si>
    <t>Compute sine</t>
  </si>
  <si>
    <t>tan</t>
  </si>
  <si>
    <t>Compute tangent</t>
  </si>
  <si>
    <t>acos</t>
  </si>
  <si>
    <t>Compute arc cosine</t>
  </si>
  <si>
    <t>asin</t>
  </si>
  <si>
    <t>Compute arc sine</t>
  </si>
  <si>
    <t>atan</t>
  </si>
  <si>
    <t>Compute arc tangent</t>
  </si>
  <si>
    <t>atan2</t>
  </si>
  <si>
    <t>Compute arc tangent with two parameters</t>
  </si>
  <si>
    <t>cosh</t>
  </si>
  <si>
    <t>Compute hyperbolic cosine</t>
  </si>
  <si>
    <t>sinh</t>
  </si>
  <si>
    <t>Compute hyperbolic sine</t>
  </si>
  <si>
    <t>tanh</t>
  </si>
  <si>
    <t>Compute hyperbolic tangent</t>
  </si>
  <si>
    <t>exp</t>
  </si>
  <si>
    <t>Compute exponential function</t>
  </si>
  <si>
    <t>(power)</t>
  </si>
  <si>
    <t>ldexp</t>
  </si>
  <si>
    <t>Generate number from significand and exponent</t>
  </si>
  <si>
    <t>log</t>
  </si>
  <si>
    <t>Compute natural logarithm</t>
  </si>
  <si>
    <t>log10</t>
  </si>
  <si>
    <t>Compute common logarithm</t>
  </si>
  <si>
    <t>sqrt</t>
  </si>
  <si>
    <t>Compute square root</t>
  </si>
  <si>
    <t>ceil</t>
  </si>
  <si>
    <t>Round up value</t>
  </si>
  <si>
    <t>fabs</t>
  </si>
  <si>
    <t>Compute absolute value</t>
  </si>
  <si>
    <t>floor</t>
  </si>
  <si>
    <t>Round down value</t>
  </si>
  <si>
    <t>fmod</t>
  </si>
  <si>
    <t>Compute remainder of division</t>
  </si>
  <si>
    <t>pow</t>
  </si>
  <si>
    <t>(base,power)</t>
  </si>
  <si>
    <t>abs of</t>
  </si>
  <si>
    <t>min</t>
  </si>
  <si>
    <t>minimum of</t>
  </si>
  <si>
    <t>max</t>
  </si>
  <si>
    <t>maximum of</t>
  </si>
  <si>
    <t>distance</t>
  </si>
  <si>
    <t>Return distance between two iterators</t>
  </si>
  <si>
    <t>max_element</t>
  </si>
  <si>
    <t>Return largest element in a range</t>
  </si>
  <si>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</si>
  <si>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</si>
  <si>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</si>
  <si>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</si>
  <si>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t>source: http://webbook.nist.gov/cgi/cbook.cgi?ID=C7782447&amp;Mask=10</t>
  </si>
  <si>
    <r>
      <t>Henry</t>
    </r>
    <r>
      <rPr>
        <vertAlign val="subscript"/>
        <sz val="11"/>
        <rFont val="Calibri"/>
        <family val="2"/>
        <scheme val="minor"/>
      </rPr>
      <t>O2,dt</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</si>
  <si>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</si>
  <si>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</si>
  <si>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</si>
  <si>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t>source: http://webbook.nist.gov/cgi/cbook.cgi?ID=C124389&amp;Mask=10</t>
  </si>
  <si>
    <r>
      <t>Henry</t>
    </r>
    <r>
      <rPr>
        <vertAlign val="subscript"/>
        <sz val="11"/>
        <rFont val="Calibri"/>
        <family val="2"/>
        <scheme val="minor"/>
      </rPr>
      <t>CO2,dt</t>
    </r>
  </si>
  <si>
    <r>
      <t>Temperature dependency factor for N</t>
    </r>
    <r>
      <rPr>
        <vertAlign val="subscript"/>
        <sz val="11"/>
        <rFont val="Calibri"/>
        <family val="2"/>
        <scheme val="minor"/>
      </rPr>
      <t>2</t>
    </r>
    <r>
      <rPr>
        <sz val="11"/>
        <rFont val="Calibri"/>
        <family val="2"/>
        <scheme val="minor"/>
      </rPr>
      <t>O Henry coefficient</t>
    </r>
  </si>
  <si>
    <r>
      <t>Henry</t>
    </r>
    <r>
      <rPr>
        <vertAlign val="subscript"/>
        <sz val="11"/>
        <rFont val="Calibri"/>
        <family val="2"/>
        <scheme val="minor"/>
      </rPr>
      <t>NO,25</t>
    </r>
  </si>
  <si>
    <t>Henry coefficient for NO @25°C</t>
  </si>
  <si>
    <t>source: http://webbook.nist.gov/cgi/cbook.cgi?ID=C10102439&amp;Mask=10</t>
  </si>
  <si>
    <r>
      <t>Henry</t>
    </r>
    <r>
      <rPr>
        <vertAlign val="subscript"/>
        <sz val="11"/>
        <rFont val="Calibri"/>
        <family val="2"/>
        <scheme val="minor"/>
      </rPr>
      <t>NO,dt</t>
    </r>
  </si>
  <si>
    <t>Temperature dependency factor for NO Henry coefficient</t>
  </si>
  <si>
    <r>
      <t>Henry</t>
    </r>
    <r>
      <rPr>
        <vertAlign val="subscript"/>
        <sz val="11"/>
        <rFont val="Calibri"/>
        <family val="2"/>
        <scheme val="minor"/>
      </rPr>
      <t>N2O,25</t>
    </r>
  </si>
  <si>
    <r>
      <t>Henry coefficient for N</t>
    </r>
    <r>
      <rPr>
        <vertAlign val="subscript"/>
        <sz val="11"/>
        <rFont val="Calibri"/>
        <family val="2"/>
        <scheme val="minor"/>
      </rPr>
      <t>2</t>
    </r>
    <r>
      <rPr>
        <sz val="11"/>
        <rFont val="Calibri"/>
        <family val="2"/>
        <scheme val="minor"/>
      </rPr>
      <t>O @25°C</t>
    </r>
  </si>
  <si>
    <t>source: http://webbook.nist.gov/cgi/cbook.cgi?ID=C10024972&amp;Mask=10</t>
  </si>
  <si>
    <r>
      <t>Henry</t>
    </r>
    <r>
      <rPr>
        <vertAlign val="subscript"/>
        <sz val="11"/>
        <rFont val="Calibri"/>
        <family val="2"/>
        <scheme val="minor"/>
      </rPr>
      <t>N2O,dt</t>
    </r>
  </si>
  <si>
    <r>
      <t>Henry coefficient for N</t>
    </r>
    <r>
      <rPr>
        <vertAlign val="subscript"/>
        <sz val="11"/>
        <rFont val="Calibri"/>
        <family val="2"/>
        <scheme val="minor"/>
      </rPr>
      <t xml:space="preserve">2 </t>
    </r>
    <r>
      <rPr>
        <sz val="11"/>
        <rFont val="Calibri"/>
        <family val="2"/>
        <scheme val="minor"/>
      </rPr>
      <t>@25°C</t>
    </r>
  </si>
  <si>
    <t>source: http://webbook.nist.gov/cgi/cbook.cgi?ID=C7727379&amp;Mask=10</t>
  </si>
  <si>
    <r>
      <t>Henry</t>
    </r>
    <r>
      <rPr>
        <vertAlign val="subscript"/>
        <sz val="11"/>
        <rFont val="Calibri"/>
        <family val="2"/>
        <scheme val="minor"/>
      </rPr>
      <t>N2,dt</t>
    </r>
  </si>
  <si>
    <r>
      <t>Temperature dependency factor for N</t>
    </r>
    <r>
      <rPr>
        <vertAlign val="subscript"/>
        <sz val="11"/>
        <rFont val="Calibri"/>
        <family val="2"/>
        <scheme val="minor"/>
      </rPr>
      <t>2</t>
    </r>
    <r>
      <rPr>
        <sz val="11"/>
        <rFont val="Calibri"/>
        <family val="2"/>
        <scheme val="minor"/>
      </rPr>
      <t xml:space="preserve"> Henry coefficient</t>
    </r>
  </si>
  <si>
    <r>
      <t>Henry</t>
    </r>
    <r>
      <rPr>
        <vertAlign val="subscript"/>
        <sz val="11"/>
        <rFont val="Calibri"/>
        <family val="2"/>
        <scheme val="minor"/>
      </rPr>
      <t>H2,25</t>
    </r>
  </si>
  <si>
    <r>
      <t>Henry coefficient for H</t>
    </r>
    <r>
      <rPr>
        <vertAlign val="subscript"/>
        <sz val="11"/>
        <rFont val="Calibri"/>
        <family val="2"/>
        <scheme val="minor"/>
      </rPr>
      <t xml:space="preserve">2 </t>
    </r>
    <r>
      <rPr>
        <sz val="11"/>
        <rFont val="Calibri"/>
        <family val="2"/>
        <scheme val="minor"/>
      </rPr>
      <t>@25°C</t>
    </r>
  </si>
  <si>
    <r>
      <t>Henry</t>
    </r>
    <r>
      <rPr>
        <vertAlign val="subscript"/>
        <sz val="11"/>
        <rFont val="Calibri"/>
        <family val="2"/>
        <scheme val="minor"/>
      </rPr>
      <t>H2,dt</t>
    </r>
  </si>
  <si>
    <r>
      <t>Temperature dependency factor for H</t>
    </r>
    <r>
      <rPr>
        <vertAlign val="subscript"/>
        <sz val="11"/>
        <rFont val="Calibri"/>
        <family val="2"/>
        <scheme val="minor"/>
      </rPr>
      <t>2</t>
    </r>
    <r>
      <rPr>
        <sz val="11"/>
        <rFont val="Calibri"/>
        <family val="2"/>
        <scheme val="minor"/>
      </rPr>
      <t xml:space="preserve"> Henry coefficient</t>
    </r>
  </si>
  <si>
    <r>
      <t>Henry</t>
    </r>
    <r>
      <rPr>
        <vertAlign val="subscript"/>
        <sz val="11"/>
        <rFont val="Calibri"/>
        <family val="2"/>
        <scheme val="minor"/>
      </rPr>
      <t>CH4,25</t>
    </r>
  </si>
  <si>
    <r>
      <t>Henry coefficient for CH</t>
    </r>
    <r>
      <rPr>
        <vertAlign val="subscript"/>
        <sz val="11"/>
        <rFont val="Calibri"/>
        <family val="2"/>
        <scheme val="minor"/>
      </rPr>
      <t xml:space="preserve">4 </t>
    </r>
    <r>
      <rPr>
        <sz val="11"/>
        <rFont val="Calibri"/>
        <family val="2"/>
        <scheme val="minor"/>
      </rPr>
      <t>@25°C</t>
    </r>
  </si>
  <si>
    <t>source: http://webbook.nist.gov/cgi/cbook.cgi?ID=C74828&amp;Mask=10#Solubility</t>
  </si>
  <si>
    <r>
      <t>Henry</t>
    </r>
    <r>
      <rPr>
        <vertAlign val="subscript"/>
        <sz val="11"/>
        <rFont val="Calibri"/>
        <family val="2"/>
        <scheme val="minor"/>
      </rPr>
      <t>CH4,dt</t>
    </r>
  </si>
  <si>
    <r>
      <t>Temperature dependency factor for CH</t>
    </r>
    <r>
      <rPr>
        <vertAlign val="subscript"/>
        <sz val="11"/>
        <rFont val="Calibri"/>
        <family val="2"/>
        <scheme val="minor"/>
      </rPr>
      <t>4</t>
    </r>
    <r>
      <rPr>
        <sz val="11"/>
        <rFont val="Calibri"/>
        <family val="2"/>
        <scheme val="minor"/>
      </rPr>
      <t xml:space="preserve"> Henry coefficient</t>
    </r>
  </si>
  <si>
    <t>Diffusion coefficients</t>
  </si>
  <si>
    <r>
      <t>D</t>
    </r>
    <r>
      <rPr>
        <vertAlign val="subscript"/>
        <sz val="11"/>
        <rFont val="Calibri"/>
        <family val="2"/>
        <scheme val="minor"/>
      </rPr>
      <t>O2,25</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</si>
  <si>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</si>
  <si>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</si>
  <si>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r>
      <t>D</t>
    </r>
    <r>
      <rPr>
        <vertAlign val="subscript"/>
        <sz val="11"/>
        <rFont val="Calibri"/>
        <family val="2"/>
        <scheme val="minor"/>
      </rPr>
      <t>N2,25</t>
    </r>
  </si>
  <si>
    <t>Diffusion coefficient of nitrogen in water</t>
  </si>
  <si>
    <r>
      <t>D</t>
    </r>
    <r>
      <rPr>
        <vertAlign val="subscript"/>
        <sz val="11"/>
        <rFont val="Calibri"/>
        <family val="2"/>
        <scheme val="minor"/>
      </rPr>
      <t>CO2,25</t>
    </r>
  </si>
  <si>
    <t>Diffusion coefficient of carbon dioxide in water</t>
  </si>
  <si>
    <r>
      <t>D</t>
    </r>
    <r>
      <rPr>
        <vertAlign val="subscript"/>
        <sz val="11"/>
        <rFont val="Calibri"/>
        <family val="2"/>
      </rPr>
      <t>H2,25</t>
    </r>
  </si>
  <si>
    <t>Diffusion coefficient of hydrogen in water @ 25°C</t>
  </si>
  <si>
    <r>
      <t>D</t>
    </r>
    <r>
      <rPr>
        <vertAlign val="subscript"/>
        <sz val="11"/>
        <rFont val="Calibri"/>
        <family val="2"/>
      </rPr>
      <t>CH4,25</t>
    </r>
  </si>
  <si>
    <t>Diffusion coefficient of methane in water @ 25°C</t>
  </si>
  <si>
    <r>
      <t>D</t>
    </r>
    <r>
      <rPr>
        <vertAlign val="subscript"/>
        <sz val="11"/>
        <rFont val="Calibri"/>
        <family val="2"/>
      </rPr>
      <t>NO,25</t>
    </r>
  </si>
  <si>
    <t>Diffusion coefficient of NO in water @ 25°C</t>
  </si>
  <si>
    <r>
      <t>D</t>
    </r>
    <r>
      <rPr>
        <vertAlign val="subscript"/>
        <sz val="11"/>
        <rFont val="Calibri"/>
        <family val="2"/>
      </rPr>
      <t>N2O,25</t>
    </r>
  </si>
  <si>
    <r>
      <t>Diffusion coefficient of N</t>
    </r>
    <r>
      <rPr>
        <vertAlign val="subscript"/>
        <sz val="11"/>
        <rFont val="Calibri"/>
        <family val="2"/>
        <charset val="238"/>
      </rPr>
      <t>2</t>
    </r>
    <r>
      <rPr>
        <sz val="11"/>
        <rFont val="Calibri"/>
        <family val="2"/>
      </rPr>
      <t>O in water @ 25°C</t>
    </r>
  </si>
  <si>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</si>
  <si>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</si>
  <si>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</si>
  <si>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</si>
  <si>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</si>
  <si>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</si>
  <si>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</si>
  <si>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</si>
  <si>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t>Density</t>
  </si>
  <si>
    <t>Physical constants - air</t>
  </si>
  <si>
    <r>
      <t>f</t>
    </r>
    <r>
      <rPr>
        <vertAlign val="subscript"/>
        <sz val="11"/>
        <rFont val="Calibri"/>
        <family val="2"/>
      </rPr>
      <t>O2,air</t>
    </r>
  </si>
  <si>
    <t>Oxygen content of air</t>
  </si>
  <si>
    <t>zero</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</si>
  <si>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</si>
  <si>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</si>
  <si>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</si>
  <si>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</si>
  <si>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</si>
  <si>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</si>
  <si>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</si>
  <si>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</si>
  <si>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</si>
  <si>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</si>
  <si>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</si>
  <si>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</si>
  <si>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</si>
  <si>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</si>
  <si>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</si>
  <si>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</si>
  <si>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</si>
  <si>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</si>
  <si>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</si>
  <si>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</si>
  <si>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</si>
  <si>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</si>
  <si>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</si>
  <si>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</si>
  <si>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</si>
  <si>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</si>
  <si>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</si>
  <si>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</si>
  <si>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</si>
  <si>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</si>
  <si>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</si>
  <si>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</si>
  <si>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</si>
  <si>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</si>
  <si>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</si>
  <si>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</si>
  <si>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</si>
  <si>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</si>
  <si>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</si>
  <si>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</si>
  <si>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</si>
  <si>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</si>
  <si>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</si>
  <si>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</si>
  <si>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</si>
  <si>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</si>
  <si>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</si>
  <si>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</si>
  <si>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</si>
  <si>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</si>
  <si>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</si>
  <si>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</si>
  <si>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</si>
  <si>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</si>
  <si>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</si>
  <si>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</si>
  <si>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</si>
  <si>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</si>
  <si>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</si>
  <si>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</si>
  <si>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</si>
  <si>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</si>
  <si>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</si>
  <si>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</si>
  <si>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</si>
  <si>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</si>
  <si>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</si>
  <si>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</si>
  <si>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</si>
  <si>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</si>
  <si>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</si>
  <si>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</si>
  <si>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</si>
  <si>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</si>
  <si>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</si>
  <si>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</si>
  <si>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</si>
  <si>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</si>
  <si>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</si>
  <si>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</si>
  <si>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</si>
  <si>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</si>
  <si>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</si>
  <si>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</si>
  <si>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</si>
  <si>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</si>
  <si>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</si>
  <si>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</si>
  <si>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</si>
  <si>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</si>
  <si>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</si>
  <si>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</si>
  <si>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</si>
  <si>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</si>
  <si>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</si>
  <si>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</si>
  <si>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</si>
  <si>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</si>
  <si>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</si>
  <si>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</si>
  <si>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</si>
  <si>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</si>
  <si>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</si>
  <si>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</si>
  <si>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</si>
  <si>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</si>
  <si>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</si>
  <si>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</si>
  <si>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</si>
  <si>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</si>
  <si>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</si>
  <si>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</si>
  <si>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</si>
  <si>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</si>
  <si>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</si>
  <si>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</si>
  <si>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</si>
  <si>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</si>
  <si>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</si>
  <si>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</si>
  <si>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</si>
  <si>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</si>
  <si>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</si>
  <si>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</si>
  <si>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</si>
  <si>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</si>
  <si>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</si>
  <si>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</si>
  <si>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</si>
  <si>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</si>
  <si>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</si>
  <si>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</si>
  <si>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</si>
  <si>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</si>
  <si>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</si>
  <si>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</si>
  <si>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</si>
  <si>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</si>
  <si>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</si>
  <si>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</si>
  <si>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</si>
  <si>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</si>
  <si>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</si>
  <si>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</si>
  <si>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</si>
  <si>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</si>
  <si>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</si>
  <si>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</si>
  <si>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</si>
  <si>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</si>
  <si>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</si>
  <si>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</si>
  <si>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</si>
  <si>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</si>
  <si>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</si>
  <si>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</si>
  <si>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</si>
  <si>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</si>
  <si>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</si>
  <si>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</si>
  <si>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</si>
  <si>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</si>
  <si>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</si>
  <si>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</si>
  <si>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</si>
  <si>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</si>
  <si>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</si>
  <si>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</si>
  <si>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</si>
  <si>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</si>
  <si>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</si>
  <si>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</si>
  <si>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</si>
  <si>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</si>
  <si>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</si>
  <si>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</si>
  <si>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</si>
  <si>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</si>
  <si>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</si>
  <si>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</si>
  <si>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</si>
  <si>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</si>
  <si>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</si>
  <si>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</si>
  <si>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</si>
  <si>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</si>
  <si>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</si>
  <si>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</si>
  <si>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</si>
  <si>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</si>
  <si>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</si>
  <si>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</si>
  <si>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</si>
  <si>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</si>
  <si>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</si>
  <si>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</si>
  <si>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</si>
  <si>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</si>
  <si>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</si>
  <si>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</si>
  <si>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</si>
  <si>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</si>
  <si>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</si>
  <si>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</si>
  <si>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</si>
  <si>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</si>
  <si>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</si>
  <si>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</si>
  <si>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</si>
  <si>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</si>
  <si>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</si>
  <si>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</si>
  <si>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</si>
  <si>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</si>
  <si>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</si>
  <si>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</si>
  <si>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</si>
  <si>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</si>
  <si>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</si>
  <si>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</si>
  <si>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</si>
  <si>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</si>
  <si>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</si>
  <si>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</si>
  <si>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</si>
  <si>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</si>
  <si>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</si>
  <si>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</si>
  <si>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</si>
  <si>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</si>
  <si>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</si>
  <si>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</si>
  <si>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</si>
  <si>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</si>
  <si>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</si>
  <si>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</si>
  <si>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</si>
  <si>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</si>
  <si>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</si>
  <si>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</si>
  <si>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</si>
  <si>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</si>
  <si>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</si>
  <si>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</si>
  <si>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</si>
  <si>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</si>
  <si>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</si>
  <si>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</si>
  <si>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</si>
  <si>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</si>
  <si>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</si>
  <si>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</si>
  <si>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</si>
  <si>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</si>
  <si>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</si>
  <si>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</si>
  <si>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</si>
  <si>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</si>
  <si>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</si>
  <si>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</si>
  <si>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</si>
  <si>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</si>
  <si>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</si>
  <si>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</si>
  <si>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</si>
  <si>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</si>
  <si>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</si>
  <si>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</si>
  <si>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</si>
  <si>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</si>
  <si>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</si>
  <si>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</si>
  <si>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</si>
  <si>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</si>
  <si>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</si>
  <si>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</si>
  <si>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</si>
  <si>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</si>
  <si>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</si>
  <si>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</si>
  <si>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r>
      <t>MM</t>
    </r>
    <r>
      <rPr>
        <vertAlign val="subscript"/>
        <sz val="11"/>
        <rFont val="Calibri"/>
        <family val="2"/>
        <charset val="238"/>
      </rPr>
      <t>Fe2O3</t>
    </r>
  </si>
  <si>
    <r>
      <t>Molecular mass of Fe</t>
    </r>
    <r>
      <rPr>
        <vertAlign val="subscript"/>
        <sz val="11"/>
        <rFont val="Calibri"/>
        <family val="2"/>
        <charset val="238"/>
        <scheme val="minor"/>
      </rPr>
      <t>2</t>
    </r>
    <r>
      <rPr>
        <sz val="11"/>
        <rFont val="Calibri"/>
        <family val="2"/>
        <scheme val="minor"/>
      </rPr>
      <t>O</t>
    </r>
    <r>
      <rPr>
        <vertAlign val="subscript"/>
        <sz val="11"/>
        <rFont val="Calibri"/>
        <family val="2"/>
        <charset val="238"/>
        <scheme val="minor"/>
      </rPr>
      <t>3</t>
    </r>
  </si>
  <si>
    <r>
      <t>MM</t>
    </r>
    <r>
      <rPr>
        <vertAlign val="subscript"/>
        <sz val="11"/>
        <rFont val="Calibri"/>
        <family val="2"/>
        <charset val="238"/>
      </rPr>
      <t>PO4</t>
    </r>
  </si>
  <si>
    <t>Molecular mass of phosphate</t>
  </si>
  <si>
    <r>
      <t>MM</t>
    </r>
    <r>
      <rPr>
        <vertAlign val="subscript"/>
        <sz val="11"/>
        <rFont val="Calibri"/>
        <family val="2"/>
        <charset val="238"/>
      </rPr>
      <t>CO2</t>
    </r>
  </si>
  <si>
    <r>
      <t>MM</t>
    </r>
    <r>
      <rPr>
        <vertAlign val="subscript"/>
        <sz val="11"/>
        <rFont val="Calibri"/>
        <family val="2"/>
        <charset val="238"/>
        <scheme val="minor"/>
      </rPr>
      <t>SO4</t>
    </r>
  </si>
  <si>
    <t>Molecular mass of sulphate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</si>
  <si>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</si>
  <si>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</si>
  <si>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</si>
  <si>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</si>
  <si>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r>
      <t>MM</t>
    </r>
    <r>
      <rPr>
        <vertAlign val="subscript"/>
        <sz val="11"/>
        <rFont val="Calibri"/>
        <family val="2"/>
        <charset val="238"/>
        <scheme val="minor"/>
      </rPr>
      <t>CaCO3</t>
    </r>
  </si>
  <si>
    <t>Molecular mass of calcium carbonate</t>
  </si>
  <si>
    <t>Specific molecular masses</t>
  </si>
  <si>
    <r>
      <t>MM</t>
    </r>
    <r>
      <rPr>
        <vertAlign val="subscript"/>
        <sz val="11"/>
        <rFont val="Calibri"/>
        <family val="2"/>
        <charset val="238"/>
        <scheme val="minor"/>
      </rPr>
      <t>EQ,GN2</t>
    </r>
  </si>
  <si>
    <t>N content in GN2</t>
  </si>
  <si>
    <r>
      <t>gN.mol</t>
    </r>
    <r>
      <rPr>
        <vertAlign val="superscript"/>
        <sz val="11"/>
        <rFont val="Calibri"/>
        <family val="2"/>
        <scheme val="minor"/>
      </rPr>
      <t>-1</t>
    </r>
  </si>
  <si>
    <r>
      <t>MM</t>
    </r>
    <r>
      <rPr>
        <vertAlign val="subscript"/>
        <sz val="11"/>
        <rFont val="Calibri"/>
        <family val="2"/>
        <charset val="238"/>
        <scheme val="minor"/>
      </rPr>
      <t>EQ,GNO</t>
    </r>
  </si>
  <si>
    <t>N content in GNO</t>
  </si>
  <si>
    <r>
      <t>MM</t>
    </r>
    <r>
      <rPr>
        <vertAlign val="subscript"/>
        <sz val="11"/>
        <rFont val="Calibri"/>
        <family val="2"/>
        <charset val="238"/>
        <scheme val="minor"/>
      </rPr>
      <t>EQ,GN2O</t>
    </r>
  </si>
  <si>
    <t>N content in GN2O</t>
  </si>
  <si>
    <r>
      <t>MM</t>
    </r>
    <r>
      <rPr>
        <vertAlign val="subscript"/>
        <sz val="11"/>
        <rFont val="Calibri"/>
        <family val="2"/>
        <charset val="238"/>
        <scheme val="minor"/>
      </rPr>
      <t>EQ,GCO2</t>
    </r>
  </si>
  <si>
    <t>Molecular mass of GCO2</t>
  </si>
  <si>
    <r>
      <t>CO2 is used in mg/l in kinetic matrix, no need for any special eq-type value, so the exact value is the same as the molecular mass. This is needed only because of the CSTR code, which needs MM</t>
    </r>
    <r>
      <rPr>
        <vertAlign val="subscript"/>
        <sz val="11"/>
        <color theme="1"/>
        <rFont val="Calibri"/>
        <family val="2"/>
        <charset val="238"/>
        <scheme val="minor"/>
      </rPr>
      <t>EQ,XXX</t>
    </r>
    <r>
      <rPr>
        <sz val="11"/>
        <color indexed="8"/>
        <rFont val="Calibri"/>
        <family val="2"/>
      </rPr>
      <t xml:space="preserve"> data</t>
    </r>
  </si>
  <si>
    <r>
      <t>MM</t>
    </r>
    <r>
      <rPr>
        <vertAlign val="subscript"/>
        <sz val="11"/>
        <rFont val="Calibri"/>
        <family val="2"/>
        <charset val="238"/>
        <scheme val="minor"/>
      </rPr>
      <t>EQ,GO2</t>
    </r>
  </si>
  <si>
    <t>Molecular mass of GO2</t>
  </si>
  <si>
    <r>
      <t>MM</t>
    </r>
    <r>
      <rPr>
        <vertAlign val="subscript"/>
        <sz val="11"/>
        <rFont val="Calibri"/>
        <family val="2"/>
        <scheme val="minor"/>
      </rPr>
      <t>EQ,GCH4</t>
    </r>
  </si>
  <si>
    <t>Molecular mass of GCH4</t>
  </si>
  <si>
    <r>
      <t>MM</t>
    </r>
    <r>
      <rPr>
        <vertAlign val="subscript"/>
        <sz val="11"/>
        <rFont val="Calibri"/>
        <family val="2"/>
        <scheme val="minor"/>
      </rPr>
      <t>EQ,GH2</t>
    </r>
  </si>
  <si>
    <t>Molecular mass of GH2</t>
  </si>
  <si>
    <t>Dissociation constants</t>
  </si>
  <si>
    <r>
      <t>Ki</t>
    </r>
    <r>
      <rPr>
        <vertAlign val="subscript"/>
        <sz val="11"/>
        <rFont val="Calibri"/>
        <family val="2"/>
        <scheme val="minor"/>
      </rPr>
      <t>NO2_param</t>
    </r>
  </si>
  <si>
    <t>Nitrite dissociation</t>
  </si>
  <si>
    <r>
      <t>K</t>
    </r>
    <r>
      <rPr>
        <vertAlign val="subscript"/>
        <sz val="11"/>
        <rFont val="Calibri"/>
        <family val="2"/>
        <scheme val="minor"/>
      </rPr>
      <t>P1_param</t>
    </r>
  </si>
  <si>
    <t>Phosphate first step</t>
  </si>
  <si>
    <r>
      <t>K</t>
    </r>
    <r>
      <rPr>
        <vertAlign val="subscript"/>
        <sz val="11"/>
        <rFont val="Calibri"/>
        <family val="2"/>
        <scheme val="minor"/>
      </rPr>
      <t>P2_param</t>
    </r>
  </si>
  <si>
    <t>Phosphate second step</t>
  </si>
  <si>
    <r>
      <t>K</t>
    </r>
    <r>
      <rPr>
        <vertAlign val="subscript"/>
        <sz val="11"/>
        <rFont val="Calibri"/>
        <family val="2"/>
        <scheme val="minor"/>
      </rPr>
      <t>P3_param</t>
    </r>
  </si>
  <si>
    <t>Phosphate third step</t>
  </si>
  <si>
    <r>
      <t>Ki</t>
    </r>
    <r>
      <rPr>
        <vertAlign val="subscript"/>
        <sz val="11"/>
        <rFont val="Calibri"/>
        <family val="2"/>
        <scheme val="minor"/>
      </rPr>
      <t>Ac_param</t>
    </r>
  </si>
  <si>
    <t>VFA dissociation (Acetate)</t>
  </si>
  <si>
    <t>Electron equivalences</t>
  </si>
  <si>
    <r>
      <t>EEQ</t>
    </r>
    <r>
      <rPr>
        <vertAlign val="subscript"/>
        <sz val="11"/>
        <rFont val="Calibri"/>
        <family val="2"/>
      </rPr>
      <t>N2</t>
    </r>
  </si>
  <si>
    <r>
      <t>Electron equivalence of N</t>
    </r>
    <r>
      <rPr>
        <vertAlign val="subscript"/>
        <sz val="11"/>
        <rFont val="Calibri"/>
        <family val="2"/>
      </rPr>
      <t>2</t>
    </r>
  </si>
  <si>
    <t>g COD/g N</t>
  </si>
  <si>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</si>
  <si>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</si>
  <si>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</si>
  <si>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</si>
  <si>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</si>
  <si>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</si>
  <si>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</si>
  <si>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</si>
  <si>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</si>
  <si>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EEQ</t>
    </r>
    <r>
      <rPr>
        <vertAlign val="subscript"/>
        <sz val="11"/>
        <rFont val="Calibri"/>
        <family val="2"/>
      </rPr>
      <t>NO2_NO3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</si>
  <si>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</si>
  <si>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EEQ</t>
    </r>
    <r>
      <rPr>
        <vertAlign val="subscript"/>
        <sz val="11"/>
        <rFont val="Calibri"/>
        <family val="2"/>
      </rPr>
      <t>N2_NO2</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</si>
  <si>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</si>
  <si>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EEQ</t>
    </r>
    <r>
      <rPr>
        <vertAlign val="subscript"/>
        <sz val="11"/>
        <rFont val="Calibri"/>
        <family val="2"/>
      </rPr>
      <t>NO_NO2</t>
    </r>
  </si>
  <si>
    <r>
      <t>Electron equivalence of NO to NO</t>
    </r>
    <r>
      <rPr>
        <vertAlign val="subscript"/>
        <sz val="11"/>
        <rFont val="Calibri"/>
        <family val="2"/>
      </rPr>
      <t>2</t>
    </r>
  </si>
  <si>
    <r>
      <t>EEQ</t>
    </r>
    <r>
      <rPr>
        <vertAlign val="subscript"/>
        <sz val="11"/>
        <rFont val="Calibri"/>
        <family val="2"/>
      </rPr>
      <t>N2O_NO</t>
    </r>
  </si>
  <si>
    <r>
      <t>Electron equivalence of N</t>
    </r>
    <r>
      <rPr>
        <vertAlign val="subscript"/>
        <sz val="11"/>
        <rFont val="Calibri"/>
        <family val="2"/>
      </rPr>
      <t>2</t>
    </r>
    <r>
      <rPr>
        <sz val="11"/>
        <rFont val="Calibri"/>
        <family val="2"/>
      </rPr>
      <t>O to NO</t>
    </r>
  </si>
  <si>
    <r>
      <t>EEQ</t>
    </r>
    <r>
      <rPr>
        <vertAlign val="subscript"/>
        <sz val="11"/>
        <rFont val="Calibri"/>
        <family val="2"/>
      </rPr>
      <t>N2_N2O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</si>
  <si>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</si>
  <si>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t>1 / (1 + Exp((halfval - var) / slope))</t>
  </si>
  <si>
    <t>1 / (1 + Exp((var - halfval) / slope))</t>
  </si>
  <si>
    <t>Max(lolim;Min(hilim;var))</t>
  </si>
  <si>
    <t>If(x&gt;0;1;If(x&lt;0;-1;0))</t>
  </si>
  <si>
    <r>
      <t>Henry</t>
    </r>
    <r>
      <rPr>
        <vertAlign val="subscript"/>
        <sz val="11"/>
        <rFont val="Calibri"/>
        <family val="2"/>
        <scheme val="minor"/>
      </rPr>
      <t>O2_25</t>
    </r>
    <r>
      <rPr>
        <sz val="11"/>
        <rFont val="Calibri"/>
        <family val="2"/>
        <scheme val="minor"/>
      </rPr>
      <t>*Exp(Henry</t>
    </r>
    <r>
      <rPr>
        <vertAlign val="subscript"/>
        <sz val="11"/>
        <rFont val="Calibri"/>
        <family val="2"/>
        <scheme val="minor"/>
      </rPr>
      <t>O2_dt</t>
    </r>
    <r>
      <rPr>
        <sz val="11"/>
        <rFont val="Calibri"/>
        <family val="2"/>
        <scheme val="minor"/>
      </rPr>
      <t>*((1/T)-(1/298.15)))</t>
    </r>
  </si>
  <si>
    <r>
      <t>Henry</t>
    </r>
    <r>
      <rPr>
        <vertAlign val="subscript"/>
        <sz val="11"/>
        <rFont val="Calibri"/>
        <family val="2"/>
        <scheme val="minor"/>
      </rPr>
      <t>CO2_25</t>
    </r>
    <r>
      <rPr>
        <sz val="11"/>
        <rFont val="Calibri"/>
        <family val="2"/>
        <scheme val="minor"/>
      </rPr>
      <t>*Exp(Henry</t>
    </r>
    <r>
      <rPr>
        <vertAlign val="subscript"/>
        <sz val="11"/>
        <rFont val="Calibri"/>
        <family val="2"/>
        <scheme val="minor"/>
      </rPr>
      <t>CO2_dt</t>
    </r>
    <r>
      <rPr>
        <sz val="11"/>
        <rFont val="Calibri"/>
        <family val="2"/>
        <scheme val="minor"/>
      </rPr>
      <t>*((1/T)-(1/298.15)))</t>
    </r>
  </si>
  <si>
    <r>
      <t>Henry</t>
    </r>
    <r>
      <rPr>
        <vertAlign val="subscript"/>
        <sz val="11"/>
        <rFont val="Calibri"/>
        <family val="2"/>
        <scheme val="minor"/>
      </rPr>
      <t>NO_25</t>
    </r>
    <r>
      <rPr>
        <sz val="11"/>
        <rFont val="Calibri"/>
        <family val="2"/>
        <scheme val="minor"/>
      </rPr>
      <t>*Exp(Henry</t>
    </r>
    <r>
      <rPr>
        <vertAlign val="subscript"/>
        <sz val="11"/>
        <rFont val="Calibri"/>
        <family val="2"/>
        <scheme val="minor"/>
      </rPr>
      <t>NO_dt</t>
    </r>
    <r>
      <rPr>
        <sz val="11"/>
        <rFont val="Calibri"/>
        <family val="2"/>
        <scheme val="minor"/>
      </rPr>
      <t>*((1/T)-(1/298.15)))</t>
    </r>
  </si>
  <si>
    <r>
      <t>Henry</t>
    </r>
    <r>
      <rPr>
        <vertAlign val="subscript"/>
        <sz val="11"/>
        <rFont val="Calibri"/>
        <family val="2"/>
        <scheme val="minor"/>
      </rPr>
      <t>N2O_25</t>
    </r>
    <r>
      <rPr>
        <sz val="11"/>
        <rFont val="Calibri"/>
        <family val="2"/>
        <scheme val="minor"/>
      </rPr>
      <t>*Exp(Henry</t>
    </r>
    <r>
      <rPr>
        <vertAlign val="subscript"/>
        <sz val="11"/>
        <rFont val="Calibri"/>
        <family val="2"/>
        <scheme val="minor"/>
      </rPr>
      <t>N2O_dt</t>
    </r>
    <r>
      <rPr>
        <sz val="11"/>
        <rFont val="Calibri"/>
        <family val="2"/>
        <scheme val="minor"/>
      </rPr>
      <t>*((1/T)-(1/298.15)))</t>
    </r>
  </si>
  <si>
    <r>
      <t>Henry</t>
    </r>
    <r>
      <rPr>
        <vertAlign val="subscript"/>
        <sz val="11"/>
        <rFont val="Calibri"/>
        <family val="2"/>
        <scheme val="minor"/>
      </rPr>
      <t>N2_25</t>
    </r>
    <r>
      <rPr>
        <sz val="11"/>
        <rFont val="Calibri"/>
        <family val="2"/>
        <scheme val="minor"/>
      </rPr>
      <t>*Exp(Henry</t>
    </r>
    <r>
      <rPr>
        <vertAlign val="subscript"/>
        <sz val="11"/>
        <rFont val="Calibri"/>
        <family val="2"/>
        <scheme val="minor"/>
      </rPr>
      <t>N2_dt</t>
    </r>
    <r>
      <rPr>
        <sz val="11"/>
        <rFont val="Calibri"/>
        <family val="2"/>
        <scheme val="minor"/>
      </rPr>
      <t>*((1/T)-(1/298.15)))</t>
    </r>
  </si>
  <si>
    <r>
      <t>Henry</t>
    </r>
    <r>
      <rPr>
        <vertAlign val="subscript"/>
        <sz val="11"/>
        <rFont val="Calibri"/>
        <family val="2"/>
        <scheme val="minor"/>
      </rPr>
      <t>H2_25</t>
    </r>
    <r>
      <rPr>
        <sz val="11"/>
        <rFont val="Calibri"/>
        <family val="2"/>
        <scheme val="minor"/>
      </rPr>
      <t>*Exp(Henry</t>
    </r>
    <r>
      <rPr>
        <vertAlign val="subscript"/>
        <sz val="11"/>
        <rFont val="Calibri"/>
        <family val="2"/>
        <scheme val="minor"/>
      </rPr>
      <t>H2_dt</t>
    </r>
    <r>
      <rPr>
        <sz val="11"/>
        <rFont val="Calibri"/>
        <family val="2"/>
        <scheme val="minor"/>
      </rPr>
      <t>*((1/T)-(1/298.15)))</t>
    </r>
  </si>
  <si>
    <r>
      <t>Henry</t>
    </r>
    <r>
      <rPr>
        <vertAlign val="subscript"/>
        <sz val="11"/>
        <rFont val="Calibri"/>
        <family val="2"/>
        <scheme val="minor"/>
      </rPr>
      <t>CH4_25</t>
    </r>
    <r>
      <rPr>
        <sz val="11"/>
        <rFont val="Calibri"/>
        <family val="2"/>
        <scheme val="minor"/>
      </rPr>
      <t>*Exp(Henry</t>
    </r>
    <r>
      <rPr>
        <vertAlign val="subscript"/>
        <sz val="11"/>
        <rFont val="Calibri"/>
        <family val="2"/>
        <scheme val="minor"/>
      </rPr>
      <t>CH4_dt</t>
    </r>
    <r>
      <rPr>
        <sz val="11"/>
        <rFont val="Calibri"/>
        <family val="2"/>
        <scheme val="minor"/>
      </rPr>
      <t>*((1/T)-(1/298.15)))</t>
    </r>
  </si>
  <si>
    <r>
      <t>g.m</t>
    </r>
    <r>
      <rPr>
        <vertAlign val="superscript"/>
        <sz val="11"/>
        <rFont val="Calibri"/>
        <family val="2"/>
        <scheme val="minor"/>
      </rPr>
      <t>-3</t>
    </r>
  </si>
  <si>
    <r>
      <t>p</t>
    </r>
    <r>
      <rPr>
        <vertAlign val="subscript"/>
        <sz val="11"/>
        <rFont val="Calibri"/>
        <family val="2"/>
      </rPr>
      <t>St</t>
    </r>
  </si>
  <si>
    <t>Standard barometric pressure</t>
  </si>
  <si>
    <t>Pa</t>
  </si>
  <si>
    <r>
      <t>EEQ</t>
    </r>
    <r>
      <rPr>
        <vertAlign val="subscript"/>
        <sz val="11"/>
        <rFont val="Calibri"/>
        <family val="2"/>
      </rPr>
      <t>N2_NO3</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</si>
  <si>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</si>
  <si>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</si>
  <si>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r>
      <t>k</t>
    </r>
    <r>
      <rPr>
        <vertAlign val="subscript"/>
        <sz val="11"/>
        <rFont val="Calibri"/>
        <family val="2"/>
      </rPr>
      <t>L</t>
    </r>
    <r>
      <rPr>
        <sz val="11"/>
        <rFont val="Calibri"/>
        <family val="2"/>
      </rPr>
      <t>a</t>
    </r>
    <r>
      <rPr>
        <vertAlign val="subscript"/>
        <sz val="11"/>
        <rFont val="Calibri"/>
        <family val="2"/>
      </rPr>
      <t>O2,field</t>
    </r>
  </si>
  <si>
    <t>oxygen mass transfer coefficient from PU code</t>
  </si>
  <si>
    <t>pH effects on/not on from systemcode</t>
  </si>
  <si>
    <t>Boolean</t>
  </si>
  <si>
    <t>If(Sumo__pHEffects;var/(k+var);1)</t>
  </si>
  <si>
    <t>If(Sumo__pHEffects;k/(k+var);1)</t>
  </si>
  <si>
    <t>If(Sumo__pHEffects; (1 + 2 * 10^(0.5 * (Klo - Khi))) / (1 + 10^(var - Khi) + 10^(Klo - var)); 1)</t>
  </si>
  <si>
    <t>If( Sumo__pHEffects;1 / (1 + Exp((halfval - var) / slope));1 )</t>
  </si>
  <si>
    <t>Sumo__pHEffects</t>
  </si>
  <si>
    <r>
      <t>mol.L</t>
    </r>
    <r>
      <rPr>
        <vertAlign val="superscript"/>
        <sz val="11"/>
        <rFont val="Calibri"/>
        <family val="2"/>
      </rPr>
      <t>-1</t>
    </r>
  </si>
  <si>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</si>
  <si>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</si>
  <si>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</si>
  <si>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</si>
  <si>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</si>
  <si>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</si>
  <si>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</si>
  <si>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r>
      <t>IS</t>
    </r>
    <r>
      <rPr>
        <vertAlign val="subscript"/>
        <sz val="11"/>
        <rFont val="Calibri"/>
        <family val="2"/>
        <charset val="238"/>
      </rPr>
      <t>calc</t>
    </r>
  </si>
  <si>
    <r>
      <t>S</t>
    </r>
    <r>
      <rPr>
        <vertAlign val="subscript"/>
        <sz val="11"/>
        <rFont val="Calibri"/>
        <family val="2"/>
        <scheme val="minor"/>
      </rPr>
      <t>ALK,input</t>
    </r>
  </si>
  <si>
    <t>0.0</t>
  </si>
  <si>
    <r>
      <t>eq ALK.l</t>
    </r>
    <r>
      <rPr>
        <vertAlign val="superscript"/>
        <sz val="11"/>
        <rFont val="Calibri"/>
        <family val="2"/>
        <scheme val="minor"/>
      </rPr>
      <t>-1</t>
    </r>
  </si>
  <si>
    <t>Principle/Comment</t>
  </si>
  <si>
    <t>Ctrl-M is unnecessary, but works</t>
  </si>
  <si>
    <t>Any content under this line will be deleted</t>
  </si>
  <si>
    <t>Particle size</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</si>
  <si>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</si>
  <si>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</si>
  <si>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</si>
  <si>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</si>
  <si>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</si>
  <si>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</si>
  <si>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</si>
  <si>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</si>
  <si>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</si>
  <si>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</si>
  <si>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Type(Stoichiometric)</t>
  </si>
  <si>
    <t>Default</t>
  </si>
  <si>
    <t>Model parameters</t>
  </si>
  <si>
    <t>Components</t>
  </si>
  <si>
    <t>Calculated variables</t>
  </si>
  <si>
    <t>Design tool empty model</t>
  </si>
  <si>
    <t>www.dynamita.com</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</si>
  <si>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</si>
  <si>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</si>
  <si>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</si>
  <si>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</si>
  <si>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</si>
  <si>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</si>
  <si>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</si>
  <si>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</si>
  <si>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</si>
  <si>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</si>
  <si>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</si>
  <si>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</si>
  <si>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</si>
  <si>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</si>
  <si>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</si>
  <si>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</si>
  <si>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</si>
  <si>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SV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</si>
</sst>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000E+00"/>
    <numFmt numFmtId="165" formatCode="0.000"/>
    <numFmt numFmtId="166" formatCode="0.0000"/>
    <numFmt numFmtId="167" formatCode="0.0"/>
    <numFmt numFmtId="168" formatCode="0.0000000"/>
  </numFmts>
  <fonts count="41"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sz val="11"/>
      <color indexed="8"/>
      <name val="Arial"/>
      <family val="2"/>
      <charset val="238"/>
    </font>
    <font>
      <b/>
      <sz val="11"/>
      <color indexed="8"/>
      <name val="Arial"/>
      <family val="2"/>
    </font>
    <font>
      <sz val="11"/>
      <color rgb="FFFF0000"/>
      <name val="Calibri"/>
      <family val="2"/>
    </font>
    <font>
      <b/>
      <sz val="11"/>
      <color theme="1"/>
      <name val="Calibri"/>
      <family val="2"/>
      <scheme val="minor"/>
    </font>
    <font>
      <b/>
      <sz val="11"/>
      <color rgb="FFFF0000"/>
      <name val="Calibri"/>
      <family val="2"/>
    </font>
    <font>
      <vertAlign val="subscript"/>
      <sz val="11"/>
      <color indexed="8"/>
      <name val="Calibri"/>
      <family val="2"/>
      <charset val="238"/>
    </font>
    <font>
      <b/>
      <sz val="11"/>
      <color indexed="8"/>
      <name val="Calibri"/>
      <family val="2"/>
      <charset val="238"/>
    </font>
    <font>
      <sz val="11"/>
      <color indexed="8"/>
      <name val="Calibri"/>
      <family val="2"/>
      <charset val="238"/>
    </font>
    <font>
      <b/>
      <sz val="14"/>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b/>
      <sz val="11"/>
      <color rgb="FFFF0000"/>
      <name val="Calibri"/>
      <family val="2"/>
      <scheme val="minor"/>
    </font>
    <font>
      <sz val="11"/>
      <name val="Calibri"/>
      <family val="2"/>
    </font>
    <font>
      <b/>
      <sz val="11"/>
      <name val="Calibri"/>
      <family val="2"/>
      <scheme val="minor"/>
    </font>
    <font>
      <b/>
      <sz val="11"/>
      <name val="Calibri"/>
      <family val="2"/>
    </font>
    <font>
      <sz val="11"/>
      <name val="Calibri"/>
      <family val="2"/>
      <scheme val="minor"/>
    </font>
    <font>
      <b/>
      <sz val="11"/>
      <color indexed="8"/>
      <name val="Calibri"/>
      <family val="2"/>
      <scheme val="minor"/>
    </font>
    <font>
      <sz val="11"/>
      <color indexed="8"/>
      <name val="Calibri"/>
      <family val="2"/>
      <scheme val="minor"/>
    </font>
    <font>
      <b/>
      <i/>
      <sz val="11"/>
      <name val="Calibri"/>
      <family val="2"/>
      <scheme val="minor"/>
    </font>
    <font>
      <vertAlign val="superscript"/>
      <sz val="11"/>
      <name val="Calibri"/>
      <family val="2"/>
      <scheme val="minor"/>
    </font>
    <font>
      <vertAlign val="subscript"/>
      <sz val="11"/>
      <name val="Calibri"/>
      <family val="2"/>
      <scheme val="minor"/>
    </font>
    <font>
      <b/>
      <vertAlign val="subscript"/>
      <sz val="11"/>
      <color indexed="8"/>
      <name val="Calibri"/>
      <family val="2"/>
      <scheme val="minor"/>
    </font>
    <font>
      <vertAlign val="subscript"/>
      <sz val="11"/>
      <name val="Calibri"/>
      <family val="2"/>
    </font>
    <font>
      <vertAlign val="superscript"/>
      <sz val="11"/>
      <name val="Calibri"/>
      <family val="2"/>
    </font>
    <font>
      <b/>
      <vertAlign val="superscript"/>
      <sz val="11"/>
      <name val="Calibri"/>
      <family val="2"/>
    </font>
    <font>
      <b/>
      <vertAlign val="subscript"/>
      <sz val="11"/>
      <name val="Calibri"/>
      <family val="2"/>
    </font>
    <font>
      <b/>
      <sz val="11"/>
      <name val="Calibri"/>
      <family val="2"/>
      <charset val="238"/>
    </font>
    <font>
      <sz val="11"/>
      <color indexed="8"/>
      <name val="Cambria"/>
      <family val="1"/>
    </font>
    <font>
      <vertAlign val="subscript"/>
      <sz val="11"/>
      <name val="Calibri"/>
      <family val="2"/>
      <charset val="238"/>
    </font>
    <font>
      <u/>
      <sz val="11"/>
      <color theme="10"/>
      <name val="Calibri"/>
      <family val="2"/>
    </font>
    <font>
      <vertAlign val="subscript"/>
      <sz val="11"/>
      <name val="Calibri"/>
      <family val="2"/>
      <charset val="238"/>
      <scheme val="minor"/>
    </font>
    <font>
      <vertAlign val="subscript"/>
      <sz val="11"/>
      <color theme="1"/>
      <name val="Calibri"/>
      <family val="2"/>
      <charset val="238"/>
      <scheme val="minor"/>
    </font>
  </fonts>
  <fills count="11">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498F87"/>
        <bgColor indexed="64"/>
      </patternFill>
    </fill>
    <fill>
      <patternFill patternType="solid">
        <fgColor theme="8" tint="0.59999389629810485"/>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79995117038483843"/>
        <bgColor indexed="64"/>
      </patternFill>
    </fill>
    <fill>
      <patternFill patternType="solid">
        <fgColor theme="8" tint="0.39997558519241921"/>
        <bgColor indexed="64"/>
      </patternFill>
    </fill>
  </fills>
  <borders count="59">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style="medium">
        <color rgb="FF000000"/>
      </right>
      <top style="medium">
        <color rgb="FF000000"/>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8"/>
      </left>
      <right style="medium">
        <color indexed="8"/>
      </right>
      <top style="medium">
        <color indexed="8"/>
      </top>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ck">
        <color indexed="64"/>
      </right>
      <top/>
      <bottom/>
      <diagonal/>
    </border>
    <border>
      <left/>
      <right/>
      <top style="medium">
        <color indexed="64"/>
      </top>
      <bottom style="thin">
        <color indexed="64"/>
      </bottom>
      <diagonal/>
    </border>
    <border>
      <left style="thin">
        <color indexed="64"/>
      </left>
      <right/>
      <top style="medium">
        <color indexed="64"/>
      </top>
      <bottom style="medium">
        <color indexed="64"/>
      </bottom>
      <diagonal/>
    </border>
    <border>
      <left style="thin">
        <color auto="1"/>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auto="1"/>
      </top>
      <bottom/>
      <diagonal/>
    </border>
    <border>
      <left style="thin">
        <color indexed="64"/>
      </left>
      <right style="thin">
        <color indexed="64"/>
      </right>
      <top style="medium">
        <color auto="1"/>
      </top>
      <bottom/>
      <diagonal/>
    </border>
    <border>
      <left style="thin">
        <color indexed="64"/>
      </left>
      <right style="medium">
        <color indexed="64"/>
      </right>
      <top style="medium">
        <color auto="1"/>
      </top>
      <bottom/>
      <diagonal/>
    </border>
  </borders>
  <cellStyleXfs count="14">
    <xf numFmtId="0" fontId="0" fillId="0" borderId="0"/>
    <xf numFmtId="0" fontId="3" fillId="0" borderId="0"/>
    <xf numFmtId="0" fontId="2" fillId="0" borderId="0"/>
    <xf numFmtId="0" fontId="38" fillId="0" borderId="0" applyNumberFormat="0" applyFill="0" applyBorder="0" applyAlignment="0" applyProtection="0">
      <alignment vertical="top"/>
      <protection locked="0"/>
    </xf>
    <xf numFmtId="0" fontId="2"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cellStyleXfs>
  <cellXfs count="373">
    <xf numFmtId="0" fontId="0" fillId="0" borderId="0" xfId="0"/>
    <xf numFmtId="0" fontId="4" fillId="0" borderId="0" xfId="0" applyFont="1"/>
    <xf numFmtId="0" fontId="4" fillId="0" borderId="5" xfId="0" applyFont="1" applyBorder="1" applyAlignment="1">
      <alignment vertical="top" wrapText="1"/>
    </xf>
    <xf numFmtId="0" fontId="0" fillId="0" borderId="0" xfId="0" applyAlignment="1">
      <alignment horizontal="left" vertical="center"/>
    </xf>
    <xf numFmtId="0" fontId="4" fillId="0" borderId="0" xfId="0" applyFont="1" applyAlignment="1">
      <alignment vertical="top" wrapText="1"/>
    </xf>
    <xf numFmtId="0" fontId="0" fillId="0" borderId="6" xfId="0" applyBorder="1"/>
    <xf numFmtId="0" fontId="0" fillId="0" borderId="0" xfId="0" applyAlignment="1">
      <alignment horizontal="center" vertical="center" wrapText="1"/>
    </xf>
    <xf numFmtId="0" fontId="13" fillId="0" borderId="0" xfId="0" applyFont="1"/>
    <xf numFmtId="0" fontId="0" fillId="0" borderId="0" xfId="0" applyAlignment="1">
      <alignment vertical="top"/>
    </xf>
    <xf numFmtId="0" fontId="0" fillId="3" borderId="0" xfId="0" applyFill="1"/>
    <xf numFmtId="0" fontId="9" fillId="4" borderId="22" xfId="0" applyFont="1" applyFill="1" applyBorder="1"/>
    <xf numFmtId="0" fontId="9" fillId="4" borderId="23" xfId="0" applyFont="1" applyFill="1" applyBorder="1"/>
    <xf numFmtId="0" fontId="9" fillId="4" borderId="24" xfId="0" applyFont="1" applyFill="1" applyBorder="1"/>
    <xf numFmtId="0" fontId="10" fillId="0" borderId="0" xfId="0" applyFont="1" applyAlignment="1">
      <alignment horizontal="left" vertical="center"/>
    </xf>
    <xf numFmtId="0" fontId="4" fillId="0" borderId="0" xfId="0" applyFont="1" applyAlignment="1">
      <alignment horizontal="center" vertical="center" wrapText="1"/>
    </xf>
    <xf numFmtId="0" fontId="10" fillId="0" borderId="36" xfId="0" applyFont="1" applyBorder="1" applyAlignment="1">
      <alignment horizontal="left" vertical="center"/>
    </xf>
    <xf numFmtId="0" fontId="10" fillId="0" borderId="4" xfId="0" applyFont="1" applyBorder="1" applyAlignment="1">
      <alignment horizontal="left" vertical="center"/>
    </xf>
    <xf numFmtId="0" fontId="10" fillId="0" borderId="23" xfId="0" applyFont="1" applyBorder="1" applyAlignment="1">
      <alignment horizontal="left" vertical="center"/>
    </xf>
    <xf numFmtId="0" fontId="10" fillId="0" borderId="32" xfId="0" applyFont="1" applyBorder="1" applyAlignment="1">
      <alignment horizontal="left" vertical="center"/>
    </xf>
    <xf numFmtId="0" fontId="10" fillId="0" borderId="31" xfId="0" applyFont="1" applyBorder="1" applyAlignment="1">
      <alignment horizontal="left" vertical="center"/>
    </xf>
    <xf numFmtId="0" fontId="10" fillId="0" borderId="0" xfId="1" applyFont="1"/>
    <xf numFmtId="0" fontId="3" fillId="0" borderId="0" xfId="1"/>
    <xf numFmtId="0" fontId="20" fillId="5" borderId="2" xfId="1" applyFont="1" applyFill="1" applyBorder="1"/>
    <xf numFmtId="0" fontId="10" fillId="5" borderId="15" xfId="1" applyFont="1" applyFill="1" applyBorder="1" applyAlignment="1">
      <alignment horizontal="center" vertical="center"/>
    </xf>
    <xf numFmtId="0" fontId="10" fillId="5" borderId="3" xfId="1" applyFont="1" applyFill="1" applyBorder="1" applyAlignment="1">
      <alignment horizontal="center" vertical="center"/>
    </xf>
    <xf numFmtId="0" fontId="10" fillId="5" borderId="2" xfId="1" applyFont="1" applyFill="1" applyBorder="1"/>
    <xf numFmtId="0" fontId="3" fillId="5" borderId="15" xfId="1" applyFill="1" applyBorder="1" applyAlignment="1">
      <alignment horizontal="center" vertical="center"/>
    </xf>
    <xf numFmtId="0" fontId="3" fillId="5" borderId="3" xfId="1" applyFill="1" applyBorder="1" applyAlignment="1">
      <alignment horizontal="center" vertical="center"/>
    </xf>
    <xf numFmtId="0" fontId="3" fillId="0" borderId="0" xfId="1" applyAlignment="1">
      <alignment horizontal="center" vertical="center"/>
    </xf>
    <xf numFmtId="0" fontId="10" fillId="5" borderId="37" xfId="1" applyFont="1" applyFill="1" applyBorder="1"/>
    <xf numFmtId="0" fontId="3" fillId="5" borderId="0" xfId="1" applyFill="1" applyAlignment="1">
      <alignment horizontal="center" vertical="center"/>
    </xf>
    <xf numFmtId="0" fontId="3" fillId="5" borderId="26" xfId="1" applyFill="1" applyBorder="1" applyAlignment="1">
      <alignment horizontal="center" vertical="center"/>
    </xf>
    <xf numFmtId="0" fontId="10" fillId="5" borderId="38" xfId="1" applyFont="1" applyFill="1" applyBorder="1"/>
    <xf numFmtId="0" fontId="3" fillId="5" borderId="28" xfId="1" applyFill="1" applyBorder="1" applyAlignment="1">
      <alignment horizontal="center" vertical="center"/>
    </xf>
    <xf numFmtId="0" fontId="3" fillId="5" borderId="29" xfId="1" applyFill="1" applyBorder="1" applyAlignment="1">
      <alignment horizontal="center" vertical="center"/>
    </xf>
    <xf numFmtId="0" fontId="3" fillId="5" borderId="4" xfId="1" applyFill="1" applyBorder="1" applyAlignment="1">
      <alignment horizontal="center" vertical="center"/>
    </xf>
    <xf numFmtId="0" fontId="3" fillId="5" borderId="38" xfId="1" applyFill="1" applyBorder="1" applyAlignment="1">
      <alignment horizontal="center" vertical="center"/>
    </xf>
    <xf numFmtId="0" fontId="10" fillId="5" borderId="4" xfId="1" applyFont="1" applyFill="1" applyBorder="1"/>
    <xf numFmtId="0" fontId="3" fillId="5" borderId="31" xfId="1" applyFill="1" applyBorder="1" applyAlignment="1">
      <alignment horizontal="center" vertical="center"/>
    </xf>
    <xf numFmtId="11" fontId="3" fillId="5" borderId="28" xfId="1" applyNumberFormat="1" applyFill="1" applyBorder="1" applyAlignment="1">
      <alignment horizontal="center" vertical="center"/>
    </xf>
    <xf numFmtId="0" fontId="3" fillId="5" borderId="40" xfId="1" applyFill="1" applyBorder="1" applyAlignment="1">
      <alignment horizontal="center" vertical="center"/>
    </xf>
    <xf numFmtId="0" fontId="0" fillId="6" borderId="0" xfId="0" applyFill="1"/>
    <xf numFmtId="0" fontId="24" fillId="0" borderId="0" xfId="0" applyFont="1" applyAlignment="1">
      <alignment vertical="center"/>
    </xf>
    <xf numFmtId="0" fontId="24" fillId="0" borderId="0" xfId="0" applyFont="1"/>
    <xf numFmtId="0" fontId="0" fillId="7" borderId="0" xfId="0" applyFill="1"/>
    <xf numFmtId="0" fontId="13" fillId="7" borderId="0" xfId="0" applyFont="1" applyFill="1" applyAlignment="1">
      <alignment horizontal="center" wrapText="1"/>
    </xf>
    <xf numFmtId="0" fontId="0" fillId="7" borderId="0" xfId="0" applyFill="1" applyAlignment="1">
      <alignment horizontal="left" vertical="center"/>
    </xf>
    <xf numFmtId="0" fontId="8" fillId="7" borderId="0" xfId="0" applyFont="1" applyFill="1" applyAlignment="1">
      <alignment horizontal="center" vertical="center" wrapText="1"/>
    </xf>
    <xf numFmtId="0" fontId="15" fillId="7" borderId="0" xfId="0" applyFont="1" applyFill="1" applyAlignment="1">
      <alignment horizontal="center" vertical="center" wrapText="1"/>
    </xf>
    <xf numFmtId="0" fontId="16" fillId="8" borderId="0" xfId="0" applyFont="1" applyFill="1"/>
    <xf numFmtId="0" fontId="0" fillId="8" borderId="0" xfId="0" applyFill="1"/>
    <xf numFmtId="0" fontId="4" fillId="8" borderId="1" xfId="0" applyFont="1" applyFill="1" applyBorder="1" applyAlignment="1">
      <alignment horizontal="center" vertical="center" wrapText="1"/>
    </xf>
    <xf numFmtId="0" fontId="4" fillId="8" borderId="39" xfId="0" applyFont="1" applyFill="1" applyBorder="1" applyAlignment="1">
      <alignment horizontal="center" vertical="center" wrapText="1"/>
    </xf>
    <xf numFmtId="0" fontId="10" fillId="8" borderId="36" xfId="0" applyFont="1" applyFill="1" applyBorder="1" applyAlignment="1">
      <alignment horizontal="left" vertical="center"/>
    </xf>
    <xf numFmtId="0" fontId="10" fillId="8" borderId="4" xfId="0" applyFont="1" applyFill="1" applyBorder="1" applyAlignment="1">
      <alignment horizontal="left" vertical="center"/>
    </xf>
    <xf numFmtId="0" fontId="10" fillId="8" borderId="23" xfId="0" applyFont="1" applyFill="1" applyBorder="1" applyAlignment="1">
      <alignment horizontal="left" vertical="center"/>
    </xf>
    <xf numFmtId="0" fontId="10" fillId="8" borderId="32" xfId="0" applyFont="1" applyFill="1" applyBorder="1" applyAlignment="1">
      <alignment horizontal="left" vertical="center"/>
    </xf>
    <xf numFmtId="0" fontId="10" fillId="8" borderId="31" xfId="0" applyFont="1" applyFill="1" applyBorder="1" applyAlignment="1">
      <alignment horizontal="left" vertical="center"/>
    </xf>
    <xf numFmtId="0" fontId="10" fillId="8" borderId="30" xfId="0" applyFont="1" applyFill="1" applyBorder="1" applyAlignment="1">
      <alignment horizontal="left" vertical="center" wrapText="1"/>
    </xf>
    <xf numFmtId="0" fontId="10" fillId="8" borderId="0" xfId="0" applyFont="1" applyFill="1" applyAlignment="1">
      <alignment horizontal="left" vertical="center"/>
    </xf>
    <xf numFmtId="0" fontId="4" fillId="8" borderId="5" xfId="0" applyFont="1" applyFill="1" applyBorder="1" applyAlignment="1">
      <alignment vertical="top" wrapText="1"/>
    </xf>
    <xf numFmtId="0" fontId="25" fillId="7" borderId="0" xfId="0" applyFont="1" applyFill="1" applyAlignment="1">
      <alignment horizontal="center" vertical="center"/>
    </xf>
    <xf numFmtId="0" fontId="26" fillId="7" borderId="0" xfId="0" applyFont="1" applyFill="1"/>
    <xf numFmtId="0" fontId="26" fillId="0" borderId="0" xfId="0" applyFont="1" applyAlignment="1">
      <alignment horizontal="center" vertical="center"/>
    </xf>
    <xf numFmtId="0" fontId="26" fillId="0" borderId="0" xfId="0" applyFont="1"/>
    <xf numFmtId="0" fontId="25" fillId="8" borderId="4" xfId="0" applyFont="1" applyFill="1" applyBorder="1" applyAlignment="1">
      <alignment horizontal="center" vertical="center"/>
    </xf>
    <xf numFmtId="0" fontId="26" fillId="0" borderId="0" xfId="0" applyFont="1" applyAlignment="1">
      <alignment horizontal="center" vertical="center" wrapText="1"/>
    </xf>
    <xf numFmtId="0" fontId="7" fillId="0" borderId="46" xfId="0" applyFont="1" applyBorder="1" applyAlignment="1">
      <alignment horizontal="center" vertical="center"/>
    </xf>
    <xf numFmtId="0" fontId="25" fillId="0" borderId="0" xfId="0" applyFont="1"/>
    <xf numFmtId="0" fontId="26" fillId="7" borderId="0" xfId="0" applyFont="1" applyFill="1" applyAlignment="1">
      <alignment horizontal="left" vertical="top"/>
    </xf>
    <xf numFmtId="0" fontId="21" fillId="0" borderId="10" xfId="0" applyFont="1" applyBorder="1" applyAlignment="1">
      <alignment horizontal="center" vertical="center"/>
    </xf>
    <xf numFmtId="0" fontId="21" fillId="0" borderId="12" xfId="0" applyFont="1" applyBorder="1" applyAlignment="1">
      <alignment horizontal="center" vertical="center"/>
    </xf>
    <xf numFmtId="0" fontId="22" fillId="9" borderId="21" xfId="0" applyFont="1" applyFill="1" applyBorder="1" applyAlignment="1">
      <alignment horizontal="center" vertical="center"/>
    </xf>
    <xf numFmtId="0" fontId="22" fillId="9" borderId="43" xfId="0" applyFont="1" applyFill="1" applyBorder="1" applyAlignment="1">
      <alignment horizontal="center" vertical="center"/>
    </xf>
    <xf numFmtId="0" fontId="24" fillId="0" borderId="14" xfId="0" applyFont="1" applyBorder="1"/>
    <xf numFmtId="0" fontId="21" fillId="0" borderId="44" xfId="0" applyFont="1" applyBorder="1" applyAlignment="1">
      <alignment horizontal="center" vertical="center"/>
    </xf>
    <xf numFmtId="0" fontId="25" fillId="8" borderId="17" xfId="0" applyFont="1" applyFill="1" applyBorder="1" applyAlignment="1">
      <alignment horizontal="center" vertical="center"/>
    </xf>
    <xf numFmtId="0" fontId="25" fillId="8" borderId="32" xfId="0" applyFont="1" applyFill="1" applyBorder="1" applyAlignment="1">
      <alignment horizontal="center" vertical="center"/>
    </xf>
    <xf numFmtId="0" fontId="25" fillId="8" borderId="32" xfId="0" applyFont="1" applyFill="1" applyBorder="1" applyAlignment="1">
      <alignment horizontal="center" vertical="center" wrapText="1"/>
    </xf>
    <xf numFmtId="0" fontId="25" fillId="0" borderId="33" xfId="0" applyFont="1" applyBorder="1" applyAlignment="1">
      <alignment horizontal="center" vertical="center"/>
    </xf>
    <xf numFmtId="0" fontId="0" fillId="0" borderId="0" xfId="0" applyAlignment="1">
      <alignment horizontal="center" vertical="center"/>
    </xf>
    <xf numFmtId="0" fontId="23" fillId="9" borderId="4" xfId="0" applyFont="1" applyFill="1" applyBorder="1" applyAlignment="1">
      <alignment horizontal="center" vertical="center" wrapText="1"/>
    </xf>
    <xf numFmtId="0" fontId="0" fillId="2" borderId="0" xfId="0" applyFill="1" applyAlignment="1">
      <alignment horizontal="center" vertical="center" wrapText="1"/>
    </xf>
    <xf numFmtId="0" fontId="0" fillId="2" borderId="0" xfId="0" applyFill="1"/>
    <xf numFmtId="0" fontId="23" fillId="9" borderId="41" xfId="0" applyFont="1" applyFill="1" applyBorder="1" applyAlignment="1">
      <alignment horizontal="center" vertical="center"/>
    </xf>
    <xf numFmtId="0" fontId="23" fillId="9" borderId="21" xfId="0" applyFont="1" applyFill="1" applyBorder="1" applyAlignment="1">
      <alignment horizontal="center" vertical="center"/>
    </xf>
    <xf numFmtId="0" fontId="21" fillId="0" borderId="20" xfId="0" applyFont="1" applyBorder="1" applyAlignment="1">
      <alignment horizontal="center" vertical="center" wrapText="1"/>
    </xf>
    <xf numFmtId="0" fontId="21" fillId="0" borderId="20" xfId="0" quotePrefix="1" applyFont="1" applyBorder="1" applyAlignment="1">
      <alignment horizontal="center" vertical="center" wrapText="1"/>
    </xf>
    <xf numFmtId="0" fontId="21" fillId="0" borderId="13" xfId="0" applyFont="1" applyBorder="1" applyAlignment="1">
      <alignment horizontal="center" vertical="center" wrapText="1"/>
    </xf>
    <xf numFmtId="0" fontId="21" fillId="0" borderId="13" xfId="0" quotePrefix="1" applyFont="1" applyBorder="1" applyAlignment="1">
      <alignment horizontal="center" vertical="center" wrapText="1"/>
    </xf>
    <xf numFmtId="0" fontId="11" fillId="7" borderId="0" xfId="0" applyFont="1" applyFill="1" applyAlignment="1">
      <alignment vertical="center"/>
    </xf>
    <xf numFmtId="0" fontId="25" fillId="8" borderId="4" xfId="0" applyFont="1" applyFill="1" applyBorder="1" applyAlignment="1">
      <alignment horizontal="center" vertical="center" wrapText="1"/>
    </xf>
    <xf numFmtId="0" fontId="27" fillId="9" borderId="41" xfId="0" applyFont="1" applyFill="1" applyBorder="1" applyAlignment="1">
      <alignment horizontal="center" vertical="center" wrapText="1"/>
    </xf>
    <xf numFmtId="0" fontId="27" fillId="9" borderId="21" xfId="0" applyFont="1" applyFill="1" applyBorder="1" applyAlignment="1">
      <alignment horizontal="center" vertical="center" wrapText="1"/>
    </xf>
    <xf numFmtId="0" fontId="27" fillId="9" borderId="43" xfId="0" applyFont="1" applyFill="1" applyBorder="1" applyAlignment="1">
      <alignment horizontal="center" vertical="center" wrapText="1"/>
    </xf>
    <xf numFmtId="0" fontId="24" fillId="0" borderId="13" xfId="0" applyFont="1" applyBorder="1" applyAlignment="1">
      <alignment horizontal="center"/>
    </xf>
    <xf numFmtId="0" fontId="23" fillId="0" borderId="20" xfId="0" applyFont="1" applyBorder="1"/>
    <xf numFmtId="0" fontId="21" fillId="0" borderId="6" xfId="0" applyFont="1" applyBorder="1" applyAlignment="1">
      <alignment horizontal="center" vertical="center" wrapText="1"/>
    </xf>
    <xf numFmtId="0" fontId="21" fillId="0" borderId="6" xfId="0" applyFont="1" applyBorder="1"/>
    <xf numFmtId="0" fontId="21" fillId="0" borderId="13" xfId="0" applyFont="1" applyBorder="1"/>
    <xf numFmtId="0" fontId="21" fillId="0" borderId="20" xfId="0" quotePrefix="1" applyFont="1" applyBorder="1" applyAlignment="1">
      <alignment horizontal="center" vertical="center"/>
    </xf>
    <xf numFmtId="0" fontId="24" fillId="0" borderId="12" xfId="0" applyFont="1" applyBorder="1" applyAlignment="1">
      <alignment horizontal="center" vertical="center"/>
    </xf>
    <xf numFmtId="0" fontId="21" fillId="0" borderId="44" xfId="3" applyNumberFormat="1" applyFont="1" applyFill="1" applyBorder="1" applyAlignment="1" applyProtection="1"/>
    <xf numFmtId="0" fontId="21" fillId="0" borderId="10" xfId="3" applyNumberFormat="1" applyFont="1" applyFill="1" applyBorder="1" applyAlignment="1" applyProtection="1"/>
    <xf numFmtId="0" fontId="21" fillId="0" borderId="12" xfId="3" applyNumberFormat="1" applyFont="1" applyFill="1" applyBorder="1" applyAlignment="1" applyProtection="1"/>
    <xf numFmtId="0" fontId="1" fillId="7" borderId="0" xfId="5" applyFill="1"/>
    <xf numFmtId="0" fontId="10" fillId="7" borderId="0" xfId="5" applyFont="1" applyFill="1" applyAlignment="1">
      <alignment horizontal="left" vertical="center"/>
    </xf>
    <xf numFmtId="0" fontId="1" fillId="0" borderId="0" xfId="5"/>
    <xf numFmtId="0" fontId="23" fillId="9" borderId="4" xfId="5" applyFont="1" applyFill="1" applyBorder="1" applyAlignment="1">
      <alignment horizontal="center" vertical="top" wrapText="1"/>
    </xf>
    <xf numFmtId="0" fontId="4" fillId="0" borderId="0" xfId="5" applyFont="1"/>
    <xf numFmtId="0" fontId="10" fillId="0" borderId="0" xfId="5" applyFont="1" applyAlignment="1">
      <alignment horizontal="left" vertical="center"/>
    </xf>
    <xf numFmtId="0" fontId="23" fillId="9" borderId="41" xfId="5" applyFont="1" applyFill="1" applyBorder="1" applyAlignment="1">
      <alignment horizontal="center" vertical="center"/>
    </xf>
    <xf numFmtId="0" fontId="23" fillId="9" borderId="21" xfId="5" applyFont="1" applyFill="1" applyBorder="1" applyAlignment="1">
      <alignment horizontal="center" vertical="center"/>
    </xf>
    <xf numFmtId="0" fontId="23" fillId="9" borderId="21" xfId="5" applyFont="1" applyFill="1" applyBorder="1" applyAlignment="1">
      <alignment horizontal="center" vertical="center" wrapText="1"/>
    </xf>
    <xf numFmtId="0" fontId="23" fillId="9" borderId="43" xfId="5" applyFont="1" applyFill="1" applyBorder="1" applyAlignment="1">
      <alignment horizontal="center" vertical="center" wrapText="1"/>
    </xf>
    <xf numFmtId="0" fontId="4" fillId="0" borderId="0" xfId="5" applyFont="1" applyAlignment="1">
      <alignment horizontal="left" vertical="center" wrapText="1"/>
    </xf>
    <xf numFmtId="0" fontId="24" fillId="0" borderId="44" xfId="5" applyFont="1" applyBorder="1" applyAlignment="1">
      <alignment vertical="center"/>
    </xf>
    <xf numFmtId="0" fontId="24" fillId="0" borderId="20" xfId="5" applyFont="1" applyBorder="1"/>
    <xf numFmtId="0" fontId="24" fillId="0" borderId="20" xfId="5" applyFont="1" applyBorder="1" applyAlignment="1">
      <alignment wrapText="1"/>
    </xf>
    <xf numFmtId="0" fontId="24" fillId="0" borderId="45" xfId="5" applyFont="1" applyBorder="1"/>
    <xf numFmtId="0" fontId="24" fillId="0" borderId="6" xfId="5" applyFont="1" applyBorder="1" applyAlignment="1">
      <alignment vertical="center"/>
    </xf>
    <xf numFmtId="0" fontId="24" fillId="0" borderId="6" xfId="5" applyFont="1" applyBorder="1" applyAlignment="1">
      <alignment wrapText="1"/>
    </xf>
    <xf numFmtId="0" fontId="24" fillId="0" borderId="10" xfId="5" applyFont="1" applyBorder="1" applyAlignment="1">
      <alignment vertical="center"/>
    </xf>
    <xf numFmtId="0" fontId="24" fillId="0" borderId="6" xfId="5" applyFont="1" applyBorder="1"/>
    <xf numFmtId="0" fontId="24" fillId="0" borderId="11" xfId="5" applyFont="1" applyBorder="1"/>
    <xf numFmtId="0" fontId="24" fillId="0" borderId="6" xfId="5" applyFont="1" applyBorder="1" applyAlignment="1">
      <alignment vertical="center" wrapText="1"/>
    </xf>
    <xf numFmtId="0" fontId="24" fillId="0" borderId="6" xfId="5" applyFont="1" applyBorder="1" applyAlignment="1">
      <alignment horizontal="left" vertical="center"/>
    </xf>
    <xf numFmtId="0" fontId="10" fillId="6" borderId="0" xfId="5" applyFont="1" applyFill="1" applyAlignment="1">
      <alignment horizontal="left" vertical="center"/>
    </xf>
    <xf numFmtId="0" fontId="24" fillId="0" borderId="12" xfId="5" applyFont="1" applyBorder="1" applyAlignment="1">
      <alignment vertical="center"/>
    </xf>
    <xf numFmtId="0" fontId="24" fillId="0" borderId="13" xfId="5" applyFont="1" applyBorder="1" applyAlignment="1">
      <alignment horizontal="left" vertical="center"/>
    </xf>
    <xf numFmtId="0" fontId="24" fillId="0" borderId="13" xfId="5" applyFont="1" applyBorder="1" applyAlignment="1">
      <alignment wrapText="1"/>
    </xf>
    <xf numFmtId="0" fontId="24" fillId="0" borderId="13" xfId="5" applyFont="1" applyBorder="1"/>
    <xf numFmtId="0" fontId="24" fillId="0" borderId="14" xfId="5" applyFont="1" applyBorder="1"/>
    <xf numFmtId="0" fontId="1" fillId="0" borderId="0" xfId="5" applyAlignment="1">
      <alignment horizontal="left" vertical="center"/>
    </xf>
    <xf numFmtId="0" fontId="24" fillId="0" borderId="10" xfId="5" applyFont="1" applyBorder="1"/>
    <xf numFmtId="0" fontId="24" fillId="0" borderId="11" xfId="5" applyFont="1" applyBorder="1" applyAlignment="1">
      <alignment vertical="center"/>
    </xf>
    <xf numFmtId="0" fontId="1" fillId="0" borderId="0" xfId="5" applyAlignment="1">
      <alignment vertical="center"/>
    </xf>
    <xf numFmtId="0" fontId="24" fillId="0" borderId="10" xfId="5" applyFont="1" applyBorder="1" applyAlignment="1">
      <alignment vertical="center" wrapText="1"/>
    </xf>
    <xf numFmtId="0" fontId="24" fillId="0" borderId="11" xfId="5" applyFont="1" applyBorder="1" applyAlignment="1">
      <alignment vertical="center" wrapText="1"/>
    </xf>
    <xf numFmtId="0" fontId="24" fillId="0" borderId="13" xfId="5" applyFont="1" applyBorder="1" applyAlignment="1">
      <alignment vertical="center"/>
    </xf>
    <xf numFmtId="0" fontId="24" fillId="0" borderId="13" xfId="5" applyFont="1" applyBorder="1" applyAlignment="1">
      <alignment vertical="center" wrapText="1"/>
    </xf>
    <xf numFmtId="0" fontId="24" fillId="0" borderId="14" xfId="5" applyFont="1" applyBorder="1" applyAlignment="1">
      <alignment vertical="center"/>
    </xf>
    <xf numFmtId="0" fontId="21" fillId="0" borderId="20" xfId="5" applyFont="1" applyBorder="1" applyAlignment="1">
      <alignment vertical="center"/>
    </xf>
    <xf numFmtId="0" fontId="23" fillId="0" borderId="20" xfId="5" applyFont="1" applyBorder="1" applyAlignment="1">
      <alignment horizontal="center" vertical="center" wrapText="1"/>
    </xf>
    <xf numFmtId="0" fontId="23" fillId="0" borderId="45" xfId="5" applyFont="1" applyBorder="1" applyAlignment="1">
      <alignment horizontal="center" vertical="center" wrapText="1"/>
    </xf>
    <xf numFmtId="0" fontId="23" fillId="9" borderId="2" xfId="5" applyFont="1" applyFill="1" applyBorder="1" applyAlignment="1">
      <alignment horizontal="center" vertical="top" wrapText="1"/>
    </xf>
    <xf numFmtId="0" fontId="10" fillId="0" borderId="0" xfId="5" applyFont="1"/>
    <xf numFmtId="0" fontId="23" fillId="9" borderId="42" xfId="5" applyFont="1" applyFill="1" applyBorder="1" applyAlignment="1">
      <alignment horizontal="center" vertical="center"/>
    </xf>
    <xf numFmtId="0" fontId="22" fillId="9" borderId="43" xfId="5" applyFont="1" applyFill="1" applyBorder="1"/>
    <xf numFmtId="0" fontId="4" fillId="0" borderId="0" xfId="5" applyFont="1" applyAlignment="1">
      <alignment horizontal="center" vertical="center" wrapText="1"/>
    </xf>
    <xf numFmtId="0" fontId="24" fillId="0" borderId="20" xfId="5" applyFont="1" applyBorder="1" applyAlignment="1">
      <alignment horizontal="left"/>
    </xf>
    <xf numFmtId="0" fontId="24" fillId="0" borderId="6" xfId="5" applyFont="1" applyBorder="1" applyAlignment="1">
      <alignment horizontal="left"/>
    </xf>
    <xf numFmtId="0" fontId="24" fillId="0" borderId="13" xfId="5" applyFont="1" applyBorder="1" applyAlignment="1">
      <alignment horizontal="left"/>
    </xf>
    <xf numFmtId="0" fontId="1" fillId="6" borderId="20" xfId="5" applyFill="1" applyBorder="1"/>
    <xf numFmtId="0" fontId="1" fillId="6" borderId="6" xfId="5" applyFill="1" applyBorder="1"/>
    <xf numFmtId="0" fontId="1" fillId="6" borderId="0" xfId="5" applyFill="1"/>
    <xf numFmtId="0" fontId="24" fillId="0" borderId="0" xfId="5" applyFont="1"/>
    <xf numFmtId="0" fontId="22" fillId="9" borderId="4" xfId="5" applyFont="1" applyFill="1" applyBorder="1"/>
    <xf numFmtId="0" fontId="22" fillId="9" borderId="41" xfId="5" applyFont="1" applyFill="1" applyBorder="1" applyAlignment="1">
      <alignment horizontal="center"/>
    </xf>
    <xf numFmtId="0" fontId="22" fillId="9" borderId="21" xfId="5" applyFont="1" applyFill="1" applyBorder="1" applyAlignment="1">
      <alignment horizontal="center" vertical="top" wrapText="1"/>
    </xf>
    <xf numFmtId="0" fontId="22" fillId="9" borderId="21" xfId="5" applyFont="1" applyFill="1" applyBorder="1" applyAlignment="1">
      <alignment horizontal="center" vertical="center" wrapText="1"/>
    </xf>
    <xf numFmtId="0" fontId="22" fillId="9" borderId="43" xfId="5" applyFont="1" applyFill="1" applyBorder="1" applyAlignment="1">
      <alignment horizontal="center" vertical="top" wrapText="1"/>
    </xf>
    <xf numFmtId="0" fontId="24" fillId="0" borderId="44" xfId="5" applyFont="1" applyBorder="1" applyAlignment="1">
      <alignment horizontal="center"/>
    </xf>
    <xf numFmtId="0" fontId="24" fillId="0" borderId="20" xfId="5" applyFont="1" applyBorder="1" applyAlignment="1">
      <alignment horizontal="center"/>
    </xf>
    <xf numFmtId="0" fontId="24" fillId="0" borderId="10" xfId="5" applyFont="1" applyBorder="1" applyAlignment="1">
      <alignment horizontal="center"/>
    </xf>
    <xf numFmtId="0" fontId="24" fillId="0" borderId="6" xfId="5" applyFont="1" applyBorder="1" applyAlignment="1">
      <alignment horizontal="center"/>
    </xf>
    <xf numFmtId="0" fontId="24" fillId="0" borderId="12" xfId="5" applyFont="1" applyBorder="1" applyAlignment="1">
      <alignment horizontal="center"/>
    </xf>
    <xf numFmtId="0" fontId="24" fillId="0" borderId="13" xfId="5" applyFont="1" applyBorder="1" applyAlignment="1">
      <alignment horizontal="center"/>
    </xf>
    <xf numFmtId="0" fontId="24" fillId="0" borderId="20" xfId="5" applyFont="1" applyBorder="1" applyAlignment="1">
      <alignment horizontal="center" vertical="top" wrapText="1"/>
    </xf>
    <xf numFmtId="11" fontId="24" fillId="0" borderId="20" xfId="5" applyNumberFormat="1" applyFont="1" applyBorder="1" applyAlignment="1">
      <alignment horizontal="center"/>
    </xf>
    <xf numFmtId="0" fontId="24" fillId="0" borderId="20" xfId="5" applyFont="1" applyBorder="1" applyAlignment="1">
      <alignment horizontal="center" vertical="center" wrapText="1"/>
    </xf>
    <xf numFmtId="0" fontId="24" fillId="0" borderId="45" xfId="5" applyFont="1" applyBorder="1" applyAlignment="1">
      <alignment horizontal="center" vertical="top" wrapText="1"/>
    </xf>
    <xf numFmtId="0" fontId="24" fillId="0" borderId="6" xfId="5" applyFont="1" applyBorder="1" applyAlignment="1">
      <alignment horizontal="center" vertical="top" wrapText="1"/>
    </xf>
    <xf numFmtId="11" fontId="24" fillId="0" borderId="6" xfId="5" applyNumberFormat="1" applyFont="1" applyBorder="1" applyAlignment="1">
      <alignment horizontal="center"/>
    </xf>
    <xf numFmtId="0" fontId="24" fillId="0" borderId="6" xfId="5" applyFont="1" applyBorder="1" applyAlignment="1">
      <alignment horizontal="center" vertical="center" wrapText="1"/>
    </xf>
    <xf numFmtId="0" fontId="24" fillId="0" borderId="11" xfId="5" applyFont="1" applyBorder="1" applyAlignment="1">
      <alignment horizontal="center" vertical="top" wrapText="1"/>
    </xf>
    <xf numFmtId="0" fontId="21" fillId="0" borderId="10" xfId="5" applyFont="1" applyBorder="1" applyAlignment="1">
      <alignment horizontal="center"/>
    </xf>
    <xf numFmtId="0" fontId="21" fillId="0" borderId="6" xfId="5" applyFont="1" applyBorder="1" applyAlignment="1">
      <alignment horizontal="center"/>
    </xf>
    <xf numFmtId="0" fontId="21" fillId="0" borderId="6" xfId="5" applyFont="1" applyBorder="1" applyAlignment="1">
      <alignment horizontal="center" vertical="center"/>
    </xf>
    <xf numFmtId="0" fontId="21" fillId="0" borderId="6" xfId="5" applyFont="1" applyBorder="1"/>
    <xf numFmtId="0" fontId="21" fillId="0" borderId="11" xfId="5" applyFont="1" applyBorder="1"/>
    <xf numFmtId="0" fontId="21" fillId="0" borderId="0" xfId="5" applyFont="1"/>
    <xf numFmtId="0" fontId="21" fillId="0" borderId="10" xfId="5" applyFont="1" applyBorder="1" applyAlignment="1">
      <alignment horizontal="center" vertical="center" wrapText="1"/>
    </xf>
    <xf numFmtId="0" fontId="21" fillId="0" borderId="6" xfId="5" applyFont="1" applyBorder="1" applyAlignment="1">
      <alignment horizontal="center" vertical="center" wrapText="1"/>
    </xf>
    <xf numFmtId="168" fontId="21" fillId="0" borderId="6" xfId="5" applyNumberFormat="1" applyFont="1" applyBorder="1" applyAlignment="1">
      <alignment horizontal="center" vertical="center" wrapText="1"/>
    </xf>
    <xf numFmtId="0" fontId="21" fillId="0" borderId="6" xfId="6" applyFont="1" applyBorder="1"/>
    <xf numFmtId="0" fontId="21" fillId="0" borderId="6" xfId="6" applyFont="1" applyBorder="1" applyAlignment="1">
      <alignment horizontal="center" vertical="center"/>
    </xf>
    <xf numFmtId="0" fontId="21" fillId="0" borderId="11" xfId="6" applyFont="1" applyBorder="1"/>
    <xf numFmtId="0" fontId="21" fillId="0" borderId="0" xfId="6" applyFont="1"/>
    <xf numFmtId="0" fontId="1" fillId="0" borderId="0" xfId="6"/>
    <xf numFmtId="0" fontId="21" fillId="0" borderId="12" xfId="5" applyFont="1" applyBorder="1" applyAlignment="1">
      <alignment horizontal="center" vertical="center" wrapText="1"/>
    </xf>
    <xf numFmtId="0" fontId="21" fillId="0" borderId="13" xfId="5" applyFont="1" applyBorder="1" applyAlignment="1">
      <alignment horizontal="center" vertical="center" wrapText="1"/>
    </xf>
    <xf numFmtId="168" fontId="21" fillId="0" borderId="13" xfId="5" applyNumberFormat="1" applyFont="1" applyBorder="1" applyAlignment="1">
      <alignment horizontal="center" vertical="center" wrapText="1"/>
    </xf>
    <xf numFmtId="0" fontId="21" fillId="0" borderId="13" xfId="6" applyFont="1" applyBorder="1"/>
    <xf numFmtId="0" fontId="21" fillId="0" borderId="13" xfId="6" applyFont="1" applyBorder="1" applyAlignment="1">
      <alignment horizontal="center" vertical="center"/>
    </xf>
    <xf numFmtId="0" fontId="21" fillId="0" borderId="14" xfId="6" applyFont="1" applyBorder="1"/>
    <xf numFmtId="0" fontId="24" fillId="0" borderId="0" xfId="5" applyFont="1" applyAlignment="1">
      <alignment horizontal="center"/>
    </xf>
    <xf numFmtId="0" fontId="21" fillId="0" borderId="20" xfId="5" applyFont="1" applyBorder="1" applyAlignment="1">
      <alignment horizontal="center"/>
    </xf>
    <xf numFmtId="0" fontId="22" fillId="0" borderId="20" xfId="5" applyFont="1" applyBorder="1" applyAlignment="1">
      <alignment horizontal="center" vertical="center" wrapText="1"/>
    </xf>
    <xf numFmtId="0" fontId="22" fillId="0" borderId="20" xfId="5" applyFont="1" applyBorder="1" applyAlignment="1">
      <alignment horizontal="center" vertical="top" wrapText="1"/>
    </xf>
    <xf numFmtId="0" fontId="22" fillId="0" borderId="6" xfId="5" applyFont="1" applyBorder="1" applyAlignment="1">
      <alignment horizontal="center" vertical="center" wrapText="1"/>
    </xf>
    <xf numFmtId="0" fontId="22" fillId="0" borderId="6" xfId="5" applyFont="1" applyBorder="1" applyAlignment="1">
      <alignment horizontal="center" vertical="top" wrapText="1"/>
    </xf>
    <xf numFmtId="0" fontId="21" fillId="0" borderId="44" xfId="5" applyFont="1" applyBorder="1" applyAlignment="1">
      <alignment horizontal="center" vertical="center"/>
    </xf>
    <xf numFmtId="0" fontId="21" fillId="0" borderId="20" xfId="5" applyFont="1" applyBorder="1" applyAlignment="1">
      <alignment horizontal="center" vertical="center"/>
    </xf>
    <xf numFmtId="0" fontId="21" fillId="0" borderId="45" xfId="5" applyFont="1" applyBorder="1"/>
    <xf numFmtId="0" fontId="21" fillId="0" borderId="10" xfId="5" applyFont="1" applyBorder="1" applyAlignment="1">
      <alignment horizontal="center" vertical="center"/>
    </xf>
    <xf numFmtId="0" fontId="21" fillId="0" borderId="12" xfId="5" applyFont="1" applyBorder="1" applyAlignment="1">
      <alignment horizontal="center" vertical="center"/>
    </xf>
    <xf numFmtId="0" fontId="21" fillId="0" borderId="13" xfId="5" applyFont="1" applyBorder="1" applyAlignment="1">
      <alignment horizontal="center" vertical="center"/>
    </xf>
    <xf numFmtId="0" fontId="21" fillId="0" borderId="13" xfId="5" applyFont="1" applyBorder="1" applyAlignment="1">
      <alignment horizontal="center"/>
    </xf>
    <xf numFmtId="0" fontId="21" fillId="0" borderId="14" xfId="5" applyFont="1" applyBorder="1"/>
    <xf numFmtId="0" fontId="21" fillId="0" borderId="0" xfId="5" applyFont="1" applyAlignment="1">
      <alignment horizontal="left" vertical="center"/>
    </xf>
    <xf numFmtId="0" fontId="24" fillId="0" borderId="34" xfId="5" applyFont="1" applyBorder="1" applyAlignment="1">
      <alignment horizontal="center"/>
    </xf>
    <xf numFmtId="0" fontId="24" fillId="0" borderId="42" xfId="5" applyFont="1" applyBorder="1" applyAlignment="1">
      <alignment horizontal="center"/>
    </xf>
    <xf numFmtId="0" fontId="24" fillId="0" borderId="35" xfId="5" applyFont="1" applyBorder="1"/>
    <xf numFmtId="0" fontId="22" fillId="9" borderId="21" xfId="5" applyFont="1" applyFill="1" applyBorder="1" applyAlignment="1">
      <alignment horizontal="center" wrapText="1"/>
    </xf>
    <xf numFmtId="0" fontId="24" fillId="0" borderId="44" xfId="7" applyFont="1" applyBorder="1" applyAlignment="1">
      <alignment horizontal="center"/>
    </xf>
    <xf numFmtId="0" fontId="24" fillId="0" borderId="20" xfId="7" applyFont="1" applyBorder="1" applyAlignment="1">
      <alignment horizontal="center"/>
    </xf>
    <xf numFmtId="0" fontId="22" fillId="0" borderId="20" xfId="5" applyFont="1" applyBorder="1" applyAlignment="1">
      <alignment horizontal="center"/>
    </xf>
    <xf numFmtId="0" fontId="24" fillId="0" borderId="20" xfId="5" applyFont="1" applyBorder="1" applyAlignment="1">
      <alignment horizontal="center" wrapText="1"/>
    </xf>
    <xf numFmtId="0" fontId="23" fillId="0" borderId="45" xfId="5" applyFont="1" applyBorder="1" applyAlignment="1">
      <alignment horizontal="center" vertical="center"/>
    </xf>
    <xf numFmtId="0" fontId="4" fillId="0" borderId="0" xfId="5" applyFont="1" applyAlignment="1">
      <alignment horizontal="center" vertical="center"/>
    </xf>
    <xf numFmtId="0" fontId="24" fillId="0" borderId="10" xfId="7" applyFont="1" applyBorder="1" applyAlignment="1">
      <alignment horizontal="center"/>
    </xf>
    <xf numFmtId="0" fontId="24" fillId="0" borderId="6" xfId="7" applyFont="1" applyBorder="1" applyAlignment="1">
      <alignment horizontal="center"/>
    </xf>
    <xf numFmtId="0" fontId="22" fillId="0" borderId="6" xfId="5" applyFont="1" applyBorder="1" applyAlignment="1">
      <alignment horizontal="center"/>
    </xf>
    <xf numFmtId="0" fontId="24" fillId="0" borderId="6" xfId="5" applyFont="1" applyBorder="1" applyAlignment="1">
      <alignment horizontal="center" wrapText="1"/>
    </xf>
    <xf numFmtId="0" fontId="23" fillId="0" borderId="11" xfId="5" applyFont="1" applyBorder="1" applyAlignment="1">
      <alignment horizontal="center" vertical="center"/>
    </xf>
    <xf numFmtId="166" fontId="24" fillId="0" borderId="6" xfId="5" applyNumberFormat="1" applyFont="1" applyBorder="1" applyAlignment="1">
      <alignment horizontal="center"/>
    </xf>
    <xf numFmtId="167" fontId="24" fillId="0" borderId="6" xfId="5" applyNumberFormat="1" applyFont="1" applyBorder="1" applyAlignment="1">
      <alignment horizontal="center"/>
    </xf>
    <xf numFmtId="0" fontId="29" fillId="0" borderId="10" xfId="5" applyFont="1" applyBorder="1" applyAlignment="1">
      <alignment horizontal="center"/>
    </xf>
    <xf numFmtId="0" fontId="24" fillId="0" borderId="13" xfId="5" applyFont="1" applyBorder="1" applyAlignment="1">
      <alignment horizontal="center" wrapText="1"/>
    </xf>
    <xf numFmtId="0" fontId="24" fillId="0" borderId="23" xfId="5" applyFont="1" applyBorder="1" applyAlignment="1">
      <alignment horizontal="center"/>
    </xf>
    <xf numFmtId="0" fontId="24" fillId="0" borderId="47" xfId="5" applyFont="1" applyBorder="1" applyAlignment="1">
      <alignment horizontal="center" wrapText="1"/>
    </xf>
    <xf numFmtId="0" fontId="24" fillId="0" borderId="23" xfId="5" applyFont="1" applyBorder="1"/>
    <xf numFmtId="0" fontId="1" fillId="0" borderId="26" xfId="5" applyBorder="1"/>
    <xf numFmtId="0" fontId="1" fillId="0" borderId="25" xfId="5" applyBorder="1"/>
    <xf numFmtId="0" fontId="24" fillId="0" borderId="10" xfId="5" applyFont="1" applyBorder="1" applyAlignment="1">
      <alignment horizontal="center" vertical="center"/>
    </xf>
    <xf numFmtId="0" fontId="24" fillId="0" borderId="6" xfId="5" applyFont="1" applyBorder="1" applyAlignment="1">
      <alignment horizontal="center" vertical="center"/>
    </xf>
    <xf numFmtId="0" fontId="24" fillId="0" borderId="11" xfId="5" applyFont="1" applyBorder="1" applyAlignment="1">
      <alignment horizontal="center" vertical="center"/>
    </xf>
    <xf numFmtId="0" fontId="1" fillId="0" borderId="0" xfId="5" applyAlignment="1">
      <alignment horizontal="center" vertical="center"/>
    </xf>
    <xf numFmtId="0" fontId="24" fillId="0" borderId="13" xfId="5" applyFont="1" applyBorder="1" applyAlignment="1">
      <alignment horizontal="center" vertical="top" wrapText="1"/>
    </xf>
    <xf numFmtId="0" fontId="24" fillId="0" borderId="14" xfId="5" applyFont="1" applyBorder="1" applyAlignment="1">
      <alignment horizontal="center" vertical="top" wrapText="1"/>
    </xf>
    <xf numFmtId="0" fontId="24" fillId="0" borderId="0" xfId="5" applyFont="1" applyAlignment="1">
      <alignment horizontal="center" wrapText="1"/>
    </xf>
    <xf numFmtId="0" fontId="22" fillId="9" borderId="43" xfId="5" applyFont="1" applyFill="1" applyBorder="1" applyAlignment="1">
      <alignment horizontal="center" wrapText="1"/>
    </xf>
    <xf numFmtId="0" fontId="24" fillId="0" borderId="44" xfId="5" applyFont="1" applyBorder="1" applyAlignment="1">
      <alignment horizontal="center" vertical="center"/>
    </xf>
    <xf numFmtId="0" fontId="24" fillId="0" borderId="20" xfId="5" applyFont="1" applyBorder="1" applyAlignment="1">
      <alignment horizontal="left" vertical="center"/>
    </xf>
    <xf numFmtId="164" fontId="24" fillId="0" borderId="20" xfId="5" applyNumberFormat="1" applyFont="1" applyBorder="1" applyAlignment="1">
      <alignment horizontal="center" vertical="center"/>
    </xf>
    <xf numFmtId="0" fontId="24" fillId="0" borderId="10" xfId="5" applyFont="1" applyBorder="1" applyAlignment="1">
      <alignment horizontal="center" vertical="center" wrapText="1"/>
    </xf>
    <xf numFmtId="164" fontId="24" fillId="0" borderId="6" xfId="5" applyNumberFormat="1" applyFont="1" applyBorder="1" applyAlignment="1">
      <alignment horizontal="center" vertical="center"/>
    </xf>
    <xf numFmtId="0" fontId="24" fillId="0" borderId="12" xfId="5" applyFont="1" applyBorder="1" applyAlignment="1">
      <alignment horizontal="center" vertical="center"/>
    </xf>
    <xf numFmtId="164" fontId="24" fillId="0" borderId="13" xfId="5" applyNumberFormat="1" applyFont="1" applyBorder="1" applyAlignment="1">
      <alignment horizontal="center" vertical="center"/>
    </xf>
    <xf numFmtId="0" fontId="36" fillId="0" borderId="0" xfId="5" applyFont="1" applyAlignment="1">
      <alignment vertical="center"/>
    </xf>
    <xf numFmtId="0" fontId="21" fillId="0" borderId="44" xfId="5" applyFont="1" applyBorder="1" applyAlignment="1">
      <alignment horizontal="left" vertical="center"/>
    </xf>
    <xf numFmtId="0" fontId="21" fillId="0" borderId="20" xfId="5" applyFont="1" applyBorder="1" applyAlignment="1">
      <alignment horizontal="left" vertical="center"/>
    </xf>
    <xf numFmtId="165" fontId="21" fillId="0" borderId="20" xfId="5" applyNumberFormat="1" applyFont="1" applyBorder="1" applyAlignment="1">
      <alignment horizontal="center" vertical="center"/>
    </xf>
    <xf numFmtId="0" fontId="21" fillId="0" borderId="20" xfId="5" applyFont="1" applyBorder="1"/>
    <xf numFmtId="0" fontId="21" fillId="0" borderId="10" xfId="5" applyFont="1" applyBorder="1" applyAlignment="1">
      <alignment horizontal="left" vertical="center"/>
    </xf>
    <xf numFmtId="0" fontId="21" fillId="0" borderId="6" xfId="5" applyFont="1" applyBorder="1" applyAlignment="1">
      <alignment horizontal="left" vertical="center"/>
    </xf>
    <xf numFmtId="165" fontId="21" fillId="0" borderId="6" xfId="5" applyNumberFormat="1" applyFont="1" applyBorder="1" applyAlignment="1">
      <alignment horizontal="center" vertical="center"/>
    </xf>
    <xf numFmtId="0" fontId="24" fillId="0" borderId="12" xfId="5" applyFont="1" applyBorder="1" applyAlignment="1">
      <alignment horizontal="left" vertical="center"/>
    </xf>
    <xf numFmtId="0" fontId="24" fillId="0" borderId="13" xfId="5" applyFont="1" applyBorder="1" applyAlignment="1">
      <alignment horizontal="center" vertical="center"/>
    </xf>
    <xf numFmtId="0" fontId="19" fillId="0" borderId="0" xfId="8"/>
    <xf numFmtId="0" fontId="1" fillId="0" borderId="0" xfId="9"/>
    <xf numFmtId="0" fontId="22" fillId="9" borderId="4" xfId="9" applyFont="1" applyFill="1" applyBorder="1"/>
    <xf numFmtId="0" fontId="22" fillId="9" borderId="41" xfId="9" applyFont="1" applyFill="1" applyBorder="1" applyAlignment="1">
      <alignment horizontal="center"/>
    </xf>
    <xf numFmtId="0" fontId="22" fillId="9" borderId="21" xfId="9" applyFont="1" applyFill="1" applyBorder="1" applyAlignment="1">
      <alignment horizontal="center" vertical="top" wrapText="1"/>
    </xf>
    <xf numFmtId="0" fontId="22" fillId="9" borderId="21" xfId="9" applyFont="1" applyFill="1" applyBorder="1" applyAlignment="1">
      <alignment horizontal="center" vertical="center" wrapText="1"/>
    </xf>
    <xf numFmtId="0" fontId="22" fillId="9" borderId="43" xfId="9" applyFont="1" applyFill="1" applyBorder="1" applyAlignment="1">
      <alignment horizontal="center" vertical="top" wrapText="1"/>
    </xf>
    <xf numFmtId="0" fontId="21" fillId="0" borderId="44" xfId="8" applyFont="1" applyBorder="1"/>
    <xf numFmtId="0" fontId="21" fillId="0" borderId="20" xfId="8" applyFont="1" applyBorder="1"/>
    <xf numFmtId="0" fontId="21" fillId="0" borderId="20" xfId="8" applyFont="1" applyBorder="1" applyAlignment="1">
      <alignment horizontal="center"/>
    </xf>
    <xf numFmtId="0" fontId="21" fillId="0" borderId="45" xfId="8" applyFont="1" applyBorder="1"/>
    <xf numFmtId="0" fontId="21" fillId="0" borderId="12" xfId="8" applyFont="1" applyBorder="1"/>
    <xf numFmtId="0" fontId="21" fillId="0" borderId="13" xfId="8" applyFont="1" applyBorder="1"/>
    <xf numFmtId="0" fontId="21" fillId="0" borderId="14" xfId="8" applyFont="1" applyBorder="1"/>
    <xf numFmtId="0" fontId="21" fillId="0" borderId="20" xfId="0" applyFont="1" applyBorder="1"/>
    <xf numFmtId="0" fontId="21" fillId="0" borderId="45" xfId="0" applyFont="1" applyBorder="1"/>
    <xf numFmtId="0" fontId="21" fillId="0" borderId="11" xfId="0" applyFont="1" applyBorder="1"/>
    <xf numFmtId="0" fontId="21" fillId="0" borderId="14" xfId="0" applyFont="1" applyBorder="1"/>
    <xf numFmtId="0" fontId="25" fillId="8" borderId="41" xfId="0" applyFont="1" applyFill="1" applyBorder="1" applyAlignment="1">
      <alignment horizontal="center" vertical="center" wrapText="1"/>
    </xf>
    <xf numFmtId="0" fontId="25" fillId="8" borderId="21" xfId="0" applyFont="1" applyFill="1" applyBorder="1" applyAlignment="1">
      <alignment horizontal="center" vertical="center" wrapText="1"/>
    </xf>
    <xf numFmtId="0" fontId="25" fillId="8" borderId="48" xfId="0" applyFont="1" applyFill="1" applyBorder="1" applyAlignment="1">
      <alignment horizontal="center" vertical="center" wrapText="1"/>
    </xf>
    <xf numFmtId="0" fontId="25" fillId="8" borderId="43" xfId="0" applyFont="1" applyFill="1" applyBorder="1" applyAlignment="1">
      <alignment horizontal="center" vertical="center" wrapText="1"/>
    </xf>
    <xf numFmtId="0" fontId="24" fillId="0" borderId="13" xfId="0" quotePrefix="1" applyFont="1" applyBorder="1" applyAlignment="1">
      <alignment horizontal="center"/>
    </xf>
    <xf numFmtId="11" fontId="24" fillId="0" borderId="13" xfId="0" applyNumberFormat="1" applyFont="1" applyBorder="1" applyAlignment="1">
      <alignment horizontal="center"/>
    </xf>
    <xf numFmtId="0" fontId="23" fillId="2" borderId="21" xfId="0" applyFont="1" applyFill="1" applyBorder="1" applyAlignment="1">
      <alignment horizontal="center" vertical="center"/>
    </xf>
    <xf numFmtId="0" fontId="23" fillId="2" borderId="21" xfId="0" applyFont="1" applyFill="1" applyBorder="1" applyAlignment="1">
      <alignment horizontal="center" vertical="center" wrapText="1"/>
    </xf>
    <xf numFmtId="0" fontId="35" fillId="2" borderId="21" xfId="0" applyFont="1" applyFill="1" applyBorder="1" applyAlignment="1">
      <alignment horizontal="center" vertical="center"/>
    </xf>
    <xf numFmtId="0" fontId="22" fillId="0" borderId="0" xfId="0" applyFont="1" applyAlignment="1">
      <alignment horizontal="center" vertical="center"/>
    </xf>
    <xf numFmtId="0" fontId="23" fillId="9" borderId="21" xfId="0" applyFont="1" applyFill="1" applyBorder="1" applyAlignment="1">
      <alignment horizontal="center" vertical="center" wrapText="1"/>
    </xf>
    <xf numFmtId="0" fontId="23" fillId="9" borderId="43" xfId="0" applyFont="1" applyFill="1" applyBorder="1" applyAlignment="1">
      <alignment horizontal="center" vertical="center" wrapText="1"/>
    </xf>
    <xf numFmtId="0" fontId="21" fillId="0" borderId="34" xfId="0" applyFont="1" applyBorder="1" applyAlignment="1">
      <alignment vertical="center"/>
    </xf>
    <xf numFmtId="0" fontId="21" fillId="0" borderId="42" xfId="0" applyFont="1" applyBorder="1"/>
    <xf numFmtId="0" fontId="21" fillId="0" borderId="35" xfId="0" applyFont="1" applyBorder="1"/>
    <xf numFmtId="0" fontId="26" fillId="7" borderId="0" xfId="0" applyFont="1" applyFill="1" applyAlignment="1">
      <alignment horizontal="center" vertical="center"/>
    </xf>
    <xf numFmtId="0" fontId="26" fillId="0" borderId="0" xfId="0" applyFont="1" applyAlignment="1">
      <alignment horizontal="center"/>
    </xf>
    <xf numFmtId="0" fontId="26" fillId="0" borderId="0" xfId="0" applyFont="1" applyAlignment="1">
      <alignment horizontal="left"/>
    </xf>
    <xf numFmtId="0" fontId="16" fillId="0" borderId="0" xfId="0" applyFont="1"/>
    <xf numFmtId="0" fontId="0" fillId="0" borderId="0" xfId="0" quotePrefix="1" applyAlignment="1">
      <alignment horizontal="right"/>
    </xf>
    <xf numFmtId="0" fontId="17" fillId="0" borderId="0" xfId="0" quotePrefix="1" applyFont="1"/>
    <xf numFmtId="0" fontId="0" fillId="0" borderId="16" xfId="0" applyBorder="1"/>
    <xf numFmtId="0" fontId="0" fillId="0" borderId="18" xfId="0" applyBorder="1"/>
    <xf numFmtId="0" fontId="0" fillId="10" borderId="7" xfId="0" applyFill="1" applyBorder="1"/>
    <xf numFmtId="0" fontId="0" fillId="10" borderId="8" xfId="0" applyFill="1" applyBorder="1"/>
    <xf numFmtId="2" fontId="0" fillId="10" borderId="9" xfId="0" applyNumberFormat="1" applyFill="1" applyBorder="1"/>
    <xf numFmtId="0" fontId="0" fillId="0" borderId="19" xfId="0" applyBorder="1"/>
    <xf numFmtId="0" fontId="0" fillId="10" borderId="10" xfId="0" applyFill="1" applyBorder="1"/>
    <xf numFmtId="0" fontId="0" fillId="10" borderId="6" xfId="0" applyFill="1" applyBorder="1"/>
    <xf numFmtId="2" fontId="0" fillId="10" borderId="11" xfId="0" applyNumberFormat="1" applyFill="1" applyBorder="1"/>
    <xf numFmtId="0" fontId="0" fillId="10" borderId="12" xfId="0" applyFill="1" applyBorder="1"/>
    <xf numFmtId="0" fontId="0" fillId="10" borderId="13" xfId="0" applyFill="1" applyBorder="1"/>
    <xf numFmtId="2" fontId="0" fillId="10" borderId="14" xfId="0" applyNumberFormat="1" applyFill="1" applyBorder="1"/>
    <xf numFmtId="0" fontId="0" fillId="0" borderId="20" xfId="0" applyBorder="1"/>
    <xf numFmtId="0" fontId="9" fillId="0" borderId="0" xfId="0" applyFont="1"/>
    <xf numFmtId="0" fontId="14" fillId="0" borderId="0" xfId="0" applyFont="1"/>
    <xf numFmtId="0" fontId="25" fillId="0" borderId="0" xfId="0" applyFont="1" applyAlignment="1">
      <alignment horizontal="center" vertical="center"/>
    </xf>
    <xf numFmtId="0" fontId="25" fillId="8" borderId="39" xfId="0" applyFont="1" applyFill="1" applyBorder="1" applyAlignment="1">
      <alignment horizontal="center" vertical="center" wrapText="1"/>
    </xf>
    <xf numFmtId="0" fontId="22" fillId="8" borderId="41" xfId="0" applyFont="1" applyFill="1" applyBorder="1" applyAlignment="1">
      <alignment horizontal="center" vertical="center"/>
    </xf>
    <xf numFmtId="0" fontId="22" fillId="8" borderId="21" xfId="0" applyFont="1" applyFill="1" applyBorder="1" applyAlignment="1">
      <alignment horizontal="center" vertical="center" wrapText="1"/>
    </xf>
    <xf numFmtId="0" fontId="22" fillId="8" borderId="43" xfId="0" applyFont="1" applyFill="1" applyBorder="1" applyAlignment="1">
      <alignment horizontal="center" vertical="center" wrapText="1"/>
    </xf>
    <xf numFmtId="0" fontId="0" fillId="0" borderId="0" xfId="0" applyAlignment="1">
      <alignment horizontal="left"/>
    </xf>
    <xf numFmtId="0" fontId="4" fillId="8" borderId="39" xfId="0" applyFont="1" applyFill="1" applyBorder="1" applyAlignment="1">
      <alignment horizontal="left" vertical="center" wrapText="1"/>
    </xf>
    <xf numFmtId="0" fontId="4" fillId="0" borderId="0" xfId="0" applyFont="1" applyAlignment="1">
      <alignment horizontal="left" vertical="center"/>
    </xf>
    <xf numFmtId="167" fontId="4" fillId="0" borderId="0" xfId="0" applyNumberFormat="1" applyFont="1" applyAlignment="1">
      <alignment horizontal="left" vertical="center"/>
    </xf>
    <xf numFmtId="0" fontId="5" fillId="0" borderId="0" xfId="0" applyFont="1" applyAlignment="1">
      <alignment horizontal="right"/>
    </xf>
    <xf numFmtId="0" fontId="22" fillId="8" borderId="41" xfId="0" applyFont="1" applyFill="1" applyBorder="1" applyAlignment="1">
      <alignment horizontal="left" vertical="center"/>
    </xf>
    <xf numFmtId="0" fontId="22" fillId="8" borderId="21" xfId="0" applyFont="1" applyFill="1" applyBorder="1" applyAlignment="1">
      <alignment horizontal="left" vertical="center" wrapText="1"/>
    </xf>
    <xf numFmtId="0" fontId="24" fillId="0" borderId="44" xfId="0" applyFont="1" applyBorder="1" applyAlignment="1">
      <alignment horizontal="left" vertical="center"/>
    </xf>
    <xf numFmtId="0" fontId="24" fillId="0" borderId="20" xfId="0" applyFont="1" applyBorder="1" applyAlignment="1">
      <alignment horizontal="left" vertical="center"/>
    </xf>
    <xf numFmtId="0" fontId="24" fillId="0" borderId="10" xfId="0" applyFont="1" applyBorder="1" applyAlignment="1">
      <alignment horizontal="left" vertical="center"/>
    </xf>
    <xf numFmtId="0" fontId="24" fillId="0" borderId="6" xfId="0" applyFont="1" applyBorder="1" applyAlignment="1">
      <alignment horizontal="left" vertical="center"/>
    </xf>
    <xf numFmtId="0" fontId="24" fillId="0" borderId="12" xfId="0" applyFont="1" applyBorder="1" applyAlignment="1">
      <alignment horizontal="left" vertical="center"/>
    </xf>
    <xf numFmtId="0" fontId="24" fillId="0" borderId="13" xfId="0" applyFont="1" applyBorder="1" applyAlignment="1">
      <alignment horizontal="left" vertical="center"/>
    </xf>
    <xf numFmtId="0" fontId="22" fillId="8" borderId="56" xfId="0" applyFont="1" applyFill="1" applyBorder="1" applyAlignment="1">
      <alignment horizontal="left" vertical="center"/>
    </xf>
    <xf numFmtId="0" fontId="22" fillId="8" borderId="57" xfId="0" applyFont="1" applyFill="1" applyBorder="1" applyAlignment="1">
      <alignment horizontal="left" vertical="center" wrapText="1"/>
    </xf>
    <xf numFmtId="0" fontId="22" fillId="8" borderId="58" xfId="0" applyFont="1" applyFill="1" applyBorder="1" applyAlignment="1">
      <alignment vertical="center" wrapText="1"/>
    </xf>
    <xf numFmtId="0" fontId="24" fillId="0" borderId="7" xfId="0" applyFont="1" applyBorder="1" applyAlignment="1">
      <alignment vertical="center"/>
    </xf>
    <xf numFmtId="0" fontId="24" fillId="0" borderId="8" xfId="0" applyFont="1" applyBorder="1"/>
    <xf numFmtId="0" fontId="24" fillId="0" borderId="9" xfId="0" applyFont="1" applyBorder="1"/>
    <xf numFmtId="0" fontId="24" fillId="0" borderId="10" xfId="0" applyFont="1" applyBorder="1" applyAlignment="1">
      <alignment vertical="center"/>
    </xf>
    <xf numFmtId="0" fontId="24" fillId="0" borderId="6" xfId="0" applyFont="1" applyBorder="1"/>
    <xf numFmtId="0" fontId="24" fillId="0" borderId="11" xfId="0" applyFont="1" applyBorder="1"/>
    <xf numFmtId="0" fontId="24" fillId="0" borderId="6" xfId="0" applyFont="1" applyBorder="1" applyAlignment="1">
      <alignment vertical="center"/>
    </xf>
    <xf numFmtId="0" fontId="24" fillId="0" borderId="11" xfId="0" applyFont="1" applyBorder="1" applyAlignment="1">
      <alignment vertical="center"/>
    </xf>
    <xf numFmtId="0" fontId="24" fillId="0" borderId="12" xfId="0" applyFont="1" applyBorder="1" applyAlignment="1">
      <alignment vertical="center"/>
    </xf>
    <xf numFmtId="0" fontId="24" fillId="0" borderId="13" xfId="0" applyFont="1" applyBorder="1" applyAlignment="1">
      <alignment vertical="center"/>
    </xf>
    <xf numFmtId="0" fontId="24" fillId="0" borderId="14" xfId="0" applyFont="1" applyBorder="1" applyAlignment="1">
      <alignment vertical="center"/>
    </xf>
    <xf numFmtId="0" fontId="38" fillId="0" borderId="0" xfId="3" applyAlignment="1" applyProtection="1">
      <alignment horizontal="left" indent="3"/>
    </xf>
    <xf numFmtId="0" fontId="0" fillId="0" borderId="0" xfId="0" applyAlignment="1">
      <alignment horizontal="left" indent="3"/>
    </xf>
    <xf numFmtId="0" fontId="38" fillId="0" borderId="0" xfId="3" applyAlignment="1" applyProtection="1"/>
    <xf numFmtId="0" fontId="23" fillId="8" borderId="21" xfId="0" applyFont="1" applyFill="1" applyBorder="1" applyAlignment="1">
      <alignment horizontal="center" vertical="center" wrapText="1"/>
    </xf>
    <xf numFmtId="0" fontId="23" fillId="8" borderId="43" xfId="0" applyFont="1" applyFill="1" applyBorder="1" applyAlignment="1">
      <alignment vertical="center" wrapText="1"/>
    </xf>
    <xf numFmtId="0" fontId="22" fillId="8" borderId="21" xfId="0" applyFont="1" applyFill="1" applyBorder="1" applyAlignment="1">
      <alignment horizontal="left" vertical="center"/>
    </xf>
    <xf numFmtId="167" fontId="22" fillId="8" borderId="21" xfId="0" applyNumberFormat="1" applyFont="1" applyFill="1" applyBorder="1" applyAlignment="1">
      <alignment horizontal="left" vertical="center"/>
    </xf>
    <xf numFmtId="0" fontId="22" fillId="8" borderId="43" xfId="0" applyFont="1" applyFill="1" applyBorder="1" applyAlignment="1">
      <alignment horizontal="left" vertical="center"/>
    </xf>
    <xf numFmtId="0" fontId="24" fillId="0" borderId="18" xfId="0" applyFont="1" applyBorder="1" applyAlignment="1">
      <alignment horizontal="left" vertical="center"/>
    </xf>
    <xf numFmtId="0" fontId="24" fillId="0" borderId="51" xfId="0" applyFont="1" applyBorder="1" applyAlignment="1">
      <alignment horizontal="left" vertical="center"/>
    </xf>
    <xf numFmtId="0" fontId="24" fillId="0" borderId="52" xfId="0" applyFont="1" applyBorder="1" applyAlignment="1">
      <alignment horizontal="left" vertical="center"/>
    </xf>
    <xf numFmtId="0" fontId="24" fillId="0" borderId="53" xfId="0" applyFont="1" applyBorder="1" applyAlignment="1">
      <alignment horizontal="left" vertical="center"/>
    </xf>
    <xf numFmtId="0" fontId="24" fillId="0" borderId="54" xfId="0" applyFont="1" applyBorder="1" applyAlignment="1">
      <alignment horizontal="left" vertical="center"/>
    </xf>
    <xf numFmtId="0" fontId="24" fillId="0" borderId="55" xfId="0" applyFont="1" applyBorder="1" applyAlignment="1">
      <alignment horizontal="left" vertical="center"/>
    </xf>
    <xf numFmtId="0" fontId="22" fillId="8" borderId="48" xfId="0" applyFont="1" applyFill="1" applyBorder="1" applyAlignment="1">
      <alignment horizontal="left" vertical="center" wrapText="1"/>
    </xf>
    <xf numFmtId="0" fontId="22" fillId="8" borderId="15" xfId="0" applyFont="1" applyFill="1" applyBorder="1" applyAlignment="1">
      <alignment horizontal="left" vertical="center" wrapText="1"/>
    </xf>
    <xf numFmtId="0" fontId="22" fillId="8" borderId="3" xfId="0" applyFont="1" applyFill="1" applyBorder="1" applyAlignment="1">
      <alignment horizontal="left" vertical="center" wrapText="1"/>
    </xf>
    <xf numFmtId="0" fontId="24" fillId="0" borderId="49" xfId="0" applyFont="1" applyBorder="1" applyAlignment="1">
      <alignment horizontal="left" vertical="center"/>
    </xf>
    <xf numFmtId="0" fontId="24" fillId="0" borderId="47" xfId="0" applyFont="1" applyBorder="1" applyAlignment="1">
      <alignment horizontal="left" vertical="center"/>
    </xf>
    <xf numFmtId="0" fontId="24" fillId="0" borderId="50" xfId="0" applyFont="1" applyBorder="1" applyAlignment="1">
      <alignment horizontal="left" vertical="center"/>
    </xf>
    <xf numFmtId="0" fontId="18" fillId="4" borderId="25" xfId="0" applyFont="1" applyFill="1" applyBorder="1" applyAlignment="1">
      <alignment horizontal="center" vertical="top" wrapText="1"/>
    </xf>
    <xf numFmtId="0" fontId="18" fillId="4" borderId="0" xfId="0" applyFont="1" applyFill="1" applyAlignment="1">
      <alignment horizontal="center" vertical="top" wrapText="1"/>
    </xf>
    <xf numFmtId="0" fontId="18" fillId="4" borderId="26" xfId="0" applyFont="1" applyFill="1" applyBorder="1" applyAlignment="1">
      <alignment horizontal="center" vertical="top" wrapText="1"/>
    </xf>
    <xf numFmtId="0" fontId="18" fillId="4" borderId="27" xfId="0" applyFont="1" applyFill="1" applyBorder="1" applyAlignment="1">
      <alignment wrapText="1"/>
    </xf>
    <xf numFmtId="0" fontId="18" fillId="4" borderId="28" xfId="0" applyFont="1" applyFill="1" applyBorder="1" applyAlignment="1">
      <alignment wrapText="1"/>
    </xf>
    <xf numFmtId="0" fontId="18" fillId="4" borderId="29" xfId="0" applyFont="1" applyFill="1" applyBorder="1" applyAlignment="1">
      <alignment wrapText="1"/>
    </xf>
    <xf numFmtId="0" fontId="0" fillId="3" borderId="0" xfId="0" applyFill="1" applyAlignment="1">
      <alignment wrapText="1"/>
    </xf>
  </cellXfs>
  <cellStyles count="14">
    <cellStyle name="Hivatkozás" xfId="3" builtinId="8"/>
    <cellStyle name="Normál" xfId="0" builtinId="0"/>
    <cellStyle name="Normal 2" xfId="1"/>
    <cellStyle name="Normál 2" xfId="10"/>
    <cellStyle name="Normal 2 2" xfId="8"/>
    <cellStyle name="Normal 3" xfId="2"/>
    <cellStyle name="Normal 3 2" xfId="6"/>
    <cellStyle name="Normal 4" xfId="4"/>
    <cellStyle name="Normal 4 2" xfId="7"/>
    <cellStyle name="Normal 4 3" xfId="11"/>
    <cellStyle name="Normal 5" xfId="5"/>
    <cellStyle name="Normal 6" xfId="12"/>
    <cellStyle name="Normal 7" xfId="13"/>
    <cellStyle name="Normal 8" xfId="9"/>
  </cellStyles>
  <dxfs count="2">
    <dxf>
      <fill>
        <patternFill>
          <bgColor indexed="10"/>
        </patternFill>
      </fill>
    </dxf>
    <dxf>
      <fill>
        <patternFill>
          <bgColor indexed="10"/>
        </patternFill>
      </fill>
    </dxf>
  </dxfs>
  <tableStyles count="0" defaultTableStyle="TableStyleMedium9" defaultPivotStyle="PivotStyleLight16"/>
  <colors>
    <mruColors>
      <color rgb="FF00FF00"/>
      <color rgb="FF498787"/>
      <color rgb="FF499687"/>
      <color rgb="FF498F87"/>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133350</xdr:colOff>
      <xdr:row>0</xdr:row>
      <xdr:rowOff>95250</xdr:rowOff>
    </xdr:from>
    <xdr:to>
      <xdr:col>4</xdr:col>
      <xdr:colOff>1133475</xdr:colOff>
      <xdr:row>0</xdr:row>
      <xdr:rowOff>495300</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2085975" y="95250"/>
          <a:ext cx="1609725" cy="400050"/>
        </a:xfrm>
        <a:prstGeom prst="roundRect">
          <a:avLst/>
        </a:prstGeom>
        <a:solidFill>
          <a:srgbClr val="C0C0C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235</xdr:row>
      <xdr:rowOff>58232</xdr:rowOff>
    </xdr:from>
    <xdr:ext cx="5000625" cy="833438"/>
    <xdr:pic>
      <xdr:nvPicPr>
        <xdr:cNvPr id="13" name="Picture 1">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231</xdr:row>
      <xdr:rowOff>80341</xdr:rowOff>
    </xdr:from>
    <xdr:ext cx="3455193" cy="622300"/>
    <xdr:pic>
      <xdr:nvPicPr>
        <xdr:cNvPr id="14" name="Picture 2">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143</xdr:row>
      <xdr:rowOff>114300</xdr:rowOff>
    </xdr:from>
    <xdr:to>
      <xdr:col>5</xdr:col>
      <xdr:colOff>476251</xdr:colOff>
      <xdr:row>146</xdr:row>
      <xdr:rowOff>133350</xdr:rowOff>
    </xdr:to>
    <xdr:sp macro="" textlink="">
      <xdr:nvSpPr>
        <xdr:cNvPr id="15" name="Curved Up Arrow 3">
          <a:extLst>
            <a:ext uri="{FF2B5EF4-FFF2-40B4-BE49-F238E27FC236}">
              <a16:creationId xmlns:a16="http://schemas.microsoft.com/office/drawing/2014/main" id="{00000000-0008-0000-0000-00000F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461020</xdr:colOff>
      <xdr:row>10</xdr:row>
      <xdr:rowOff>30483</xdr:rowOff>
    </xdr:to>
    <xdr:pic>
      <xdr:nvPicPr>
        <xdr:cNvPr id="4" name="Kép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86550"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35719</xdr:colOff>
      <xdr:row>0</xdr:row>
      <xdr:rowOff>95250</xdr:rowOff>
    </xdr:from>
    <xdr:to>
      <xdr:col>2</xdr:col>
      <xdr:colOff>428625</xdr:colOff>
      <xdr:row>0</xdr:row>
      <xdr:rowOff>627063</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607219" y="95250"/>
          <a:ext cx="1559719" cy="531813"/>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2</xdr:col>
      <xdr:colOff>483394</xdr:colOff>
      <xdr:row>0</xdr:row>
      <xdr:rowOff>523875</xdr:rowOff>
    </xdr:to>
    <xdr:sp macro="[0]!bt_crkinma_click" textlink="">
      <xdr:nvSpPr>
        <xdr:cNvPr id="2" name="bt_crkinma">
          <a:extLst>
            <a:ext uri="{FF2B5EF4-FFF2-40B4-BE49-F238E27FC236}">
              <a16:creationId xmlns:a16="http://schemas.microsoft.com/office/drawing/2014/main" id="{00000000-0008-0000-02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619125</xdr:colOff>
      <xdr:row>0</xdr:row>
      <xdr:rowOff>95250</xdr:rowOff>
    </xdr:from>
    <xdr:to>
      <xdr:col>2</xdr:col>
      <xdr:colOff>2207419</xdr:colOff>
      <xdr:row>0</xdr:row>
      <xdr:rowOff>523875</xdr:rowOff>
    </xdr:to>
    <xdr:sp macro="[0]!bt_chkst_click" textlink="">
      <xdr:nvSpPr>
        <xdr:cNvPr id="3" name="bt_chkst">
          <a:extLst>
            <a:ext uri="{FF2B5EF4-FFF2-40B4-BE49-F238E27FC236}">
              <a16:creationId xmlns:a16="http://schemas.microsoft.com/office/drawing/2014/main" id="{00000000-0008-0000-0200-000003000000}"/>
            </a:ext>
          </a:extLst>
        </xdr:cNvPr>
        <xdr:cNvSpPr/>
      </xdr:nvSpPr>
      <xdr:spPr>
        <a:xfrm>
          <a:off x="1771650" y="95250"/>
          <a:ext cx="1581150" cy="42862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114300</xdr:colOff>
      <xdr:row>0</xdr:row>
      <xdr:rowOff>133350</xdr:rowOff>
    </xdr:from>
    <xdr:to>
      <xdr:col>2</xdr:col>
      <xdr:colOff>1971675</xdr:colOff>
      <xdr:row>0</xdr:row>
      <xdr:rowOff>561975</xdr:rowOff>
    </xdr:to>
    <xdr:sp macro="[0]!bt_creqma_click" textlink="">
      <xdr:nvSpPr>
        <xdr:cNvPr id="3" name="bt_creqma">
          <a:extLst>
            <a:ext uri="{FF2B5EF4-FFF2-40B4-BE49-F238E27FC236}">
              <a16:creationId xmlns:a16="http://schemas.microsoft.com/office/drawing/2014/main" id="{00000000-0008-0000-0300-000003000000}"/>
            </a:ext>
          </a:extLst>
        </xdr:cNvPr>
        <xdr:cNvSpPr/>
      </xdr:nvSpPr>
      <xdr:spPr>
        <a:xfrm>
          <a:off x="1333500" y="133350"/>
          <a:ext cx="1857375" cy="428625"/>
        </a:xfrm>
        <a:prstGeom prst="roundRect">
          <a:avLst/>
        </a:prstGeom>
        <a:solidFill>
          <a:sysClr val="window" lastClr="FFFFFF">
            <a:lumMod val="65000"/>
          </a:sysClr>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Create Equilibrium Matrix</a:t>
          </a:r>
        </a:p>
      </xdr:txBody>
    </xdr:sp>
    <xdr:clientData/>
  </xdr:twoCellAnchor>
  <xdr:twoCellAnchor editAs="absolute">
    <xdr:from>
      <xdr:col>3</xdr:col>
      <xdr:colOff>209550</xdr:colOff>
      <xdr:row>0</xdr:row>
      <xdr:rowOff>152400</xdr:rowOff>
    </xdr:from>
    <xdr:to>
      <xdr:col>5</xdr:col>
      <xdr:colOff>600075</xdr:colOff>
      <xdr:row>0</xdr:row>
      <xdr:rowOff>552450</xdr:rowOff>
    </xdr:to>
    <xdr:sp macro="[0]!bt_chksp_click" textlink="">
      <xdr:nvSpPr>
        <xdr:cNvPr id="8" name="bt_chksp">
          <a:extLst>
            <a:ext uri="{FF2B5EF4-FFF2-40B4-BE49-F238E27FC236}">
              <a16:creationId xmlns:a16="http://schemas.microsoft.com/office/drawing/2014/main" id="{00000000-0008-0000-0300-000008000000}"/>
            </a:ext>
          </a:extLst>
        </xdr:cNvPr>
        <xdr:cNvSpPr/>
      </xdr:nvSpPr>
      <xdr:spPr>
        <a:xfrm>
          <a:off x="3552825" y="152400"/>
          <a:ext cx="1609725" cy="400050"/>
        </a:xfrm>
        <a:prstGeom prst="roundRect">
          <a:avLst/>
        </a:prstGeom>
        <a:solidFill>
          <a:srgbClr val="C0C0C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Check Species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43656</xdr:colOff>
      <xdr:row>0</xdr:row>
      <xdr:rowOff>63500</xdr:rowOff>
    </xdr:from>
    <xdr:to>
      <xdr:col>3</xdr:col>
      <xdr:colOff>739774</xdr:colOff>
      <xdr:row>0</xdr:row>
      <xdr:rowOff>595313</xdr:rowOff>
    </xdr:to>
    <xdr:sp macro="[0]!bt_chkcont_click" textlink="">
      <xdr:nvSpPr>
        <xdr:cNvPr id="2" name="bt_chkcont">
          <a:extLst>
            <a:ext uri="{FF2B5EF4-FFF2-40B4-BE49-F238E27FC236}">
              <a16:creationId xmlns:a16="http://schemas.microsoft.com/office/drawing/2014/main" id="{00000000-0008-0000-0400-000002000000}"/>
            </a:ext>
          </a:extLst>
        </xdr:cNvPr>
        <xdr:cNvSpPr/>
      </xdr:nvSpPr>
      <xdr:spPr>
        <a:xfrm>
          <a:off x="339989" y="63500"/>
          <a:ext cx="1430338" cy="531813"/>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1</xdr:col>
      <xdr:colOff>497681</xdr:colOff>
      <xdr:row>0</xdr:row>
      <xdr:rowOff>466725</xdr:rowOff>
    </xdr:to>
    <xdr:sp macro="[0]!bt_pewpph" textlink="">
      <xdr:nvSpPr>
        <xdr:cNvPr id="2" name="bt_prepph">
          <a:extLst>
            <a:ext uri="{FF2B5EF4-FFF2-40B4-BE49-F238E27FC236}">
              <a16:creationId xmlns:a16="http://schemas.microsoft.com/office/drawing/2014/main" id="{00000000-0008-0000-0500-000002000000}"/>
            </a:ext>
          </a:extLst>
        </xdr:cNvPr>
        <xdr:cNvSpPr/>
      </xdr:nvSpPr>
      <xdr:spPr>
        <a:xfrm>
          <a:off x="190500" y="95250"/>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104776</xdr:colOff>
      <xdr:row>0</xdr:row>
      <xdr:rowOff>142875</xdr:rowOff>
    </xdr:from>
    <xdr:to>
      <xdr:col>1</xdr:col>
      <xdr:colOff>428626</xdr:colOff>
      <xdr:row>0</xdr:row>
      <xdr:rowOff>600075</xdr:rowOff>
    </xdr:to>
    <xdr:sp macro="[0]!bt_chkalg_click" textlink="">
      <xdr:nvSpPr>
        <xdr:cNvPr id="3" name="bt_chkalg">
          <a:extLst>
            <a:ext uri="{FF2B5EF4-FFF2-40B4-BE49-F238E27FC236}">
              <a16:creationId xmlns:a16="http://schemas.microsoft.com/office/drawing/2014/main" id="{00000000-0008-0000-0700-000003000000}"/>
            </a:ext>
          </a:extLst>
        </xdr:cNvPr>
        <xdr:cNvSpPr/>
      </xdr:nvSpPr>
      <xdr:spPr>
        <a:xfrm>
          <a:off x="104776" y="142875"/>
          <a:ext cx="1447800" cy="45720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Expressions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900-000002000000}"/>
            </a:ext>
          </a:extLst>
        </xdr:cNvPr>
        <xdr:cNvSpPr/>
      </xdr:nvSpPr>
      <xdr:spPr>
        <a:xfrm>
          <a:off x="152400" y="123824"/>
          <a:ext cx="1485900" cy="50482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237706</xdr:colOff>
      <xdr:row>0</xdr:row>
      <xdr:rowOff>552450</xdr:rowOff>
    </xdr:to>
    <xdr:sp macro="[0]!bt_calcvar" textlink="">
      <xdr:nvSpPr>
        <xdr:cNvPr id="2" name="bt_calc">
          <a:extLst>
            <a:ext uri="{FF2B5EF4-FFF2-40B4-BE49-F238E27FC236}">
              <a16:creationId xmlns:a16="http://schemas.microsoft.com/office/drawing/2014/main" id="{00000000-0008-0000-0A00-000002000000}"/>
            </a:ext>
          </a:extLst>
        </xdr:cNvPr>
        <xdr:cNvSpPr/>
      </xdr:nvSpPr>
      <xdr:spPr>
        <a:xfrm>
          <a:off x="228600" y="180975"/>
          <a:ext cx="1485900"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0]!CreateFunctions" textlink="">
      <xdr:nvSpPr>
        <xdr:cNvPr id="2" name="bt_crfunc">
          <a:extLst>
            <a:ext uri="{FF2B5EF4-FFF2-40B4-BE49-F238E27FC236}">
              <a16:creationId xmlns:a16="http://schemas.microsoft.com/office/drawing/2014/main" id="{00000000-0008-0000-0B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F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8" Type="http://schemas.openxmlformats.org/officeDocument/2006/relationships/hyperlink" Target="http://www.cplusplus.com/reference/cmath/cosh/" TargetMode="External"/><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3" Type="http://schemas.openxmlformats.org/officeDocument/2006/relationships/hyperlink" Target="http://www.cplusplus.com/reference/cmath/tan/" TargetMode="External"/><Relationship Id="rId21" Type="http://schemas.openxmlformats.org/officeDocument/2006/relationships/drawing" Target="../drawings/drawing10.xm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printerSettings" Target="../printerSettings/printerSettings9.bin"/><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
  <dimension ref="A1:L255"/>
  <sheetViews>
    <sheetView showGridLines="0" tabSelected="1" workbookViewId="0"/>
  </sheetViews>
  <sheetFormatPr defaultColWidth="8.85546875" defaultRowHeight="15" x14ac:dyDescent="0.25"/>
  <cols>
    <col min="1" max="1" width="3.85546875" customWidth="1"/>
    <col min="2" max="2" width="13.140625" customWidth="1"/>
    <col min="3" max="3" width="12.28515625" customWidth="1"/>
    <col min="5" max="5" width="25.42578125" customWidth="1"/>
    <col min="6" max="6" width="23.42578125" customWidth="1"/>
    <col min="7" max="7" width="13.28515625" customWidth="1"/>
    <col min="14" max="14" width="5.140625" customWidth="1"/>
  </cols>
  <sheetData>
    <row r="1" spans="1:10" s="44" customFormat="1" ht="47.25" customHeight="1" x14ac:dyDescent="0.25"/>
    <row r="3" spans="1:10" x14ac:dyDescent="0.25">
      <c r="B3" s="49" t="s">
        <v>168</v>
      </c>
      <c r="C3" t="s">
        <v>899</v>
      </c>
    </row>
    <row r="5" spans="1:10" x14ac:dyDescent="0.25">
      <c r="I5" s="319"/>
    </row>
    <row r="7" spans="1:10" x14ac:dyDescent="0.25">
      <c r="B7" t="s">
        <v>881</v>
      </c>
    </row>
    <row r="11" spans="1:10" x14ac:dyDescent="0.25">
      <c r="G11" s="346"/>
      <c r="H11" s="348" t="s">
        <v>900</v>
      </c>
      <c r="I11" s="347"/>
    </row>
    <row r="12" spans="1:10" x14ac:dyDescent="0.25">
      <c r="G12" s="346"/>
      <c r="H12" s="347"/>
      <c r="I12" s="347"/>
    </row>
    <row r="14" spans="1:10" x14ac:dyDescent="0.25">
      <c r="B14" s="49" t="s">
        <v>26</v>
      </c>
      <c r="C14" s="50"/>
      <c r="H14" s="49" t="s">
        <v>227</v>
      </c>
      <c r="I14" s="50"/>
      <c r="J14" s="50"/>
    </row>
    <row r="15" spans="1:10" x14ac:dyDescent="0.25">
      <c r="A15" s="296" t="s">
        <v>884</v>
      </c>
      <c r="H15">
        <v>1</v>
      </c>
      <c r="I15" t="s">
        <v>228</v>
      </c>
    </row>
    <row r="16" spans="1:10" x14ac:dyDescent="0.25">
      <c r="A16">
        <v>1</v>
      </c>
      <c r="B16" t="s">
        <v>885</v>
      </c>
      <c r="H16">
        <v>2</v>
      </c>
      <c r="I16" t="s">
        <v>901</v>
      </c>
    </row>
    <row r="17" spans="1:5" x14ac:dyDescent="0.25">
      <c r="A17">
        <v>2</v>
      </c>
      <c r="B17" t="s">
        <v>886</v>
      </c>
    </row>
    <row r="18" spans="1:5" x14ac:dyDescent="0.25">
      <c r="B18">
        <v>1</v>
      </c>
      <c r="C18" t="s">
        <v>887</v>
      </c>
    </row>
    <row r="19" spans="1:5" x14ac:dyDescent="0.25">
      <c r="B19">
        <v>2</v>
      </c>
      <c r="C19" t="s">
        <v>888</v>
      </c>
    </row>
    <row r="20" spans="1:5" x14ac:dyDescent="0.25">
      <c r="B20">
        <v>3</v>
      </c>
      <c r="C20" t="s">
        <v>889</v>
      </c>
    </row>
    <row r="21" spans="1:5" x14ac:dyDescent="0.25">
      <c r="B21">
        <v>4</v>
      </c>
      <c r="C21" t="s">
        <v>890</v>
      </c>
    </row>
    <row r="22" spans="1:5" x14ac:dyDescent="0.25">
      <c r="B22">
        <v>5</v>
      </c>
      <c r="C22" t="s">
        <v>891</v>
      </c>
    </row>
    <row r="23" spans="1:5" x14ac:dyDescent="0.25">
      <c r="A23">
        <v>3</v>
      </c>
      <c r="B23" t="s">
        <v>892</v>
      </c>
    </row>
    <row r="24" spans="1:5" x14ac:dyDescent="0.25">
      <c r="C24" t="s">
        <v>893</v>
      </c>
    </row>
    <row r="26" spans="1:5" x14ac:dyDescent="0.25">
      <c r="A26" s="1" t="s">
        <v>27</v>
      </c>
      <c r="B26" s="1" t="s">
        <v>28</v>
      </c>
    </row>
    <row r="27" spans="1:5" x14ac:dyDescent="0.25">
      <c r="B27">
        <v>1</v>
      </c>
      <c r="C27" t="s">
        <v>869</v>
      </c>
    </row>
    <row r="28" spans="1:5" x14ac:dyDescent="0.25">
      <c r="D28" t="s">
        <v>29</v>
      </c>
    </row>
    <row r="29" spans="1:5" x14ac:dyDescent="0.25">
      <c r="D29">
        <v>1</v>
      </c>
      <c r="E29" t="s">
        <v>30</v>
      </c>
    </row>
    <row r="30" spans="1:5" x14ac:dyDescent="0.25">
      <c r="D30">
        <v>2</v>
      </c>
      <c r="E30" t="s">
        <v>100</v>
      </c>
    </row>
    <row r="31" spans="1:5" x14ac:dyDescent="0.25">
      <c r="D31">
        <v>3</v>
      </c>
      <c r="E31" t="s">
        <v>169</v>
      </c>
    </row>
    <row r="32" spans="1:5" x14ac:dyDescent="0.25">
      <c r="D32">
        <v>4</v>
      </c>
      <c r="E32" t="s">
        <v>32</v>
      </c>
    </row>
    <row r="33" spans="2:5" x14ac:dyDescent="0.25">
      <c r="B33">
        <v>2</v>
      </c>
      <c r="C33" t="s">
        <v>870</v>
      </c>
    </row>
    <row r="34" spans="2:5" x14ac:dyDescent="0.25">
      <c r="D34">
        <v>1</v>
      </c>
      <c r="E34" t="s">
        <v>33</v>
      </c>
    </row>
    <row r="35" spans="2:5" x14ac:dyDescent="0.25">
      <c r="D35">
        <v>2</v>
      </c>
      <c r="E35" t="s">
        <v>170</v>
      </c>
    </row>
    <row r="36" spans="2:5" x14ac:dyDescent="0.25">
      <c r="D36">
        <v>3</v>
      </c>
      <c r="E36" t="s">
        <v>171</v>
      </c>
    </row>
    <row r="37" spans="2:5" x14ac:dyDescent="0.25">
      <c r="D37">
        <v>3</v>
      </c>
      <c r="E37" t="s">
        <v>172</v>
      </c>
    </row>
    <row r="38" spans="2:5" x14ac:dyDescent="0.25">
      <c r="D38">
        <v>4</v>
      </c>
      <c r="E38" t="s">
        <v>173</v>
      </c>
    </row>
    <row r="39" spans="2:5" x14ac:dyDescent="0.25">
      <c r="D39" s="297" t="s">
        <v>174</v>
      </c>
      <c r="E39" t="s">
        <v>35</v>
      </c>
    </row>
    <row r="40" spans="2:5" x14ac:dyDescent="0.25">
      <c r="D40">
        <v>6</v>
      </c>
      <c r="E40" t="s">
        <v>36</v>
      </c>
    </row>
    <row r="41" spans="2:5" x14ac:dyDescent="0.25">
      <c r="B41">
        <v>3</v>
      </c>
      <c r="C41" t="s">
        <v>37</v>
      </c>
    </row>
    <row r="42" spans="2:5" x14ac:dyDescent="0.25">
      <c r="D42">
        <v>1</v>
      </c>
      <c r="E42" t="s">
        <v>38</v>
      </c>
    </row>
    <row r="43" spans="2:5" x14ac:dyDescent="0.25">
      <c r="D43">
        <v>2</v>
      </c>
      <c r="E43" t="s">
        <v>39</v>
      </c>
    </row>
    <row r="44" spans="2:5" x14ac:dyDescent="0.25">
      <c r="D44">
        <v>3</v>
      </c>
      <c r="E44" t="s">
        <v>40</v>
      </c>
    </row>
    <row r="45" spans="2:5" x14ac:dyDescent="0.25">
      <c r="B45">
        <v>4</v>
      </c>
      <c r="C45" t="s">
        <v>175</v>
      </c>
    </row>
    <row r="46" spans="2:5" x14ac:dyDescent="0.25">
      <c r="D46">
        <v>1</v>
      </c>
      <c r="E46" t="s">
        <v>176</v>
      </c>
    </row>
    <row r="47" spans="2:5" x14ac:dyDescent="0.25">
      <c r="B47">
        <v>5</v>
      </c>
      <c r="C47" t="s">
        <v>870</v>
      </c>
    </row>
    <row r="48" spans="2:5" x14ac:dyDescent="0.25">
      <c r="D48">
        <v>1</v>
      </c>
      <c r="E48" t="s">
        <v>41</v>
      </c>
    </row>
    <row r="49" spans="2:10" x14ac:dyDescent="0.25">
      <c r="D49">
        <v>2</v>
      </c>
      <c r="E49" t="s">
        <v>98</v>
      </c>
    </row>
    <row r="50" spans="2:10" x14ac:dyDescent="0.25">
      <c r="D50">
        <v>3</v>
      </c>
      <c r="E50" t="s">
        <v>42</v>
      </c>
    </row>
    <row r="51" spans="2:10" x14ac:dyDescent="0.25">
      <c r="B51">
        <v>6</v>
      </c>
      <c r="C51" t="s">
        <v>902</v>
      </c>
      <c r="J51" s="298"/>
    </row>
    <row r="52" spans="2:10" x14ac:dyDescent="0.25">
      <c r="D52">
        <v>1</v>
      </c>
      <c r="E52" t="s">
        <v>903</v>
      </c>
    </row>
    <row r="53" spans="2:10" x14ac:dyDescent="0.25">
      <c r="D53">
        <v>2</v>
      </c>
      <c r="E53" t="s">
        <v>904</v>
      </c>
    </row>
    <row r="54" spans="2:10" x14ac:dyDescent="0.25">
      <c r="D54">
        <v>3</v>
      </c>
      <c r="E54" t="s">
        <v>905</v>
      </c>
    </row>
    <row r="55" spans="2:10" x14ac:dyDescent="0.25">
      <c r="D55">
        <v>4</v>
      </c>
      <c r="E55" t="s">
        <v>906</v>
      </c>
    </row>
    <row r="57" spans="2:10" x14ac:dyDescent="0.25">
      <c r="B57" s="1" t="s">
        <v>871</v>
      </c>
    </row>
    <row r="58" spans="2:10" x14ac:dyDescent="0.25">
      <c r="B58">
        <v>1</v>
      </c>
      <c r="C58" t="s">
        <v>872</v>
      </c>
    </row>
    <row r="59" spans="2:10" x14ac:dyDescent="0.25">
      <c r="D59" t="s">
        <v>43</v>
      </c>
    </row>
    <row r="60" spans="2:10" x14ac:dyDescent="0.25">
      <c r="D60">
        <v>1</v>
      </c>
      <c r="E60" t="s">
        <v>44</v>
      </c>
    </row>
    <row r="61" spans="2:10" x14ac:dyDescent="0.25">
      <c r="D61">
        <v>2</v>
      </c>
      <c r="E61" t="s">
        <v>45</v>
      </c>
    </row>
    <row r="62" spans="2:10" x14ac:dyDescent="0.25">
      <c r="D62">
        <v>3</v>
      </c>
      <c r="E62" t="s">
        <v>119</v>
      </c>
    </row>
    <row r="63" spans="2:10" x14ac:dyDescent="0.25">
      <c r="D63">
        <v>4</v>
      </c>
      <c r="E63" t="s">
        <v>907</v>
      </c>
    </row>
    <row r="64" spans="2:10" x14ac:dyDescent="0.25">
      <c r="B64">
        <v>2</v>
      </c>
      <c r="C64" t="s">
        <v>873</v>
      </c>
    </row>
    <row r="65" spans="1:5" x14ac:dyDescent="0.25">
      <c r="D65">
        <v>1</v>
      </c>
      <c r="E65" t="s">
        <v>177</v>
      </c>
    </row>
    <row r="66" spans="1:5" x14ac:dyDescent="0.25">
      <c r="D66">
        <v>2</v>
      </c>
      <c r="E66" t="s">
        <v>178</v>
      </c>
    </row>
    <row r="67" spans="1:5" x14ac:dyDescent="0.25">
      <c r="B67">
        <v>3</v>
      </c>
      <c r="C67" t="s">
        <v>908</v>
      </c>
    </row>
    <row r="68" spans="1:5" x14ac:dyDescent="0.25">
      <c r="D68">
        <v>1</v>
      </c>
      <c r="E68" t="s">
        <v>909</v>
      </c>
    </row>
    <row r="69" spans="1:5" x14ac:dyDescent="0.25">
      <c r="B69">
        <v>4</v>
      </c>
      <c r="C69" t="s">
        <v>910</v>
      </c>
    </row>
    <row r="70" spans="1:5" x14ac:dyDescent="0.25">
      <c r="D70">
        <v>1</v>
      </c>
      <c r="E70" t="s">
        <v>911</v>
      </c>
    </row>
    <row r="71" spans="1:5" x14ac:dyDescent="0.25">
      <c r="D71">
        <v>2</v>
      </c>
      <c r="E71" t="s">
        <v>912</v>
      </c>
    </row>
    <row r="72" spans="1:5" x14ac:dyDescent="0.25">
      <c r="D72">
        <v>3</v>
      </c>
      <c r="E72" t="s">
        <v>913</v>
      </c>
    </row>
    <row r="74" spans="1:5" x14ac:dyDescent="0.25">
      <c r="B74">
        <v>5</v>
      </c>
      <c r="C74" t="s">
        <v>873</v>
      </c>
    </row>
    <row r="75" spans="1:5" x14ac:dyDescent="0.25">
      <c r="D75">
        <v>1</v>
      </c>
      <c r="E75" t="s">
        <v>46</v>
      </c>
    </row>
    <row r="76" spans="1:5" x14ac:dyDescent="0.25">
      <c r="D76">
        <v>2</v>
      </c>
      <c r="E76" t="s">
        <v>179</v>
      </c>
    </row>
    <row r="78" spans="1:5" x14ac:dyDescent="0.25">
      <c r="A78" s="1" t="s">
        <v>47</v>
      </c>
      <c r="B78" s="1" t="s">
        <v>48</v>
      </c>
    </row>
    <row r="79" spans="1:5" x14ac:dyDescent="0.25">
      <c r="B79">
        <v>1</v>
      </c>
      <c r="C79" t="s">
        <v>869</v>
      </c>
    </row>
    <row r="80" spans="1:5" x14ac:dyDescent="0.25">
      <c r="D80" t="s">
        <v>29</v>
      </c>
    </row>
    <row r="81" spans="2:6" x14ac:dyDescent="0.25">
      <c r="D81">
        <v>1</v>
      </c>
      <c r="E81" t="s">
        <v>49</v>
      </c>
    </row>
    <row r="82" spans="2:6" x14ac:dyDescent="0.25">
      <c r="D82">
        <v>2</v>
      </c>
      <c r="E82" t="s">
        <v>101</v>
      </c>
    </row>
    <row r="83" spans="2:6" x14ac:dyDescent="0.25">
      <c r="D83">
        <v>3</v>
      </c>
      <c r="E83" t="s">
        <v>31</v>
      </c>
    </row>
    <row r="84" spans="2:6" x14ac:dyDescent="0.25">
      <c r="E84" s="323" t="s">
        <v>50</v>
      </c>
      <c r="F84" t="s">
        <v>51</v>
      </c>
    </row>
    <row r="85" spans="2:6" x14ac:dyDescent="0.25">
      <c r="E85" s="323" t="s">
        <v>52</v>
      </c>
      <c r="F85" t="s">
        <v>914</v>
      </c>
    </row>
    <row r="86" spans="2:6" x14ac:dyDescent="0.25">
      <c r="F86" t="s">
        <v>53</v>
      </c>
    </row>
    <row r="87" spans="2:6" x14ac:dyDescent="0.25">
      <c r="B87">
        <v>2</v>
      </c>
      <c r="C87" t="s">
        <v>870</v>
      </c>
    </row>
    <row r="88" spans="2:6" x14ac:dyDescent="0.25">
      <c r="D88">
        <v>1</v>
      </c>
      <c r="E88" t="s">
        <v>54</v>
      </c>
    </row>
    <row r="89" spans="2:6" x14ac:dyDescent="0.25">
      <c r="D89">
        <v>2</v>
      </c>
      <c r="E89" t="s">
        <v>170</v>
      </c>
    </row>
    <row r="90" spans="2:6" x14ac:dyDescent="0.25">
      <c r="D90" s="297" t="s">
        <v>34</v>
      </c>
      <c r="E90" t="s">
        <v>35</v>
      </c>
    </row>
    <row r="91" spans="2:6" x14ac:dyDescent="0.25">
      <c r="D91">
        <v>4</v>
      </c>
      <c r="E91" t="s">
        <v>55</v>
      </c>
    </row>
    <row r="92" spans="2:6" x14ac:dyDescent="0.25">
      <c r="B92">
        <v>3</v>
      </c>
      <c r="C92" t="s">
        <v>37</v>
      </c>
    </row>
    <row r="93" spans="2:6" x14ac:dyDescent="0.25">
      <c r="D93">
        <v>1</v>
      </c>
      <c r="E93" t="s">
        <v>56</v>
      </c>
    </row>
    <row r="94" spans="2:6" x14ac:dyDescent="0.25">
      <c r="D94">
        <v>2</v>
      </c>
      <c r="E94" t="s">
        <v>39</v>
      </c>
    </row>
    <row r="95" spans="2:6" x14ac:dyDescent="0.25">
      <c r="D95">
        <v>3</v>
      </c>
      <c r="E95" t="s">
        <v>40</v>
      </c>
    </row>
    <row r="96" spans="2:6" x14ac:dyDescent="0.25">
      <c r="B96">
        <v>4</v>
      </c>
      <c r="C96" t="s">
        <v>175</v>
      </c>
    </row>
    <row r="97" spans="2:10" x14ac:dyDescent="0.25">
      <c r="D97">
        <v>1</v>
      </c>
      <c r="E97" t="s">
        <v>176</v>
      </c>
    </row>
    <row r="98" spans="2:10" x14ac:dyDescent="0.25">
      <c r="B98">
        <v>5</v>
      </c>
      <c r="C98" t="s">
        <v>870</v>
      </c>
    </row>
    <row r="99" spans="2:10" x14ac:dyDescent="0.25">
      <c r="D99">
        <v>1</v>
      </c>
      <c r="E99" t="s">
        <v>41</v>
      </c>
    </row>
    <row r="100" spans="2:10" x14ac:dyDescent="0.25">
      <c r="D100">
        <v>2</v>
      </c>
      <c r="E100" t="s">
        <v>98</v>
      </c>
    </row>
    <row r="101" spans="2:10" x14ac:dyDescent="0.25">
      <c r="D101">
        <v>3</v>
      </c>
      <c r="E101" t="s">
        <v>42</v>
      </c>
      <c r="J101" s="298"/>
    </row>
    <row r="102" spans="2:10" x14ac:dyDescent="0.25">
      <c r="B102">
        <v>6</v>
      </c>
      <c r="C102" t="s">
        <v>902</v>
      </c>
    </row>
    <row r="103" spans="2:10" x14ac:dyDescent="0.25">
      <c r="D103">
        <v>1</v>
      </c>
      <c r="E103" t="s">
        <v>903</v>
      </c>
    </row>
    <row r="104" spans="2:10" x14ac:dyDescent="0.25">
      <c r="D104">
        <v>2</v>
      </c>
      <c r="E104" t="s">
        <v>904</v>
      </c>
    </row>
    <row r="105" spans="2:10" x14ac:dyDescent="0.25">
      <c r="D105">
        <v>3</v>
      </c>
      <c r="E105" t="s">
        <v>905</v>
      </c>
    </row>
    <row r="106" spans="2:10" x14ac:dyDescent="0.25">
      <c r="D106">
        <v>4</v>
      </c>
      <c r="E106" t="s">
        <v>906</v>
      </c>
    </row>
    <row r="107" spans="2:10" x14ac:dyDescent="0.25">
      <c r="B107" s="1" t="s">
        <v>57</v>
      </c>
    </row>
    <row r="108" spans="2:10" x14ac:dyDescent="0.25">
      <c r="B108">
        <v>1</v>
      </c>
      <c r="C108" t="s">
        <v>872</v>
      </c>
    </row>
    <row r="109" spans="2:10" x14ac:dyDescent="0.25">
      <c r="D109" t="s">
        <v>43</v>
      </c>
    </row>
    <row r="110" spans="2:10" x14ac:dyDescent="0.25">
      <c r="D110">
        <v>1</v>
      </c>
      <c r="E110" t="s">
        <v>58</v>
      </c>
    </row>
    <row r="111" spans="2:10" x14ac:dyDescent="0.25">
      <c r="D111">
        <v>2</v>
      </c>
      <c r="E111" t="s">
        <v>45</v>
      </c>
    </row>
    <row r="112" spans="2:10" x14ac:dyDescent="0.25">
      <c r="E112" s="323" t="s">
        <v>50</v>
      </c>
      <c r="F112" t="s">
        <v>59</v>
      </c>
    </row>
    <row r="113" spans="2:6" x14ac:dyDescent="0.25">
      <c r="E113" s="323" t="s">
        <v>52</v>
      </c>
      <c r="F113" t="s">
        <v>60</v>
      </c>
    </row>
    <row r="114" spans="2:6" x14ac:dyDescent="0.25">
      <c r="F114" t="s">
        <v>61</v>
      </c>
    </row>
    <row r="115" spans="2:6" x14ac:dyDescent="0.25">
      <c r="D115">
        <v>3</v>
      </c>
      <c r="E115" t="s">
        <v>907</v>
      </c>
    </row>
    <row r="116" spans="2:6" x14ac:dyDescent="0.25">
      <c r="B116">
        <v>2</v>
      </c>
      <c r="C116" t="s">
        <v>873</v>
      </c>
    </row>
    <row r="117" spans="2:6" x14ac:dyDescent="0.25">
      <c r="D117">
        <v>1</v>
      </c>
      <c r="E117" t="s">
        <v>62</v>
      </c>
    </row>
    <row r="118" spans="2:6" x14ac:dyDescent="0.25">
      <c r="D118">
        <v>2</v>
      </c>
      <c r="E118" t="s">
        <v>178</v>
      </c>
    </row>
    <row r="119" spans="2:6" x14ac:dyDescent="0.25">
      <c r="E119" t="s">
        <v>915</v>
      </c>
    </row>
    <row r="120" spans="2:6" x14ac:dyDescent="0.25">
      <c r="B120">
        <v>3</v>
      </c>
      <c r="C120" t="s">
        <v>908</v>
      </c>
    </row>
    <row r="121" spans="2:6" x14ac:dyDescent="0.25">
      <c r="D121">
        <v>1</v>
      </c>
      <c r="E121" t="s">
        <v>909</v>
      </c>
    </row>
    <row r="122" spans="2:6" x14ac:dyDescent="0.25">
      <c r="B122">
        <v>4</v>
      </c>
      <c r="C122" t="s">
        <v>910</v>
      </c>
    </row>
    <row r="123" spans="2:6" x14ac:dyDescent="0.25">
      <c r="D123">
        <v>1</v>
      </c>
      <c r="E123" t="s">
        <v>911</v>
      </c>
    </row>
    <row r="124" spans="2:6" x14ac:dyDescent="0.25">
      <c r="D124">
        <v>2</v>
      </c>
      <c r="E124" t="s">
        <v>912</v>
      </c>
    </row>
    <row r="125" spans="2:6" x14ac:dyDescent="0.25">
      <c r="D125">
        <v>3</v>
      </c>
      <c r="E125" t="s">
        <v>916</v>
      </c>
    </row>
    <row r="126" spans="2:6" x14ac:dyDescent="0.25">
      <c r="D126">
        <v>4</v>
      </c>
      <c r="E126" t="s">
        <v>913</v>
      </c>
    </row>
    <row r="127" spans="2:6" x14ac:dyDescent="0.25">
      <c r="B127">
        <v>5</v>
      </c>
      <c r="C127" t="s">
        <v>873</v>
      </c>
    </row>
    <row r="128" spans="2:6" x14ac:dyDescent="0.25">
      <c r="D128">
        <v>1</v>
      </c>
      <c r="E128" t="s">
        <v>46</v>
      </c>
    </row>
    <row r="133" spans="2:7" x14ac:dyDescent="0.25">
      <c r="B133" s="49" t="s">
        <v>63</v>
      </c>
      <c r="C133" s="49"/>
      <c r="D133" s="49"/>
    </row>
    <row r="135" spans="2:7" x14ac:dyDescent="0.25">
      <c r="B135" s="1" t="s">
        <v>64</v>
      </c>
      <c r="C135" t="s">
        <v>65</v>
      </c>
    </row>
    <row r="136" spans="2:7" x14ac:dyDescent="0.25">
      <c r="C136" t="s">
        <v>66</v>
      </c>
    </row>
    <row r="137" spans="2:7" x14ac:dyDescent="0.25">
      <c r="C137" t="s">
        <v>125</v>
      </c>
    </row>
    <row r="138" spans="2:7" ht="15.75" thickBot="1" x14ac:dyDescent="0.3">
      <c r="C138" s="5"/>
      <c r="D138" s="299"/>
      <c r="E138" s="299"/>
      <c r="F138" s="299"/>
      <c r="G138" s="5"/>
    </row>
    <row r="139" spans="2:7" x14ac:dyDescent="0.25">
      <c r="C139" s="300"/>
      <c r="D139" s="301" t="s">
        <v>25</v>
      </c>
      <c r="E139" s="302"/>
      <c r="F139" s="303">
        <v>3.52</v>
      </c>
      <c r="G139" s="304"/>
    </row>
    <row r="140" spans="2:7" x14ac:dyDescent="0.25">
      <c r="C140" s="300"/>
      <c r="D140" s="305" t="s">
        <v>67</v>
      </c>
      <c r="E140" s="306"/>
      <c r="F140" s="307">
        <v>1.23</v>
      </c>
      <c r="G140" s="304"/>
    </row>
    <row r="141" spans="2:7" x14ac:dyDescent="0.25">
      <c r="C141" s="300"/>
      <c r="D141" s="305" t="s">
        <v>68</v>
      </c>
      <c r="E141" s="306"/>
      <c r="F141" s="307">
        <v>0.02</v>
      </c>
      <c r="G141" s="304"/>
    </row>
    <row r="142" spans="2:7" ht="15.75" thickBot="1" x14ac:dyDescent="0.3">
      <c r="C142" s="300"/>
      <c r="D142" s="308" t="s">
        <v>69</v>
      </c>
      <c r="E142" s="309"/>
      <c r="F142" s="310">
        <v>4.21</v>
      </c>
      <c r="G142" s="304"/>
    </row>
    <row r="143" spans="2:7" x14ac:dyDescent="0.25">
      <c r="C143" s="5"/>
      <c r="D143" s="311"/>
      <c r="E143" s="311"/>
      <c r="F143" s="311"/>
      <c r="G143" s="5"/>
    </row>
    <row r="151" spans="2:4" x14ac:dyDescent="0.25">
      <c r="B151" s="1" t="s">
        <v>869</v>
      </c>
    </row>
    <row r="152" spans="2:4" x14ac:dyDescent="0.25">
      <c r="C152" s="7" t="s">
        <v>70</v>
      </c>
    </row>
    <row r="153" spans="2:4" x14ac:dyDescent="0.25">
      <c r="C153" t="s">
        <v>71</v>
      </c>
    </row>
    <row r="154" spans="2:4" x14ac:dyDescent="0.25">
      <c r="C154" t="s">
        <v>72</v>
      </c>
    </row>
    <row r="155" spans="2:4" x14ac:dyDescent="0.25">
      <c r="C155" t="s">
        <v>73</v>
      </c>
    </row>
    <row r="157" spans="2:4" x14ac:dyDescent="0.25">
      <c r="C157" s="7" t="s">
        <v>74</v>
      </c>
    </row>
    <row r="158" spans="2:4" x14ac:dyDescent="0.25">
      <c r="C158" t="s">
        <v>75</v>
      </c>
    </row>
    <row r="159" spans="2:4" x14ac:dyDescent="0.25">
      <c r="D159" t="s">
        <v>15</v>
      </c>
    </row>
    <row r="160" spans="2:4" x14ac:dyDescent="0.25">
      <c r="C160" t="s">
        <v>102</v>
      </c>
    </row>
    <row r="162" spans="2:5" x14ac:dyDescent="0.25">
      <c r="B162" s="1" t="s">
        <v>872</v>
      </c>
    </row>
    <row r="163" spans="2:5" x14ac:dyDescent="0.25">
      <c r="C163" s="7" t="s">
        <v>76</v>
      </c>
    </row>
    <row r="164" spans="2:5" x14ac:dyDescent="0.25">
      <c r="C164" t="s">
        <v>77</v>
      </c>
    </row>
    <row r="165" spans="2:5" x14ac:dyDescent="0.25">
      <c r="C165" t="s">
        <v>72</v>
      </c>
    </row>
    <row r="167" spans="2:5" x14ac:dyDescent="0.25">
      <c r="C167" s="7" t="s">
        <v>78</v>
      </c>
    </row>
    <row r="168" spans="2:5" x14ac:dyDescent="0.25">
      <c r="C168" s="313" t="s">
        <v>16</v>
      </c>
    </row>
    <row r="169" spans="2:5" x14ac:dyDescent="0.25">
      <c r="C169" s="313"/>
      <c r="D169" t="s">
        <v>15</v>
      </c>
    </row>
    <row r="170" spans="2:5" x14ac:dyDescent="0.25">
      <c r="C170" s="313"/>
    </row>
    <row r="171" spans="2:5" x14ac:dyDescent="0.25">
      <c r="B171" s="1" t="s">
        <v>870</v>
      </c>
      <c r="C171" s="313"/>
    </row>
    <row r="172" spans="2:5" x14ac:dyDescent="0.25">
      <c r="C172" s="7" t="s">
        <v>103</v>
      </c>
    </row>
    <row r="173" spans="2:5" x14ac:dyDescent="0.25">
      <c r="C173" t="s">
        <v>104</v>
      </c>
    </row>
    <row r="174" spans="2:5" x14ac:dyDescent="0.25">
      <c r="D174" t="s">
        <v>79</v>
      </c>
    </row>
    <row r="175" spans="2:5" x14ac:dyDescent="0.25">
      <c r="E175" t="s">
        <v>80</v>
      </c>
    </row>
    <row r="176" spans="2:5" x14ac:dyDescent="0.25">
      <c r="E176" t="s">
        <v>81</v>
      </c>
    </row>
    <row r="177" spans="3:12" x14ac:dyDescent="0.25">
      <c r="D177" t="s">
        <v>17</v>
      </c>
    </row>
    <row r="178" spans="3:12" x14ac:dyDescent="0.25">
      <c r="E178" t="s">
        <v>18</v>
      </c>
    </row>
    <row r="179" spans="3:12" x14ac:dyDescent="0.25">
      <c r="E179" t="s">
        <v>11</v>
      </c>
    </row>
    <row r="180" spans="3:12" x14ac:dyDescent="0.25">
      <c r="E180" t="s">
        <v>82</v>
      </c>
    </row>
    <row r="181" spans="3:12" x14ac:dyDescent="0.25">
      <c r="D181" t="s">
        <v>83</v>
      </c>
    </row>
    <row r="182" spans="3:12" x14ac:dyDescent="0.25">
      <c r="D182" t="s">
        <v>99</v>
      </c>
    </row>
    <row r="183" spans="3:12" x14ac:dyDescent="0.25">
      <c r="D183" t="s">
        <v>19</v>
      </c>
    </row>
    <row r="184" spans="3:12" x14ac:dyDescent="0.25">
      <c r="C184" t="s">
        <v>105</v>
      </c>
    </row>
    <row r="186" spans="3:12" x14ac:dyDescent="0.25">
      <c r="D186" t="s">
        <v>874</v>
      </c>
    </row>
    <row r="187" spans="3:12" ht="15.75" thickBot="1" x14ac:dyDescent="0.3"/>
    <row r="188" spans="3:12" ht="15.75" thickBot="1" x14ac:dyDescent="0.3">
      <c r="E188" s="324" t="s">
        <v>0</v>
      </c>
      <c r="F188" s="325" t="s">
        <v>1</v>
      </c>
      <c r="G188" s="360" t="s">
        <v>5</v>
      </c>
      <c r="H188" s="361"/>
      <c r="I188" s="361"/>
      <c r="J188" s="361"/>
      <c r="K188" s="361"/>
      <c r="L188" s="362"/>
    </row>
    <row r="189" spans="3:12" x14ac:dyDescent="0.25">
      <c r="E189" s="326" t="s">
        <v>180</v>
      </c>
      <c r="F189" s="327" t="s">
        <v>181</v>
      </c>
      <c r="G189" s="363" t="s">
        <v>182</v>
      </c>
      <c r="H189" s="364"/>
      <c r="I189" s="364"/>
      <c r="J189" s="364"/>
      <c r="K189" s="364"/>
      <c r="L189" s="365"/>
    </row>
    <row r="190" spans="3:12" x14ac:dyDescent="0.25">
      <c r="E190" s="328" t="s">
        <v>183</v>
      </c>
      <c r="F190" s="329" t="s">
        <v>184</v>
      </c>
      <c r="G190" s="354" t="s">
        <v>185</v>
      </c>
      <c r="H190" s="355"/>
      <c r="I190" s="355"/>
      <c r="J190" s="355"/>
      <c r="K190" s="355"/>
      <c r="L190" s="356"/>
    </row>
    <row r="191" spans="3:12" x14ac:dyDescent="0.25">
      <c r="E191" s="328" t="s">
        <v>186</v>
      </c>
      <c r="F191" s="329" t="s">
        <v>187</v>
      </c>
      <c r="G191" s="354" t="s">
        <v>188</v>
      </c>
      <c r="H191" s="355"/>
      <c r="I191" s="355"/>
      <c r="J191" s="355"/>
      <c r="K191" s="355"/>
      <c r="L191" s="356"/>
    </row>
    <row r="192" spans="3:12" x14ac:dyDescent="0.25">
      <c r="E192" s="328" t="s">
        <v>189</v>
      </c>
      <c r="F192" s="329" t="s">
        <v>190</v>
      </c>
      <c r="G192" s="354" t="s">
        <v>191</v>
      </c>
      <c r="H192" s="355"/>
      <c r="I192" s="355"/>
      <c r="J192" s="355"/>
      <c r="K192" s="355"/>
      <c r="L192" s="356"/>
    </row>
    <row r="193" spans="4:12" x14ac:dyDescent="0.25">
      <c r="E193" s="328" t="s">
        <v>192</v>
      </c>
      <c r="F193" s="329" t="s">
        <v>193</v>
      </c>
      <c r="G193" s="354" t="s">
        <v>194</v>
      </c>
      <c r="H193" s="355"/>
      <c r="I193" s="355"/>
      <c r="J193" s="355"/>
      <c r="K193" s="355"/>
      <c r="L193" s="356"/>
    </row>
    <row r="194" spans="4:12" x14ac:dyDescent="0.25">
      <c r="E194" s="328" t="s">
        <v>195</v>
      </c>
      <c r="F194" s="329" t="s">
        <v>196</v>
      </c>
      <c r="G194" s="354" t="s">
        <v>197</v>
      </c>
      <c r="H194" s="355"/>
      <c r="I194" s="355"/>
      <c r="J194" s="355"/>
      <c r="K194" s="355"/>
      <c r="L194" s="356"/>
    </row>
    <row r="195" spans="4:12" x14ac:dyDescent="0.25">
      <c r="E195" s="328" t="s">
        <v>198</v>
      </c>
      <c r="F195" s="329" t="s">
        <v>199</v>
      </c>
      <c r="G195" s="354" t="s">
        <v>200</v>
      </c>
      <c r="H195" s="355"/>
      <c r="I195" s="355"/>
      <c r="J195" s="355"/>
      <c r="K195" s="355"/>
      <c r="L195" s="356"/>
    </row>
    <row r="196" spans="4:12" x14ac:dyDescent="0.25">
      <c r="E196" s="328" t="s">
        <v>165</v>
      </c>
      <c r="F196" s="329" t="s">
        <v>163</v>
      </c>
      <c r="G196" s="354" t="s">
        <v>164</v>
      </c>
      <c r="H196" s="355"/>
      <c r="I196" s="355"/>
      <c r="J196" s="355"/>
      <c r="K196" s="355"/>
      <c r="L196" s="356"/>
    </row>
    <row r="197" spans="4:12" ht="15.75" thickBot="1" x14ac:dyDescent="0.3">
      <c r="E197" s="330" t="s">
        <v>201</v>
      </c>
      <c r="F197" s="331" t="s">
        <v>202</v>
      </c>
      <c r="G197" s="357" t="s">
        <v>203</v>
      </c>
      <c r="H197" s="358"/>
      <c r="I197" s="358"/>
      <c r="J197" s="358"/>
      <c r="K197" s="358"/>
      <c r="L197" s="359"/>
    </row>
    <row r="198" spans="4:12" x14ac:dyDescent="0.25">
      <c r="E198" s="42"/>
      <c r="F198" s="43"/>
      <c r="G198" s="43"/>
    </row>
    <row r="199" spans="4:12" ht="15.75" thickBot="1" x14ac:dyDescent="0.3">
      <c r="D199" t="s">
        <v>204</v>
      </c>
    </row>
    <row r="200" spans="4:12" ht="15.75" thickBot="1" x14ac:dyDescent="0.3">
      <c r="E200" s="332" t="s">
        <v>0</v>
      </c>
      <c r="F200" s="333" t="s">
        <v>1</v>
      </c>
      <c r="G200" s="334" t="s">
        <v>5</v>
      </c>
    </row>
    <row r="201" spans="4:12" x14ac:dyDescent="0.25">
      <c r="E201" s="335" t="s">
        <v>205</v>
      </c>
      <c r="F201" s="336" t="s">
        <v>206</v>
      </c>
      <c r="G201" s="337" t="s">
        <v>207</v>
      </c>
    </row>
    <row r="202" spans="4:12" x14ac:dyDescent="0.25">
      <c r="E202" s="338" t="s">
        <v>208</v>
      </c>
      <c r="F202" s="339" t="s">
        <v>209</v>
      </c>
      <c r="G202" s="340" t="s">
        <v>210</v>
      </c>
    </row>
    <row r="203" spans="4:12" x14ac:dyDescent="0.25">
      <c r="E203" s="338" t="s">
        <v>211</v>
      </c>
      <c r="F203" s="341" t="s">
        <v>212</v>
      </c>
      <c r="G203" s="342" t="s">
        <v>213</v>
      </c>
    </row>
    <row r="204" spans="4:12" x14ac:dyDescent="0.25">
      <c r="E204" s="338" t="s">
        <v>214</v>
      </c>
      <c r="F204" s="341" t="s">
        <v>215</v>
      </c>
      <c r="G204" s="342" t="s">
        <v>216</v>
      </c>
    </row>
    <row r="205" spans="4:12" x14ac:dyDescent="0.25">
      <c r="E205" s="338" t="s">
        <v>217</v>
      </c>
      <c r="F205" s="341" t="s">
        <v>218</v>
      </c>
      <c r="G205" s="342" t="s">
        <v>219</v>
      </c>
    </row>
    <row r="206" spans="4:12" ht="15.75" thickBot="1" x14ac:dyDescent="0.3">
      <c r="E206" s="343" t="s">
        <v>220</v>
      </c>
      <c r="F206" s="344" t="s">
        <v>221</v>
      </c>
      <c r="G206" s="345" t="s">
        <v>222</v>
      </c>
    </row>
    <row r="208" spans="4:12" x14ac:dyDescent="0.25">
      <c r="D208" t="s">
        <v>223</v>
      </c>
    </row>
    <row r="210" spans="2:7" x14ac:dyDescent="0.25">
      <c r="C210" t="s">
        <v>917</v>
      </c>
    </row>
    <row r="211" spans="2:7" x14ac:dyDescent="0.25">
      <c r="C211" t="s">
        <v>110</v>
      </c>
    </row>
    <row r="212" spans="2:7" x14ac:dyDescent="0.25">
      <c r="D212" t="s">
        <v>113</v>
      </c>
    </row>
    <row r="213" spans="2:7" x14ac:dyDescent="0.25">
      <c r="C213" t="s">
        <v>111</v>
      </c>
    </row>
    <row r="214" spans="2:7" x14ac:dyDescent="0.25">
      <c r="C214" t="s">
        <v>224</v>
      </c>
    </row>
    <row r="217" spans="2:7" x14ac:dyDescent="0.25">
      <c r="B217" s="1" t="s">
        <v>873</v>
      </c>
    </row>
    <row r="218" spans="2:7" x14ac:dyDescent="0.25">
      <c r="C218" s="7" t="s">
        <v>84</v>
      </c>
    </row>
    <row r="219" spans="2:7" x14ac:dyDescent="0.25">
      <c r="C219" t="s">
        <v>85</v>
      </c>
    </row>
    <row r="220" spans="2:7" x14ac:dyDescent="0.25">
      <c r="D220" t="s">
        <v>86</v>
      </c>
      <c r="F220" s="312"/>
      <c r="G220" s="312"/>
    </row>
    <row r="221" spans="2:7" x14ac:dyDescent="0.25">
      <c r="E221" t="s">
        <v>20</v>
      </c>
    </row>
    <row r="222" spans="2:7" x14ac:dyDescent="0.25">
      <c r="E222" t="s">
        <v>21</v>
      </c>
    </row>
    <row r="223" spans="2:7" x14ac:dyDescent="0.25">
      <c r="D223" t="s">
        <v>87</v>
      </c>
    </row>
    <row r="224" spans="2:7" ht="18" x14ac:dyDescent="0.35">
      <c r="E224" t="s">
        <v>22</v>
      </c>
    </row>
    <row r="225" spans="3:5" ht="18" x14ac:dyDescent="0.35">
      <c r="E225" t="s">
        <v>88</v>
      </c>
    </row>
    <row r="226" spans="3:5" x14ac:dyDescent="0.25">
      <c r="D226" t="s">
        <v>24</v>
      </c>
    </row>
    <row r="227" spans="3:5" x14ac:dyDescent="0.25">
      <c r="D227" t="s">
        <v>23</v>
      </c>
    </row>
    <row r="228" spans="3:5" x14ac:dyDescent="0.25">
      <c r="D228" t="s">
        <v>89</v>
      </c>
    </row>
    <row r="230" spans="3:5" x14ac:dyDescent="0.25">
      <c r="C230" s="7"/>
    </row>
    <row r="234" spans="3:5" x14ac:dyDescent="0.25">
      <c r="D234" t="s">
        <v>90</v>
      </c>
    </row>
    <row r="238" spans="3:5" x14ac:dyDescent="0.25">
      <c r="D238" t="s">
        <v>91</v>
      </c>
    </row>
    <row r="241" spans="2:4" x14ac:dyDescent="0.25">
      <c r="B241" s="7" t="s">
        <v>121</v>
      </c>
    </row>
    <row r="242" spans="2:4" x14ac:dyDescent="0.25">
      <c r="B242" s="7"/>
      <c r="C242" s="7" t="s">
        <v>122</v>
      </c>
    </row>
    <row r="243" spans="2:4" x14ac:dyDescent="0.25">
      <c r="B243" s="7"/>
      <c r="C243" t="s">
        <v>123</v>
      </c>
    </row>
    <row r="244" spans="2:4" x14ac:dyDescent="0.25">
      <c r="B244" s="7"/>
      <c r="D244" t="s">
        <v>124</v>
      </c>
    </row>
    <row r="245" spans="2:4" x14ac:dyDescent="0.25">
      <c r="B245" s="7"/>
    </row>
    <row r="246" spans="2:4" x14ac:dyDescent="0.25">
      <c r="B246" s="7" t="s">
        <v>175</v>
      </c>
    </row>
    <row r="247" spans="2:4" x14ac:dyDescent="0.25">
      <c r="B247" s="7"/>
      <c r="C247" s="7" t="s">
        <v>225</v>
      </c>
    </row>
    <row r="248" spans="2:4" x14ac:dyDescent="0.25">
      <c r="B248" s="7"/>
      <c r="C248" t="s">
        <v>226</v>
      </c>
    </row>
    <row r="249" spans="2:4" x14ac:dyDescent="0.25">
      <c r="B249" s="7"/>
    </row>
    <row r="250" spans="2:4" x14ac:dyDescent="0.25">
      <c r="B250" s="7" t="s">
        <v>93</v>
      </c>
    </row>
    <row r="251" spans="2:4" x14ac:dyDescent="0.25">
      <c r="C251" t="s">
        <v>875</v>
      </c>
    </row>
    <row r="252" spans="2:4" x14ac:dyDescent="0.25">
      <c r="C252" s="7" t="s">
        <v>97</v>
      </c>
    </row>
    <row r="253" spans="2:4" x14ac:dyDescent="0.25">
      <c r="D253" t="s">
        <v>94</v>
      </c>
    </row>
    <row r="254" spans="2:4" x14ac:dyDescent="0.25">
      <c r="D254" t="s">
        <v>95</v>
      </c>
    </row>
    <row r="255" spans="2:4" x14ac:dyDescent="0.25">
      <c r="D255" t="s">
        <v>96</v>
      </c>
    </row>
  </sheetData>
  <mergeCells count="10">
    <mergeCell ref="G194:L194"/>
    <mergeCell ref="G195:L195"/>
    <mergeCell ref="G196:L196"/>
    <mergeCell ref="G197:L197"/>
    <mergeCell ref="G188:L188"/>
    <mergeCell ref="G189:L189"/>
    <mergeCell ref="G190:L190"/>
    <mergeCell ref="G191:L191"/>
    <mergeCell ref="G192:L192"/>
    <mergeCell ref="G193:L193"/>
  </mergeCells>
  <hyperlinks>
    <hyperlink ref="H1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4"/>
  <sheetViews>
    <sheetView showGridLines="0" zoomScaleNormal="100" workbookViewId="0"/>
  </sheetViews>
  <sheetFormatPr defaultColWidth="9.140625" defaultRowHeight="15" x14ac:dyDescent="0.25"/>
  <cols>
    <col min="1" max="1" width="8.5703125" customWidth="1"/>
    <col min="2" max="2" width="17.42578125" style="3" customWidth="1"/>
    <col min="3" max="3" width="12.28515625" style="3" bestFit="1" customWidth="1"/>
    <col min="4" max="4" width="25.5703125" customWidth="1"/>
    <col min="5" max="6" width="14.42578125" customWidth="1"/>
    <col min="7" max="7" width="22.7109375" bestFit="1" customWidth="1"/>
    <col min="8" max="8" width="22.7109375" customWidth="1"/>
    <col min="9" max="9" width="19.5703125" customWidth="1"/>
    <col min="10" max="10" width="54.5703125" customWidth="1"/>
    <col min="11" max="11" width="9.85546875" customWidth="1"/>
    <col min="12" max="12" width="16" customWidth="1"/>
    <col min="13" max="13" width="14.85546875" customWidth="1"/>
    <col min="14" max="14" width="47" customWidth="1"/>
    <col min="15" max="15" width="9.140625" customWidth="1"/>
    <col min="16" max="16" width="12" bestFit="1" customWidth="1"/>
  </cols>
  <sheetData>
    <row r="1" spans="1:10" s="44" customFormat="1" ht="60" customHeight="1" x14ac:dyDescent="0.25">
      <c r="A1" s="45"/>
      <c r="B1" s="46"/>
      <c r="C1" s="46"/>
    </row>
    <row r="2" spans="1:10" ht="15.75" thickBot="1" x14ac:dyDescent="0.3"/>
    <row r="3" spans="1:10" s="314" customFormat="1" ht="30.75" thickBot="1" x14ac:dyDescent="0.3">
      <c r="B3" s="63"/>
      <c r="C3" s="315" t="s">
        <v>896</v>
      </c>
      <c r="D3" s="63" t="s">
        <v>894</v>
      </c>
      <c r="E3" s="63"/>
      <c r="F3" s="63"/>
      <c r="G3" s="63"/>
      <c r="H3" s="63"/>
      <c r="I3" s="63"/>
    </row>
    <row r="4" spans="1:10" s="314" customFormat="1" ht="15.75" thickBot="1" x14ac:dyDescent="0.3">
      <c r="B4" s="316" t="s">
        <v>0</v>
      </c>
      <c r="C4" s="317" t="s">
        <v>1</v>
      </c>
      <c r="D4" s="317" t="s">
        <v>895</v>
      </c>
      <c r="E4" s="317" t="s">
        <v>435</v>
      </c>
      <c r="F4" s="317" t="s">
        <v>436</v>
      </c>
      <c r="G4" s="317" t="s">
        <v>2</v>
      </c>
      <c r="H4" s="317" t="s">
        <v>229</v>
      </c>
      <c r="I4" s="317" t="s">
        <v>115</v>
      </c>
      <c r="J4" s="318" t="s">
        <v>116</v>
      </c>
    </row>
  </sheetData>
  <phoneticPr fontId="6"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O5"/>
  <sheetViews>
    <sheetView showGridLines="0" zoomScaleNormal="100" workbookViewId="0"/>
  </sheetViews>
  <sheetFormatPr defaultColWidth="9.140625" defaultRowHeight="15" x14ac:dyDescent="0.25"/>
  <cols>
    <col min="1" max="1" width="4.28515625" style="64" customWidth="1"/>
    <col min="2" max="2" width="13" style="64" customWidth="1"/>
    <col min="3" max="3" width="33.7109375" style="64" customWidth="1"/>
    <col min="4" max="4" width="8.5703125" style="64" bestFit="1" customWidth="1"/>
    <col min="5" max="5" width="19.85546875" style="64" bestFit="1" customWidth="1"/>
    <col min="6" max="7" width="19.85546875" style="64" customWidth="1"/>
    <col min="8" max="8" width="10.85546875" style="64" bestFit="1" customWidth="1"/>
    <col min="9" max="9" width="10.85546875" style="64" customWidth="1"/>
    <col min="10" max="10" width="6.85546875" style="64" bestFit="1" customWidth="1"/>
    <col min="11" max="11" width="15.140625" style="64" customWidth="1"/>
    <col min="12" max="12" width="13.7109375" style="64" bestFit="1" customWidth="1"/>
    <col min="13" max="13" width="13.7109375" style="64" customWidth="1"/>
    <col min="14" max="14" width="20.7109375" style="64" bestFit="1" customWidth="1"/>
    <col min="15" max="15" width="21.7109375" style="64" customWidth="1"/>
    <col min="16" max="16384" width="9.140625" style="64"/>
  </cols>
  <sheetData>
    <row r="1" spans="1:15" s="62" customFormat="1" ht="50.25" customHeight="1" thickBot="1" x14ac:dyDescent="0.3">
      <c r="A1" s="61"/>
    </row>
    <row r="2" spans="1:15" ht="19.5" customHeight="1" thickBot="1" x14ac:dyDescent="0.3">
      <c r="A2" s="63"/>
      <c r="B2" s="63"/>
      <c r="C2" s="65" t="s">
        <v>897</v>
      </c>
      <c r="D2" s="63"/>
      <c r="E2" s="63"/>
      <c r="F2" s="63"/>
      <c r="G2" s="63"/>
      <c r="H2" s="63"/>
      <c r="I2" s="63"/>
    </row>
    <row r="3" spans="1:15" s="66" customFormat="1" ht="15.75" thickBot="1" x14ac:dyDescent="0.3">
      <c r="A3" s="64"/>
      <c r="B3" s="278" t="s">
        <v>0</v>
      </c>
      <c r="C3" s="279" t="s">
        <v>1</v>
      </c>
      <c r="D3" s="279" t="s">
        <v>12</v>
      </c>
      <c r="E3" s="279" t="s">
        <v>13</v>
      </c>
      <c r="F3" s="317" t="s">
        <v>435</v>
      </c>
      <c r="G3" s="317" t="s">
        <v>436</v>
      </c>
      <c r="H3" s="279" t="s">
        <v>2</v>
      </c>
      <c r="I3" s="279" t="s">
        <v>229</v>
      </c>
      <c r="J3" s="279" t="s">
        <v>14</v>
      </c>
      <c r="K3" s="279" t="s">
        <v>883</v>
      </c>
      <c r="L3" s="279" t="s">
        <v>3</v>
      </c>
      <c r="M3" s="349" t="s">
        <v>918</v>
      </c>
      <c r="N3" s="280" t="s">
        <v>115</v>
      </c>
      <c r="O3" s="281" t="s">
        <v>7</v>
      </c>
    </row>
    <row r="4" spans="1:15" x14ac:dyDescent="0.25">
      <c r="J4" s="294"/>
      <c r="K4" s="294"/>
      <c r="L4" s="295"/>
      <c r="M4" s="295"/>
    </row>
    <row r="5" spans="1:15" x14ac:dyDescent="0.25">
      <c r="J5" s="294"/>
      <c r="K5" s="294"/>
      <c r="L5" s="295"/>
      <c r="M5" s="295"/>
    </row>
  </sheetData>
  <phoneticPr fontId="6"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8"/>
  <dimension ref="B1:H4"/>
  <sheetViews>
    <sheetView workbookViewId="0">
      <selection activeCell="H10" sqref="H10"/>
    </sheetView>
  </sheetViews>
  <sheetFormatPr defaultColWidth="8.85546875" defaultRowHeight="15" x14ac:dyDescent="0.25"/>
  <cols>
    <col min="3" max="3" width="31.85546875" customWidth="1"/>
    <col min="7" max="7" width="13.42578125" customWidth="1"/>
    <col min="8" max="8" width="29" customWidth="1"/>
  </cols>
  <sheetData>
    <row r="1" spans="2:8" s="62" customFormat="1" ht="58.5" customHeight="1" thickBot="1" x14ac:dyDescent="0.3">
      <c r="H1" s="90"/>
    </row>
    <row r="2" spans="2:8" ht="21.75" customHeight="1" thickBot="1" x14ac:dyDescent="0.3">
      <c r="B2" s="63"/>
      <c r="C2" s="91" t="s">
        <v>8</v>
      </c>
      <c r="D2" s="63"/>
      <c r="E2" s="63"/>
      <c r="F2" s="63"/>
      <c r="G2" s="64"/>
      <c r="H2" s="64"/>
    </row>
    <row r="3" spans="2:8" ht="30.75" thickBot="1" x14ac:dyDescent="0.3">
      <c r="B3" s="92" t="s">
        <v>0</v>
      </c>
      <c r="C3" s="93" t="s">
        <v>1</v>
      </c>
      <c r="D3" s="72" t="s">
        <v>166</v>
      </c>
      <c r="E3" s="93" t="s">
        <v>2</v>
      </c>
      <c r="F3" s="93" t="s">
        <v>229</v>
      </c>
      <c r="G3" s="93" t="s">
        <v>115</v>
      </c>
      <c r="H3" s="94" t="s">
        <v>116</v>
      </c>
    </row>
    <row r="4" spans="2:8" x14ac:dyDescent="0.25">
      <c r="B4" s="287"/>
    </row>
  </sheetData>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3"/>
  <dimension ref="A1:G5"/>
  <sheetViews>
    <sheetView showGridLines="0" zoomScale="85" zoomScaleNormal="85" workbookViewId="0">
      <pane xSplit="4" ySplit="3" topLeftCell="E4" activePane="bottomRight" state="frozen"/>
      <selection pane="topRight" activeCell="E1" sqref="E1"/>
      <selection pane="bottomLeft" activeCell="A4" sqref="A4"/>
      <selection pane="bottomRight" activeCell="E4" sqref="E4"/>
    </sheetView>
  </sheetViews>
  <sheetFormatPr defaultColWidth="8.85546875" defaultRowHeight="15" x14ac:dyDescent="0.25"/>
  <cols>
    <col min="1" max="1" width="4.42578125" customWidth="1"/>
    <col min="2" max="2" width="3.42578125" bestFit="1" customWidth="1"/>
    <col min="3" max="3" width="7.5703125" bestFit="1" customWidth="1"/>
    <col min="4" max="4" width="43.5703125" bestFit="1" customWidth="1"/>
    <col min="5" max="5" width="110" customWidth="1"/>
    <col min="6" max="6" width="8.85546875" bestFit="1" customWidth="1"/>
    <col min="7" max="7" width="12.42578125" bestFit="1" customWidth="1"/>
    <col min="10" max="10" width="56.5703125" customWidth="1"/>
    <col min="11" max="11" width="12" bestFit="1" customWidth="1"/>
  </cols>
  <sheetData>
    <row r="1" spans="1:7" s="44" customFormat="1" ht="54" customHeight="1" thickBot="1" x14ac:dyDescent="0.3">
      <c r="A1" s="47"/>
    </row>
    <row r="2" spans="1:7" ht="18.75" customHeight="1" thickBot="1" x14ac:dyDescent="0.3">
      <c r="C2" s="67"/>
      <c r="D2" s="51" t="s">
        <v>128</v>
      </c>
      <c r="E2" s="14"/>
    </row>
    <row r="3" spans="1:7" s="68" customFormat="1" ht="18.75" thickBot="1" x14ac:dyDescent="0.3">
      <c r="B3" s="76" t="s">
        <v>92</v>
      </c>
      <c r="C3" s="77" t="s">
        <v>0</v>
      </c>
      <c r="D3" s="77" t="s">
        <v>1</v>
      </c>
      <c r="E3" s="78" t="s">
        <v>240</v>
      </c>
      <c r="F3" s="79" t="s">
        <v>10</v>
      </c>
      <c r="G3" s="350" t="s">
        <v>115</v>
      </c>
    </row>
    <row r="4" spans="1:7" s="9" customFormat="1" x14ac:dyDescent="0.25"/>
    <row r="5" spans="1:7" s="41" customFormat="1" x14ac:dyDescent="0.25">
      <c r="A5" s="41" t="s">
        <v>882</v>
      </c>
    </row>
  </sheetData>
  <phoneticPr fontId="6"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4"/>
  <dimension ref="A1:V16"/>
  <sheetViews>
    <sheetView showGridLines="0" zoomScale="80" zoomScaleNormal="80" workbookViewId="0">
      <selection activeCell="C33" sqref="C33"/>
    </sheetView>
  </sheetViews>
  <sheetFormatPr defaultColWidth="8.85546875" defaultRowHeight="15" x14ac:dyDescent="0.25"/>
  <cols>
    <col min="1" max="1" width="17.7109375" customWidth="1"/>
    <col min="2" max="2" width="19.5703125" bestFit="1" customWidth="1"/>
    <col min="3" max="3" width="31.7109375" bestFit="1" customWidth="1"/>
    <col min="4" max="4" width="14.7109375" customWidth="1"/>
    <col min="5" max="5" width="10.85546875" bestFit="1" customWidth="1"/>
    <col min="6" max="6" width="29.140625" bestFit="1" customWidth="1"/>
    <col min="7" max="7" width="28.7109375" bestFit="1" customWidth="1"/>
    <col min="8" max="8" width="10.28515625" bestFit="1" customWidth="1"/>
    <col min="9" max="9" width="39.85546875" customWidth="1"/>
    <col min="10" max="10" width="42.7109375" customWidth="1"/>
    <col min="11" max="11" width="41.5703125" customWidth="1"/>
    <col min="12" max="12" width="12.85546875" customWidth="1"/>
    <col min="13" max="13" width="10.28515625" bestFit="1" customWidth="1"/>
    <col min="18" max="18" width="18.42578125" bestFit="1" customWidth="1"/>
  </cols>
  <sheetData>
    <row r="1" spans="1:22" s="44" customFormat="1" ht="48" customHeight="1" thickBot="1" x14ac:dyDescent="0.3">
      <c r="A1" s="48"/>
      <c r="C1" s="90"/>
    </row>
    <row r="2" spans="1:22" ht="21" customHeight="1" thickBot="1" x14ac:dyDescent="0.3">
      <c r="B2" t="s">
        <v>261</v>
      </c>
      <c r="C2" s="52" t="s">
        <v>4</v>
      </c>
      <c r="D2" s="4"/>
      <c r="P2" s="1"/>
      <c r="Q2" s="1"/>
      <c r="U2" s="1" t="s">
        <v>159</v>
      </c>
      <c r="V2" s="1"/>
    </row>
    <row r="3" spans="1:22" s="7" customFormat="1" ht="18.75" thickBot="1" x14ac:dyDescent="0.3">
      <c r="B3" s="84" t="s">
        <v>0</v>
      </c>
      <c r="C3" s="85" t="s">
        <v>1</v>
      </c>
      <c r="D3" s="284" t="s">
        <v>242</v>
      </c>
      <c r="E3" s="284" t="s">
        <v>243</v>
      </c>
      <c r="F3" s="284" t="s">
        <v>244</v>
      </c>
      <c r="G3" s="284" t="s">
        <v>245</v>
      </c>
      <c r="H3" s="284" t="s">
        <v>246</v>
      </c>
      <c r="I3" s="284" t="s">
        <v>247</v>
      </c>
      <c r="J3" s="284" t="s">
        <v>248</v>
      </c>
      <c r="K3" s="284" t="s">
        <v>249</v>
      </c>
      <c r="L3" s="285" t="s">
        <v>250</v>
      </c>
      <c r="M3" s="286" t="s">
        <v>251</v>
      </c>
      <c r="N3" s="72" t="s">
        <v>166</v>
      </c>
      <c r="O3" s="72" t="s">
        <v>2</v>
      </c>
      <c r="P3" s="72" t="s">
        <v>229</v>
      </c>
      <c r="Q3" s="72" t="s">
        <v>115</v>
      </c>
      <c r="R3" s="73" t="s">
        <v>116</v>
      </c>
      <c r="U3" s="1">
        <v>1</v>
      </c>
      <c r="V3" s="1" t="s">
        <v>84</v>
      </c>
    </row>
    <row r="4" spans="1:22" ht="18.75" x14ac:dyDescent="0.25">
      <c r="B4" s="75" t="s">
        <v>263</v>
      </c>
      <c r="C4" s="86" t="s">
        <v>152</v>
      </c>
      <c r="D4" s="86" t="s">
        <v>153</v>
      </c>
      <c r="E4" s="86" t="s">
        <v>264</v>
      </c>
      <c r="F4" s="86"/>
      <c r="G4" s="86"/>
      <c r="H4" s="86"/>
      <c r="I4" s="86"/>
      <c r="J4" s="86"/>
      <c r="K4" s="86"/>
      <c r="L4" s="86"/>
      <c r="M4" s="96"/>
      <c r="N4" s="274"/>
      <c r="O4" s="274" t="s">
        <v>868</v>
      </c>
      <c r="P4" s="274"/>
      <c r="Q4" s="274"/>
      <c r="R4" s="275"/>
      <c r="U4" s="1">
        <v>2</v>
      </c>
      <c r="V4" s="1" t="s">
        <v>160</v>
      </c>
    </row>
    <row r="5" spans="1:22" ht="21.75" customHeight="1" x14ac:dyDescent="0.25">
      <c r="B5" s="70" t="s">
        <v>265</v>
      </c>
      <c r="C5" s="97" t="s">
        <v>154</v>
      </c>
      <c r="D5" s="97"/>
      <c r="E5" s="97"/>
      <c r="F5" s="97" t="s">
        <v>266</v>
      </c>
      <c r="G5" s="97" t="s">
        <v>267</v>
      </c>
      <c r="H5" s="97"/>
      <c r="I5" s="97"/>
      <c r="J5" s="97"/>
      <c r="K5" s="97"/>
      <c r="L5" s="97"/>
      <c r="M5" s="98"/>
      <c r="N5" s="98"/>
      <c r="O5" s="98" t="s">
        <v>868</v>
      </c>
      <c r="P5" s="98"/>
      <c r="Q5" s="98"/>
      <c r="R5" s="276"/>
    </row>
    <row r="6" spans="1:22" ht="21.75" customHeight="1" x14ac:dyDescent="0.25">
      <c r="B6" s="70" t="s">
        <v>268</v>
      </c>
      <c r="C6" s="97" t="s">
        <v>155</v>
      </c>
      <c r="D6" s="97"/>
      <c r="E6" s="97"/>
      <c r="F6" s="97"/>
      <c r="G6" s="97"/>
      <c r="H6" s="97" t="s">
        <v>269</v>
      </c>
      <c r="I6" s="97"/>
      <c r="J6" s="97"/>
      <c r="K6" s="97"/>
      <c r="L6" s="97"/>
      <c r="M6" s="98"/>
      <c r="N6" s="98"/>
      <c r="O6" s="98" t="s">
        <v>868</v>
      </c>
      <c r="P6" s="98"/>
      <c r="Q6" s="98"/>
      <c r="R6" s="276"/>
      <c r="V6" t="s">
        <v>161</v>
      </c>
    </row>
    <row r="7" spans="1:22" ht="21.75" customHeight="1" x14ac:dyDescent="0.25">
      <c r="B7" s="70" t="s">
        <v>270</v>
      </c>
      <c r="C7" s="97" t="s">
        <v>167</v>
      </c>
      <c r="D7" s="97"/>
      <c r="E7" s="97"/>
      <c r="F7" s="97"/>
      <c r="G7" s="97"/>
      <c r="H7" s="97"/>
      <c r="I7" s="97" t="s">
        <v>271</v>
      </c>
      <c r="J7" s="97" t="s">
        <v>272</v>
      </c>
      <c r="K7" s="97" t="s">
        <v>273</v>
      </c>
      <c r="L7" s="97"/>
      <c r="M7" s="98"/>
      <c r="N7" s="98"/>
      <c r="O7" s="98" t="s">
        <v>868</v>
      </c>
      <c r="P7" s="98"/>
      <c r="Q7" s="98"/>
      <c r="R7" s="276"/>
    </row>
    <row r="8" spans="1:22" ht="18" x14ac:dyDescent="0.25">
      <c r="B8" s="70" t="s">
        <v>274</v>
      </c>
      <c r="C8" s="97" t="s">
        <v>156</v>
      </c>
      <c r="D8" s="97"/>
      <c r="E8" s="97"/>
      <c r="F8" s="97"/>
      <c r="G8" s="97"/>
      <c r="H8" s="97"/>
      <c r="I8" s="97"/>
      <c r="J8" s="97"/>
      <c r="K8" s="97"/>
      <c r="L8" s="97" t="s">
        <v>275</v>
      </c>
      <c r="M8" s="98"/>
      <c r="N8" s="98"/>
      <c r="O8" s="98" t="s">
        <v>868</v>
      </c>
      <c r="P8" s="98"/>
      <c r="Q8" s="98"/>
      <c r="R8" s="276"/>
    </row>
    <row r="9" spans="1:22" ht="18.75" thickBot="1" x14ac:dyDescent="0.3">
      <c r="B9" s="71" t="s">
        <v>277</v>
      </c>
      <c r="C9" s="88" t="s">
        <v>157</v>
      </c>
      <c r="D9" s="88"/>
      <c r="E9" s="88"/>
      <c r="F9" s="88"/>
      <c r="G9" s="88"/>
      <c r="H9" s="88"/>
      <c r="I9" s="88"/>
      <c r="J9" s="88"/>
      <c r="K9" s="88"/>
      <c r="L9" s="99"/>
      <c r="M9" s="88" t="s">
        <v>276</v>
      </c>
      <c r="N9" s="99"/>
      <c r="O9" s="99" t="s">
        <v>868</v>
      </c>
      <c r="P9" s="99"/>
      <c r="Q9" s="99"/>
      <c r="R9" s="277"/>
    </row>
    <row r="10" spans="1:22" ht="15.75" thickBot="1" x14ac:dyDescent="0.3">
      <c r="B10" s="6"/>
    </row>
    <row r="11" spans="1:22" ht="15.75" thickBot="1" x14ac:dyDescent="0.3">
      <c r="B11" s="80" t="s">
        <v>262</v>
      </c>
      <c r="C11" s="81" t="s">
        <v>241</v>
      </c>
      <c r="D11" s="82"/>
      <c r="E11" s="82"/>
      <c r="F11" s="82"/>
      <c r="G11" s="82"/>
      <c r="H11" s="82"/>
      <c r="I11" s="82"/>
      <c r="J11" s="82"/>
      <c r="K11" s="82"/>
      <c r="L11" s="83"/>
      <c r="M11" s="82"/>
    </row>
    <row r="12" spans="1:22" ht="18.75" thickBot="1" x14ac:dyDescent="0.3">
      <c r="B12" s="84" t="s">
        <v>0</v>
      </c>
      <c r="C12" s="85" t="s">
        <v>1</v>
      </c>
      <c r="D12" s="284" t="s">
        <v>242</v>
      </c>
      <c r="E12" s="284" t="s">
        <v>243</v>
      </c>
      <c r="F12" s="284" t="s">
        <v>244</v>
      </c>
      <c r="G12" s="284" t="s">
        <v>245</v>
      </c>
      <c r="H12" s="284" t="s">
        <v>246</v>
      </c>
      <c r="I12" s="284" t="s">
        <v>247</v>
      </c>
      <c r="J12" s="284" t="s">
        <v>248</v>
      </c>
      <c r="K12" s="284" t="s">
        <v>249</v>
      </c>
      <c r="L12" s="285" t="s">
        <v>250</v>
      </c>
      <c r="M12" s="286" t="s">
        <v>251</v>
      </c>
      <c r="N12" s="72" t="s">
        <v>166</v>
      </c>
      <c r="O12" s="72" t="s">
        <v>2</v>
      </c>
      <c r="P12" s="72" t="s">
        <v>229</v>
      </c>
      <c r="Q12" s="72" t="s">
        <v>115</v>
      </c>
      <c r="R12" s="73" t="s">
        <v>116</v>
      </c>
    </row>
    <row r="13" spans="1:22" ht="17.25" x14ac:dyDescent="0.25">
      <c r="B13" s="75" t="s">
        <v>252</v>
      </c>
      <c r="C13" s="86" t="s">
        <v>162</v>
      </c>
      <c r="D13" s="86">
        <v>1</v>
      </c>
      <c r="E13" s="87" t="s">
        <v>253</v>
      </c>
      <c r="F13" s="86">
        <v>0</v>
      </c>
      <c r="G13" s="86">
        <v>1</v>
      </c>
      <c r="H13" s="87" t="s">
        <v>253</v>
      </c>
      <c r="I13" s="86">
        <v>0</v>
      </c>
      <c r="J13" s="87" t="s">
        <v>253</v>
      </c>
      <c r="K13" s="87" t="s">
        <v>254</v>
      </c>
      <c r="L13" s="86">
        <v>1</v>
      </c>
      <c r="M13" s="100" t="s">
        <v>253</v>
      </c>
      <c r="N13" s="274" t="e">
        <f>SUM(pH!#REF!)</f>
        <v>#REF!</v>
      </c>
      <c r="O13" s="274" t="s">
        <v>868</v>
      </c>
      <c r="P13" s="274"/>
      <c r="Q13" s="274"/>
      <c r="R13" s="275"/>
    </row>
    <row r="14" spans="1:22" ht="18.75" thickBot="1" x14ac:dyDescent="0.3">
      <c r="B14" s="71" t="s">
        <v>876</v>
      </c>
      <c r="C14" s="88" t="s">
        <v>255</v>
      </c>
      <c r="D14" s="88" t="s">
        <v>256</v>
      </c>
      <c r="E14" s="89" t="s">
        <v>257</v>
      </c>
      <c r="F14" s="88">
        <v>0</v>
      </c>
      <c r="G14" s="88" t="s">
        <v>256</v>
      </c>
      <c r="H14" s="89" t="s">
        <v>257</v>
      </c>
      <c r="I14" s="88">
        <v>0</v>
      </c>
      <c r="J14" s="89" t="s">
        <v>257</v>
      </c>
      <c r="K14" s="89" t="s">
        <v>258</v>
      </c>
      <c r="L14" s="88" t="s">
        <v>256</v>
      </c>
      <c r="M14" s="89" t="s">
        <v>257</v>
      </c>
      <c r="N14" s="99" t="e">
        <f>SUM(pH!#REF!)</f>
        <v>#REF!</v>
      </c>
      <c r="O14" s="99" t="s">
        <v>868</v>
      </c>
      <c r="P14" s="99"/>
      <c r="Q14" s="99"/>
      <c r="R14" s="277"/>
    </row>
    <row r="15" spans="1:22" x14ac:dyDescent="0.25">
      <c r="B15" s="6"/>
    </row>
    <row r="16" spans="1:22" s="41" customFormat="1" x14ac:dyDescent="0.25">
      <c r="A16" s="41" t="s">
        <v>882</v>
      </c>
    </row>
  </sheetData>
  <phoneticPr fontId="6"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3"/>
  <dimension ref="B1:I13"/>
  <sheetViews>
    <sheetView showGridLines="0" workbookViewId="0">
      <selection activeCell="L12" sqref="L12"/>
    </sheetView>
  </sheetViews>
  <sheetFormatPr defaultColWidth="9.140625" defaultRowHeight="15" x14ac:dyDescent="0.25"/>
  <cols>
    <col min="1" max="1" width="4" style="21" customWidth="1"/>
    <col min="2" max="2" width="22" style="20" customWidth="1"/>
    <col min="3" max="3" width="9.7109375" style="21" customWidth="1"/>
    <col min="4" max="16384" width="9.140625" style="21"/>
  </cols>
  <sheetData>
    <row r="1" spans="2:9" ht="56.25" customHeight="1" thickBot="1" x14ac:dyDescent="0.3"/>
    <row r="2" spans="2:9" s="20" customFormat="1" ht="15.75" thickBot="1" x14ac:dyDescent="0.3">
      <c r="B2" s="22" t="s">
        <v>134</v>
      </c>
      <c r="C2" s="23" t="s">
        <v>135</v>
      </c>
      <c r="D2" s="23" t="s">
        <v>136</v>
      </c>
      <c r="E2" s="23" t="s">
        <v>137</v>
      </c>
      <c r="F2" s="23" t="s">
        <v>138</v>
      </c>
      <c r="G2" s="23" t="s">
        <v>139</v>
      </c>
      <c r="H2" s="23" t="s">
        <v>140</v>
      </c>
      <c r="I2" s="24" t="s">
        <v>141</v>
      </c>
    </row>
    <row r="3" spans="2:9" ht="15.75" thickBot="1" x14ac:dyDescent="0.3">
      <c r="B3" s="25" t="s">
        <v>9</v>
      </c>
      <c r="C3" s="26">
        <v>1</v>
      </c>
      <c r="D3" s="26">
        <v>0</v>
      </c>
      <c r="E3" s="26">
        <v>-1</v>
      </c>
      <c r="F3" s="26">
        <v>-1</v>
      </c>
      <c r="G3" s="26">
        <v>1</v>
      </c>
      <c r="H3" s="27">
        <v>-1</v>
      </c>
      <c r="I3" s="28"/>
    </row>
    <row r="4" spans="2:9" x14ac:dyDescent="0.25">
      <c r="B4" s="29" t="s">
        <v>135</v>
      </c>
      <c r="C4" s="30">
        <v>1</v>
      </c>
      <c r="D4" s="30"/>
      <c r="E4" s="30"/>
      <c r="F4" s="30"/>
      <c r="G4" s="30"/>
      <c r="H4" s="31"/>
      <c r="I4" s="28"/>
    </row>
    <row r="5" spans="2:9" x14ac:dyDescent="0.25">
      <c r="B5" s="29" t="s">
        <v>136</v>
      </c>
      <c r="C5" s="30"/>
      <c r="D5" s="30">
        <v>1</v>
      </c>
      <c r="E5" s="30"/>
      <c r="F5" s="30"/>
      <c r="G5" s="30"/>
      <c r="H5" s="31"/>
      <c r="I5" s="28"/>
    </row>
    <row r="6" spans="2:9" x14ac:dyDescent="0.25">
      <c r="B6" s="29" t="s">
        <v>142</v>
      </c>
      <c r="C6" s="30"/>
      <c r="D6" s="30"/>
      <c r="E6" s="30">
        <v>1</v>
      </c>
      <c r="F6" s="30"/>
      <c r="G6" s="30"/>
      <c r="H6" s="31"/>
      <c r="I6" s="28"/>
    </row>
    <row r="7" spans="2:9" x14ac:dyDescent="0.25">
      <c r="B7" s="29" t="s">
        <v>143</v>
      </c>
      <c r="C7" s="30"/>
      <c r="D7" s="30"/>
      <c r="E7" s="30"/>
      <c r="F7" s="30">
        <v>1</v>
      </c>
      <c r="G7" s="30"/>
      <c r="H7" s="31"/>
      <c r="I7" s="28"/>
    </row>
    <row r="8" spans="2:9" x14ac:dyDescent="0.25">
      <c r="B8" s="29" t="s">
        <v>139</v>
      </c>
      <c r="C8" s="30"/>
      <c r="D8" s="30"/>
      <c r="E8" s="30"/>
      <c r="F8" s="30"/>
      <c r="G8" s="30">
        <v>1</v>
      </c>
      <c r="H8" s="31"/>
      <c r="I8" s="28"/>
    </row>
    <row r="9" spans="2:9" ht="15.75" thickBot="1" x14ac:dyDescent="0.3">
      <c r="B9" s="32" t="s">
        <v>140</v>
      </c>
      <c r="C9" s="33"/>
      <c r="D9" s="33"/>
      <c r="E9" s="33"/>
      <c r="F9" s="33"/>
      <c r="G9" s="33"/>
      <c r="H9" s="34">
        <v>1</v>
      </c>
    </row>
    <row r="10" spans="2:9" x14ac:dyDescent="0.25">
      <c r="B10" s="29" t="s">
        <v>144</v>
      </c>
      <c r="C10" s="30">
        <v>-1</v>
      </c>
      <c r="D10" s="30">
        <v>0</v>
      </c>
      <c r="E10" s="30">
        <v>0</v>
      </c>
      <c r="F10" s="30">
        <v>0</v>
      </c>
      <c r="G10" s="30">
        <v>0</v>
      </c>
      <c r="H10" s="30">
        <v>0</v>
      </c>
      <c r="I10" s="35">
        <v>-14.163232949999999</v>
      </c>
    </row>
    <row r="11" spans="2:9" ht="15.75" thickBot="1" x14ac:dyDescent="0.3">
      <c r="B11" s="29" t="s">
        <v>145</v>
      </c>
      <c r="C11" s="30">
        <v>1</v>
      </c>
      <c r="D11" s="30">
        <v>1</v>
      </c>
      <c r="E11" s="30">
        <v>0</v>
      </c>
      <c r="F11" s="30">
        <v>0</v>
      </c>
      <c r="G11" s="30">
        <v>0</v>
      </c>
      <c r="H11" s="30">
        <v>0</v>
      </c>
      <c r="I11" s="36">
        <v>9.4016472899999997</v>
      </c>
    </row>
    <row r="12" spans="2:9" x14ac:dyDescent="0.25">
      <c r="B12" s="37" t="s">
        <v>146</v>
      </c>
      <c r="C12" s="40"/>
      <c r="D12" s="40">
        <v>1E-3</v>
      </c>
      <c r="E12" s="40">
        <v>1E-3</v>
      </c>
      <c r="F12" s="40">
        <v>1E-3</v>
      </c>
      <c r="G12" s="40">
        <v>1E-3</v>
      </c>
      <c r="H12" s="38">
        <v>1E-3</v>
      </c>
      <c r="I12" s="28"/>
    </row>
    <row r="13" spans="2:9" ht="15.75" thickBot="1" x14ac:dyDescent="0.3">
      <c r="B13" s="32" t="s">
        <v>147</v>
      </c>
      <c r="C13" s="39">
        <v>9.9999999999999995E-8</v>
      </c>
      <c r="D13" s="39">
        <v>1E-4</v>
      </c>
      <c r="E13" s="33">
        <v>1E-3</v>
      </c>
      <c r="F13" s="33">
        <v>1E-3</v>
      </c>
      <c r="G13" s="33">
        <v>1E-3</v>
      </c>
      <c r="H13" s="34">
        <v>1E-3</v>
      </c>
      <c r="I13" s="28"/>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5"/>
  <dimension ref="B1:G16"/>
  <sheetViews>
    <sheetView showGridLines="0" workbookViewId="0">
      <selection activeCell="D9" sqref="D9"/>
    </sheetView>
  </sheetViews>
  <sheetFormatPr defaultColWidth="8.85546875" defaultRowHeight="15" x14ac:dyDescent="0.25"/>
  <cols>
    <col min="1" max="1" width="16.85546875" customWidth="1"/>
    <col min="2" max="2" width="7.5703125" bestFit="1" customWidth="1"/>
    <col min="3" max="3" width="19.42578125" customWidth="1"/>
    <col min="4" max="4" width="51.85546875" customWidth="1"/>
    <col min="5" max="5" width="4.85546875" bestFit="1" customWidth="1"/>
    <col min="6" max="6" width="5" bestFit="1" customWidth="1"/>
    <col min="7" max="7" width="22.28515625" customWidth="1"/>
  </cols>
  <sheetData>
    <row r="1" spans="2:7" s="44" customFormat="1" ht="57.75" customHeight="1" thickBot="1" x14ac:dyDescent="0.3"/>
    <row r="2" spans="2:7" ht="15.75" thickBot="1" x14ac:dyDescent="0.3">
      <c r="B2" s="3"/>
      <c r="C2" s="58" t="s">
        <v>114</v>
      </c>
      <c r="D2" s="59" t="s">
        <v>118</v>
      </c>
      <c r="E2" s="3"/>
      <c r="F2" s="3"/>
      <c r="G2" s="3"/>
    </row>
    <row r="3" spans="2:7" x14ac:dyDescent="0.25">
      <c r="B3" s="53" t="s">
        <v>0</v>
      </c>
      <c r="C3" s="54" t="s">
        <v>1</v>
      </c>
      <c r="D3" s="54" t="s">
        <v>5</v>
      </c>
      <c r="E3" s="55" t="s">
        <v>2</v>
      </c>
      <c r="F3" s="56" t="s">
        <v>115</v>
      </c>
      <c r="G3" s="57" t="s">
        <v>116</v>
      </c>
    </row>
    <row r="4" spans="2:7" x14ac:dyDescent="0.25">
      <c r="B4" s="5"/>
      <c r="C4" s="5"/>
      <c r="D4" s="5"/>
      <c r="E4" s="5"/>
      <c r="F4" s="5"/>
      <c r="G4" s="5"/>
    </row>
    <row r="13" spans="2:7" ht="15.75" thickBot="1" x14ac:dyDescent="0.3"/>
    <row r="14" spans="2:7" ht="15.75" thickBot="1" x14ac:dyDescent="0.3">
      <c r="B14" s="3"/>
      <c r="C14" s="58" t="s">
        <v>114</v>
      </c>
      <c r="D14" s="59" t="s">
        <v>118</v>
      </c>
      <c r="E14" s="3"/>
      <c r="F14" s="3"/>
      <c r="G14" s="3"/>
    </row>
    <row r="15" spans="2:7" x14ac:dyDescent="0.25">
      <c r="B15" s="53" t="s">
        <v>0</v>
      </c>
      <c r="C15" s="54" t="s">
        <v>1</v>
      </c>
      <c r="D15" s="54" t="s">
        <v>5</v>
      </c>
      <c r="E15" s="55" t="s">
        <v>2</v>
      </c>
      <c r="F15" s="56" t="s">
        <v>115</v>
      </c>
      <c r="G15" s="57" t="s">
        <v>116</v>
      </c>
    </row>
    <row r="16" spans="2:7" x14ac:dyDescent="0.25">
      <c r="B16" s="5"/>
      <c r="C16" s="5"/>
      <c r="D16" s="5"/>
      <c r="E16" s="5"/>
      <c r="F16" s="5"/>
      <c r="G16" s="5"/>
    </row>
  </sheetData>
  <phoneticPr fontId="6"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6"/>
  <dimension ref="B1:G4"/>
  <sheetViews>
    <sheetView showGridLines="0" workbookViewId="0">
      <selection activeCell="C2" sqref="C2"/>
    </sheetView>
  </sheetViews>
  <sheetFormatPr defaultColWidth="8.85546875" defaultRowHeight="15" x14ac:dyDescent="0.25"/>
  <cols>
    <col min="2" max="2" width="15.140625" customWidth="1"/>
    <col min="3" max="3" width="24.85546875" customWidth="1"/>
    <col min="4" max="4" width="20.85546875" customWidth="1"/>
    <col min="7" max="7" width="23.42578125" customWidth="1"/>
  </cols>
  <sheetData>
    <row r="1" spans="2:7" s="44" customFormat="1" ht="43.5" customHeight="1" thickBot="1" x14ac:dyDescent="0.3"/>
    <row r="2" spans="2:7" ht="15.75" thickBot="1" x14ac:dyDescent="0.3">
      <c r="B2" s="3"/>
      <c r="C2" s="2" t="s">
        <v>114</v>
      </c>
      <c r="D2" s="13"/>
      <c r="E2" s="3"/>
      <c r="F2" s="3"/>
      <c r="G2" s="3"/>
    </row>
    <row r="3" spans="2:7" x14ac:dyDescent="0.25">
      <c r="B3" s="15" t="s">
        <v>0</v>
      </c>
      <c r="C3" s="16" t="s">
        <v>1</v>
      </c>
      <c r="D3" s="16" t="s">
        <v>5</v>
      </c>
      <c r="E3" s="17" t="s">
        <v>2</v>
      </c>
      <c r="F3" s="18" t="s">
        <v>115</v>
      </c>
      <c r="G3" s="19" t="s">
        <v>116</v>
      </c>
    </row>
    <row r="4" spans="2:7" x14ac:dyDescent="0.25">
      <c r="B4" s="5"/>
      <c r="C4" s="5"/>
      <c r="D4" s="5"/>
      <c r="E4" s="5"/>
      <c r="F4" s="5"/>
      <c r="G4" s="5"/>
    </row>
  </sheetData>
  <phoneticPr fontId="6"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4"/>
  <sheetViews>
    <sheetView showGridLines="0" workbookViewId="0"/>
  </sheetViews>
  <sheetFormatPr defaultColWidth="8.85546875" defaultRowHeight="15" x14ac:dyDescent="0.25"/>
  <cols>
    <col min="2" max="2" width="24.28515625" customWidth="1"/>
    <col min="3" max="4" width="22.140625" customWidth="1"/>
  </cols>
  <sheetData>
    <row r="1" spans="2:6" s="44" customFormat="1" ht="58.5" customHeight="1" thickBot="1" x14ac:dyDescent="0.3"/>
    <row r="2" spans="2:6" ht="15.75" thickBot="1" x14ac:dyDescent="0.3">
      <c r="C2" s="60" t="s">
        <v>133</v>
      </c>
      <c r="D2" s="1"/>
    </row>
    <row r="3" spans="2:6" ht="20.25" customHeight="1" thickBot="1" x14ac:dyDescent="0.3">
      <c r="B3" s="84" t="s">
        <v>0</v>
      </c>
      <c r="C3" s="85" t="s">
        <v>1</v>
      </c>
      <c r="D3" s="288" t="s">
        <v>5</v>
      </c>
      <c r="E3" s="288" t="s">
        <v>115</v>
      </c>
      <c r="F3" s="289" t="s">
        <v>2</v>
      </c>
    </row>
    <row r="4" spans="2:6" ht="15.75" thickBot="1" x14ac:dyDescent="0.3">
      <c r="B4" s="290" t="s">
        <v>165</v>
      </c>
      <c r="C4" s="291" t="s">
        <v>163</v>
      </c>
      <c r="D4" s="291" t="s">
        <v>164</v>
      </c>
      <c r="E4" s="291"/>
      <c r="F4" s="292"/>
    </row>
  </sheetData>
  <phoneticPr fontId="6"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K3"/>
  <sheetViews>
    <sheetView showGridLines="0" zoomScale="91" zoomScaleNormal="110" workbookViewId="0"/>
  </sheetViews>
  <sheetFormatPr defaultColWidth="9.140625" defaultRowHeight="15" x14ac:dyDescent="0.25"/>
  <cols>
    <col min="1" max="1" width="3.7109375" style="64" customWidth="1"/>
    <col min="2" max="2" width="18.42578125" style="64" bestFit="1" customWidth="1"/>
    <col min="3" max="3" width="32.28515625" style="64" customWidth="1"/>
    <col min="4" max="4" width="47.42578125" style="64" bestFit="1" customWidth="1"/>
    <col min="5" max="5" width="13.7109375" style="63" customWidth="1"/>
    <col min="6" max="6" width="14" style="63" customWidth="1"/>
    <col min="7" max="7" width="12.28515625" style="63" customWidth="1"/>
    <col min="8" max="8" width="9.85546875" style="63" customWidth="1"/>
    <col min="9" max="9" width="32.140625" style="63" customWidth="1"/>
    <col min="10" max="10" width="9.85546875" style="63" bestFit="1" customWidth="1"/>
    <col min="11" max="11" width="59.140625" style="63" customWidth="1"/>
    <col min="12" max="12" width="18.42578125" style="64" bestFit="1" customWidth="1"/>
    <col min="13" max="16384" width="9.140625" style="64"/>
  </cols>
  <sheetData>
    <row r="1" spans="2:11" s="62" customFormat="1" ht="55.5" customHeight="1" thickBot="1" x14ac:dyDescent="0.3">
      <c r="B1" s="69"/>
      <c r="E1" s="293"/>
      <c r="F1" s="293"/>
      <c r="G1" s="293"/>
      <c r="H1" s="293"/>
      <c r="I1" s="293"/>
      <c r="J1" s="293"/>
      <c r="K1" s="293"/>
    </row>
    <row r="2" spans="2:11" s="319" customFormat="1" ht="15.75" thickBot="1" x14ac:dyDescent="0.3">
      <c r="B2" s="3"/>
      <c r="C2" s="320" t="s">
        <v>898</v>
      </c>
      <c r="D2" s="321" t="s">
        <v>894</v>
      </c>
      <c r="E2" s="322"/>
      <c r="F2" s="3"/>
      <c r="G2" s="3"/>
      <c r="H2" s="3"/>
      <c r="I2" s="3"/>
    </row>
    <row r="3" spans="2:11" s="319" customFormat="1" ht="15.75" thickBot="1" x14ac:dyDescent="0.3">
      <c r="B3" s="324" t="s">
        <v>0</v>
      </c>
      <c r="C3" s="351" t="s">
        <v>1</v>
      </c>
      <c r="D3" s="351" t="s">
        <v>5</v>
      </c>
      <c r="E3" s="352" t="s">
        <v>166</v>
      </c>
      <c r="F3" s="351" t="s">
        <v>2</v>
      </c>
      <c r="G3" s="351" t="s">
        <v>229</v>
      </c>
      <c r="H3" s="351" t="s">
        <v>115</v>
      </c>
      <c r="I3" s="353" t="s">
        <v>116</v>
      </c>
    </row>
  </sheetData>
  <phoneticPr fontId="6" type="noConversion"/>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0"/>
  <dimension ref="B1:I91"/>
  <sheetViews>
    <sheetView zoomScaleNormal="100" workbookViewId="0">
      <selection activeCell="D14" sqref="D14"/>
    </sheetView>
  </sheetViews>
  <sheetFormatPr defaultColWidth="9.140625" defaultRowHeight="15" x14ac:dyDescent="0.25"/>
  <cols>
    <col min="1" max="1" width="5.85546875" style="107" customWidth="1"/>
    <col min="2" max="2" width="38.28515625" style="107" bestFit="1" customWidth="1"/>
    <col min="3" max="3" width="52" style="107" customWidth="1"/>
    <col min="4" max="4" width="85.140625" style="107" customWidth="1"/>
    <col min="5" max="5" width="17.7109375" style="107" customWidth="1"/>
    <col min="6" max="6" width="9.28515625" style="107" customWidth="1"/>
    <col min="7" max="7" width="9.140625" style="107"/>
    <col min="8" max="8" width="56.85546875" style="110" customWidth="1"/>
    <col min="9" max="9" width="22.7109375" style="107" customWidth="1"/>
    <col min="10" max="16384" width="9.140625" style="107"/>
  </cols>
  <sheetData>
    <row r="1" spans="2:8" s="105" customFormat="1" ht="53.25" customHeight="1" thickBot="1" x14ac:dyDescent="0.3">
      <c r="H1" s="106"/>
    </row>
    <row r="2" spans="2:8" ht="15.75" thickBot="1" x14ac:dyDescent="0.3">
      <c r="C2" s="108" t="s">
        <v>278</v>
      </c>
      <c r="D2" s="109"/>
      <c r="E2" s="109"/>
    </row>
    <row r="3" spans="2:8" ht="15.75" thickBot="1" x14ac:dyDescent="0.3">
      <c r="B3" s="111" t="s">
        <v>0</v>
      </c>
      <c r="C3" s="112" t="s">
        <v>1</v>
      </c>
      <c r="D3" s="113" t="s">
        <v>5</v>
      </c>
      <c r="E3" s="113" t="s">
        <v>115</v>
      </c>
      <c r="F3" s="114" t="s">
        <v>2</v>
      </c>
      <c r="H3" s="115" t="s">
        <v>279</v>
      </c>
    </row>
    <row r="4" spans="2:8" ht="18.75" customHeight="1" x14ac:dyDescent="0.25">
      <c r="B4" s="116" t="s">
        <v>180</v>
      </c>
      <c r="C4" s="117" t="s">
        <v>181</v>
      </c>
      <c r="D4" s="118" t="s">
        <v>182</v>
      </c>
      <c r="E4" s="118"/>
      <c r="F4" s="119"/>
    </row>
    <row r="5" spans="2:8" x14ac:dyDescent="0.25">
      <c r="B5" s="116" t="s">
        <v>280</v>
      </c>
      <c r="C5" s="120" t="s">
        <v>281</v>
      </c>
      <c r="D5" s="121" t="s">
        <v>863</v>
      </c>
      <c r="E5" s="118"/>
      <c r="F5" s="119"/>
    </row>
    <row r="6" spans="2:8" x14ac:dyDescent="0.25">
      <c r="B6" s="122" t="s">
        <v>183</v>
      </c>
      <c r="C6" s="123" t="s">
        <v>184</v>
      </c>
      <c r="D6" s="123" t="s">
        <v>185</v>
      </c>
      <c r="E6" s="123"/>
      <c r="F6" s="124"/>
    </row>
    <row r="7" spans="2:8" x14ac:dyDescent="0.25">
      <c r="B7" s="122" t="s">
        <v>282</v>
      </c>
      <c r="C7" s="120" t="s">
        <v>283</v>
      </c>
      <c r="D7" s="121" t="s">
        <v>864</v>
      </c>
      <c r="E7" s="123"/>
      <c r="F7" s="124"/>
    </row>
    <row r="8" spans="2:8" x14ac:dyDescent="0.25">
      <c r="B8" s="122" t="s">
        <v>284</v>
      </c>
      <c r="C8" s="123" t="s">
        <v>285</v>
      </c>
      <c r="D8" s="123" t="s">
        <v>286</v>
      </c>
      <c r="E8" s="123"/>
      <c r="F8" s="124"/>
    </row>
    <row r="9" spans="2:8" x14ac:dyDescent="0.25">
      <c r="B9" s="122" t="s">
        <v>287</v>
      </c>
      <c r="C9" s="123" t="s">
        <v>288</v>
      </c>
      <c r="D9" s="123" t="s">
        <v>289</v>
      </c>
      <c r="E9" s="123"/>
      <c r="F9" s="124"/>
    </row>
    <row r="10" spans="2:8" x14ac:dyDescent="0.25">
      <c r="B10" s="122" t="s">
        <v>186</v>
      </c>
      <c r="C10" s="123" t="s">
        <v>187</v>
      </c>
      <c r="D10" s="123" t="s">
        <v>188</v>
      </c>
      <c r="E10" s="123"/>
      <c r="F10" s="124"/>
    </row>
    <row r="11" spans="2:8" x14ac:dyDescent="0.25">
      <c r="B11" s="122" t="s">
        <v>290</v>
      </c>
      <c r="C11" s="120" t="s">
        <v>291</v>
      </c>
      <c r="D11" s="125" t="s">
        <v>865</v>
      </c>
      <c r="E11" s="123"/>
      <c r="F11" s="124"/>
    </row>
    <row r="12" spans="2:8" x14ac:dyDescent="0.25">
      <c r="B12" s="122" t="s">
        <v>189</v>
      </c>
      <c r="C12" s="123" t="s">
        <v>190</v>
      </c>
      <c r="D12" s="123" t="s">
        <v>841</v>
      </c>
      <c r="E12" s="123"/>
      <c r="F12" s="124"/>
    </row>
    <row r="13" spans="2:8" x14ac:dyDescent="0.25">
      <c r="B13" s="122" t="s">
        <v>292</v>
      </c>
      <c r="C13" s="123" t="s">
        <v>293</v>
      </c>
      <c r="D13" s="121" t="s">
        <v>866</v>
      </c>
      <c r="E13" s="123"/>
      <c r="F13" s="124"/>
    </row>
    <row r="14" spans="2:8" x14ac:dyDescent="0.25">
      <c r="B14" s="122" t="s">
        <v>192</v>
      </c>
      <c r="C14" s="123" t="s">
        <v>193</v>
      </c>
      <c r="D14" s="123" t="s">
        <v>842</v>
      </c>
      <c r="E14" s="123"/>
      <c r="F14" s="124"/>
    </row>
    <row r="15" spans="2:8" x14ac:dyDescent="0.25">
      <c r="B15" s="122" t="s">
        <v>195</v>
      </c>
      <c r="C15" s="123" t="s">
        <v>196</v>
      </c>
      <c r="D15" s="123" t="s">
        <v>197</v>
      </c>
      <c r="E15" s="123"/>
      <c r="F15" s="124"/>
    </row>
    <row r="16" spans="2:8" x14ac:dyDescent="0.25">
      <c r="B16" s="122" t="s">
        <v>198</v>
      </c>
      <c r="C16" s="123" t="s">
        <v>199</v>
      </c>
      <c r="D16" s="123" t="s">
        <v>843</v>
      </c>
      <c r="E16" s="123"/>
      <c r="F16" s="124"/>
    </row>
    <row r="17" spans="2:8" x14ac:dyDescent="0.25">
      <c r="B17" s="122" t="s">
        <v>165</v>
      </c>
      <c r="C17" s="123" t="s">
        <v>163</v>
      </c>
      <c r="D17" s="123" t="s">
        <v>164</v>
      </c>
      <c r="E17" s="123"/>
      <c r="F17" s="124"/>
    </row>
    <row r="18" spans="2:8" x14ac:dyDescent="0.25">
      <c r="B18" s="122" t="s">
        <v>294</v>
      </c>
      <c r="C18" s="126" t="s">
        <v>295</v>
      </c>
      <c r="D18" s="121" t="s">
        <v>844</v>
      </c>
      <c r="E18" s="123"/>
      <c r="F18" s="124"/>
      <c r="H18" s="127" t="s">
        <v>296</v>
      </c>
    </row>
    <row r="19" spans="2:8" ht="105" x14ac:dyDescent="0.25">
      <c r="B19" s="122" t="s">
        <v>297</v>
      </c>
      <c r="C19" s="126" t="s">
        <v>298</v>
      </c>
      <c r="D19" s="121" t="s">
        <v>299</v>
      </c>
      <c r="E19" s="123"/>
      <c r="F19" s="124"/>
      <c r="H19" s="127"/>
    </row>
    <row r="20" spans="2:8" ht="18" x14ac:dyDescent="0.35">
      <c r="B20" s="122" t="s">
        <v>300</v>
      </c>
      <c r="C20" s="126" t="s">
        <v>301</v>
      </c>
      <c r="D20" s="121" t="s">
        <v>845</v>
      </c>
      <c r="E20" s="123"/>
      <c r="F20" s="124"/>
    </row>
    <row r="21" spans="2:8" ht="18" x14ac:dyDescent="0.35">
      <c r="B21" s="122" t="s">
        <v>302</v>
      </c>
      <c r="C21" s="126" t="s">
        <v>303</v>
      </c>
      <c r="D21" s="121" t="s">
        <v>846</v>
      </c>
      <c r="E21" s="123"/>
      <c r="F21" s="124"/>
    </row>
    <row r="22" spans="2:8" ht="18" x14ac:dyDescent="0.35">
      <c r="B22" s="122" t="s">
        <v>304</v>
      </c>
      <c r="C22" s="126" t="s">
        <v>305</v>
      </c>
      <c r="D22" s="121" t="s">
        <v>847</v>
      </c>
      <c r="E22" s="123"/>
      <c r="F22" s="124"/>
    </row>
    <row r="23" spans="2:8" ht="18" x14ac:dyDescent="0.35">
      <c r="B23" s="122" t="s">
        <v>306</v>
      </c>
      <c r="C23" s="126" t="s">
        <v>307</v>
      </c>
      <c r="D23" s="121" t="s">
        <v>848</v>
      </c>
      <c r="E23" s="123"/>
      <c r="F23" s="124"/>
    </row>
    <row r="24" spans="2:8" ht="18" x14ac:dyDescent="0.35">
      <c r="B24" s="122" t="s">
        <v>308</v>
      </c>
      <c r="C24" s="126" t="s">
        <v>309</v>
      </c>
      <c r="D24" s="121" t="s">
        <v>849</v>
      </c>
      <c r="E24" s="123"/>
      <c r="F24" s="124"/>
    </row>
    <row r="25" spans="2:8" ht="18" x14ac:dyDescent="0.35">
      <c r="B25" s="122" t="s">
        <v>310</v>
      </c>
      <c r="C25" s="126" t="s">
        <v>311</v>
      </c>
      <c r="D25" s="121" t="s">
        <v>850</v>
      </c>
      <c r="E25" s="123"/>
      <c r="F25" s="124"/>
    </row>
    <row r="26" spans="2:8" ht="18.75" thickBot="1" x14ac:dyDescent="0.4">
      <c r="B26" s="128" t="s">
        <v>312</v>
      </c>
      <c r="C26" s="129" t="s">
        <v>313</v>
      </c>
      <c r="D26" s="130" t="s">
        <v>851</v>
      </c>
      <c r="E26" s="131"/>
      <c r="F26" s="132"/>
    </row>
    <row r="27" spans="2:8" ht="15.75" thickBot="1" x14ac:dyDescent="0.3"/>
    <row r="28" spans="2:8" ht="15.75" customHeight="1" thickBot="1" x14ac:dyDescent="0.3">
      <c r="C28" s="108" t="s">
        <v>314</v>
      </c>
      <c r="D28" s="109"/>
      <c r="E28" s="109"/>
      <c r="G28" s="133"/>
    </row>
    <row r="29" spans="2:8" ht="16.5" customHeight="1" thickBot="1" x14ac:dyDescent="0.3">
      <c r="B29" s="111" t="s">
        <v>0</v>
      </c>
      <c r="C29" s="112" t="s">
        <v>1</v>
      </c>
      <c r="D29" s="113" t="s">
        <v>5</v>
      </c>
      <c r="E29" s="113" t="s">
        <v>115</v>
      </c>
      <c r="F29" s="114" t="s">
        <v>2</v>
      </c>
      <c r="H29" s="110" t="s">
        <v>315</v>
      </c>
    </row>
    <row r="30" spans="2:8" x14ac:dyDescent="0.25">
      <c r="B30" s="116" t="s">
        <v>316</v>
      </c>
      <c r="C30" s="117" t="s">
        <v>317</v>
      </c>
      <c r="D30" s="117" t="s">
        <v>318</v>
      </c>
      <c r="E30" s="117"/>
      <c r="F30" s="119"/>
    </row>
    <row r="31" spans="2:8" ht="30" x14ac:dyDescent="0.25">
      <c r="B31" s="122" t="s">
        <v>319</v>
      </c>
      <c r="C31" s="126" t="s">
        <v>320</v>
      </c>
      <c r="D31" s="121" t="s">
        <v>321</v>
      </c>
      <c r="E31" s="123"/>
      <c r="F31" s="124"/>
    </row>
    <row r="32" spans="2:8" x14ac:dyDescent="0.25">
      <c r="B32" s="122"/>
      <c r="C32" s="126"/>
      <c r="D32" s="121" t="s">
        <v>322</v>
      </c>
      <c r="E32" s="123"/>
      <c r="F32" s="124"/>
    </row>
    <row r="33" spans="2:9" x14ac:dyDescent="0.25">
      <c r="B33" s="122"/>
      <c r="C33" s="126"/>
      <c r="D33" s="121" t="s">
        <v>323</v>
      </c>
      <c r="E33" s="123"/>
      <c r="F33" s="124"/>
    </row>
    <row r="34" spans="2:9" x14ac:dyDescent="0.25">
      <c r="B34" s="122" t="s">
        <v>324</v>
      </c>
      <c r="C34" s="120" t="s">
        <v>325</v>
      </c>
      <c r="D34" s="120" t="s">
        <v>326</v>
      </c>
      <c r="E34" s="123"/>
      <c r="F34" s="124"/>
    </row>
    <row r="35" spans="2:9" x14ac:dyDescent="0.25">
      <c r="B35" s="122" t="s">
        <v>327</v>
      </c>
      <c r="C35" s="120"/>
      <c r="D35" s="120" t="s">
        <v>328</v>
      </c>
      <c r="E35" s="123"/>
      <c r="F35" s="124"/>
    </row>
    <row r="36" spans="2:9" x14ac:dyDescent="0.25">
      <c r="B36" s="134" t="s">
        <v>329</v>
      </c>
      <c r="C36" s="123" t="s">
        <v>330</v>
      </c>
      <c r="D36" s="123" t="s">
        <v>331</v>
      </c>
      <c r="E36" s="123"/>
      <c r="F36" s="124"/>
    </row>
    <row r="37" spans="2:9" x14ac:dyDescent="0.25">
      <c r="B37" s="134" t="s">
        <v>332</v>
      </c>
      <c r="C37" s="123" t="s">
        <v>333</v>
      </c>
      <c r="D37" s="123" t="s">
        <v>334</v>
      </c>
      <c r="E37" s="123"/>
      <c r="F37" s="124"/>
    </row>
    <row r="38" spans="2:9" x14ac:dyDescent="0.25">
      <c r="B38" s="134" t="s">
        <v>335</v>
      </c>
      <c r="C38" s="123" t="s">
        <v>336</v>
      </c>
      <c r="D38" s="123" t="s">
        <v>337</v>
      </c>
      <c r="E38" s="123"/>
      <c r="F38" s="124"/>
    </row>
    <row r="39" spans="2:9" x14ac:dyDescent="0.25">
      <c r="B39" s="134" t="s">
        <v>338</v>
      </c>
      <c r="C39" s="123" t="s">
        <v>339</v>
      </c>
      <c r="D39" s="123" t="s">
        <v>340</v>
      </c>
      <c r="E39" s="123"/>
      <c r="F39" s="124"/>
    </row>
    <row r="40" spans="2:9" s="136" customFormat="1" x14ac:dyDescent="0.25">
      <c r="B40" s="122" t="s">
        <v>341</v>
      </c>
      <c r="C40" s="120" t="s">
        <v>342</v>
      </c>
      <c r="D40" s="125" t="s">
        <v>343</v>
      </c>
      <c r="E40" s="120"/>
      <c r="F40" s="135"/>
      <c r="H40" s="110"/>
    </row>
    <row r="41" spans="2:9" s="136" customFormat="1" ht="90" x14ac:dyDescent="0.25">
      <c r="B41" s="137" t="s">
        <v>344</v>
      </c>
      <c r="C41" s="120" t="s">
        <v>345</v>
      </c>
      <c r="D41" s="125" t="s">
        <v>346</v>
      </c>
      <c r="E41" s="120"/>
      <c r="F41" s="138"/>
      <c r="H41" s="110"/>
    </row>
    <row r="42" spans="2:9" x14ac:dyDescent="0.25">
      <c r="B42" s="122" t="s">
        <v>347</v>
      </c>
      <c r="C42" s="120" t="s">
        <v>348</v>
      </c>
      <c r="D42" s="120" t="s">
        <v>349</v>
      </c>
      <c r="E42" s="120"/>
      <c r="F42" s="135"/>
      <c r="I42" s="110"/>
    </row>
    <row r="43" spans="2:9" ht="90" x14ac:dyDescent="0.25">
      <c r="B43" s="122" t="s">
        <v>350</v>
      </c>
      <c r="C43" s="120" t="s">
        <v>351</v>
      </c>
      <c r="D43" s="125" t="s">
        <v>352</v>
      </c>
      <c r="E43" s="120"/>
      <c r="F43" s="135"/>
      <c r="I43" s="110"/>
    </row>
    <row r="44" spans="2:9" ht="90" x14ac:dyDescent="0.25">
      <c r="B44" s="122" t="s">
        <v>353</v>
      </c>
      <c r="C44" s="120" t="s">
        <v>354</v>
      </c>
      <c r="D44" s="125" t="s">
        <v>355</v>
      </c>
      <c r="E44" s="120"/>
      <c r="F44" s="135"/>
      <c r="I44" s="110"/>
    </row>
    <row r="45" spans="2:9" ht="90" x14ac:dyDescent="0.25">
      <c r="B45" s="122" t="s">
        <v>356</v>
      </c>
      <c r="C45" s="120" t="s">
        <v>357</v>
      </c>
      <c r="D45" s="125" t="s">
        <v>358</v>
      </c>
      <c r="E45" s="120"/>
      <c r="F45" s="135"/>
      <c r="I45" s="110"/>
    </row>
    <row r="46" spans="2:9" ht="90.75" thickBot="1" x14ac:dyDescent="0.3">
      <c r="B46" s="128" t="s">
        <v>359</v>
      </c>
      <c r="C46" s="139" t="s">
        <v>360</v>
      </c>
      <c r="D46" s="140" t="s">
        <v>361</v>
      </c>
      <c r="E46" s="139"/>
      <c r="F46" s="141"/>
      <c r="I46" s="110"/>
    </row>
    <row r="47" spans="2:9" ht="15.75" thickBot="1" x14ac:dyDescent="0.3">
      <c r="B47" s="136"/>
    </row>
    <row r="48" spans="2:9" ht="15.75" thickBot="1" x14ac:dyDescent="0.3">
      <c r="C48" s="108" t="s">
        <v>362</v>
      </c>
      <c r="D48" s="109"/>
      <c r="E48" s="109"/>
    </row>
    <row r="49" spans="2:8" ht="15.75" thickBot="1" x14ac:dyDescent="0.3">
      <c r="B49" s="111" t="s">
        <v>0</v>
      </c>
      <c r="C49" s="112" t="s">
        <v>1</v>
      </c>
      <c r="D49" s="113" t="s">
        <v>5</v>
      </c>
      <c r="E49" s="113" t="s">
        <v>115</v>
      </c>
      <c r="F49" s="114" t="s">
        <v>2</v>
      </c>
      <c r="H49" s="115" t="s">
        <v>363</v>
      </c>
    </row>
    <row r="50" spans="2:8" x14ac:dyDescent="0.25">
      <c r="B50" s="116" t="s">
        <v>364</v>
      </c>
      <c r="C50" s="142" t="s">
        <v>259</v>
      </c>
      <c r="D50" s="117" t="s">
        <v>365</v>
      </c>
      <c r="E50" s="143"/>
      <c r="F50" s="144"/>
      <c r="H50" s="115"/>
    </row>
    <row r="51" spans="2:8" x14ac:dyDescent="0.25">
      <c r="B51" s="122" t="s">
        <v>205</v>
      </c>
      <c r="C51" s="123" t="s">
        <v>260</v>
      </c>
      <c r="D51" s="123" t="s">
        <v>207</v>
      </c>
      <c r="E51" s="123"/>
      <c r="F51" s="124"/>
    </row>
    <row r="52" spans="2:8" x14ac:dyDescent="0.25">
      <c r="B52" s="122" t="s">
        <v>208</v>
      </c>
      <c r="C52" s="123" t="s">
        <v>366</v>
      </c>
      <c r="D52" s="123" t="s">
        <v>210</v>
      </c>
      <c r="E52" s="123"/>
      <c r="F52" s="124"/>
    </row>
    <row r="53" spans="2:8" x14ac:dyDescent="0.25">
      <c r="B53" s="122" t="s">
        <v>211</v>
      </c>
      <c r="C53" s="120" t="s">
        <v>367</v>
      </c>
      <c r="D53" s="120" t="s">
        <v>213</v>
      </c>
      <c r="E53" s="120"/>
      <c r="F53" s="135"/>
    </row>
    <row r="54" spans="2:8" x14ac:dyDescent="0.25">
      <c r="B54" s="122" t="s">
        <v>214</v>
      </c>
      <c r="C54" s="120" t="s">
        <v>368</v>
      </c>
      <c r="D54" s="120" t="s">
        <v>216</v>
      </c>
      <c r="E54" s="120"/>
      <c r="F54" s="135"/>
    </row>
    <row r="55" spans="2:8" x14ac:dyDescent="0.25">
      <c r="B55" s="122" t="s">
        <v>217</v>
      </c>
      <c r="C55" s="120" t="s">
        <v>218</v>
      </c>
      <c r="D55" s="120" t="s">
        <v>219</v>
      </c>
      <c r="E55" s="120"/>
      <c r="F55" s="135"/>
      <c r="H55" s="127" t="s">
        <v>296</v>
      </c>
    </row>
    <row r="56" spans="2:8" x14ac:dyDescent="0.25">
      <c r="B56" s="134" t="s">
        <v>369</v>
      </c>
      <c r="C56" s="123" t="s">
        <v>370</v>
      </c>
      <c r="D56" s="123" t="s">
        <v>371</v>
      </c>
      <c r="E56" s="123"/>
      <c r="F56" s="124"/>
    </row>
    <row r="57" spans="2:8" x14ac:dyDescent="0.25">
      <c r="B57" s="122" t="s">
        <v>220</v>
      </c>
      <c r="C57" s="120" t="s">
        <v>221</v>
      </c>
      <c r="D57" s="120" t="s">
        <v>222</v>
      </c>
      <c r="E57" s="120"/>
      <c r="F57" s="135"/>
    </row>
    <row r="58" spans="2:8" x14ac:dyDescent="0.25">
      <c r="B58" s="122" t="s">
        <v>372</v>
      </c>
      <c r="C58" s="123" t="s">
        <v>373</v>
      </c>
      <c r="D58" s="123" t="s">
        <v>374</v>
      </c>
      <c r="E58" s="123"/>
      <c r="F58" s="124"/>
    </row>
    <row r="59" spans="2:8" x14ac:dyDescent="0.25">
      <c r="B59" s="122" t="s">
        <v>375</v>
      </c>
      <c r="C59" s="123" t="s">
        <v>376</v>
      </c>
      <c r="D59" s="123" t="s">
        <v>377</v>
      </c>
      <c r="E59" s="123"/>
      <c r="F59" s="124"/>
    </row>
    <row r="60" spans="2:8" ht="15.75" thickBot="1" x14ac:dyDescent="0.3">
      <c r="B60" s="128" t="s">
        <v>378</v>
      </c>
      <c r="C60" s="131" t="s">
        <v>379</v>
      </c>
      <c r="D60" s="131" t="s">
        <v>380</v>
      </c>
      <c r="E60" s="131"/>
      <c r="F60" s="132"/>
    </row>
    <row r="61" spans="2:8" ht="15.75" thickBot="1" x14ac:dyDescent="0.3">
      <c r="B61" s="136"/>
      <c r="C61" s="136"/>
      <c r="D61" s="136"/>
      <c r="E61" s="136"/>
      <c r="F61" s="136"/>
    </row>
    <row r="62" spans="2:8" ht="15.75" thickBot="1" x14ac:dyDescent="0.3">
      <c r="C62" s="145" t="s">
        <v>381</v>
      </c>
      <c r="E62" s="109"/>
      <c r="H62" s="146" t="s">
        <v>382</v>
      </c>
    </row>
    <row r="63" spans="2:8" ht="15.75" thickBot="1" x14ac:dyDescent="0.3">
      <c r="B63" s="111" t="s">
        <v>0</v>
      </c>
      <c r="C63" s="147" t="s">
        <v>1</v>
      </c>
      <c r="D63" s="148" t="s">
        <v>383</v>
      </c>
      <c r="E63" s="149"/>
    </row>
    <row r="64" spans="2:8" x14ac:dyDescent="0.25">
      <c r="B64" s="102" t="s">
        <v>384</v>
      </c>
      <c r="C64" s="150" t="s">
        <v>385</v>
      </c>
      <c r="D64" s="119"/>
    </row>
    <row r="65" spans="2:4" x14ac:dyDescent="0.25">
      <c r="B65" s="103" t="s">
        <v>386</v>
      </c>
      <c r="C65" s="151" t="s">
        <v>387</v>
      </c>
      <c r="D65" s="124"/>
    </row>
    <row r="66" spans="2:4" x14ac:dyDescent="0.25">
      <c r="B66" s="103" t="s">
        <v>388</v>
      </c>
      <c r="C66" s="151" t="s">
        <v>389</v>
      </c>
      <c r="D66" s="124"/>
    </row>
    <row r="67" spans="2:4" x14ac:dyDescent="0.25">
      <c r="B67" s="103" t="s">
        <v>390</v>
      </c>
      <c r="C67" s="151" t="s">
        <v>391</v>
      </c>
      <c r="D67" s="124"/>
    </row>
    <row r="68" spans="2:4" x14ac:dyDescent="0.25">
      <c r="B68" s="103" t="s">
        <v>392</v>
      </c>
      <c r="C68" s="151" t="s">
        <v>393</v>
      </c>
      <c r="D68" s="124"/>
    </row>
    <row r="69" spans="2:4" x14ac:dyDescent="0.25">
      <c r="B69" s="103" t="s">
        <v>394</v>
      </c>
      <c r="C69" s="151" t="s">
        <v>395</v>
      </c>
      <c r="D69" s="124"/>
    </row>
    <row r="70" spans="2:4" x14ac:dyDescent="0.25">
      <c r="B70" s="103" t="s">
        <v>396</v>
      </c>
      <c r="C70" s="151" t="s">
        <v>397</v>
      </c>
      <c r="D70" s="124"/>
    </row>
    <row r="71" spans="2:4" x14ac:dyDescent="0.25">
      <c r="B71" s="103" t="s">
        <v>398</v>
      </c>
      <c r="C71" s="151" t="s">
        <v>399</v>
      </c>
      <c r="D71" s="124"/>
    </row>
    <row r="72" spans="2:4" x14ac:dyDescent="0.25">
      <c r="B72" s="103" t="s">
        <v>400</v>
      </c>
      <c r="C72" s="151" t="s">
        <v>401</v>
      </c>
      <c r="D72" s="124"/>
    </row>
    <row r="73" spans="2:4" x14ac:dyDescent="0.25">
      <c r="B73" s="103" t="s">
        <v>402</v>
      </c>
      <c r="C73" s="151" t="s">
        <v>403</v>
      </c>
      <c r="D73" s="124"/>
    </row>
    <row r="74" spans="2:4" x14ac:dyDescent="0.25">
      <c r="B74" s="103" t="s">
        <v>404</v>
      </c>
      <c r="C74" s="151" t="s">
        <v>405</v>
      </c>
      <c r="D74" s="124" t="s">
        <v>406</v>
      </c>
    </row>
    <row r="75" spans="2:4" x14ac:dyDescent="0.25">
      <c r="B75" s="103" t="s">
        <v>407</v>
      </c>
      <c r="C75" s="151" t="s">
        <v>408</v>
      </c>
      <c r="D75" s="124"/>
    </row>
    <row r="76" spans="2:4" x14ac:dyDescent="0.25">
      <c r="B76" s="103" t="s">
        <v>409</v>
      </c>
      <c r="C76" s="151" t="s">
        <v>410</v>
      </c>
      <c r="D76" s="124"/>
    </row>
    <row r="77" spans="2:4" x14ac:dyDescent="0.25">
      <c r="B77" s="103" t="s">
        <v>411</v>
      </c>
      <c r="C77" s="151" t="s">
        <v>412</v>
      </c>
      <c r="D77" s="124"/>
    </row>
    <row r="78" spans="2:4" x14ac:dyDescent="0.25">
      <c r="B78" s="103" t="s">
        <v>413</v>
      </c>
      <c r="C78" s="151" t="s">
        <v>414</v>
      </c>
      <c r="D78" s="124"/>
    </row>
    <row r="79" spans="2:4" x14ac:dyDescent="0.25">
      <c r="B79" s="103" t="s">
        <v>415</v>
      </c>
      <c r="C79" s="151" t="s">
        <v>416</v>
      </c>
      <c r="D79" s="124"/>
    </row>
    <row r="80" spans="2:4" x14ac:dyDescent="0.25">
      <c r="B80" s="103" t="s">
        <v>417</v>
      </c>
      <c r="C80" s="151" t="s">
        <v>418</v>
      </c>
      <c r="D80" s="124"/>
    </row>
    <row r="81" spans="2:4" x14ac:dyDescent="0.25">
      <c r="B81" s="103" t="s">
        <v>419</v>
      </c>
      <c r="C81" s="151" t="s">
        <v>420</v>
      </c>
      <c r="D81" s="124"/>
    </row>
    <row r="82" spans="2:4" ht="15.75" thickBot="1" x14ac:dyDescent="0.3">
      <c r="B82" s="104" t="s">
        <v>421</v>
      </c>
      <c r="C82" s="152" t="s">
        <v>422</v>
      </c>
      <c r="D82" s="132"/>
    </row>
    <row r="83" spans="2:4" x14ac:dyDescent="0.25">
      <c r="B83" s="153" t="s">
        <v>423</v>
      </c>
      <c r="C83" s="153" t="s">
        <v>366</v>
      </c>
      <c r="D83" s="153" t="s">
        <v>424</v>
      </c>
    </row>
    <row r="84" spans="2:4" x14ac:dyDescent="0.25">
      <c r="B84" s="154" t="s">
        <v>212</v>
      </c>
      <c r="C84" s="154" t="s">
        <v>425</v>
      </c>
      <c r="D84" s="154"/>
    </row>
    <row r="85" spans="2:4" x14ac:dyDescent="0.25">
      <c r="B85" s="154" t="s">
        <v>426</v>
      </c>
      <c r="C85" s="154" t="s">
        <v>427</v>
      </c>
      <c r="D85" s="154"/>
    </row>
    <row r="86" spans="2:4" x14ac:dyDescent="0.25">
      <c r="B86" s="154" t="s">
        <v>428</v>
      </c>
      <c r="C86" s="154" t="s">
        <v>429</v>
      </c>
      <c r="D86" s="154"/>
    </row>
    <row r="87" spans="2:4" x14ac:dyDescent="0.25">
      <c r="B87" s="154" t="s">
        <v>430</v>
      </c>
      <c r="C87" s="154" t="s">
        <v>431</v>
      </c>
      <c r="D87" s="154"/>
    </row>
    <row r="88" spans="2:4" x14ac:dyDescent="0.25">
      <c r="B88" s="154" t="s">
        <v>432</v>
      </c>
      <c r="C88" s="154" t="s">
        <v>433</v>
      </c>
      <c r="D88" s="154"/>
    </row>
    <row r="89" spans="2:4" x14ac:dyDescent="0.25">
      <c r="B89" s="155"/>
      <c r="C89" s="155"/>
      <c r="D89" s="155"/>
    </row>
    <row r="90" spans="2:4" x14ac:dyDescent="0.25">
      <c r="B90" s="155"/>
      <c r="C90" s="155"/>
      <c r="D90" s="155"/>
    </row>
    <row r="91" spans="2:4" x14ac:dyDescent="0.25">
      <c r="B91" s="155"/>
      <c r="C91" s="155"/>
      <c r="D91" s="155"/>
    </row>
  </sheetData>
  <conditionalFormatting sqref="D40">
    <cfRule type="cellIs" dxfId="1" priority="2" stopIfTrue="1" operator="notEqual">
      <formula>INDIRECT("Dummy_for_Comparison5!"&amp;ADDRESS(ROW(),COLUMN()))</formula>
    </cfRule>
  </conditionalFormatting>
  <conditionalFormatting sqref="D41">
    <cfRule type="cellIs" dxfId="0" priority="1" stopIfTrue="1" operator="notEqual">
      <formula>INDIRECT("Dummy_for_Comparison5!"&amp;ADDRESS(ROW(),COLUMN()))</formula>
    </cfRule>
  </conditionalFormatting>
  <hyperlinks>
    <hyperlink ref="B64" r:id="rId1" display="http://www.cplusplus.com/reference/cmath/cos/"/>
    <hyperlink ref="B65" r:id="rId2" display="http://www.cplusplus.com/reference/cmath/sin/"/>
    <hyperlink ref="B66" r:id="rId3" display="http://www.cplusplus.com/reference/cmath/tan/"/>
    <hyperlink ref="B67" r:id="rId4" display="http://www.cplusplus.com/reference/cmath/acos/"/>
    <hyperlink ref="B68" r:id="rId5" display="http://www.cplusplus.com/reference/cmath/asin/"/>
    <hyperlink ref="B69" r:id="rId6" display="http://www.cplusplus.com/reference/cmath/atan/"/>
    <hyperlink ref="B70" r:id="rId7" display="http://www.cplusplus.com/reference/cmath/atan2/"/>
    <hyperlink ref="B71" r:id="rId8" display="http://www.cplusplus.com/reference/cmath/cosh/"/>
    <hyperlink ref="B72" r:id="rId9" display="http://www.cplusplus.com/reference/cmath/sinh/"/>
    <hyperlink ref="B73" r:id="rId10" display="http://www.cplusplus.com/reference/cmath/tanh/"/>
    <hyperlink ref="B74" r:id="rId11" display="http://www.cplusplus.com/reference/cmath/exp/"/>
    <hyperlink ref="B75" r:id="rId12" display="http://www.cplusplus.com/reference/cmath/ldexp/"/>
    <hyperlink ref="B76" r:id="rId13" display="http://www.cplusplus.com/reference/cmath/log/"/>
    <hyperlink ref="B77" r:id="rId14" display="http://www.cplusplus.com/reference/cmath/log10/"/>
    <hyperlink ref="B78" r:id="rId15" display="http://www.cplusplus.com/reference/cmath/sqrt/"/>
    <hyperlink ref="B79" r:id="rId16" display="http://www.cplusplus.com/reference/cmath/ceil/"/>
    <hyperlink ref="B80" r:id="rId17" display="http://www.cplusplus.com/reference/cmath/fabs/"/>
    <hyperlink ref="B81" r:id="rId18" display="http://www.cplusplus.com/reference/cmath/floor/"/>
    <hyperlink ref="B82" r:id="rId19" display="http://www.cplusplus.com/reference/cmath/fmod/"/>
  </hyperlinks>
  <pageMargins left="0.7" right="0.7" top="0.75" bottom="0.75" header="0.3" footer="0.3"/>
  <pageSetup paperSize="9" orientation="portrait" r:id="rId20"/>
  <drawing r:id="rId2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1"/>
  <dimension ref="B1:J232"/>
  <sheetViews>
    <sheetView showGridLines="0" zoomScale="98" workbookViewId="0">
      <selection activeCell="B3" sqref="B3:D232"/>
    </sheetView>
  </sheetViews>
  <sheetFormatPr defaultColWidth="9.140625" defaultRowHeight="15" x14ac:dyDescent="0.25"/>
  <cols>
    <col min="1" max="1" width="9.140625" style="107"/>
    <col min="2" max="2" width="13.28515625" style="107" customWidth="1"/>
    <col min="3" max="3" width="52.5703125" style="107" bestFit="1" customWidth="1"/>
    <col min="4" max="6" width="21" style="107" customWidth="1"/>
    <col min="7" max="7" width="18" style="107" bestFit="1" customWidth="1"/>
    <col min="8" max="8" width="18" style="107" customWidth="1"/>
    <col min="9" max="9" width="9.140625" style="107"/>
    <col min="10" max="10" width="23.140625" style="107" customWidth="1"/>
    <col min="11" max="16384" width="9.140625" style="107"/>
  </cols>
  <sheetData>
    <row r="1" spans="2:10" ht="15.75" thickBot="1" x14ac:dyDescent="0.3">
      <c r="B1" s="156"/>
    </row>
    <row r="2" spans="2:10" ht="15.75" thickBot="1" x14ac:dyDescent="0.3">
      <c r="C2" s="157" t="s">
        <v>434</v>
      </c>
    </row>
    <row r="3" spans="2:10" ht="15.75" thickBot="1" x14ac:dyDescent="0.3">
      <c r="B3" s="158" t="s">
        <v>0</v>
      </c>
      <c r="C3" s="159" t="s">
        <v>1</v>
      </c>
      <c r="D3" s="159" t="s">
        <v>166</v>
      </c>
      <c r="E3" s="160" t="s">
        <v>435</v>
      </c>
      <c r="F3" s="160" t="s">
        <v>436</v>
      </c>
      <c r="G3" s="159" t="s">
        <v>2</v>
      </c>
      <c r="H3" s="159" t="s">
        <v>229</v>
      </c>
      <c r="I3" s="161" t="s">
        <v>115</v>
      </c>
    </row>
    <row r="4" spans="2:10" ht="18.75" x14ac:dyDescent="0.35">
      <c r="B4" s="162" t="s">
        <v>236</v>
      </c>
      <c r="C4" s="163" t="s">
        <v>437</v>
      </c>
      <c r="D4" s="163">
        <v>1.2999999999999999E-3</v>
      </c>
      <c r="E4" s="163"/>
      <c r="F4" s="163"/>
      <c r="G4" s="163" t="s">
        <v>237</v>
      </c>
      <c r="H4" s="163"/>
      <c r="I4" s="119"/>
      <c r="J4" s="107" t="s">
        <v>438</v>
      </c>
    </row>
    <row r="5" spans="2:10" ht="18" x14ac:dyDescent="0.35">
      <c r="B5" s="164" t="s">
        <v>439</v>
      </c>
      <c r="C5" s="165" t="s">
        <v>440</v>
      </c>
      <c r="D5" s="165">
        <v>1500</v>
      </c>
      <c r="E5" s="165"/>
      <c r="F5" s="165"/>
      <c r="G5" s="165" t="s">
        <v>441</v>
      </c>
      <c r="H5" s="165"/>
      <c r="I5" s="124"/>
      <c r="J5" s="107" t="s">
        <v>438</v>
      </c>
    </row>
    <row r="6" spans="2:10" ht="18.75" x14ac:dyDescent="0.35">
      <c r="B6" s="164" t="s">
        <v>238</v>
      </c>
      <c r="C6" s="165" t="s">
        <v>442</v>
      </c>
      <c r="D6" s="165">
        <v>3.5000000000000003E-2</v>
      </c>
      <c r="E6" s="165"/>
      <c r="F6" s="165"/>
      <c r="G6" s="165" t="s">
        <v>237</v>
      </c>
      <c r="H6" s="165"/>
      <c r="I6" s="124"/>
      <c r="J6" s="107" t="s">
        <v>443</v>
      </c>
    </row>
    <row r="7" spans="2:10" ht="18" x14ac:dyDescent="0.35">
      <c r="B7" s="164" t="s">
        <v>444</v>
      </c>
      <c r="C7" s="165" t="s">
        <v>445</v>
      </c>
      <c r="D7" s="165">
        <v>2400</v>
      </c>
      <c r="E7" s="165"/>
      <c r="F7" s="165"/>
      <c r="G7" s="165" t="s">
        <v>441</v>
      </c>
      <c r="H7" s="165"/>
      <c r="I7" s="124"/>
      <c r="J7" s="107" t="s">
        <v>443</v>
      </c>
    </row>
    <row r="8" spans="2:10" ht="18.75" x14ac:dyDescent="0.35">
      <c r="B8" s="164" t="s">
        <v>446</v>
      </c>
      <c r="C8" s="165" t="s">
        <v>447</v>
      </c>
      <c r="D8" s="165">
        <v>1.9E-3</v>
      </c>
      <c r="E8" s="165"/>
      <c r="F8" s="165"/>
      <c r="G8" s="165" t="s">
        <v>237</v>
      </c>
      <c r="H8" s="165"/>
      <c r="I8" s="124"/>
      <c r="J8" s="107" t="s">
        <v>448</v>
      </c>
    </row>
    <row r="9" spans="2:10" ht="18" x14ac:dyDescent="0.35">
      <c r="B9" s="164" t="s">
        <v>449</v>
      </c>
      <c r="C9" s="165" t="s">
        <v>450</v>
      </c>
      <c r="D9" s="165">
        <v>1400</v>
      </c>
      <c r="E9" s="165"/>
      <c r="F9" s="165"/>
      <c r="G9" s="165" t="s">
        <v>441</v>
      </c>
      <c r="H9" s="165"/>
      <c r="I9" s="124"/>
      <c r="J9" s="107" t="s">
        <v>448</v>
      </c>
    </row>
    <row r="10" spans="2:10" ht="18.75" x14ac:dyDescent="0.35">
      <c r="B10" s="164" t="s">
        <v>451</v>
      </c>
      <c r="C10" s="165" t="s">
        <v>452</v>
      </c>
      <c r="D10" s="165">
        <v>2.5000000000000001E-2</v>
      </c>
      <c r="E10" s="165"/>
      <c r="F10" s="165"/>
      <c r="G10" s="165" t="s">
        <v>237</v>
      </c>
      <c r="H10" s="165"/>
      <c r="I10" s="124"/>
      <c r="J10" s="107" t="s">
        <v>453</v>
      </c>
    </row>
    <row r="11" spans="2:10" ht="18" x14ac:dyDescent="0.35">
      <c r="B11" s="164" t="s">
        <v>454</v>
      </c>
      <c r="C11" s="165" t="s">
        <v>445</v>
      </c>
      <c r="D11" s="165">
        <v>2600</v>
      </c>
      <c r="E11" s="165"/>
      <c r="F11" s="165"/>
      <c r="G11" s="165" t="s">
        <v>441</v>
      </c>
      <c r="H11" s="165"/>
      <c r="I11" s="124"/>
      <c r="J11" s="107" t="s">
        <v>453</v>
      </c>
    </row>
    <row r="12" spans="2:10" ht="18.75" x14ac:dyDescent="0.35">
      <c r="B12" s="164" t="s">
        <v>239</v>
      </c>
      <c r="C12" s="165" t="s">
        <v>455</v>
      </c>
      <c r="D12" s="165">
        <v>6.4999999999999997E-4</v>
      </c>
      <c r="E12" s="165"/>
      <c r="F12" s="165"/>
      <c r="G12" s="165" t="s">
        <v>237</v>
      </c>
      <c r="H12" s="165"/>
      <c r="I12" s="124"/>
      <c r="J12" s="107" t="s">
        <v>456</v>
      </c>
    </row>
    <row r="13" spans="2:10" ht="18" x14ac:dyDescent="0.35">
      <c r="B13" s="164" t="s">
        <v>457</v>
      </c>
      <c r="C13" s="165" t="s">
        <v>458</v>
      </c>
      <c r="D13" s="165">
        <v>1300</v>
      </c>
      <c r="E13" s="165"/>
      <c r="F13" s="165"/>
      <c r="G13" s="165" t="s">
        <v>441</v>
      </c>
      <c r="H13" s="165"/>
      <c r="I13" s="124"/>
      <c r="J13" s="107" t="s">
        <v>456</v>
      </c>
    </row>
    <row r="14" spans="2:10" ht="18.75" x14ac:dyDescent="0.35">
      <c r="B14" s="164" t="s">
        <v>459</v>
      </c>
      <c r="C14" s="165" t="s">
        <v>460</v>
      </c>
      <c r="D14" s="165">
        <v>7.7999999999999999E-4</v>
      </c>
      <c r="E14" s="165"/>
      <c r="F14" s="165"/>
      <c r="G14" s="165" t="s">
        <v>237</v>
      </c>
      <c r="H14" s="165"/>
      <c r="I14" s="124"/>
      <c r="J14" s="107" t="s">
        <v>456</v>
      </c>
    </row>
    <row r="15" spans="2:10" ht="18" x14ac:dyDescent="0.35">
      <c r="B15" s="164" t="s">
        <v>461</v>
      </c>
      <c r="C15" s="165" t="s">
        <v>462</v>
      </c>
      <c r="D15" s="165">
        <v>500</v>
      </c>
      <c r="E15" s="165"/>
      <c r="F15" s="165"/>
      <c r="G15" s="165" t="s">
        <v>441</v>
      </c>
      <c r="H15" s="165"/>
      <c r="I15" s="124"/>
      <c r="J15" s="107" t="s">
        <v>456</v>
      </c>
    </row>
    <row r="16" spans="2:10" ht="18.75" x14ac:dyDescent="0.35">
      <c r="B16" s="164" t="s">
        <v>463</v>
      </c>
      <c r="C16" s="165" t="s">
        <v>464</v>
      </c>
      <c r="D16" s="165">
        <v>1.4E-3</v>
      </c>
      <c r="E16" s="165"/>
      <c r="F16" s="165"/>
      <c r="G16" s="165" t="s">
        <v>237</v>
      </c>
      <c r="H16" s="165"/>
      <c r="I16" s="124"/>
      <c r="J16" s="107" t="s">
        <v>465</v>
      </c>
    </row>
    <row r="17" spans="2:10" ht="18.75" thickBot="1" x14ac:dyDescent="0.4">
      <c r="B17" s="166" t="s">
        <v>466</v>
      </c>
      <c r="C17" s="167" t="s">
        <v>467</v>
      </c>
      <c r="D17" s="167">
        <v>1600</v>
      </c>
      <c r="E17" s="167"/>
      <c r="F17" s="167"/>
      <c r="G17" s="167" t="s">
        <v>441</v>
      </c>
      <c r="H17" s="167"/>
      <c r="I17" s="132"/>
      <c r="J17" s="107" t="s">
        <v>465</v>
      </c>
    </row>
    <row r="18" spans="2:10" ht="15.75" thickBot="1" x14ac:dyDescent="0.3">
      <c r="B18" s="156"/>
    </row>
    <row r="19" spans="2:10" ht="15.75" thickBot="1" x14ac:dyDescent="0.3">
      <c r="C19" s="157" t="s">
        <v>468</v>
      </c>
    </row>
    <row r="20" spans="2:10" ht="15.75" thickBot="1" x14ac:dyDescent="0.3">
      <c r="B20" s="158" t="s">
        <v>0</v>
      </c>
      <c r="C20" s="159" t="s">
        <v>1</v>
      </c>
      <c r="D20" s="159" t="s">
        <v>166</v>
      </c>
      <c r="E20" s="160" t="s">
        <v>435</v>
      </c>
      <c r="F20" s="160" t="s">
        <v>436</v>
      </c>
      <c r="G20" s="159" t="s">
        <v>2</v>
      </c>
      <c r="H20" s="159" t="s">
        <v>229</v>
      </c>
      <c r="I20" s="161" t="s">
        <v>115</v>
      </c>
    </row>
    <row r="21" spans="2:10" ht="18" x14ac:dyDescent="0.35">
      <c r="B21" s="162" t="s">
        <v>469</v>
      </c>
      <c r="C21" s="168" t="s">
        <v>470</v>
      </c>
      <c r="D21" s="169">
        <v>2.0900000000000001E-4</v>
      </c>
      <c r="E21" s="170"/>
      <c r="F21" s="170"/>
      <c r="G21" s="168" t="s">
        <v>471</v>
      </c>
      <c r="H21" s="168"/>
      <c r="I21" s="171"/>
    </row>
    <row r="22" spans="2:10" ht="18" x14ac:dyDescent="0.35">
      <c r="B22" s="164" t="s">
        <v>472</v>
      </c>
      <c r="C22" s="172" t="s">
        <v>473</v>
      </c>
      <c r="D22" s="173">
        <v>1.73E-4</v>
      </c>
      <c r="E22" s="174"/>
      <c r="F22" s="174"/>
      <c r="G22" s="172" t="s">
        <v>471</v>
      </c>
      <c r="H22" s="172"/>
      <c r="I22" s="175"/>
    </row>
    <row r="23" spans="2:10" ht="18" x14ac:dyDescent="0.35">
      <c r="B23" s="164" t="s">
        <v>474</v>
      </c>
      <c r="C23" s="172" t="s">
        <v>475</v>
      </c>
      <c r="D23" s="173">
        <v>1.65E-4</v>
      </c>
      <c r="E23" s="174"/>
      <c r="F23" s="174"/>
      <c r="G23" s="172" t="s">
        <v>471</v>
      </c>
      <c r="H23" s="172"/>
      <c r="I23" s="175"/>
    </row>
    <row r="24" spans="2:10" ht="18" x14ac:dyDescent="0.35">
      <c r="B24" s="176" t="s">
        <v>476</v>
      </c>
      <c r="C24" s="177" t="s">
        <v>477</v>
      </c>
      <c r="D24" s="178">
        <v>4.4999999999999999E-4</v>
      </c>
      <c r="E24" s="179"/>
      <c r="F24" s="179"/>
      <c r="G24" s="178" t="s">
        <v>234</v>
      </c>
      <c r="H24" s="179"/>
      <c r="I24" s="180"/>
      <c r="J24" s="181"/>
    </row>
    <row r="25" spans="2:10" ht="18" x14ac:dyDescent="0.35">
      <c r="B25" s="176" t="s">
        <v>478</v>
      </c>
      <c r="C25" s="177" t="s">
        <v>479</v>
      </c>
      <c r="D25" s="178">
        <v>1.4899999999999999E-4</v>
      </c>
      <c r="E25" s="179"/>
      <c r="F25" s="179"/>
      <c r="G25" s="178" t="s">
        <v>234</v>
      </c>
      <c r="H25" s="179"/>
      <c r="I25" s="180"/>
      <c r="J25" s="181"/>
    </row>
    <row r="26" spans="2:10" s="189" customFormat="1" ht="18" x14ac:dyDescent="0.25">
      <c r="B26" s="182" t="s">
        <v>480</v>
      </c>
      <c r="C26" s="183" t="s">
        <v>481</v>
      </c>
      <c r="D26" s="184">
        <v>2.9499999999999999E-5</v>
      </c>
      <c r="E26" s="185"/>
      <c r="F26" s="185"/>
      <c r="G26" s="186" t="s">
        <v>234</v>
      </c>
      <c r="H26" s="185"/>
      <c r="I26" s="187"/>
      <c r="J26" s="188"/>
    </row>
    <row r="27" spans="2:10" s="189" customFormat="1" ht="18.75" thickBot="1" x14ac:dyDescent="0.3">
      <c r="B27" s="190" t="s">
        <v>482</v>
      </c>
      <c r="C27" s="191" t="s">
        <v>483</v>
      </c>
      <c r="D27" s="192">
        <v>1.8E-5</v>
      </c>
      <c r="E27" s="193"/>
      <c r="F27" s="193"/>
      <c r="G27" s="194" t="s">
        <v>234</v>
      </c>
      <c r="H27" s="193"/>
      <c r="I27" s="195"/>
      <c r="J27" s="188"/>
    </row>
    <row r="28" spans="2:10" ht="15.75" thickBot="1" x14ac:dyDescent="0.3">
      <c r="B28" s="196"/>
      <c r="C28" s="196"/>
      <c r="D28" s="196"/>
      <c r="E28" s="196"/>
      <c r="F28" s="196"/>
      <c r="G28" s="196"/>
      <c r="H28" s="196"/>
    </row>
    <row r="29" spans="2:10" ht="15.75" thickBot="1" x14ac:dyDescent="0.3">
      <c r="C29" s="157" t="s">
        <v>484</v>
      </c>
    </row>
    <row r="30" spans="2:10" ht="15.75" thickBot="1" x14ac:dyDescent="0.3">
      <c r="B30" s="158" t="s">
        <v>0</v>
      </c>
      <c r="C30" s="159" t="s">
        <v>1</v>
      </c>
      <c r="D30" s="159" t="s">
        <v>166</v>
      </c>
      <c r="E30" s="160" t="s">
        <v>435</v>
      </c>
      <c r="F30" s="160" t="s">
        <v>436</v>
      </c>
      <c r="G30" s="159" t="s">
        <v>2</v>
      </c>
      <c r="H30" s="159" t="s">
        <v>229</v>
      </c>
      <c r="I30" s="161" t="s">
        <v>115</v>
      </c>
    </row>
    <row r="31" spans="2:10" ht="18" x14ac:dyDescent="0.35">
      <c r="B31" s="162" t="s">
        <v>485</v>
      </c>
      <c r="C31" s="197" t="s">
        <v>486</v>
      </c>
      <c r="D31" s="197">
        <v>8.0713100000000004</v>
      </c>
      <c r="E31" s="198"/>
      <c r="F31" s="198"/>
      <c r="G31" s="199" t="s">
        <v>117</v>
      </c>
      <c r="H31" s="199"/>
      <c r="I31" s="119"/>
    </row>
    <row r="32" spans="2:10" ht="18" x14ac:dyDescent="0.35">
      <c r="B32" s="164" t="s">
        <v>487</v>
      </c>
      <c r="C32" s="177" t="s">
        <v>488</v>
      </c>
      <c r="D32" s="177">
        <v>1730.63</v>
      </c>
      <c r="E32" s="200"/>
      <c r="F32" s="200"/>
      <c r="G32" s="201" t="s">
        <v>117</v>
      </c>
      <c r="H32" s="201"/>
      <c r="I32" s="124"/>
    </row>
    <row r="33" spans="2:9" ht="18" x14ac:dyDescent="0.35">
      <c r="B33" s="164" t="s">
        <v>489</v>
      </c>
      <c r="C33" s="177" t="s">
        <v>490</v>
      </c>
      <c r="D33" s="177">
        <v>233.42599999999999</v>
      </c>
      <c r="E33" s="165"/>
      <c r="F33" s="165"/>
      <c r="G33" s="165" t="s">
        <v>117</v>
      </c>
      <c r="H33" s="165"/>
      <c r="I33" s="124"/>
    </row>
    <row r="34" spans="2:9" ht="18.75" x14ac:dyDescent="0.35">
      <c r="B34" s="164" t="s">
        <v>491</v>
      </c>
      <c r="C34" s="177" t="s">
        <v>492</v>
      </c>
      <c r="D34" s="177">
        <v>1000000</v>
      </c>
      <c r="E34" s="165"/>
      <c r="F34" s="165"/>
      <c r="G34" s="165" t="s">
        <v>852</v>
      </c>
      <c r="H34" s="165"/>
      <c r="I34" s="124"/>
    </row>
    <row r="35" spans="2:9" ht="15.75" thickBot="1" x14ac:dyDescent="0.3">
      <c r="B35" s="196"/>
      <c r="C35" s="196"/>
      <c r="D35" s="196"/>
      <c r="E35" s="196"/>
      <c r="F35" s="196"/>
      <c r="G35" s="196"/>
      <c r="H35" s="196"/>
    </row>
    <row r="36" spans="2:9" ht="15.75" thickBot="1" x14ac:dyDescent="0.3">
      <c r="C36" s="157" t="s">
        <v>493</v>
      </c>
    </row>
    <row r="37" spans="2:9" ht="15.75" thickBot="1" x14ac:dyDescent="0.3">
      <c r="B37" s="158" t="s">
        <v>0</v>
      </c>
      <c r="C37" s="159" t="s">
        <v>1</v>
      </c>
      <c r="D37" s="159" t="s">
        <v>166</v>
      </c>
      <c r="E37" s="160" t="s">
        <v>435</v>
      </c>
      <c r="F37" s="160" t="s">
        <v>436</v>
      </c>
      <c r="G37" s="159" t="s">
        <v>2</v>
      </c>
      <c r="H37" s="159" t="s">
        <v>229</v>
      </c>
      <c r="I37" s="161" t="s">
        <v>115</v>
      </c>
    </row>
    <row r="38" spans="2:9" ht="18" x14ac:dyDescent="0.25">
      <c r="B38" s="202" t="s">
        <v>494</v>
      </c>
      <c r="C38" s="203" t="s">
        <v>495</v>
      </c>
      <c r="D38" s="197">
        <v>0.20949999999999999</v>
      </c>
      <c r="E38" s="197" t="s">
        <v>496</v>
      </c>
      <c r="F38" s="197"/>
      <c r="G38" s="197" t="s">
        <v>497</v>
      </c>
      <c r="H38" s="197"/>
      <c r="I38" s="204"/>
    </row>
    <row r="39" spans="2:9" ht="18" x14ac:dyDescent="0.25">
      <c r="B39" s="205" t="s">
        <v>498</v>
      </c>
      <c r="C39" s="178" t="s">
        <v>499</v>
      </c>
      <c r="D39" s="177">
        <v>0.78080000000000005</v>
      </c>
      <c r="E39" s="177" t="s">
        <v>496</v>
      </c>
      <c r="F39" s="177"/>
      <c r="G39" s="177" t="s">
        <v>497</v>
      </c>
      <c r="H39" s="177"/>
      <c r="I39" s="180"/>
    </row>
    <row r="40" spans="2:9" ht="18" x14ac:dyDescent="0.25">
      <c r="B40" s="205" t="s">
        <v>500</v>
      </c>
      <c r="C40" s="178" t="s">
        <v>501</v>
      </c>
      <c r="D40" s="177">
        <v>9.2999999999999992E-3</v>
      </c>
      <c r="E40" s="177" t="s">
        <v>496</v>
      </c>
      <c r="F40" s="177"/>
      <c r="G40" s="177" t="s">
        <v>497</v>
      </c>
      <c r="H40" s="177"/>
      <c r="I40" s="180"/>
    </row>
    <row r="41" spans="2:9" ht="18" x14ac:dyDescent="0.25">
      <c r="B41" s="205" t="s">
        <v>502</v>
      </c>
      <c r="C41" s="178" t="s">
        <v>503</v>
      </c>
      <c r="D41" s="177">
        <v>4.0000000000000002E-4</v>
      </c>
      <c r="E41" s="177" t="s">
        <v>496</v>
      </c>
      <c r="F41" s="177"/>
      <c r="G41" s="177" t="s">
        <v>497</v>
      </c>
      <c r="H41" s="177"/>
      <c r="I41" s="180"/>
    </row>
    <row r="42" spans="2:9" ht="18.75" thickBot="1" x14ac:dyDescent="0.3">
      <c r="B42" s="206" t="s">
        <v>853</v>
      </c>
      <c r="C42" s="207" t="s">
        <v>854</v>
      </c>
      <c r="D42" s="208">
        <v>101325</v>
      </c>
      <c r="E42" s="208"/>
      <c r="F42" s="208"/>
      <c r="G42" s="208" t="s">
        <v>855</v>
      </c>
      <c r="H42" s="208"/>
      <c r="I42" s="209"/>
    </row>
    <row r="43" spans="2:9" ht="15.75" thickBot="1" x14ac:dyDescent="0.3">
      <c r="B43" s="210"/>
      <c r="C43" s="210"/>
      <c r="D43" s="181"/>
      <c r="E43" s="181"/>
      <c r="F43" s="181"/>
      <c r="G43" s="181"/>
      <c r="H43" s="181"/>
      <c r="I43" s="181"/>
    </row>
    <row r="44" spans="2:9" ht="15.75" thickBot="1" x14ac:dyDescent="0.3">
      <c r="C44" s="157" t="s">
        <v>235</v>
      </c>
    </row>
    <row r="45" spans="2:9" ht="15.75" thickBot="1" x14ac:dyDescent="0.3">
      <c r="B45" s="158" t="s">
        <v>0</v>
      </c>
      <c r="C45" s="159" t="s">
        <v>1</v>
      </c>
      <c r="D45" s="159" t="s">
        <v>166</v>
      </c>
      <c r="E45" s="160" t="s">
        <v>435</v>
      </c>
      <c r="F45" s="160" t="s">
        <v>436</v>
      </c>
      <c r="G45" s="159" t="s">
        <v>2</v>
      </c>
      <c r="H45" s="159" t="s">
        <v>229</v>
      </c>
      <c r="I45" s="161" t="s">
        <v>115</v>
      </c>
    </row>
    <row r="46" spans="2:9" ht="17.25" x14ac:dyDescent="0.25">
      <c r="B46" s="162" t="s">
        <v>504</v>
      </c>
      <c r="C46" s="163" t="s">
        <v>505</v>
      </c>
      <c r="D46" s="163">
        <v>8.3144721500000003</v>
      </c>
      <c r="E46" s="163"/>
      <c r="F46" s="163"/>
      <c r="G46" s="163" t="s">
        <v>506</v>
      </c>
      <c r="H46" s="163"/>
      <c r="I46" s="119"/>
    </row>
    <row r="47" spans="2:9" ht="17.25" x14ac:dyDescent="0.25">
      <c r="B47" s="164" t="s">
        <v>507</v>
      </c>
      <c r="C47" s="165" t="s">
        <v>508</v>
      </c>
      <c r="D47" s="165">
        <v>96485.339924</v>
      </c>
      <c r="E47" s="165"/>
      <c r="F47" s="165"/>
      <c r="G47" s="165" t="s">
        <v>509</v>
      </c>
      <c r="H47" s="165"/>
      <c r="I47" s="124"/>
    </row>
    <row r="48" spans="2:9" ht="19.5" thickBot="1" x14ac:dyDescent="0.4">
      <c r="B48" s="166" t="s">
        <v>510</v>
      </c>
      <c r="C48" s="167" t="s">
        <v>511</v>
      </c>
      <c r="D48" s="167">
        <v>9.8066499999999994</v>
      </c>
      <c r="E48" s="167"/>
      <c r="F48" s="167"/>
      <c r="G48" s="167" t="s">
        <v>512</v>
      </c>
      <c r="H48" s="167"/>
      <c r="I48" s="132"/>
    </row>
    <row r="49" spans="2:9" ht="15.75" thickBot="1" x14ac:dyDescent="0.3">
      <c r="B49" s="156"/>
    </row>
    <row r="50" spans="2:9" ht="15.75" thickBot="1" x14ac:dyDescent="0.3">
      <c r="C50" s="157" t="s">
        <v>513</v>
      </c>
    </row>
    <row r="51" spans="2:9" ht="15.75" thickBot="1" x14ac:dyDescent="0.3">
      <c r="B51" s="158" t="s">
        <v>0</v>
      </c>
      <c r="C51" s="159" t="s">
        <v>1</v>
      </c>
      <c r="D51" s="159" t="s">
        <v>166</v>
      </c>
      <c r="E51" s="160" t="s">
        <v>435</v>
      </c>
      <c r="F51" s="160" t="s">
        <v>436</v>
      </c>
      <c r="G51" s="159" t="s">
        <v>2</v>
      </c>
      <c r="H51" s="159" t="s">
        <v>229</v>
      </c>
      <c r="I51" s="161" t="s">
        <v>115</v>
      </c>
    </row>
    <row r="52" spans="2:9" ht="15.75" thickBot="1" x14ac:dyDescent="0.3">
      <c r="B52" s="211" t="s">
        <v>514</v>
      </c>
      <c r="C52" s="212" t="s">
        <v>515</v>
      </c>
      <c r="D52" s="212">
        <v>3.1415926500000002</v>
      </c>
      <c r="E52" s="212"/>
      <c r="F52" s="212"/>
      <c r="G52" s="212" t="s">
        <v>117</v>
      </c>
      <c r="H52" s="212"/>
      <c r="I52" s="213"/>
    </row>
    <row r="53" spans="2:9" ht="15.75" thickBot="1" x14ac:dyDescent="0.3">
      <c r="B53" s="196"/>
      <c r="C53" s="196"/>
      <c r="D53" s="196"/>
      <c r="E53" s="196"/>
      <c r="F53" s="196"/>
      <c r="G53" s="196"/>
      <c r="H53" s="196"/>
    </row>
    <row r="54" spans="2:9" ht="15.75" thickBot="1" x14ac:dyDescent="0.3">
      <c r="C54" s="157" t="s">
        <v>516</v>
      </c>
    </row>
    <row r="55" spans="2:9" ht="15.75" thickBot="1" x14ac:dyDescent="0.3">
      <c r="B55" s="158" t="s">
        <v>0</v>
      </c>
      <c r="C55" s="214" t="s">
        <v>1</v>
      </c>
      <c r="D55" s="159" t="s">
        <v>166</v>
      </c>
      <c r="E55" s="214" t="s">
        <v>435</v>
      </c>
      <c r="F55" s="214" t="s">
        <v>436</v>
      </c>
      <c r="G55" s="214" t="s">
        <v>2</v>
      </c>
      <c r="H55" s="159" t="s">
        <v>229</v>
      </c>
      <c r="I55" s="161" t="s">
        <v>115</v>
      </c>
    </row>
    <row r="56" spans="2:9" s="220" customFormat="1" ht="18.75" x14ac:dyDescent="0.35">
      <c r="B56" s="215" t="s">
        <v>517</v>
      </c>
      <c r="C56" s="216" t="s">
        <v>518</v>
      </c>
      <c r="D56" s="216">
        <v>1.0079400000000001</v>
      </c>
      <c r="E56" s="217"/>
      <c r="F56" s="218"/>
      <c r="G56" s="163" t="s">
        <v>519</v>
      </c>
      <c r="H56" s="163"/>
      <c r="I56" s="219"/>
    </row>
    <row r="57" spans="2:9" s="220" customFormat="1" ht="18.75" x14ac:dyDescent="0.35">
      <c r="B57" s="221" t="s">
        <v>520</v>
      </c>
      <c r="C57" s="222" t="s">
        <v>521</v>
      </c>
      <c r="D57" s="222">
        <v>4.0026020000000004</v>
      </c>
      <c r="E57" s="223"/>
      <c r="F57" s="224"/>
      <c r="G57" s="165" t="s">
        <v>519</v>
      </c>
      <c r="H57" s="165"/>
      <c r="I57" s="225"/>
    </row>
    <row r="58" spans="2:9" s="220" customFormat="1" ht="18.75" x14ac:dyDescent="0.35">
      <c r="B58" s="221" t="s">
        <v>522</v>
      </c>
      <c r="C58" s="222" t="s">
        <v>523</v>
      </c>
      <c r="D58" s="222">
        <v>6.9409999999999998</v>
      </c>
      <c r="E58" s="223"/>
      <c r="F58" s="224"/>
      <c r="G58" s="165" t="s">
        <v>519</v>
      </c>
      <c r="H58" s="165"/>
      <c r="I58" s="225"/>
    </row>
    <row r="59" spans="2:9" s="220" customFormat="1" ht="18.75" x14ac:dyDescent="0.35">
      <c r="B59" s="221" t="s">
        <v>524</v>
      </c>
      <c r="C59" s="222" t="s">
        <v>525</v>
      </c>
      <c r="D59" s="222">
        <v>9.0121819999999992</v>
      </c>
      <c r="E59" s="223"/>
      <c r="F59" s="224"/>
      <c r="G59" s="165" t="s">
        <v>519</v>
      </c>
      <c r="H59" s="165"/>
      <c r="I59" s="225"/>
    </row>
    <row r="60" spans="2:9" s="220" customFormat="1" ht="18.75" x14ac:dyDescent="0.35">
      <c r="B60" s="221" t="s">
        <v>526</v>
      </c>
      <c r="C60" s="222" t="s">
        <v>527</v>
      </c>
      <c r="D60" s="222">
        <v>10.811</v>
      </c>
      <c r="E60" s="223"/>
      <c r="F60" s="224"/>
      <c r="G60" s="165" t="s">
        <v>519</v>
      </c>
      <c r="H60" s="165"/>
      <c r="I60" s="225"/>
    </row>
    <row r="61" spans="2:9" ht="18.75" x14ac:dyDescent="0.35">
      <c r="B61" s="164" t="s">
        <v>528</v>
      </c>
      <c r="C61" s="165" t="s">
        <v>529</v>
      </c>
      <c r="D61" s="226">
        <v>12.0107</v>
      </c>
      <c r="E61" s="227"/>
      <c r="F61" s="227"/>
      <c r="G61" s="165" t="s">
        <v>519</v>
      </c>
      <c r="H61" s="165"/>
      <c r="I61" s="124"/>
    </row>
    <row r="62" spans="2:9" s="220" customFormat="1" ht="18.75" x14ac:dyDescent="0.35">
      <c r="B62" s="221" t="s">
        <v>530</v>
      </c>
      <c r="C62" s="222" t="s">
        <v>531</v>
      </c>
      <c r="D62" s="222">
        <v>14.0067</v>
      </c>
      <c r="E62" s="223"/>
      <c r="F62" s="224"/>
      <c r="G62" s="165" t="s">
        <v>519</v>
      </c>
      <c r="H62" s="165"/>
      <c r="I62" s="225"/>
    </row>
    <row r="63" spans="2:9" s="220" customFormat="1" ht="18.75" x14ac:dyDescent="0.35">
      <c r="B63" s="164" t="s">
        <v>532</v>
      </c>
      <c r="C63" s="222" t="s">
        <v>533</v>
      </c>
      <c r="D63" s="222">
        <v>15.9994</v>
      </c>
      <c r="E63" s="223"/>
      <c r="F63" s="224"/>
      <c r="G63" s="165" t="s">
        <v>519</v>
      </c>
      <c r="H63" s="165"/>
      <c r="I63" s="225"/>
    </row>
    <row r="64" spans="2:9" s="220" customFormat="1" ht="18.75" x14ac:dyDescent="0.35">
      <c r="B64" s="164" t="s">
        <v>534</v>
      </c>
      <c r="C64" s="222" t="s">
        <v>535</v>
      </c>
      <c r="D64" s="222">
        <v>18.998403</v>
      </c>
      <c r="E64" s="223"/>
      <c r="F64" s="224"/>
      <c r="G64" s="165" t="s">
        <v>519</v>
      </c>
      <c r="H64" s="165"/>
      <c r="I64" s="225"/>
    </row>
    <row r="65" spans="2:9" s="220" customFormat="1" ht="18.75" x14ac:dyDescent="0.35">
      <c r="B65" s="164" t="s">
        <v>536</v>
      </c>
      <c r="C65" s="222" t="s">
        <v>537</v>
      </c>
      <c r="D65" s="222">
        <v>20.1797</v>
      </c>
      <c r="E65" s="223"/>
      <c r="F65" s="224"/>
      <c r="G65" s="165" t="s">
        <v>519</v>
      </c>
      <c r="H65" s="165"/>
      <c r="I65" s="225"/>
    </row>
    <row r="66" spans="2:9" ht="18.75" x14ac:dyDescent="0.35">
      <c r="B66" s="164" t="s">
        <v>538</v>
      </c>
      <c r="C66" s="224" t="s">
        <v>539</v>
      </c>
      <c r="D66" s="165">
        <v>22.989768999999999</v>
      </c>
      <c r="E66" s="165"/>
      <c r="F66" s="165"/>
      <c r="G66" s="165" t="s">
        <v>519</v>
      </c>
      <c r="H66" s="165"/>
      <c r="I66" s="124"/>
    </row>
    <row r="67" spans="2:9" ht="18.75" x14ac:dyDescent="0.35">
      <c r="B67" s="164" t="s">
        <v>540</v>
      </c>
      <c r="C67" s="224" t="s">
        <v>541</v>
      </c>
      <c r="D67" s="224">
        <v>24.305</v>
      </c>
      <c r="E67" s="165"/>
      <c r="F67" s="165"/>
      <c r="G67" s="165" t="s">
        <v>519</v>
      </c>
      <c r="H67" s="165"/>
      <c r="I67" s="124"/>
    </row>
    <row r="68" spans="2:9" s="220" customFormat="1" ht="18.75" x14ac:dyDescent="0.35">
      <c r="B68" s="164" t="s">
        <v>542</v>
      </c>
      <c r="C68" s="224" t="s">
        <v>543</v>
      </c>
      <c r="D68" s="224">
        <v>26.9815</v>
      </c>
      <c r="E68" s="224"/>
      <c r="F68" s="224"/>
      <c r="G68" s="165" t="s">
        <v>519</v>
      </c>
      <c r="H68" s="165"/>
      <c r="I68" s="225"/>
    </row>
    <row r="69" spans="2:9" s="220" customFormat="1" ht="18.75" x14ac:dyDescent="0.35">
      <c r="B69" s="164" t="s">
        <v>544</v>
      </c>
      <c r="C69" s="222" t="s">
        <v>545</v>
      </c>
      <c r="D69" s="222">
        <v>28.0855</v>
      </c>
      <c r="E69" s="223"/>
      <c r="F69" s="224"/>
      <c r="G69" s="165" t="s">
        <v>519</v>
      </c>
      <c r="H69" s="165"/>
      <c r="I69" s="225"/>
    </row>
    <row r="70" spans="2:9" s="220" customFormat="1" ht="18.75" x14ac:dyDescent="0.35">
      <c r="B70" s="164" t="s">
        <v>546</v>
      </c>
      <c r="C70" s="224" t="s">
        <v>547</v>
      </c>
      <c r="D70" s="224">
        <v>30.973762199999999</v>
      </c>
      <c r="E70" s="224"/>
      <c r="F70" s="224"/>
      <c r="G70" s="165" t="s">
        <v>519</v>
      </c>
      <c r="H70" s="165"/>
      <c r="I70" s="225"/>
    </row>
    <row r="71" spans="2:9" ht="18.75" x14ac:dyDescent="0.35">
      <c r="B71" s="164" t="s">
        <v>548</v>
      </c>
      <c r="C71" s="224" t="s">
        <v>549</v>
      </c>
      <c r="D71" s="224">
        <v>32.064999999999998</v>
      </c>
      <c r="E71" s="165"/>
      <c r="F71" s="165"/>
      <c r="G71" s="165" t="s">
        <v>519</v>
      </c>
      <c r="H71" s="165"/>
      <c r="I71" s="124"/>
    </row>
    <row r="72" spans="2:9" ht="18.75" x14ac:dyDescent="0.35">
      <c r="B72" s="164" t="s">
        <v>550</v>
      </c>
      <c r="C72" s="224" t="s">
        <v>551</v>
      </c>
      <c r="D72" s="165">
        <v>35.453000000000003</v>
      </c>
      <c r="E72" s="165"/>
      <c r="F72" s="165"/>
      <c r="G72" s="165" t="s">
        <v>519</v>
      </c>
      <c r="H72" s="165"/>
      <c r="I72" s="124"/>
    </row>
    <row r="73" spans="2:9" ht="18.75" x14ac:dyDescent="0.35">
      <c r="B73" s="164" t="s">
        <v>552</v>
      </c>
      <c r="C73" s="224" t="s">
        <v>553</v>
      </c>
      <c r="D73" s="224">
        <v>39.948</v>
      </c>
      <c r="E73" s="165"/>
      <c r="F73" s="165"/>
      <c r="G73" s="165" t="s">
        <v>519</v>
      </c>
      <c r="H73" s="165"/>
      <c r="I73" s="124"/>
    </row>
    <row r="74" spans="2:9" ht="18.75" x14ac:dyDescent="0.35">
      <c r="B74" s="164" t="s">
        <v>554</v>
      </c>
      <c r="C74" s="224" t="s">
        <v>555</v>
      </c>
      <c r="D74" s="224">
        <v>39.098300000000002</v>
      </c>
      <c r="E74" s="165"/>
      <c r="F74" s="165"/>
      <c r="G74" s="165" t="s">
        <v>519</v>
      </c>
      <c r="H74" s="165"/>
      <c r="I74" s="124"/>
    </row>
    <row r="75" spans="2:9" ht="18.75" x14ac:dyDescent="0.35">
      <c r="B75" s="164" t="s">
        <v>556</v>
      </c>
      <c r="C75" s="224" t="s">
        <v>557</v>
      </c>
      <c r="D75" s="224">
        <v>40.078000000000003</v>
      </c>
      <c r="E75" s="165"/>
      <c r="F75" s="165"/>
      <c r="G75" s="165" t="s">
        <v>519</v>
      </c>
      <c r="H75" s="165"/>
      <c r="I75" s="124"/>
    </row>
    <row r="76" spans="2:9" ht="18.75" x14ac:dyDescent="0.35">
      <c r="B76" s="164" t="s">
        <v>558</v>
      </c>
      <c r="C76" s="224" t="s">
        <v>559</v>
      </c>
      <c r="D76" s="224">
        <v>44.955911999999998</v>
      </c>
      <c r="E76" s="165"/>
      <c r="F76" s="165"/>
      <c r="G76" s="165" t="s">
        <v>519</v>
      </c>
      <c r="H76" s="165"/>
      <c r="I76" s="124"/>
    </row>
    <row r="77" spans="2:9" ht="18.75" x14ac:dyDescent="0.35">
      <c r="B77" s="164" t="s">
        <v>560</v>
      </c>
      <c r="C77" s="224" t="s">
        <v>561</v>
      </c>
      <c r="D77" s="224">
        <v>47.866999999999997</v>
      </c>
      <c r="E77" s="165"/>
      <c r="F77" s="165"/>
      <c r="G77" s="165" t="s">
        <v>519</v>
      </c>
      <c r="H77" s="165"/>
      <c r="I77" s="124"/>
    </row>
    <row r="78" spans="2:9" ht="18.75" x14ac:dyDescent="0.35">
      <c r="B78" s="164" t="s">
        <v>562</v>
      </c>
      <c r="C78" s="224" t="s">
        <v>563</v>
      </c>
      <c r="D78" s="224">
        <v>50.941499999999998</v>
      </c>
      <c r="E78" s="165"/>
      <c r="F78" s="165"/>
      <c r="G78" s="165" t="s">
        <v>519</v>
      </c>
      <c r="H78" s="165"/>
      <c r="I78" s="124"/>
    </row>
    <row r="79" spans="2:9" ht="18.75" x14ac:dyDescent="0.35">
      <c r="B79" s="164" t="s">
        <v>564</v>
      </c>
      <c r="C79" s="224" t="s">
        <v>565</v>
      </c>
      <c r="D79" s="224">
        <v>51.996099999999998</v>
      </c>
      <c r="E79" s="165"/>
      <c r="F79" s="165"/>
      <c r="G79" s="165" t="s">
        <v>519</v>
      </c>
      <c r="H79" s="165"/>
      <c r="I79" s="124"/>
    </row>
    <row r="80" spans="2:9" ht="18.75" x14ac:dyDescent="0.35">
      <c r="B80" s="164" t="s">
        <v>566</v>
      </c>
      <c r="C80" s="224" t="s">
        <v>567</v>
      </c>
      <c r="D80" s="224">
        <v>54.938045000000002</v>
      </c>
      <c r="E80" s="165"/>
      <c r="F80" s="165"/>
      <c r="G80" s="165" t="s">
        <v>519</v>
      </c>
      <c r="H80" s="165"/>
      <c r="I80" s="124"/>
    </row>
    <row r="81" spans="2:9" s="220" customFormat="1" ht="18.75" x14ac:dyDescent="0.35">
      <c r="B81" s="228" t="s">
        <v>568</v>
      </c>
      <c r="C81" s="224" t="s">
        <v>569</v>
      </c>
      <c r="D81" s="224">
        <v>55.844999999999999</v>
      </c>
      <c r="E81" s="224"/>
      <c r="F81" s="224"/>
      <c r="G81" s="165" t="s">
        <v>519</v>
      </c>
      <c r="H81" s="165"/>
      <c r="I81" s="225"/>
    </row>
    <row r="82" spans="2:9" ht="18.75" x14ac:dyDescent="0.35">
      <c r="B82" s="164" t="s">
        <v>570</v>
      </c>
      <c r="C82" s="165" t="s">
        <v>571</v>
      </c>
      <c r="D82" s="165">
        <v>58.933194999999998</v>
      </c>
      <c r="E82" s="165"/>
      <c r="F82" s="165"/>
      <c r="G82" s="165" t="s">
        <v>519</v>
      </c>
      <c r="H82" s="165"/>
      <c r="I82" s="124"/>
    </row>
    <row r="83" spans="2:9" ht="18.75" x14ac:dyDescent="0.35">
      <c r="B83" s="164" t="s">
        <v>572</v>
      </c>
      <c r="C83" s="165" t="s">
        <v>573</v>
      </c>
      <c r="D83" s="165">
        <v>58.693399999999997</v>
      </c>
      <c r="E83" s="165"/>
      <c r="F83" s="165"/>
      <c r="G83" s="165" t="s">
        <v>519</v>
      </c>
      <c r="H83" s="165"/>
      <c r="I83" s="124"/>
    </row>
    <row r="84" spans="2:9" ht="18.75" x14ac:dyDescent="0.35">
      <c r="B84" s="164" t="s">
        <v>574</v>
      </c>
      <c r="C84" s="165" t="s">
        <v>575</v>
      </c>
      <c r="D84" s="165">
        <v>63.545999999999999</v>
      </c>
      <c r="E84" s="165"/>
      <c r="F84" s="165"/>
      <c r="G84" s="165" t="s">
        <v>519</v>
      </c>
      <c r="H84" s="165"/>
      <c r="I84" s="124"/>
    </row>
    <row r="85" spans="2:9" ht="18.75" x14ac:dyDescent="0.35">
      <c r="B85" s="164" t="s">
        <v>576</v>
      </c>
      <c r="C85" s="165" t="s">
        <v>577</v>
      </c>
      <c r="D85" s="165">
        <v>65.38</v>
      </c>
      <c r="E85" s="165"/>
      <c r="F85" s="165"/>
      <c r="G85" s="165" t="s">
        <v>519</v>
      </c>
      <c r="H85" s="165"/>
      <c r="I85" s="124"/>
    </row>
    <row r="86" spans="2:9" ht="18.75" x14ac:dyDescent="0.35">
      <c r="B86" s="164" t="s">
        <v>578</v>
      </c>
      <c r="C86" s="165" t="s">
        <v>579</v>
      </c>
      <c r="D86" s="165">
        <v>69.722999999999999</v>
      </c>
      <c r="E86" s="165"/>
      <c r="F86" s="165"/>
      <c r="G86" s="165" t="s">
        <v>519</v>
      </c>
      <c r="H86" s="165"/>
      <c r="I86" s="124"/>
    </row>
    <row r="87" spans="2:9" ht="18.75" x14ac:dyDescent="0.35">
      <c r="B87" s="164" t="s">
        <v>580</v>
      </c>
      <c r="C87" s="165" t="s">
        <v>581</v>
      </c>
      <c r="D87" s="165">
        <v>72.64</v>
      </c>
      <c r="E87" s="165"/>
      <c r="F87" s="165"/>
      <c r="G87" s="165" t="s">
        <v>519</v>
      </c>
      <c r="H87" s="165"/>
      <c r="I87" s="124"/>
    </row>
    <row r="88" spans="2:9" ht="18.75" x14ac:dyDescent="0.35">
      <c r="B88" s="164" t="s">
        <v>582</v>
      </c>
      <c r="C88" s="165" t="s">
        <v>583</v>
      </c>
      <c r="D88" s="165">
        <v>74.921599999999998</v>
      </c>
      <c r="E88" s="165"/>
      <c r="F88" s="165"/>
      <c r="G88" s="165" t="s">
        <v>519</v>
      </c>
      <c r="H88" s="165"/>
      <c r="I88" s="124"/>
    </row>
    <row r="89" spans="2:9" ht="18.75" x14ac:dyDescent="0.35">
      <c r="B89" s="164" t="s">
        <v>584</v>
      </c>
      <c r="C89" s="165" t="s">
        <v>585</v>
      </c>
      <c r="D89" s="165">
        <v>78.959999999999994</v>
      </c>
      <c r="E89" s="165"/>
      <c r="F89" s="165"/>
      <c r="G89" s="165" t="s">
        <v>519</v>
      </c>
      <c r="H89" s="165"/>
      <c r="I89" s="124"/>
    </row>
    <row r="90" spans="2:9" ht="18.75" x14ac:dyDescent="0.35">
      <c r="B90" s="164" t="s">
        <v>586</v>
      </c>
      <c r="C90" s="165" t="s">
        <v>587</v>
      </c>
      <c r="D90" s="165">
        <v>79.903999999999996</v>
      </c>
      <c r="E90" s="165"/>
      <c r="F90" s="165"/>
      <c r="G90" s="165" t="s">
        <v>519</v>
      </c>
      <c r="H90" s="165"/>
      <c r="I90" s="124"/>
    </row>
    <row r="91" spans="2:9" ht="18.75" x14ac:dyDescent="0.35">
      <c r="B91" s="164" t="s">
        <v>588</v>
      </c>
      <c r="C91" s="165" t="s">
        <v>589</v>
      </c>
      <c r="D91" s="165">
        <v>83.798000000000002</v>
      </c>
      <c r="E91" s="165"/>
      <c r="F91" s="165"/>
      <c r="G91" s="165" t="s">
        <v>519</v>
      </c>
      <c r="H91" s="165"/>
      <c r="I91" s="124"/>
    </row>
    <row r="92" spans="2:9" ht="18.75" x14ac:dyDescent="0.35">
      <c r="B92" s="164" t="s">
        <v>590</v>
      </c>
      <c r="C92" s="165" t="s">
        <v>591</v>
      </c>
      <c r="D92" s="165">
        <v>85.467799999999997</v>
      </c>
      <c r="E92" s="165"/>
      <c r="F92" s="165"/>
      <c r="G92" s="165" t="s">
        <v>519</v>
      </c>
      <c r="H92" s="165"/>
      <c r="I92" s="124"/>
    </row>
    <row r="93" spans="2:9" ht="18.75" x14ac:dyDescent="0.35">
      <c r="B93" s="164" t="s">
        <v>592</v>
      </c>
      <c r="C93" s="165" t="s">
        <v>593</v>
      </c>
      <c r="D93" s="165">
        <v>87.62</v>
      </c>
      <c r="E93" s="165"/>
      <c r="F93" s="165"/>
      <c r="G93" s="165" t="s">
        <v>519</v>
      </c>
      <c r="H93" s="165"/>
      <c r="I93" s="124"/>
    </row>
    <row r="94" spans="2:9" ht="18.75" x14ac:dyDescent="0.35">
      <c r="B94" s="164" t="s">
        <v>594</v>
      </c>
      <c r="C94" s="165" t="s">
        <v>595</v>
      </c>
      <c r="D94" s="165">
        <v>88.905850000000001</v>
      </c>
      <c r="E94" s="165"/>
      <c r="F94" s="165"/>
      <c r="G94" s="165" t="s">
        <v>519</v>
      </c>
      <c r="H94" s="165"/>
      <c r="I94" s="124"/>
    </row>
    <row r="95" spans="2:9" ht="18.75" x14ac:dyDescent="0.35">
      <c r="B95" s="164" t="s">
        <v>596</v>
      </c>
      <c r="C95" s="165" t="s">
        <v>597</v>
      </c>
      <c r="D95" s="165">
        <v>91.224000000000004</v>
      </c>
      <c r="E95" s="165"/>
      <c r="F95" s="165"/>
      <c r="G95" s="165" t="s">
        <v>519</v>
      </c>
      <c r="H95" s="165"/>
      <c r="I95" s="124"/>
    </row>
    <row r="96" spans="2:9" ht="18.75" x14ac:dyDescent="0.35">
      <c r="B96" s="164" t="s">
        <v>598</v>
      </c>
      <c r="C96" s="165" t="s">
        <v>599</v>
      </c>
      <c r="D96" s="165">
        <v>92.906379999999999</v>
      </c>
      <c r="E96" s="165"/>
      <c r="F96" s="165"/>
      <c r="G96" s="165" t="s">
        <v>519</v>
      </c>
      <c r="H96" s="165"/>
      <c r="I96" s="124"/>
    </row>
    <row r="97" spans="2:9" ht="18.75" x14ac:dyDescent="0.35">
      <c r="B97" s="164" t="s">
        <v>600</v>
      </c>
      <c r="C97" s="165" t="s">
        <v>601</v>
      </c>
      <c r="D97" s="165">
        <v>95.94</v>
      </c>
      <c r="E97" s="165"/>
      <c r="F97" s="165"/>
      <c r="G97" s="165" t="s">
        <v>519</v>
      </c>
      <c r="H97" s="165"/>
      <c r="I97" s="124"/>
    </row>
    <row r="98" spans="2:9" ht="18.75" x14ac:dyDescent="0.35">
      <c r="B98" s="164" t="s">
        <v>602</v>
      </c>
      <c r="C98" s="165" t="s">
        <v>603</v>
      </c>
      <c r="D98" s="165">
        <v>98</v>
      </c>
      <c r="E98" s="165"/>
      <c r="F98" s="165"/>
      <c r="G98" s="165" t="s">
        <v>519</v>
      </c>
      <c r="H98" s="165"/>
      <c r="I98" s="124"/>
    </row>
    <row r="99" spans="2:9" ht="18.75" x14ac:dyDescent="0.35">
      <c r="B99" s="164" t="s">
        <v>604</v>
      </c>
      <c r="C99" s="165" t="s">
        <v>605</v>
      </c>
      <c r="D99" s="165">
        <v>101.07</v>
      </c>
      <c r="E99" s="165"/>
      <c r="F99" s="165"/>
      <c r="G99" s="165" t="s">
        <v>519</v>
      </c>
      <c r="H99" s="165"/>
      <c r="I99" s="124"/>
    </row>
    <row r="100" spans="2:9" ht="18.75" x14ac:dyDescent="0.35">
      <c r="B100" s="164" t="s">
        <v>606</v>
      </c>
      <c r="C100" s="165" t="s">
        <v>607</v>
      </c>
      <c r="D100" s="165">
        <v>102.9055</v>
      </c>
      <c r="E100" s="165"/>
      <c r="F100" s="165"/>
      <c r="G100" s="165" t="s">
        <v>519</v>
      </c>
      <c r="H100" s="165"/>
      <c r="I100" s="124"/>
    </row>
    <row r="101" spans="2:9" ht="18.75" x14ac:dyDescent="0.35">
      <c r="B101" s="164" t="s">
        <v>608</v>
      </c>
      <c r="C101" s="165" t="s">
        <v>609</v>
      </c>
      <c r="D101" s="165">
        <v>106.42</v>
      </c>
      <c r="E101" s="165"/>
      <c r="F101" s="165"/>
      <c r="G101" s="165" t="s">
        <v>519</v>
      </c>
      <c r="H101" s="165"/>
      <c r="I101" s="124"/>
    </row>
    <row r="102" spans="2:9" ht="18.75" x14ac:dyDescent="0.35">
      <c r="B102" s="164" t="s">
        <v>610</v>
      </c>
      <c r="C102" s="165" t="s">
        <v>611</v>
      </c>
      <c r="D102" s="165">
        <v>107.8682</v>
      </c>
      <c r="E102" s="165"/>
      <c r="F102" s="165"/>
      <c r="G102" s="165" t="s">
        <v>519</v>
      </c>
      <c r="H102" s="165"/>
      <c r="I102" s="124"/>
    </row>
    <row r="103" spans="2:9" ht="18.75" x14ac:dyDescent="0.35">
      <c r="B103" s="164" t="s">
        <v>612</v>
      </c>
      <c r="C103" s="165" t="s">
        <v>613</v>
      </c>
      <c r="D103" s="165">
        <v>112.411</v>
      </c>
      <c r="E103" s="165"/>
      <c r="F103" s="165"/>
      <c r="G103" s="165" t="s">
        <v>519</v>
      </c>
      <c r="H103" s="165"/>
      <c r="I103" s="124"/>
    </row>
    <row r="104" spans="2:9" ht="18.75" x14ac:dyDescent="0.35">
      <c r="B104" s="164" t="s">
        <v>614</v>
      </c>
      <c r="C104" s="165" t="s">
        <v>615</v>
      </c>
      <c r="D104" s="165">
        <v>114.818</v>
      </c>
      <c r="E104" s="165"/>
      <c r="F104" s="165"/>
      <c r="G104" s="165" t="s">
        <v>519</v>
      </c>
      <c r="H104" s="165"/>
      <c r="I104" s="124"/>
    </row>
    <row r="105" spans="2:9" ht="18.75" x14ac:dyDescent="0.35">
      <c r="B105" s="164" t="s">
        <v>616</v>
      </c>
      <c r="C105" s="165" t="s">
        <v>617</v>
      </c>
      <c r="D105" s="165">
        <v>118.71</v>
      </c>
      <c r="E105" s="165"/>
      <c r="F105" s="165"/>
      <c r="G105" s="165" t="s">
        <v>519</v>
      </c>
      <c r="H105" s="165"/>
      <c r="I105" s="124"/>
    </row>
    <row r="106" spans="2:9" ht="18.75" x14ac:dyDescent="0.35">
      <c r="B106" s="164" t="s">
        <v>618</v>
      </c>
      <c r="C106" s="165" t="s">
        <v>619</v>
      </c>
      <c r="D106" s="165">
        <v>121.76</v>
      </c>
      <c r="E106" s="165"/>
      <c r="F106" s="165"/>
      <c r="G106" s="165" t="s">
        <v>519</v>
      </c>
      <c r="H106" s="165"/>
      <c r="I106" s="124"/>
    </row>
    <row r="107" spans="2:9" ht="18.75" x14ac:dyDescent="0.35">
      <c r="B107" s="164" t="s">
        <v>620</v>
      </c>
      <c r="C107" s="165" t="s">
        <v>621</v>
      </c>
      <c r="D107" s="165">
        <v>127.6</v>
      </c>
      <c r="E107" s="165"/>
      <c r="F107" s="165"/>
      <c r="G107" s="165" t="s">
        <v>519</v>
      </c>
      <c r="H107" s="165"/>
      <c r="I107" s="124"/>
    </row>
    <row r="108" spans="2:9" ht="18.75" x14ac:dyDescent="0.35">
      <c r="B108" s="164" t="s">
        <v>622</v>
      </c>
      <c r="C108" s="165" t="s">
        <v>623</v>
      </c>
      <c r="D108" s="165">
        <v>126.90447</v>
      </c>
      <c r="E108" s="165"/>
      <c r="F108" s="165"/>
      <c r="G108" s="165" t="s">
        <v>519</v>
      </c>
      <c r="H108" s="165"/>
      <c r="I108" s="124"/>
    </row>
    <row r="109" spans="2:9" ht="18.75" x14ac:dyDescent="0.35">
      <c r="B109" s="164" t="s">
        <v>624</v>
      </c>
      <c r="C109" s="165" t="s">
        <v>625</v>
      </c>
      <c r="D109" s="165">
        <v>131.29300000000001</v>
      </c>
      <c r="E109" s="165"/>
      <c r="F109" s="165"/>
      <c r="G109" s="165" t="s">
        <v>519</v>
      </c>
      <c r="H109" s="165"/>
      <c r="I109" s="124"/>
    </row>
    <row r="110" spans="2:9" ht="18.75" x14ac:dyDescent="0.35">
      <c r="B110" s="164" t="s">
        <v>626</v>
      </c>
      <c r="C110" s="165" t="s">
        <v>627</v>
      </c>
      <c r="D110" s="165">
        <v>132.90545</v>
      </c>
      <c r="E110" s="165"/>
      <c r="F110" s="165"/>
      <c r="G110" s="165" t="s">
        <v>519</v>
      </c>
      <c r="H110" s="165"/>
      <c r="I110" s="124"/>
    </row>
    <row r="111" spans="2:9" ht="18.75" x14ac:dyDescent="0.35">
      <c r="B111" s="164" t="s">
        <v>628</v>
      </c>
      <c r="C111" s="165" t="s">
        <v>629</v>
      </c>
      <c r="D111" s="165">
        <v>137.327</v>
      </c>
      <c r="E111" s="165"/>
      <c r="F111" s="165"/>
      <c r="G111" s="165" t="s">
        <v>519</v>
      </c>
      <c r="H111" s="165"/>
      <c r="I111" s="124"/>
    </row>
    <row r="112" spans="2:9" ht="18.75" x14ac:dyDescent="0.35">
      <c r="B112" s="164" t="s">
        <v>630</v>
      </c>
      <c r="C112" s="165" t="s">
        <v>631</v>
      </c>
      <c r="D112" s="165">
        <v>138.90547000000001</v>
      </c>
      <c r="E112" s="165"/>
      <c r="F112" s="165"/>
      <c r="G112" s="165" t="s">
        <v>519</v>
      </c>
      <c r="H112" s="165"/>
      <c r="I112" s="124"/>
    </row>
    <row r="113" spans="2:9" ht="18.75" x14ac:dyDescent="0.35">
      <c r="B113" s="164" t="s">
        <v>632</v>
      </c>
      <c r="C113" s="165" t="s">
        <v>633</v>
      </c>
      <c r="D113" s="165">
        <v>140.11600000000001</v>
      </c>
      <c r="E113" s="165"/>
      <c r="F113" s="165"/>
      <c r="G113" s="165" t="s">
        <v>519</v>
      </c>
      <c r="H113" s="165"/>
      <c r="I113" s="124"/>
    </row>
    <row r="114" spans="2:9" ht="18.75" x14ac:dyDescent="0.35">
      <c r="B114" s="164" t="s">
        <v>634</v>
      </c>
      <c r="C114" s="165" t="s">
        <v>635</v>
      </c>
      <c r="D114" s="165">
        <v>140.90764999999999</v>
      </c>
      <c r="E114" s="165"/>
      <c r="F114" s="165"/>
      <c r="G114" s="165" t="s">
        <v>519</v>
      </c>
      <c r="H114" s="165"/>
      <c r="I114" s="124"/>
    </row>
    <row r="115" spans="2:9" ht="18.75" x14ac:dyDescent="0.35">
      <c r="B115" s="164" t="s">
        <v>636</v>
      </c>
      <c r="C115" s="165" t="s">
        <v>637</v>
      </c>
      <c r="D115" s="165">
        <v>144.24199999999999</v>
      </c>
      <c r="E115" s="165"/>
      <c r="F115" s="165"/>
      <c r="G115" s="165" t="s">
        <v>519</v>
      </c>
      <c r="H115" s="165"/>
      <c r="I115" s="124"/>
    </row>
    <row r="116" spans="2:9" ht="18.75" x14ac:dyDescent="0.35">
      <c r="B116" s="164" t="s">
        <v>638</v>
      </c>
      <c r="C116" s="165" t="s">
        <v>639</v>
      </c>
      <c r="D116" s="165">
        <v>145</v>
      </c>
      <c r="E116" s="165"/>
      <c r="F116" s="165"/>
      <c r="G116" s="165" t="s">
        <v>519</v>
      </c>
      <c r="H116" s="165"/>
      <c r="I116" s="124"/>
    </row>
    <row r="117" spans="2:9" ht="18.75" x14ac:dyDescent="0.35">
      <c r="B117" s="164" t="s">
        <v>640</v>
      </c>
      <c r="C117" s="165" t="s">
        <v>641</v>
      </c>
      <c r="D117" s="165">
        <v>150.36000000000001</v>
      </c>
      <c r="E117" s="165"/>
      <c r="F117" s="165"/>
      <c r="G117" s="165" t="s">
        <v>519</v>
      </c>
      <c r="H117" s="165"/>
      <c r="I117" s="124"/>
    </row>
    <row r="118" spans="2:9" ht="18.75" x14ac:dyDescent="0.35">
      <c r="B118" s="164" t="s">
        <v>642</v>
      </c>
      <c r="C118" s="165" t="s">
        <v>643</v>
      </c>
      <c r="D118" s="165">
        <v>151.964</v>
      </c>
      <c r="E118" s="165"/>
      <c r="F118" s="165"/>
      <c r="G118" s="165" t="s">
        <v>519</v>
      </c>
      <c r="H118" s="165"/>
      <c r="I118" s="124"/>
    </row>
    <row r="119" spans="2:9" ht="18.75" x14ac:dyDescent="0.35">
      <c r="B119" s="164" t="s">
        <v>644</v>
      </c>
      <c r="C119" s="165" t="s">
        <v>645</v>
      </c>
      <c r="D119" s="165">
        <v>157.25</v>
      </c>
      <c r="E119" s="165"/>
      <c r="F119" s="165"/>
      <c r="G119" s="165" t="s">
        <v>519</v>
      </c>
      <c r="H119" s="165"/>
      <c r="I119" s="124"/>
    </row>
    <row r="120" spans="2:9" ht="18.75" x14ac:dyDescent="0.35">
      <c r="B120" s="164" t="s">
        <v>646</v>
      </c>
      <c r="C120" s="165" t="s">
        <v>647</v>
      </c>
      <c r="D120" s="165">
        <v>158.92535000000001</v>
      </c>
      <c r="E120" s="165"/>
      <c r="F120" s="165"/>
      <c r="G120" s="165" t="s">
        <v>519</v>
      </c>
      <c r="H120" s="165"/>
      <c r="I120" s="124"/>
    </row>
    <row r="121" spans="2:9" ht="18.75" x14ac:dyDescent="0.35">
      <c r="B121" s="164" t="s">
        <v>648</v>
      </c>
      <c r="C121" s="165" t="s">
        <v>649</v>
      </c>
      <c r="D121" s="165">
        <v>162.5</v>
      </c>
      <c r="E121" s="165"/>
      <c r="F121" s="165"/>
      <c r="G121" s="165" t="s">
        <v>519</v>
      </c>
      <c r="H121" s="165"/>
      <c r="I121" s="124"/>
    </row>
    <row r="122" spans="2:9" ht="18.75" x14ac:dyDescent="0.35">
      <c r="B122" s="164" t="s">
        <v>650</v>
      </c>
      <c r="C122" s="165" t="s">
        <v>651</v>
      </c>
      <c r="D122" s="165">
        <v>164.93031999999999</v>
      </c>
      <c r="E122" s="165"/>
      <c r="F122" s="165"/>
      <c r="G122" s="165" t="s">
        <v>519</v>
      </c>
      <c r="H122" s="165"/>
      <c r="I122" s="124"/>
    </row>
    <row r="123" spans="2:9" ht="18.75" x14ac:dyDescent="0.35">
      <c r="B123" s="164" t="s">
        <v>652</v>
      </c>
      <c r="C123" s="165" t="s">
        <v>653</v>
      </c>
      <c r="D123" s="165">
        <v>167.25899999999999</v>
      </c>
      <c r="E123" s="165"/>
      <c r="F123" s="165"/>
      <c r="G123" s="165" t="s">
        <v>519</v>
      </c>
      <c r="H123" s="165"/>
      <c r="I123" s="124"/>
    </row>
    <row r="124" spans="2:9" ht="18.75" x14ac:dyDescent="0.35">
      <c r="B124" s="164" t="s">
        <v>654</v>
      </c>
      <c r="C124" s="165" t="s">
        <v>655</v>
      </c>
      <c r="D124" s="165">
        <v>168.93421000000001</v>
      </c>
      <c r="E124" s="165"/>
      <c r="F124" s="165"/>
      <c r="G124" s="165" t="s">
        <v>519</v>
      </c>
      <c r="H124" s="165"/>
      <c r="I124" s="124"/>
    </row>
    <row r="125" spans="2:9" ht="18.75" x14ac:dyDescent="0.35">
      <c r="B125" s="164" t="s">
        <v>656</v>
      </c>
      <c r="C125" s="165" t="s">
        <v>657</v>
      </c>
      <c r="D125" s="165">
        <v>173.04</v>
      </c>
      <c r="E125" s="165"/>
      <c r="F125" s="165"/>
      <c r="G125" s="165" t="s">
        <v>519</v>
      </c>
      <c r="H125" s="165"/>
      <c r="I125" s="124"/>
    </row>
    <row r="126" spans="2:9" ht="18.75" x14ac:dyDescent="0.35">
      <c r="B126" s="164" t="s">
        <v>658</v>
      </c>
      <c r="C126" s="165" t="s">
        <v>659</v>
      </c>
      <c r="D126" s="165">
        <v>174.96700000000001</v>
      </c>
      <c r="E126" s="165"/>
      <c r="F126" s="165"/>
      <c r="G126" s="165" t="s">
        <v>519</v>
      </c>
      <c r="H126" s="165"/>
      <c r="I126" s="124"/>
    </row>
    <row r="127" spans="2:9" ht="18.75" x14ac:dyDescent="0.35">
      <c r="B127" s="164" t="s">
        <v>660</v>
      </c>
      <c r="C127" s="165" t="s">
        <v>661</v>
      </c>
      <c r="D127" s="165">
        <v>178.49</v>
      </c>
      <c r="E127" s="165"/>
      <c r="F127" s="165"/>
      <c r="G127" s="165" t="s">
        <v>519</v>
      </c>
      <c r="H127" s="165"/>
      <c r="I127" s="124"/>
    </row>
    <row r="128" spans="2:9" ht="18.75" x14ac:dyDescent="0.35">
      <c r="B128" s="164" t="s">
        <v>662</v>
      </c>
      <c r="C128" s="165" t="s">
        <v>663</v>
      </c>
      <c r="D128" s="165">
        <v>180.94788</v>
      </c>
      <c r="E128" s="165"/>
      <c r="F128" s="165"/>
      <c r="G128" s="165" t="s">
        <v>519</v>
      </c>
      <c r="H128" s="165"/>
      <c r="I128" s="124"/>
    </row>
    <row r="129" spans="2:9" ht="18.75" x14ac:dyDescent="0.35">
      <c r="B129" s="164" t="s">
        <v>664</v>
      </c>
      <c r="C129" s="165" t="s">
        <v>665</v>
      </c>
      <c r="D129" s="165">
        <v>183.84</v>
      </c>
      <c r="E129" s="165"/>
      <c r="F129" s="165"/>
      <c r="G129" s="165" t="s">
        <v>519</v>
      </c>
      <c r="H129" s="165"/>
      <c r="I129" s="124"/>
    </row>
    <row r="130" spans="2:9" ht="18.75" x14ac:dyDescent="0.35">
      <c r="B130" s="164" t="s">
        <v>666</v>
      </c>
      <c r="C130" s="165" t="s">
        <v>667</v>
      </c>
      <c r="D130" s="165">
        <v>186.20699999999999</v>
      </c>
      <c r="E130" s="165"/>
      <c r="F130" s="165"/>
      <c r="G130" s="165" t="s">
        <v>519</v>
      </c>
      <c r="H130" s="165"/>
      <c r="I130" s="124"/>
    </row>
    <row r="131" spans="2:9" ht="18.75" x14ac:dyDescent="0.35">
      <c r="B131" s="164" t="s">
        <v>668</v>
      </c>
      <c r="C131" s="165" t="s">
        <v>669</v>
      </c>
      <c r="D131" s="165">
        <v>190.23</v>
      </c>
      <c r="E131" s="165"/>
      <c r="F131" s="165"/>
      <c r="G131" s="165" t="s">
        <v>519</v>
      </c>
      <c r="H131" s="165"/>
      <c r="I131" s="124"/>
    </row>
    <row r="132" spans="2:9" ht="18.75" x14ac:dyDescent="0.35">
      <c r="B132" s="164" t="s">
        <v>670</v>
      </c>
      <c r="C132" s="165" t="s">
        <v>671</v>
      </c>
      <c r="D132" s="165">
        <v>192.21700000000001</v>
      </c>
      <c r="E132" s="165"/>
      <c r="F132" s="165"/>
      <c r="G132" s="165" t="s">
        <v>519</v>
      </c>
      <c r="H132" s="165"/>
      <c r="I132" s="124"/>
    </row>
    <row r="133" spans="2:9" ht="18.75" x14ac:dyDescent="0.35">
      <c r="B133" s="164" t="s">
        <v>672</v>
      </c>
      <c r="C133" s="165" t="s">
        <v>673</v>
      </c>
      <c r="D133" s="165">
        <v>195.084</v>
      </c>
      <c r="E133" s="165"/>
      <c r="F133" s="165"/>
      <c r="G133" s="165" t="s">
        <v>519</v>
      </c>
      <c r="H133" s="165"/>
      <c r="I133" s="124"/>
    </row>
    <row r="134" spans="2:9" ht="18.75" x14ac:dyDescent="0.35">
      <c r="B134" s="164" t="s">
        <v>674</v>
      </c>
      <c r="C134" s="165" t="s">
        <v>675</v>
      </c>
      <c r="D134" s="165">
        <v>196.96656999999999</v>
      </c>
      <c r="E134" s="165"/>
      <c r="F134" s="165"/>
      <c r="G134" s="165" t="s">
        <v>519</v>
      </c>
      <c r="H134" s="165"/>
      <c r="I134" s="124"/>
    </row>
    <row r="135" spans="2:9" ht="18.75" x14ac:dyDescent="0.35">
      <c r="B135" s="164" t="s">
        <v>676</v>
      </c>
      <c r="C135" s="165" t="s">
        <v>677</v>
      </c>
      <c r="D135" s="165">
        <v>200.59</v>
      </c>
      <c r="E135" s="165"/>
      <c r="F135" s="165"/>
      <c r="G135" s="165" t="s">
        <v>519</v>
      </c>
      <c r="H135" s="165"/>
      <c r="I135" s="124"/>
    </row>
    <row r="136" spans="2:9" ht="18.75" x14ac:dyDescent="0.35">
      <c r="B136" s="164" t="s">
        <v>678</v>
      </c>
      <c r="C136" s="165" t="s">
        <v>679</v>
      </c>
      <c r="D136" s="165">
        <v>204.38329999999999</v>
      </c>
      <c r="E136" s="165"/>
      <c r="F136" s="165"/>
      <c r="G136" s="165" t="s">
        <v>519</v>
      </c>
      <c r="H136" s="165"/>
      <c r="I136" s="124"/>
    </row>
    <row r="137" spans="2:9" ht="18.75" x14ac:dyDescent="0.35">
      <c r="B137" s="164" t="s">
        <v>680</v>
      </c>
      <c r="C137" s="165" t="s">
        <v>681</v>
      </c>
      <c r="D137" s="165">
        <v>207.2</v>
      </c>
      <c r="E137" s="165"/>
      <c r="F137" s="165"/>
      <c r="G137" s="165" t="s">
        <v>519</v>
      </c>
      <c r="H137" s="165"/>
      <c r="I137" s="124"/>
    </row>
    <row r="138" spans="2:9" ht="18.75" x14ac:dyDescent="0.35">
      <c r="B138" s="164" t="s">
        <v>682</v>
      </c>
      <c r="C138" s="165" t="s">
        <v>683</v>
      </c>
      <c r="D138" s="165">
        <v>208.9804</v>
      </c>
      <c r="E138" s="165"/>
      <c r="F138" s="165"/>
      <c r="G138" s="165" t="s">
        <v>519</v>
      </c>
      <c r="H138" s="165"/>
      <c r="I138" s="124"/>
    </row>
    <row r="139" spans="2:9" ht="18.75" x14ac:dyDescent="0.35">
      <c r="B139" s="164" t="s">
        <v>684</v>
      </c>
      <c r="C139" s="165" t="s">
        <v>685</v>
      </c>
      <c r="D139" s="165">
        <v>209</v>
      </c>
      <c r="E139" s="165"/>
      <c r="F139" s="165"/>
      <c r="G139" s="165" t="s">
        <v>519</v>
      </c>
      <c r="H139" s="165"/>
      <c r="I139" s="124"/>
    </row>
    <row r="140" spans="2:9" ht="18.75" x14ac:dyDescent="0.35">
      <c r="B140" s="164" t="s">
        <v>686</v>
      </c>
      <c r="C140" s="165" t="s">
        <v>687</v>
      </c>
      <c r="D140" s="165">
        <v>210</v>
      </c>
      <c r="E140" s="165"/>
      <c r="F140" s="165"/>
      <c r="G140" s="165" t="s">
        <v>519</v>
      </c>
      <c r="H140" s="165"/>
      <c r="I140" s="124"/>
    </row>
    <row r="141" spans="2:9" ht="18.75" x14ac:dyDescent="0.35">
      <c r="B141" s="164" t="s">
        <v>688</v>
      </c>
      <c r="C141" s="165" t="s">
        <v>689</v>
      </c>
      <c r="D141" s="165">
        <v>222</v>
      </c>
      <c r="E141" s="165"/>
      <c r="F141" s="165"/>
      <c r="G141" s="165" t="s">
        <v>519</v>
      </c>
      <c r="H141" s="165"/>
      <c r="I141" s="124"/>
    </row>
    <row r="142" spans="2:9" ht="18.75" x14ac:dyDescent="0.35">
      <c r="B142" s="164" t="s">
        <v>690</v>
      </c>
      <c r="C142" s="165" t="s">
        <v>691</v>
      </c>
      <c r="D142" s="165">
        <v>223</v>
      </c>
      <c r="E142" s="165"/>
      <c r="F142" s="165"/>
      <c r="G142" s="165" t="s">
        <v>519</v>
      </c>
      <c r="H142" s="165"/>
      <c r="I142" s="124"/>
    </row>
    <row r="143" spans="2:9" ht="18.75" x14ac:dyDescent="0.35">
      <c r="B143" s="164" t="s">
        <v>692</v>
      </c>
      <c r="C143" s="165" t="s">
        <v>693</v>
      </c>
      <c r="D143" s="165">
        <v>226</v>
      </c>
      <c r="E143" s="165"/>
      <c r="F143" s="165"/>
      <c r="G143" s="165" t="s">
        <v>519</v>
      </c>
      <c r="H143" s="165"/>
      <c r="I143" s="124"/>
    </row>
    <row r="144" spans="2:9" ht="18.75" x14ac:dyDescent="0.35">
      <c r="B144" s="164" t="s">
        <v>694</v>
      </c>
      <c r="C144" s="165" t="s">
        <v>695</v>
      </c>
      <c r="D144" s="165">
        <v>227</v>
      </c>
      <c r="E144" s="165"/>
      <c r="F144" s="165"/>
      <c r="G144" s="165" t="s">
        <v>519</v>
      </c>
      <c r="H144" s="165"/>
      <c r="I144" s="124"/>
    </row>
    <row r="145" spans="2:9" ht="18.75" x14ac:dyDescent="0.35">
      <c r="B145" s="164" t="s">
        <v>696</v>
      </c>
      <c r="C145" s="165" t="s">
        <v>697</v>
      </c>
      <c r="D145" s="165">
        <v>232.03806</v>
      </c>
      <c r="E145" s="165"/>
      <c r="F145" s="165"/>
      <c r="G145" s="165" t="s">
        <v>519</v>
      </c>
      <c r="H145" s="165"/>
      <c r="I145" s="124"/>
    </row>
    <row r="146" spans="2:9" ht="18.75" x14ac:dyDescent="0.35">
      <c r="B146" s="164" t="s">
        <v>698</v>
      </c>
      <c r="C146" s="165" t="s">
        <v>699</v>
      </c>
      <c r="D146" s="165">
        <v>231.03587999999999</v>
      </c>
      <c r="E146" s="165"/>
      <c r="F146" s="165"/>
      <c r="G146" s="165" t="s">
        <v>519</v>
      </c>
      <c r="H146" s="165"/>
      <c r="I146" s="124"/>
    </row>
    <row r="147" spans="2:9" ht="18.75" x14ac:dyDescent="0.35">
      <c r="B147" s="164" t="s">
        <v>700</v>
      </c>
      <c r="C147" s="165" t="s">
        <v>701</v>
      </c>
      <c r="D147" s="165">
        <v>238.02891</v>
      </c>
      <c r="E147" s="165"/>
      <c r="F147" s="165"/>
      <c r="G147" s="165" t="s">
        <v>519</v>
      </c>
      <c r="H147" s="165"/>
      <c r="I147" s="124"/>
    </row>
    <row r="148" spans="2:9" ht="18.75" x14ac:dyDescent="0.35">
      <c r="B148" s="164" t="s">
        <v>702</v>
      </c>
      <c r="C148" s="165" t="s">
        <v>703</v>
      </c>
      <c r="D148" s="165">
        <v>237</v>
      </c>
      <c r="E148" s="165"/>
      <c r="F148" s="165"/>
      <c r="G148" s="165" t="s">
        <v>519</v>
      </c>
      <c r="H148" s="165"/>
      <c r="I148" s="124"/>
    </row>
    <row r="149" spans="2:9" ht="18.75" x14ac:dyDescent="0.35">
      <c r="B149" s="164" t="s">
        <v>704</v>
      </c>
      <c r="C149" s="165" t="s">
        <v>705</v>
      </c>
      <c r="D149" s="165">
        <v>244</v>
      </c>
      <c r="E149" s="165"/>
      <c r="F149" s="165"/>
      <c r="G149" s="165" t="s">
        <v>519</v>
      </c>
      <c r="H149" s="165"/>
      <c r="I149" s="124"/>
    </row>
    <row r="150" spans="2:9" ht="18.75" x14ac:dyDescent="0.35">
      <c r="B150" s="164" t="s">
        <v>706</v>
      </c>
      <c r="C150" s="165" t="s">
        <v>707</v>
      </c>
      <c r="D150" s="165">
        <v>243</v>
      </c>
      <c r="E150" s="165"/>
      <c r="F150" s="165"/>
      <c r="G150" s="165" t="s">
        <v>519</v>
      </c>
      <c r="H150" s="165"/>
      <c r="I150" s="124"/>
    </row>
    <row r="151" spans="2:9" ht="18.75" x14ac:dyDescent="0.35">
      <c r="B151" s="164" t="s">
        <v>708</v>
      </c>
      <c r="C151" s="165" t="s">
        <v>709</v>
      </c>
      <c r="D151" s="165">
        <v>247</v>
      </c>
      <c r="E151" s="165"/>
      <c r="F151" s="165"/>
      <c r="G151" s="165" t="s">
        <v>519</v>
      </c>
      <c r="H151" s="165"/>
      <c r="I151" s="124"/>
    </row>
    <row r="152" spans="2:9" ht="18.75" x14ac:dyDescent="0.35">
      <c r="B152" s="164" t="s">
        <v>710</v>
      </c>
      <c r="C152" s="165" t="s">
        <v>711</v>
      </c>
      <c r="D152" s="165">
        <v>247</v>
      </c>
      <c r="E152" s="165"/>
      <c r="F152" s="165"/>
      <c r="G152" s="165" t="s">
        <v>519</v>
      </c>
      <c r="H152" s="165"/>
      <c r="I152" s="124"/>
    </row>
    <row r="153" spans="2:9" ht="18.75" x14ac:dyDescent="0.35">
      <c r="B153" s="164" t="s">
        <v>712</v>
      </c>
      <c r="C153" s="165" t="s">
        <v>713</v>
      </c>
      <c r="D153" s="165">
        <v>251</v>
      </c>
      <c r="E153" s="165"/>
      <c r="F153" s="165"/>
      <c r="G153" s="165" t="s">
        <v>519</v>
      </c>
      <c r="H153" s="165"/>
      <c r="I153" s="124"/>
    </row>
    <row r="154" spans="2:9" ht="18.75" x14ac:dyDescent="0.35">
      <c r="B154" s="164" t="s">
        <v>714</v>
      </c>
      <c r="C154" s="165" t="s">
        <v>715</v>
      </c>
      <c r="D154" s="165">
        <v>252</v>
      </c>
      <c r="E154" s="165"/>
      <c r="F154" s="165"/>
      <c r="G154" s="165" t="s">
        <v>519</v>
      </c>
      <c r="H154" s="165"/>
      <c r="I154" s="124"/>
    </row>
    <row r="155" spans="2:9" ht="18.75" x14ac:dyDescent="0.35">
      <c r="B155" s="164" t="s">
        <v>716</v>
      </c>
      <c r="C155" s="165" t="s">
        <v>717</v>
      </c>
      <c r="D155" s="165">
        <v>257</v>
      </c>
      <c r="E155" s="165"/>
      <c r="F155" s="165"/>
      <c r="G155" s="165" t="s">
        <v>519</v>
      </c>
      <c r="H155" s="165"/>
      <c r="I155" s="124"/>
    </row>
    <row r="156" spans="2:9" ht="18.75" x14ac:dyDescent="0.35">
      <c r="B156" s="164" t="s">
        <v>718</v>
      </c>
      <c r="C156" s="165" t="s">
        <v>719</v>
      </c>
      <c r="D156" s="165">
        <v>258</v>
      </c>
      <c r="E156" s="165"/>
      <c r="F156" s="165"/>
      <c r="G156" s="165" t="s">
        <v>519</v>
      </c>
      <c r="H156" s="165"/>
      <c r="I156" s="124"/>
    </row>
    <row r="157" spans="2:9" ht="18.75" x14ac:dyDescent="0.35">
      <c r="B157" s="164" t="s">
        <v>720</v>
      </c>
      <c r="C157" s="165" t="s">
        <v>721</v>
      </c>
      <c r="D157" s="165">
        <v>259</v>
      </c>
      <c r="E157" s="165"/>
      <c r="F157" s="165"/>
      <c r="G157" s="165" t="s">
        <v>519</v>
      </c>
      <c r="H157" s="165"/>
      <c r="I157" s="124"/>
    </row>
    <row r="158" spans="2:9" ht="18.75" x14ac:dyDescent="0.35">
      <c r="B158" s="164" t="s">
        <v>722</v>
      </c>
      <c r="C158" s="165" t="s">
        <v>723</v>
      </c>
      <c r="D158" s="165">
        <v>262</v>
      </c>
      <c r="E158" s="165"/>
      <c r="F158" s="165"/>
      <c r="G158" s="165" t="s">
        <v>519</v>
      </c>
      <c r="H158" s="165"/>
      <c r="I158" s="124"/>
    </row>
    <row r="159" spans="2:9" ht="18.75" x14ac:dyDescent="0.35">
      <c r="B159" s="164" t="s">
        <v>724</v>
      </c>
      <c r="C159" s="165" t="s">
        <v>725</v>
      </c>
      <c r="D159" s="165">
        <v>261</v>
      </c>
      <c r="E159" s="165"/>
      <c r="F159" s="165"/>
      <c r="G159" s="165" t="s">
        <v>519</v>
      </c>
      <c r="H159" s="165"/>
      <c r="I159" s="124"/>
    </row>
    <row r="160" spans="2:9" ht="18.75" x14ac:dyDescent="0.35">
      <c r="B160" s="164" t="s">
        <v>726</v>
      </c>
      <c r="C160" s="165" t="s">
        <v>727</v>
      </c>
      <c r="D160" s="165">
        <v>262</v>
      </c>
      <c r="E160" s="165"/>
      <c r="F160" s="165"/>
      <c r="G160" s="165" t="s">
        <v>519</v>
      </c>
      <c r="H160" s="165"/>
      <c r="I160" s="124"/>
    </row>
    <row r="161" spans="2:9" ht="18.75" x14ac:dyDescent="0.35">
      <c r="B161" s="164" t="s">
        <v>728</v>
      </c>
      <c r="C161" s="165" t="s">
        <v>729</v>
      </c>
      <c r="D161" s="165">
        <v>266</v>
      </c>
      <c r="E161" s="165"/>
      <c r="F161" s="165"/>
      <c r="G161" s="165" t="s">
        <v>519</v>
      </c>
      <c r="H161" s="165"/>
      <c r="I161" s="124"/>
    </row>
    <row r="162" spans="2:9" ht="18.75" x14ac:dyDescent="0.35">
      <c r="B162" s="164" t="s">
        <v>730</v>
      </c>
      <c r="C162" s="165" t="s">
        <v>731</v>
      </c>
      <c r="D162" s="165">
        <v>264</v>
      </c>
      <c r="E162" s="165"/>
      <c r="F162" s="165"/>
      <c r="G162" s="165" t="s">
        <v>519</v>
      </c>
      <c r="H162" s="165"/>
      <c r="I162" s="124"/>
    </row>
    <row r="163" spans="2:9" ht="18.75" x14ac:dyDescent="0.35">
      <c r="B163" s="164" t="s">
        <v>732</v>
      </c>
      <c r="C163" s="165" t="s">
        <v>733</v>
      </c>
      <c r="D163" s="165">
        <v>277</v>
      </c>
      <c r="E163" s="165"/>
      <c r="F163" s="165"/>
      <c r="G163" s="165" t="s">
        <v>519</v>
      </c>
      <c r="H163" s="165"/>
      <c r="I163" s="124"/>
    </row>
    <row r="164" spans="2:9" ht="18.75" x14ac:dyDescent="0.35">
      <c r="B164" s="164" t="s">
        <v>734</v>
      </c>
      <c r="C164" s="165" t="s">
        <v>735</v>
      </c>
      <c r="D164" s="165">
        <v>268</v>
      </c>
      <c r="E164" s="165"/>
      <c r="F164" s="165"/>
      <c r="G164" s="165" t="s">
        <v>519</v>
      </c>
      <c r="H164" s="165"/>
      <c r="I164" s="124"/>
    </row>
    <row r="165" spans="2:9" ht="18.75" x14ac:dyDescent="0.35">
      <c r="B165" s="164" t="s">
        <v>736</v>
      </c>
      <c r="C165" s="165" t="s">
        <v>737</v>
      </c>
      <c r="D165" s="165">
        <v>281</v>
      </c>
      <c r="E165" s="165"/>
      <c r="F165" s="165"/>
      <c r="G165" s="165" t="s">
        <v>519</v>
      </c>
      <c r="H165" s="165"/>
      <c r="I165" s="124"/>
    </row>
    <row r="166" spans="2:9" ht="18.75" x14ac:dyDescent="0.35">
      <c r="B166" s="164" t="s">
        <v>738</v>
      </c>
      <c r="C166" s="165" t="s">
        <v>739</v>
      </c>
      <c r="D166" s="165">
        <v>272</v>
      </c>
      <c r="E166" s="165"/>
      <c r="F166" s="165"/>
      <c r="G166" s="165" t="s">
        <v>519</v>
      </c>
      <c r="H166" s="165"/>
      <c r="I166" s="124"/>
    </row>
    <row r="167" spans="2:9" ht="18.75" x14ac:dyDescent="0.35">
      <c r="B167" s="164" t="s">
        <v>740</v>
      </c>
      <c r="C167" s="165" t="s">
        <v>741</v>
      </c>
      <c r="D167" s="165">
        <v>285</v>
      </c>
      <c r="E167" s="165"/>
      <c r="F167" s="165"/>
      <c r="G167" s="165" t="s">
        <v>519</v>
      </c>
      <c r="H167" s="165"/>
      <c r="I167" s="124"/>
    </row>
    <row r="168" spans="2:9" ht="18.75" x14ac:dyDescent="0.35">
      <c r="B168" s="164" t="s">
        <v>742</v>
      </c>
      <c r="C168" s="165" t="s">
        <v>743</v>
      </c>
      <c r="D168" s="165">
        <v>284</v>
      </c>
      <c r="E168" s="165"/>
      <c r="F168" s="165"/>
      <c r="G168" s="165" t="s">
        <v>519</v>
      </c>
      <c r="H168" s="165"/>
      <c r="I168" s="124"/>
    </row>
    <row r="169" spans="2:9" ht="18.75" x14ac:dyDescent="0.35">
      <c r="B169" s="164" t="s">
        <v>744</v>
      </c>
      <c r="C169" s="165" t="s">
        <v>745</v>
      </c>
      <c r="D169" s="165">
        <v>289</v>
      </c>
      <c r="E169" s="165"/>
      <c r="F169" s="165"/>
      <c r="G169" s="165" t="s">
        <v>519</v>
      </c>
      <c r="H169" s="165"/>
      <c r="I169" s="124"/>
    </row>
    <row r="170" spans="2:9" ht="18.75" x14ac:dyDescent="0.35">
      <c r="B170" s="164" t="s">
        <v>746</v>
      </c>
      <c r="C170" s="165" t="s">
        <v>747</v>
      </c>
      <c r="D170" s="165">
        <v>288</v>
      </c>
      <c r="E170" s="165"/>
      <c r="F170" s="165"/>
      <c r="G170" s="165" t="s">
        <v>519</v>
      </c>
      <c r="H170" s="165"/>
      <c r="I170" s="124"/>
    </row>
    <row r="171" spans="2:9" ht="18.75" x14ac:dyDescent="0.35">
      <c r="B171" s="164" t="s">
        <v>748</v>
      </c>
      <c r="C171" s="165" t="s">
        <v>749</v>
      </c>
      <c r="D171" s="165">
        <v>292</v>
      </c>
      <c r="E171" s="165"/>
      <c r="F171" s="165"/>
      <c r="G171" s="165" t="s">
        <v>519</v>
      </c>
      <c r="H171" s="165"/>
      <c r="I171" s="124"/>
    </row>
    <row r="172" spans="2:9" ht="18.75" x14ac:dyDescent="0.35">
      <c r="B172" s="164" t="s">
        <v>750</v>
      </c>
      <c r="C172" s="165" t="s">
        <v>751</v>
      </c>
      <c r="D172" s="165">
        <v>292</v>
      </c>
      <c r="E172" s="165"/>
      <c r="F172" s="165"/>
      <c r="G172" s="165" t="s">
        <v>519</v>
      </c>
      <c r="H172" s="165"/>
      <c r="I172" s="124"/>
    </row>
    <row r="173" spans="2:9" ht="19.5" thickBot="1" x14ac:dyDescent="0.4">
      <c r="B173" s="166" t="s">
        <v>752</v>
      </c>
      <c r="C173" s="167" t="s">
        <v>753</v>
      </c>
      <c r="D173" s="167">
        <v>294</v>
      </c>
      <c r="E173" s="167"/>
      <c r="F173" s="167"/>
      <c r="G173" s="167" t="s">
        <v>519</v>
      </c>
      <c r="H173" s="167"/>
      <c r="I173" s="132"/>
    </row>
    <row r="174" spans="2:9" ht="15.75" thickBot="1" x14ac:dyDescent="0.3"/>
    <row r="175" spans="2:9" ht="15.75" thickBot="1" x14ac:dyDescent="0.3">
      <c r="C175" s="157" t="s">
        <v>754</v>
      </c>
    </row>
    <row r="176" spans="2:9" ht="15.75" thickBot="1" x14ac:dyDescent="0.3">
      <c r="B176" s="158" t="s">
        <v>0</v>
      </c>
      <c r="C176" s="214" t="s">
        <v>1</v>
      </c>
      <c r="D176" s="159" t="s">
        <v>166</v>
      </c>
      <c r="E176" s="214" t="s">
        <v>435</v>
      </c>
      <c r="F176" s="214" t="s">
        <v>436</v>
      </c>
      <c r="G176" s="214" t="s">
        <v>2</v>
      </c>
      <c r="H176" s="159" t="s">
        <v>229</v>
      </c>
      <c r="I176" s="161" t="s">
        <v>115</v>
      </c>
    </row>
    <row r="177" spans="2:10" ht="18.75" x14ac:dyDescent="0.35">
      <c r="B177" s="162" t="s">
        <v>755</v>
      </c>
      <c r="C177" s="218" t="s">
        <v>756</v>
      </c>
      <c r="D177" s="168">
        <f>2*A_MH</f>
        <v>2.0158800000000001</v>
      </c>
      <c r="E177" s="218"/>
      <c r="F177" s="218"/>
      <c r="G177" s="163" t="s">
        <v>519</v>
      </c>
      <c r="H177" s="163"/>
      <c r="I177" s="171"/>
    </row>
    <row r="178" spans="2:10" ht="18.75" x14ac:dyDescent="0.35">
      <c r="B178" s="164" t="s">
        <v>757</v>
      </c>
      <c r="C178" s="224" t="s">
        <v>758</v>
      </c>
      <c r="D178" s="172">
        <f>A_MC+4*A_MH</f>
        <v>16.042459999999998</v>
      </c>
      <c r="E178" s="224"/>
      <c r="F178" s="224"/>
      <c r="G178" s="165" t="s">
        <v>519</v>
      </c>
      <c r="H178" s="165"/>
      <c r="I178" s="175"/>
    </row>
    <row r="179" spans="2:10" ht="18.75" x14ac:dyDescent="0.35">
      <c r="B179" s="164" t="s">
        <v>759</v>
      </c>
      <c r="C179" s="224" t="s">
        <v>760</v>
      </c>
      <c r="D179" s="165">
        <f>A_MC+2*A_MO</f>
        <v>44.009500000000003</v>
      </c>
      <c r="E179" s="165"/>
      <c r="F179" s="165"/>
      <c r="G179" s="165" t="s">
        <v>519</v>
      </c>
      <c r="H179" s="165"/>
      <c r="I179" s="124"/>
    </row>
    <row r="180" spans="2:10" ht="18.75" x14ac:dyDescent="0.35">
      <c r="B180" s="164" t="s">
        <v>761</v>
      </c>
      <c r="C180" s="224" t="s">
        <v>762</v>
      </c>
      <c r="D180" s="165">
        <f>2*A_MN</f>
        <v>28.013400000000001</v>
      </c>
      <c r="E180" s="165"/>
      <c r="F180" s="165"/>
      <c r="G180" s="165" t="s">
        <v>519</v>
      </c>
      <c r="H180" s="165"/>
      <c r="I180" s="124"/>
    </row>
    <row r="181" spans="2:10" ht="18.75" x14ac:dyDescent="0.35">
      <c r="B181" s="164" t="s">
        <v>763</v>
      </c>
      <c r="C181" s="165" t="s">
        <v>764</v>
      </c>
      <c r="D181" s="165">
        <f>2*A_MO</f>
        <v>31.998799999999999</v>
      </c>
      <c r="E181" s="165"/>
      <c r="F181" s="165"/>
      <c r="G181" s="165" t="s">
        <v>519</v>
      </c>
      <c r="H181" s="165"/>
      <c r="I181" s="124"/>
      <c r="J181" s="107" t="s">
        <v>765</v>
      </c>
    </row>
    <row r="182" spans="2:10" ht="18.75" x14ac:dyDescent="0.35">
      <c r="B182" s="164" t="s">
        <v>766</v>
      </c>
      <c r="C182" s="224" t="s">
        <v>767</v>
      </c>
      <c r="D182" s="165">
        <f>A_MN+A_MO</f>
        <v>30.0061</v>
      </c>
      <c r="E182" s="165"/>
      <c r="F182" s="165"/>
      <c r="G182" s="165" t="s">
        <v>519</v>
      </c>
      <c r="H182" s="165"/>
      <c r="I182" s="124"/>
      <c r="J182" s="107" t="s">
        <v>768</v>
      </c>
    </row>
    <row r="183" spans="2:10" ht="19.5" thickBot="1" x14ac:dyDescent="0.4">
      <c r="B183" s="166" t="s">
        <v>769</v>
      </c>
      <c r="C183" s="229" t="s">
        <v>770</v>
      </c>
      <c r="D183" s="167">
        <f>2*A_MN+A_MO</f>
        <v>44.012799999999999</v>
      </c>
      <c r="E183" s="167"/>
      <c r="F183" s="167"/>
      <c r="G183" s="167" t="s">
        <v>519</v>
      </c>
      <c r="H183" s="167"/>
      <c r="I183" s="132"/>
      <c r="J183" s="107" t="s">
        <v>771</v>
      </c>
    </row>
    <row r="184" spans="2:10" ht="15.75" thickBot="1" x14ac:dyDescent="0.3">
      <c r="B184" s="230"/>
      <c r="C184" s="231"/>
      <c r="D184" s="230"/>
      <c r="E184" s="230"/>
      <c r="F184" s="230"/>
      <c r="G184" s="230"/>
      <c r="H184" s="230"/>
      <c r="I184" s="232"/>
    </row>
    <row r="185" spans="2:10" ht="15.75" thickBot="1" x14ac:dyDescent="0.3">
      <c r="B185" s="233"/>
      <c r="C185" s="157" t="s">
        <v>772</v>
      </c>
      <c r="D185" s="234"/>
    </row>
    <row r="186" spans="2:10" ht="15.75" thickBot="1" x14ac:dyDescent="0.3">
      <c r="B186" s="158" t="s">
        <v>0</v>
      </c>
      <c r="C186" s="214" t="s">
        <v>1</v>
      </c>
      <c r="D186" s="159" t="s">
        <v>166</v>
      </c>
      <c r="E186" s="214" t="s">
        <v>435</v>
      </c>
      <c r="F186" s="214" t="s">
        <v>436</v>
      </c>
      <c r="G186" s="214" t="s">
        <v>2</v>
      </c>
      <c r="H186" s="159" t="s">
        <v>229</v>
      </c>
      <c r="I186" s="161" t="s">
        <v>115</v>
      </c>
    </row>
    <row r="187" spans="2:10" ht="18.75" x14ac:dyDescent="0.35">
      <c r="B187" s="162" t="s">
        <v>773</v>
      </c>
      <c r="C187" s="163" t="s">
        <v>764</v>
      </c>
      <c r="D187" s="163">
        <f>2*A_MO</f>
        <v>31.998799999999999</v>
      </c>
      <c r="E187" s="163"/>
      <c r="F187" s="163"/>
      <c r="G187" s="163" t="s">
        <v>519</v>
      </c>
      <c r="H187" s="163"/>
      <c r="I187" s="119"/>
    </row>
    <row r="188" spans="2:10" ht="18.75" x14ac:dyDescent="0.35">
      <c r="B188" s="164" t="s">
        <v>774</v>
      </c>
      <c r="C188" s="224" t="s">
        <v>762</v>
      </c>
      <c r="D188" s="165">
        <f>2*A_MN</f>
        <v>28.013400000000001</v>
      </c>
      <c r="E188" s="165"/>
      <c r="F188" s="165"/>
      <c r="G188" s="165" t="s">
        <v>519</v>
      </c>
      <c r="H188" s="165"/>
      <c r="I188" s="124"/>
    </row>
    <row r="189" spans="2:10" ht="18.75" x14ac:dyDescent="0.35">
      <c r="B189" s="164" t="s">
        <v>775</v>
      </c>
      <c r="C189" s="224" t="s">
        <v>776</v>
      </c>
      <c r="D189" s="165">
        <f>A_MN+3*A_MH</f>
        <v>17.030519999999999</v>
      </c>
      <c r="E189" s="165"/>
      <c r="F189" s="165"/>
      <c r="G189" s="165" t="s">
        <v>519</v>
      </c>
      <c r="H189" s="165"/>
      <c r="I189" s="124"/>
    </row>
    <row r="190" spans="2:10" ht="18.75" x14ac:dyDescent="0.35">
      <c r="B190" s="235" t="s">
        <v>777</v>
      </c>
      <c r="C190" s="224" t="s">
        <v>778</v>
      </c>
      <c r="D190" s="165">
        <f>2*A_MFe+3*A_MO</f>
        <v>159.68819999999999</v>
      </c>
      <c r="E190" s="123"/>
      <c r="F190" s="123"/>
      <c r="G190" s="165" t="s">
        <v>519</v>
      </c>
      <c r="H190" s="165"/>
      <c r="I190" s="124"/>
    </row>
    <row r="191" spans="2:10" ht="18" x14ac:dyDescent="0.25">
      <c r="B191" s="235" t="s">
        <v>779</v>
      </c>
      <c r="C191" s="224" t="s">
        <v>780</v>
      </c>
      <c r="D191" s="165">
        <f>A_MP+4*A_MO</f>
        <v>94.971362200000002</v>
      </c>
      <c r="E191" s="123"/>
      <c r="F191" s="123"/>
      <c r="G191" s="165" t="s">
        <v>519</v>
      </c>
      <c r="H191" s="165"/>
      <c r="I191" s="124"/>
    </row>
    <row r="192" spans="2:10" ht="18" x14ac:dyDescent="0.25">
      <c r="B192" s="235" t="s">
        <v>781</v>
      </c>
      <c r="C192" s="224" t="s">
        <v>760</v>
      </c>
      <c r="D192" s="236">
        <f>A_MC+2*A_MO</f>
        <v>44.009500000000003</v>
      </c>
      <c r="E192" s="236"/>
      <c r="F192" s="236"/>
      <c r="G192" s="165" t="s">
        <v>519</v>
      </c>
      <c r="H192" s="236"/>
      <c r="I192" s="237"/>
      <c r="J192" s="238"/>
    </row>
    <row r="193" spans="2:10" ht="18" x14ac:dyDescent="0.25">
      <c r="B193" s="235" t="s">
        <v>782</v>
      </c>
      <c r="C193" s="224" t="s">
        <v>783</v>
      </c>
      <c r="D193" s="236">
        <f>A_MS+4*A_MO</f>
        <v>96.062600000000003</v>
      </c>
      <c r="E193" s="236"/>
      <c r="F193" s="236"/>
      <c r="G193" s="165" t="s">
        <v>519</v>
      </c>
      <c r="H193" s="236"/>
      <c r="I193" s="237"/>
      <c r="J193" s="238"/>
    </row>
    <row r="194" spans="2:10" ht="18.75" x14ac:dyDescent="0.35">
      <c r="B194" s="164" t="s">
        <v>784</v>
      </c>
      <c r="C194" s="224" t="s">
        <v>785</v>
      </c>
      <c r="D194" s="172">
        <f>A_MC+3*A_MH+A_MO+A_MH</f>
        <v>32.04186</v>
      </c>
      <c r="E194" s="224"/>
      <c r="F194" s="224"/>
      <c r="G194" s="165" t="s">
        <v>519</v>
      </c>
      <c r="H194" s="165"/>
      <c r="I194" s="175"/>
    </row>
    <row r="195" spans="2:10" ht="18.75" x14ac:dyDescent="0.35">
      <c r="B195" s="164" t="s">
        <v>786</v>
      </c>
      <c r="C195" s="224" t="s">
        <v>787</v>
      </c>
      <c r="D195" s="172">
        <f>A_MC+3*A_MH+A_MC+2*A_MO+A_MH</f>
        <v>60.051960000000001</v>
      </c>
      <c r="E195" s="224"/>
      <c r="F195" s="224"/>
      <c r="G195" s="165" t="s">
        <v>519</v>
      </c>
      <c r="H195" s="165"/>
      <c r="I195" s="175"/>
    </row>
    <row r="196" spans="2:10" ht="19.5" thickBot="1" x14ac:dyDescent="0.4">
      <c r="B196" s="166" t="s">
        <v>788</v>
      </c>
      <c r="C196" s="229" t="s">
        <v>789</v>
      </c>
      <c r="D196" s="239">
        <f>A_MCa+A_MC+3*A_MO</f>
        <v>100.0869</v>
      </c>
      <c r="E196" s="229"/>
      <c r="F196" s="229"/>
      <c r="G196" s="167" t="s">
        <v>519</v>
      </c>
      <c r="H196" s="167"/>
      <c r="I196" s="240"/>
    </row>
    <row r="197" spans="2:10" ht="15.75" thickBot="1" x14ac:dyDescent="0.3">
      <c r="B197" s="238"/>
      <c r="C197" s="241"/>
      <c r="D197" s="238"/>
      <c r="E197" s="238"/>
      <c r="F197" s="238"/>
      <c r="G197" s="196"/>
      <c r="H197" s="238"/>
      <c r="I197" s="238"/>
      <c r="J197" s="238"/>
    </row>
    <row r="198" spans="2:10" ht="15.75" thickBot="1" x14ac:dyDescent="0.3">
      <c r="C198" s="157" t="s">
        <v>790</v>
      </c>
    </row>
    <row r="199" spans="2:10" ht="15.75" thickBot="1" x14ac:dyDescent="0.3">
      <c r="B199" s="158" t="s">
        <v>0</v>
      </c>
      <c r="C199" s="214" t="s">
        <v>1</v>
      </c>
      <c r="D199" s="159" t="s">
        <v>166</v>
      </c>
      <c r="E199" s="214" t="s">
        <v>435</v>
      </c>
      <c r="F199" s="214" t="s">
        <v>436</v>
      </c>
      <c r="G199" s="214" t="s">
        <v>2</v>
      </c>
      <c r="H199" s="159" t="s">
        <v>229</v>
      </c>
      <c r="I199" s="242" t="s">
        <v>115</v>
      </c>
    </row>
    <row r="200" spans="2:10" ht="18.75" x14ac:dyDescent="0.35">
      <c r="B200" s="162" t="s">
        <v>791</v>
      </c>
      <c r="C200" s="117" t="s">
        <v>792</v>
      </c>
      <c r="D200" s="163">
        <f>2*A_MN</f>
        <v>28.013400000000001</v>
      </c>
      <c r="E200" s="163"/>
      <c r="F200" s="117"/>
      <c r="G200" s="163" t="s">
        <v>793</v>
      </c>
      <c r="H200" s="163"/>
      <c r="I200" s="119"/>
    </row>
    <row r="201" spans="2:10" ht="18.75" x14ac:dyDescent="0.35">
      <c r="B201" s="164" t="s">
        <v>794</v>
      </c>
      <c r="C201" s="123" t="s">
        <v>795</v>
      </c>
      <c r="D201" s="165">
        <f>A_MN</f>
        <v>14.0067</v>
      </c>
      <c r="E201" s="165"/>
      <c r="F201" s="123"/>
      <c r="G201" s="165" t="s">
        <v>793</v>
      </c>
      <c r="H201" s="165"/>
      <c r="I201" s="124"/>
    </row>
    <row r="202" spans="2:10" ht="18.75" x14ac:dyDescent="0.35">
      <c r="B202" s="164" t="s">
        <v>796</v>
      </c>
      <c r="C202" s="123" t="s">
        <v>797</v>
      </c>
      <c r="D202" s="165">
        <f>2*A_MN</f>
        <v>28.013400000000001</v>
      </c>
      <c r="E202" s="165"/>
      <c r="F202" s="123"/>
      <c r="G202" s="165" t="s">
        <v>793</v>
      </c>
      <c r="H202" s="165"/>
      <c r="I202" s="124"/>
    </row>
    <row r="203" spans="2:10" ht="18.75" x14ac:dyDescent="0.35">
      <c r="B203" s="164" t="s">
        <v>798</v>
      </c>
      <c r="C203" s="123" t="s">
        <v>799</v>
      </c>
      <c r="D203" s="165">
        <f>A_MC+2*A_MO</f>
        <v>44.009500000000003</v>
      </c>
      <c r="E203" s="165"/>
      <c r="F203" s="123"/>
      <c r="G203" s="165" t="s">
        <v>519</v>
      </c>
      <c r="H203" s="165"/>
      <c r="I203" s="124"/>
      <c r="J203" s="107" t="s">
        <v>800</v>
      </c>
    </row>
    <row r="204" spans="2:10" ht="18.75" x14ac:dyDescent="0.35">
      <c r="B204" s="164" t="s">
        <v>801</v>
      </c>
      <c r="C204" s="123" t="s">
        <v>802</v>
      </c>
      <c r="D204" s="236">
        <f>2*A_MO</f>
        <v>31.998799999999999</v>
      </c>
      <c r="E204" s="123"/>
      <c r="F204" s="123"/>
      <c r="G204" s="165" t="s">
        <v>519</v>
      </c>
      <c r="H204" s="123"/>
      <c r="I204" s="124"/>
    </row>
    <row r="205" spans="2:10" ht="18.75" x14ac:dyDescent="0.35">
      <c r="B205" s="164" t="s">
        <v>803</v>
      </c>
      <c r="C205" s="123" t="s">
        <v>804</v>
      </c>
      <c r="D205" s="165">
        <f>A_MC+4*A_MH</f>
        <v>16.042459999999998</v>
      </c>
      <c r="E205" s="123"/>
      <c r="F205" s="123"/>
      <c r="G205" s="165" t="s">
        <v>519</v>
      </c>
      <c r="H205" s="123"/>
      <c r="I205" s="124"/>
    </row>
    <row r="206" spans="2:10" ht="19.5" thickBot="1" x14ac:dyDescent="0.4">
      <c r="B206" s="166" t="s">
        <v>805</v>
      </c>
      <c r="C206" s="131" t="s">
        <v>806</v>
      </c>
      <c r="D206" s="167">
        <f>2*A_MH</f>
        <v>2.0158800000000001</v>
      </c>
      <c r="E206" s="131"/>
      <c r="F206" s="131"/>
      <c r="G206" s="167" t="s">
        <v>519</v>
      </c>
      <c r="H206" s="131"/>
      <c r="I206" s="132"/>
    </row>
    <row r="207" spans="2:10" ht="15.75" thickBot="1" x14ac:dyDescent="0.3"/>
    <row r="208" spans="2:10" ht="15.75" thickBot="1" x14ac:dyDescent="0.3">
      <c r="C208" s="157" t="s">
        <v>807</v>
      </c>
    </row>
    <row r="209" spans="2:10" ht="15.75" thickBot="1" x14ac:dyDescent="0.3">
      <c r="B209" s="158" t="s">
        <v>0</v>
      </c>
      <c r="C209" s="214" t="s">
        <v>1</v>
      </c>
      <c r="D209" s="159" t="s">
        <v>166</v>
      </c>
      <c r="E209" s="214" t="s">
        <v>435</v>
      </c>
      <c r="F209" s="214" t="s">
        <v>436</v>
      </c>
      <c r="G209" s="214" t="s">
        <v>2</v>
      </c>
      <c r="H209" s="159" t="s">
        <v>229</v>
      </c>
      <c r="I209" s="242" t="s">
        <v>115</v>
      </c>
    </row>
    <row r="210" spans="2:10" ht="18" x14ac:dyDescent="0.25">
      <c r="B210" s="243" t="s">
        <v>233</v>
      </c>
      <c r="C210" s="244" t="s">
        <v>148</v>
      </c>
      <c r="D210" s="245">
        <f>6.867*10^(-15)</f>
        <v>6.8670000000000006E-15</v>
      </c>
      <c r="E210" s="117"/>
      <c r="F210" s="117"/>
      <c r="G210" s="117"/>
      <c r="H210" s="117"/>
      <c r="I210" s="119"/>
    </row>
    <row r="211" spans="2:10" ht="18" x14ac:dyDescent="0.25">
      <c r="B211" s="246" t="s">
        <v>232</v>
      </c>
      <c r="C211" s="126" t="s">
        <v>149</v>
      </c>
      <c r="D211" s="247">
        <v>7.768544654E-4</v>
      </c>
      <c r="E211" s="123"/>
      <c r="F211" s="123"/>
      <c r="G211" s="123"/>
      <c r="H211" s="123"/>
      <c r="I211" s="124"/>
    </row>
    <row r="212" spans="2:10" ht="18" x14ac:dyDescent="0.25">
      <c r="B212" s="246" t="s">
        <v>808</v>
      </c>
      <c r="C212" s="126" t="s">
        <v>809</v>
      </c>
      <c r="D212" s="247">
        <f>3.966*10^(-10)</f>
        <v>3.9660000000000006E-10</v>
      </c>
      <c r="E212" s="123"/>
      <c r="F212" s="123"/>
      <c r="G212" s="123"/>
      <c r="H212" s="123"/>
      <c r="I212" s="124"/>
    </row>
    <row r="213" spans="2:10" ht="18" x14ac:dyDescent="0.25">
      <c r="B213" s="235" t="s">
        <v>230</v>
      </c>
      <c r="C213" s="126" t="s">
        <v>150</v>
      </c>
      <c r="D213" s="247">
        <f>4.14*10^(-7)</f>
        <v>4.1399999999999997E-7</v>
      </c>
      <c r="E213" s="123"/>
      <c r="F213" s="123"/>
      <c r="G213" s="123"/>
      <c r="H213" s="123"/>
      <c r="I213" s="124"/>
    </row>
    <row r="214" spans="2:10" ht="18" x14ac:dyDescent="0.25">
      <c r="B214" s="235" t="s">
        <v>231</v>
      </c>
      <c r="C214" s="126" t="s">
        <v>151</v>
      </c>
      <c r="D214" s="247">
        <f>4.201*10^(-11)</f>
        <v>4.2009999999999992E-11</v>
      </c>
      <c r="E214" s="123"/>
      <c r="F214" s="123"/>
      <c r="G214" s="123"/>
      <c r="H214" s="123"/>
      <c r="I214" s="124"/>
    </row>
    <row r="215" spans="2:10" ht="18" x14ac:dyDescent="0.25">
      <c r="B215" s="235" t="s">
        <v>810</v>
      </c>
      <c r="C215" s="126" t="s">
        <v>811</v>
      </c>
      <c r="D215" s="247">
        <v>7.4520000000000003E-3</v>
      </c>
      <c r="E215" s="123"/>
      <c r="F215" s="123"/>
      <c r="G215" s="123"/>
      <c r="H215" s="123"/>
      <c r="I215" s="124"/>
    </row>
    <row r="216" spans="2:10" ht="18" x14ac:dyDescent="0.25">
      <c r="B216" s="235" t="s">
        <v>812</v>
      </c>
      <c r="C216" s="126" t="s">
        <v>813</v>
      </c>
      <c r="D216" s="247">
        <v>6.1029999999999998E-8</v>
      </c>
      <c r="E216" s="123"/>
      <c r="F216" s="123"/>
      <c r="G216" s="123"/>
      <c r="H216" s="123"/>
      <c r="I216" s="124"/>
    </row>
    <row r="217" spans="2:10" ht="18" x14ac:dyDescent="0.25">
      <c r="B217" s="235" t="s">
        <v>814</v>
      </c>
      <c r="C217" s="126" t="s">
        <v>815</v>
      </c>
      <c r="D217" s="247">
        <v>9.4840000000000008E-13</v>
      </c>
      <c r="E217" s="123"/>
      <c r="F217" s="123"/>
      <c r="G217" s="123"/>
      <c r="H217" s="123"/>
      <c r="I217" s="124"/>
    </row>
    <row r="218" spans="2:10" ht="18.75" thickBot="1" x14ac:dyDescent="0.3">
      <c r="B218" s="248" t="s">
        <v>816</v>
      </c>
      <c r="C218" s="129" t="s">
        <v>817</v>
      </c>
      <c r="D218" s="249">
        <v>1.7540000000000001E-5</v>
      </c>
      <c r="E218" s="131"/>
      <c r="F218" s="131"/>
      <c r="G218" s="131"/>
      <c r="H218" s="131"/>
      <c r="I218" s="132"/>
    </row>
    <row r="219" spans="2:10" ht="15.75" thickBot="1" x14ac:dyDescent="0.3"/>
    <row r="220" spans="2:10" ht="15.75" thickBot="1" x14ac:dyDescent="0.3">
      <c r="C220" s="157" t="s">
        <v>818</v>
      </c>
      <c r="J220" s="250"/>
    </row>
    <row r="221" spans="2:10" ht="15.75" thickBot="1" x14ac:dyDescent="0.3">
      <c r="B221" s="158" t="s">
        <v>0</v>
      </c>
      <c r="C221" s="214" t="s">
        <v>1</v>
      </c>
      <c r="D221" s="159" t="s">
        <v>6</v>
      </c>
      <c r="E221" s="214" t="s">
        <v>435</v>
      </c>
      <c r="F221" s="214" t="s">
        <v>436</v>
      </c>
      <c r="G221" s="214" t="s">
        <v>2</v>
      </c>
      <c r="H221" s="159" t="s">
        <v>229</v>
      </c>
      <c r="I221" s="214" t="s">
        <v>115</v>
      </c>
      <c r="J221" s="242" t="s">
        <v>116</v>
      </c>
    </row>
    <row r="222" spans="2:10" ht="18" x14ac:dyDescent="0.25">
      <c r="B222" s="251" t="s">
        <v>819</v>
      </c>
      <c r="C222" s="252" t="s">
        <v>820</v>
      </c>
      <c r="D222" s="203">
        <f>3*A_MO/(2*A_MN)</f>
        <v>1.7134014435948508</v>
      </c>
      <c r="E222" s="253"/>
      <c r="F222" s="254"/>
      <c r="G222" s="203" t="s">
        <v>821</v>
      </c>
      <c r="H222" s="254"/>
      <c r="I222" s="254"/>
      <c r="J222" s="204" t="s">
        <v>822</v>
      </c>
    </row>
    <row r="223" spans="2:10" ht="18" x14ac:dyDescent="0.25">
      <c r="B223" s="255" t="s">
        <v>823</v>
      </c>
      <c r="C223" s="256" t="s">
        <v>824</v>
      </c>
      <c r="D223" s="178">
        <f>2*A_MO/(A_MN)</f>
        <v>2.2845352581264677</v>
      </c>
      <c r="E223" s="257"/>
      <c r="F223" s="179"/>
      <c r="G223" s="178" t="s">
        <v>821</v>
      </c>
      <c r="H223" s="179"/>
      <c r="I223" s="179"/>
      <c r="J223" s="180" t="s">
        <v>822</v>
      </c>
    </row>
    <row r="224" spans="2:10" ht="18" x14ac:dyDescent="0.25">
      <c r="B224" s="255" t="s">
        <v>825</v>
      </c>
      <c r="C224" s="256" t="s">
        <v>826</v>
      </c>
      <c r="D224" s="178">
        <f>2.5*A_MO/(A_MN)</f>
        <v>2.8556690726580851</v>
      </c>
      <c r="E224" s="257"/>
      <c r="F224" s="179"/>
      <c r="G224" s="178" t="s">
        <v>821</v>
      </c>
      <c r="H224" s="179"/>
      <c r="I224" s="179"/>
      <c r="J224" s="180" t="s">
        <v>822</v>
      </c>
    </row>
    <row r="225" spans="2:10" ht="18" x14ac:dyDescent="0.25">
      <c r="B225" s="255" t="s">
        <v>827</v>
      </c>
      <c r="C225" s="256" t="s">
        <v>828</v>
      </c>
      <c r="D225" s="178">
        <f>3*A_MO/A_MN</f>
        <v>3.4268028871897016</v>
      </c>
      <c r="E225" s="257"/>
      <c r="F225" s="179"/>
      <c r="G225" s="178" t="s">
        <v>821</v>
      </c>
      <c r="H225" s="179"/>
      <c r="I225" s="179"/>
      <c r="J225" s="180" t="s">
        <v>822</v>
      </c>
    </row>
    <row r="226" spans="2:10" ht="18" x14ac:dyDescent="0.25">
      <c r="B226" s="255" t="s">
        <v>829</v>
      </c>
      <c r="C226" s="256" t="s">
        <v>830</v>
      </c>
      <c r="D226" s="178">
        <f>4*A_MO/A_MN</f>
        <v>4.5690705162529355</v>
      </c>
      <c r="E226" s="257"/>
      <c r="F226" s="179"/>
      <c r="G226" s="178" t="s">
        <v>821</v>
      </c>
      <c r="H226" s="179"/>
      <c r="I226" s="179"/>
      <c r="J226" s="180" t="s">
        <v>822</v>
      </c>
    </row>
    <row r="227" spans="2:10" ht="18" x14ac:dyDescent="0.25">
      <c r="B227" s="255" t="s">
        <v>831</v>
      </c>
      <c r="C227" s="256" t="s">
        <v>832</v>
      </c>
      <c r="D227" s="178">
        <f>A_MO/A_MN</f>
        <v>1.1422676290632339</v>
      </c>
      <c r="E227" s="257"/>
      <c r="F227" s="179"/>
      <c r="G227" s="178" t="s">
        <v>821</v>
      </c>
      <c r="H227" s="179"/>
      <c r="I227" s="179"/>
      <c r="J227" s="180"/>
    </row>
    <row r="228" spans="2:10" ht="18" x14ac:dyDescent="0.25">
      <c r="B228" s="255" t="s">
        <v>833</v>
      </c>
      <c r="C228" s="256" t="s">
        <v>834</v>
      </c>
      <c r="D228" s="178">
        <f>3*A_MO/(2*A_MN)</f>
        <v>1.7134014435948508</v>
      </c>
      <c r="E228" s="257"/>
      <c r="F228" s="179"/>
      <c r="G228" s="178" t="s">
        <v>821</v>
      </c>
      <c r="H228" s="179"/>
      <c r="I228" s="179"/>
      <c r="J228" s="180"/>
    </row>
    <row r="229" spans="2:10" ht="18" x14ac:dyDescent="0.25">
      <c r="B229" s="255" t="s">
        <v>835</v>
      </c>
      <c r="C229" s="256" t="s">
        <v>836</v>
      </c>
      <c r="D229" s="178">
        <f>0.5*A_MO/A_MN</f>
        <v>0.57113381453161693</v>
      </c>
      <c r="E229" s="257"/>
      <c r="F229" s="179"/>
      <c r="G229" s="178" t="s">
        <v>821</v>
      </c>
      <c r="H229" s="179"/>
      <c r="I229" s="179"/>
      <c r="J229" s="180"/>
    </row>
    <row r="230" spans="2:10" ht="18" x14ac:dyDescent="0.25">
      <c r="B230" s="255" t="s">
        <v>837</v>
      </c>
      <c r="C230" s="256" t="s">
        <v>838</v>
      </c>
      <c r="D230" s="178">
        <f>0.5*A_MO/A_MN</f>
        <v>0.57113381453161693</v>
      </c>
      <c r="E230" s="257"/>
      <c r="F230" s="179"/>
      <c r="G230" s="178" t="s">
        <v>821</v>
      </c>
      <c r="H230" s="179"/>
      <c r="I230" s="179"/>
      <c r="J230" s="180"/>
    </row>
    <row r="231" spans="2:10" ht="18" x14ac:dyDescent="0.25">
      <c r="B231" s="255" t="s">
        <v>839</v>
      </c>
      <c r="C231" s="256" t="s">
        <v>840</v>
      </c>
      <c r="D231" s="178">
        <f>0.5*A_MO/A_MN</f>
        <v>0.57113381453161693</v>
      </c>
      <c r="E231" s="257"/>
      <c r="F231" s="179"/>
      <c r="G231" s="178" t="s">
        <v>821</v>
      </c>
      <c r="H231" s="179"/>
      <c r="I231" s="179"/>
      <c r="J231" s="180"/>
    </row>
    <row r="232" spans="2:10" ht="18.75" thickBot="1" x14ac:dyDescent="0.3">
      <c r="B232" s="258" t="s">
        <v>856</v>
      </c>
      <c r="C232" s="129" t="s">
        <v>857</v>
      </c>
      <c r="D232" s="259">
        <f>5*A_MO/(2*A_MN)</f>
        <v>2.8556690726580851</v>
      </c>
      <c r="E232" s="131"/>
      <c r="F232" s="131"/>
      <c r="G232" s="207" t="s">
        <v>821</v>
      </c>
      <c r="H232" s="131"/>
      <c r="I232" s="131"/>
      <c r="J232" s="132"/>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9"/>
  <dimension ref="B1:J6"/>
  <sheetViews>
    <sheetView workbookViewId="0">
      <selection activeCell="B3" sqref="B3:D6"/>
    </sheetView>
  </sheetViews>
  <sheetFormatPr defaultColWidth="9.140625" defaultRowHeight="15" x14ac:dyDescent="0.25"/>
  <cols>
    <col min="1" max="1" width="9.140625" style="260"/>
    <col min="2" max="2" width="19.28515625" style="260" bestFit="1" customWidth="1"/>
    <col min="3" max="3" width="43.140625" style="260" bestFit="1" customWidth="1"/>
    <col min="4" max="5" width="9.140625" style="260"/>
    <col min="6" max="6" width="17.85546875" style="260" customWidth="1"/>
    <col min="7" max="9" width="9.140625" style="260"/>
    <col min="10" max="10" width="18.7109375" style="260" bestFit="1" customWidth="1"/>
    <col min="11" max="16384" width="9.140625" style="260"/>
  </cols>
  <sheetData>
    <row r="1" spans="2:10" ht="15.75" thickBot="1" x14ac:dyDescent="0.3"/>
    <row r="2" spans="2:10" ht="15.75" thickBot="1" x14ac:dyDescent="0.3">
      <c r="B2" s="261"/>
      <c r="C2" s="262" t="s">
        <v>858</v>
      </c>
      <c r="D2" s="261"/>
      <c r="E2" s="261"/>
      <c r="F2" s="261"/>
      <c r="G2" s="261"/>
      <c r="H2" s="261"/>
      <c r="I2" s="261"/>
    </row>
    <row r="3" spans="2:10" ht="15.75" thickBot="1" x14ac:dyDescent="0.3">
      <c r="B3" s="263" t="s">
        <v>0</v>
      </c>
      <c r="C3" s="264" t="s">
        <v>1</v>
      </c>
      <c r="D3" s="264" t="s">
        <v>166</v>
      </c>
      <c r="E3" s="265" t="s">
        <v>435</v>
      </c>
      <c r="F3" s="265" t="s">
        <v>436</v>
      </c>
      <c r="G3" s="264" t="s">
        <v>2</v>
      </c>
      <c r="H3" s="264" t="s">
        <v>229</v>
      </c>
      <c r="I3" s="266" t="s">
        <v>115</v>
      </c>
      <c r="J3" s="266" t="s">
        <v>880</v>
      </c>
    </row>
    <row r="4" spans="2:10" ht="18" x14ac:dyDescent="0.35">
      <c r="B4" s="267" t="s">
        <v>859</v>
      </c>
      <c r="C4" s="268" t="s">
        <v>860</v>
      </c>
      <c r="D4" s="269">
        <v>100</v>
      </c>
      <c r="E4" s="268"/>
      <c r="F4" s="268"/>
      <c r="G4" s="268"/>
      <c r="H4" s="268"/>
      <c r="I4" s="270"/>
    </row>
    <row r="5" spans="2:10" ht="15.75" thickBot="1" x14ac:dyDescent="0.3">
      <c r="B5" s="271" t="s">
        <v>867</v>
      </c>
      <c r="C5" s="272" t="s">
        <v>861</v>
      </c>
      <c r="D5" s="272" t="b">
        <v>0</v>
      </c>
      <c r="E5" s="272"/>
      <c r="F5" s="272"/>
      <c r="G5" s="272"/>
      <c r="H5" s="272"/>
      <c r="I5" s="273" t="s">
        <v>862</v>
      </c>
    </row>
    <row r="6" spans="2:10" ht="18.75" thickBot="1" x14ac:dyDescent="0.3">
      <c r="B6" s="101" t="s">
        <v>877</v>
      </c>
      <c r="C6" s="95" t="s">
        <v>158</v>
      </c>
      <c r="D6" s="95">
        <v>7.0000000000000001E-3</v>
      </c>
      <c r="E6" s="282" t="s">
        <v>878</v>
      </c>
      <c r="F6" s="283">
        <v>10000000000</v>
      </c>
      <c r="G6" s="95" t="s">
        <v>879</v>
      </c>
      <c r="H6" s="95">
        <v>3</v>
      </c>
      <c r="I6" s="95"/>
      <c r="J6" s="74"/>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A1"/>
  <sheetViews>
    <sheetView showGridLines="0" zoomScale="96" zoomScaleNormal="110" workbookViewId="0">
      <selection activeCell="B3" sqref="B3"/>
    </sheetView>
  </sheetViews>
  <sheetFormatPr defaultColWidth="8.85546875" defaultRowHeight="15" x14ac:dyDescent="0.25"/>
  <cols>
    <col min="1" max="1" width="3.140625" customWidth="1"/>
    <col min="2" max="2" width="10.42578125" customWidth="1"/>
    <col min="3" max="3" width="26.42578125" customWidth="1"/>
    <col min="4" max="4" width="30" customWidth="1"/>
    <col min="5" max="5" width="9.85546875" customWidth="1"/>
    <col min="6" max="6" width="20.85546875" customWidth="1"/>
    <col min="8" max="8" width="18.42578125" bestFit="1" customWidth="1"/>
  </cols>
  <sheetData>
    <row r="1" s="44" customFormat="1" ht="44.25" customHeight="1" x14ac:dyDescent="0.25"/>
  </sheetData>
  <phoneticPr fontId="6"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B3" sqref="B3:G8"/>
    </sheetView>
  </sheetViews>
  <sheetFormatPr defaultColWidth="8.85546875" defaultRowHeight="15" x14ac:dyDescent="0.25"/>
  <cols>
    <col min="1" max="1" width="9.140625" style="9"/>
    <col min="2" max="7" width="16.42578125" style="9" customWidth="1"/>
    <col min="8" max="73" width="9.140625" style="9"/>
  </cols>
  <sheetData>
    <row r="1" spans="2:7" ht="15.75" thickBot="1" x14ac:dyDescent="0.3"/>
    <row r="2" spans="2:7" x14ac:dyDescent="0.25">
      <c r="B2" s="10"/>
      <c r="C2" s="11"/>
      <c r="D2" s="11"/>
      <c r="E2" s="11"/>
      <c r="F2" s="11"/>
      <c r="G2" s="12"/>
    </row>
    <row r="3" spans="2:7" x14ac:dyDescent="0.25">
      <c r="B3" s="366" t="s">
        <v>108</v>
      </c>
      <c r="C3" s="367"/>
      <c r="D3" s="367"/>
      <c r="E3" s="367"/>
      <c r="F3" s="367"/>
      <c r="G3" s="368"/>
    </row>
    <row r="4" spans="2:7" x14ac:dyDescent="0.25">
      <c r="B4" s="366"/>
      <c r="C4" s="367"/>
      <c r="D4" s="367"/>
      <c r="E4" s="367"/>
      <c r="F4" s="367"/>
      <c r="G4" s="368"/>
    </row>
    <row r="5" spans="2:7" x14ac:dyDescent="0.25">
      <c r="B5" s="366"/>
      <c r="C5" s="367"/>
      <c r="D5" s="367"/>
      <c r="E5" s="367"/>
      <c r="F5" s="367"/>
      <c r="G5" s="368"/>
    </row>
    <row r="6" spans="2:7" x14ac:dyDescent="0.25">
      <c r="B6" s="366"/>
      <c r="C6" s="367"/>
      <c r="D6" s="367"/>
      <c r="E6" s="367"/>
      <c r="F6" s="367"/>
      <c r="G6" s="368"/>
    </row>
    <row r="7" spans="2:7" x14ac:dyDescent="0.25">
      <c r="B7" s="366"/>
      <c r="C7" s="367"/>
      <c r="D7" s="367"/>
      <c r="E7" s="367"/>
      <c r="F7" s="367"/>
      <c r="G7" s="368"/>
    </row>
    <row r="8" spans="2:7" ht="15.75" thickBot="1" x14ac:dyDescent="0.3">
      <c r="B8" s="369"/>
      <c r="C8" s="370"/>
      <c r="D8" s="370"/>
      <c r="E8" s="370"/>
      <c r="F8" s="370"/>
      <c r="G8" s="371"/>
    </row>
    <row r="10" spans="2:7" x14ac:dyDescent="0.25">
      <c r="B10" s="372"/>
      <c r="C10" s="372"/>
      <c r="D10" s="372"/>
      <c r="E10" s="372"/>
      <c r="F10" s="372"/>
      <c r="G10" s="372"/>
    </row>
    <row r="11" spans="2:7" x14ac:dyDescent="0.25">
      <c r="B11" s="372"/>
      <c r="C11" s="372"/>
      <c r="D11" s="372"/>
      <c r="E11" s="372"/>
      <c r="F11" s="372"/>
      <c r="G11" s="372"/>
    </row>
    <row r="12" spans="2:7" x14ac:dyDescent="0.25">
      <c r="B12" s="372"/>
      <c r="C12" s="372"/>
      <c r="D12" s="372"/>
      <c r="E12" s="372"/>
      <c r="F12" s="372"/>
      <c r="G12" s="372"/>
    </row>
    <row r="13" spans="2:7" x14ac:dyDescent="0.25">
      <c r="B13" s="372"/>
      <c r="C13" s="372"/>
      <c r="D13" s="372"/>
      <c r="E13" s="372"/>
      <c r="F13" s="372"/>
      <c r="G13" s="372"/>
    </row>
    <row r="14" spans="2:7" x14ac:dyDescent="0.25">
      <c r="B14" s="372"/>
      <c r="C14" s="372"/>
      <c r="D14" s="372"/>
      <c r="E14" s="372"/>
      <c r="F14" s="372"/>
      <c r="G14" s="372"/>
    </row>
    <row r="15" spans="2:7" x14ac:dyDescent="0.25">
      <c r="B15" s="372"/>
      <c r="C15" s="372"/>
      <c r="D15" s="372"/>
      <c r="E15" s="372"/>
      <c r="F15" s="372"/>
      <c r="G15" s="372"/>
    </row>
    <row r="16" spans="2:7" x14ac:dyDescent="0.25">
      <c r="B16" s="372"/>
      <c r="C16" s="372"/>
      <c r="D16" s="372"/>
      <c r="E16" s="372"/>
      <c r="F16" s="372"/>
      <c r="G16" s="372"/>
    </row>
    <row r="17" spans="2:7" x14ac:dyDescent="0.25">
      <c r="B17" s="372"/>
      <c r="C17" s="372"/>
      <c r="D17" s="372"/>
      <c r="E17" s="372"/>
      <c r="F17" s="372"/>
      <c r="G17" s="372"/>
    </row>
    <row r="18" spans="2:7" x14ac:dyDescent="0.25">
      <c r="B18" s="372"/>
      <c r="C18" s="372"/>
      <c r="D18" s="372"/>
      <c r="E18" s="372"/>
      <c r="F18" s="372"/>
      <c r="G18" s="372"/>
    </row>
  </sheetData>
  <sheetProtection selectLockedCells="1" selectUnlockedCells="1"/>
  <mergeCells count="2">
    <mergeCell ref="B3:G8"/>
    <mergeCell ref="B10:G18"/>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8.85546875" defaultRowHeight="15" x14ac:dyDescent="0.25"/>
  <cols>
    <col min="1" max="1" width="14.140625" bestFit="1" customWidth="1"/>
    <col min="2" max="2" width="4" bestFit="1" customWidth="1"/>
    <col min="3" max="3" width="12.85546875" bestFit="1" customWidth="1"/>
  </cols>
  <sheetData>
    <row r="1" spans="1:3" x14ac:dyDescent="0.25">
      <c r="A1" t="s">
        <v>106</v>
      </c>
      <c r="B1" s="8">
        <v>387</v>
      </c>
    </row>
    <row r="2" spans="1:3" x14ac:dyDescent="0.25">
      <c r="A2" t="s">
        <v>107</v>
      </c>
      <c r="B2" s="8">
        <v>441</v>
      </c>
    </row>
    <row r="3" spans="1:3" x14ac:dyDescent="0.25">
      <c r="A3" t="s">
        <v>109</v>
      </c>
      <c r="B3">
        <v>517</v>
      </c>
    </row>
    <row r="4" spans="1:3" x14ac:dyDescent="0.25">
      <c r="A4" t="s">
        <v>112</v>
      </c>
      <c r="B4">
        <v>444</v>
      </c>
    </row>
    <row r="5" spans="1:3" x14ac:dyDescent="0.25">
      <c r="A5" t="s">
        <v>120</v>
      </c>
      <c r="B5">
        <v>364</v>
      </c>
    </row>
    <row r="6" spans="1:3" x14ac:dyDescent="0.25">
      <c r="A6" t="s">
        <v>126</v>
      </c>
      <c r="B6">
        <v>418</v>
      </c>
    </row>
    <row r="7" spans="1:3" x14ac:dyDescent="0.25">
      <c r="A7" t="s">
        <v>127</v>
      </c>
      <c r="B7">
        <v>510</v>
      </c>
    </row>
    <row r="8" spans="1:3" x14ac:dyDescent="0.25">
      <c r="A8" t="s">
        <v>129</v>
      </c>
      <c r="B8">
        <v>452</v>
      </c>
      <c r="C8" t="s">
        <v>130</v>
      </c>
    </row>
    <row r="9" spans="1:3" x14ac:dyDescent="0.25">
      <c r="A9" t="s">
        <v>131</v>
      </c>
      <c r="B9">
        <v>611</v>
      </c>
      <c r="C9"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15</vt:i4>
      </vt:variant>
      <vt:variant>
        <vt:lpstr>Névvel ellátott tartományok</vt:lpstr>
      </vt:variant>
      <vt:variant>
        <vt:i4>199</vt:i4>
      </vt:variant>
    </vt:vector>
  </HeadingPairs>
  <TitlesOfParts>
    <vt:vector size="214" baseType="lpstr">
      <vt:lpstr>Help</vt:lpstr>
      <vt:lpstr>Parameters</vt:lpstr>
      <vt:lpstr>Components</vt:lpstr>
      <vt:lpstr>Species</vt:lpstr>
      <vt:lpstr>Model</vt:lpstr>
      <vt:lpstr>pH</vt:lpstr>
      <vt:lpstr>Tableau</vt:lpstr>
      <vt:lpstr>Algebraic model</vt:lpstr>
      <vt:lpstr>Expert knowledge</vt:lpstr>
      <vt:lpstr>Functions</vt:lpstr>
      <vt:lpstr>Calculated variables</vt:lpstr>
      <vt:lpstr>systemcode_functions</vt:lpstr>
      <vt:lpstr>systemcode_constants</vt:lpstr>
      <vt:lpstr>other parameters</vt:lpstr>
      <vt:lpstr>Code</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B_H2O</vt:lpstr>
      <vt:lpstr>C_H2O</vt:lpstr>
      <vt:lpstr>D_CH4_25</vt:lpstr>
      <vt:lpstr>D_CO2_25</vt:lpstr>
      <vt:lpstr>D_H2_25</vt:lpstr>
      <vt:lpstr>D_N2_25</vt:lpstr>
      <vt:lpstr>D_N2O_25</vt:lpstr>
      <vt:lpstr>D_NO_25</vt:lpstr>
      <vt:lpstr>D_O2_25</vt:lpstr>
      <vt:lpstr>E_EQN2</vt:lpstr>
      <vt:lpstr>E_EQN2_N2O</vt:lpstr>
      <vt:lpstr>E_EQN2_NO2</vt:lpstr>
      <vt:lpstr>E_EQN2_NO3</vt:lpstr>
      <vt:lpstr>E_EQN2O</vt:lpstr>
      <vt:lpstr>E_EQN2O_NO</vt:lpstr>
      <vt:lpstr>E_EQNO</vt:lpstr>
      <vt:lpstr>E_EQNO_NO2</vt:lpstr>
      <vt:lpstr>E_EQNO2</vt:lpstr>
      <vt:lpstr>E_EQNO2_NO3</vt:lpstr>
      <vt:lpstr>E_EQNO3</vt:lpstr>
      <vt:lpstr>F__</vt:lpstr>
      <vt:lpstr>f_Ar_air</vt:lpstr>
      <vt:lpstr>f_CO2_air</vt:lpstr>
      <vt:lpstr>f_N2_air</vt:lpstr>
      <vt:lpstr>f_O2_air</vt:lpstr>
      <vt:lpstr>g_grav</vt:lpstr>
      <vt:lpstr>H_enryCH4_25</vt:lpstr>
      <vt:lpstr>H_enryCH4_dt</vt:lpstr>
      <vt:lpstr>H_enryCO2_25</vt:lpstr>
      <vt:lpstr>H_enryCO2_dt</vt:lpstr>
      <vt:lpstr>H_enryH2_25</vt:lpstr>
      <vt:lpstr>H_enryH2_dt</vt:lpstr>
      <vt:lpstr>H_enryN2_25</vt:lpstr>
      <vt:lpstr>H_enryN2_dt</vt:lpstr>
      <vt:lpstr>H_enryN2O_25</vt:lpstr>
      <vt:lpstr>H_enryN2O_dt</vt:lpstr>
      <vt:lpstr>H_enryNO_25</vt:lpstr>
      <vt:lpstr>H_enryNO_dt</vt:lpstr>
      <vt:lpstr>H_enryO2_25</vt:lpstr>
      <vt:lpstr>H_enryO2_dt</vt:lpstr>
      <vt:lpstr>K_C1_param</vt:lpstr>
      <vt:lpstr>K_C2_param</vt:lpstr>
      <vt:lpstr>K_iAc_param</vt:lpstr>
      <vt:lpstr>K_iNH3</vt:lpstr>
      <vt:lpstr>K_iNO2_param</vt:lpstr>
      <vt:lpstr>k_LaO2_field</vt:lpstr>
      <vt:lpstr>K_P1_param</vt:lpstr>
      <vt:lpstr>K_P2_param</vt:lpstr>
      <vt:lpstr>K_P3_param</vt:lpstr>
      <vt:lpstr>K_W_param</vt:lpstr>
      <vt:lpstr>M_MCaCO3</vt:lpstr>
      <vt:lpstr>M_MCH3COOH</vt:lpstr>
      <vt:lpstr>M_MCH3OH</vt:lpstr>
      <vt:lpstr>M_MCO2</vt:lpstr>
      <vt:lpstr>M_MEQ_GCH4</vt:lpstr>
      <vt:lpstr>M_MEQ_GCO2</vt:lpstr>
      <vt:lpstr>M_MEQ_GH2</vt:lpstr>
      <vt:lpstr>M_MEQ_GN2</vt:lpstr>
      <vt:lpstr>M_MEQ_GN2O</vt:lpstr>
      <vt:lpstr>M_MEQ_GNO</vt:lpstr>
      <vt:lpstr>M_MEQ_GO2</vt:lpstr>
      <vt:lpstr>M_MFe2O3</vt:lpstr>
      <vt:lpstr>M_MGCH4</vt:lpstr>
      <vt:lpstr>M_MGCO2</vt:lpstr>
      <vt:lpstr>M_MGH2</vt:lpstr>
      <vt:lpstr>M_MGN2</vt:lpstr>
      <vt:lpstr>M_MGN2O</vt:lpstr>
      <vt:lpstr>M_MGNO</vt:lpstr>
      <vt:lpstr>M_MGO2</vt:lpstr>
      <vt:lpstr>M_MN2</vt:lpstr>
      <vt:lpstr>M_MNH3</vt:lpstr>
      <vt:lpstr>M_MO2</vt:lpstr>
      <vt:lpstr>M_MPO4</vt:lpstr>
      <vt:lpstr>M_MSO4</vt:lpstr>
      <vt:lpstr>p_i</vt:lpstr>
      <vt:lpstr>p_St</vt:lpstr>
      <vt:lpstr>R__</vt:lpstr>
      <vt:lpstr>S_ALK_input</vt:lpstr>
      <vt:lpstr>S_umo__pHEffects</vt:lpstr>
      <vt:lpstr>ρ_H2O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dcterms:created xsi:type="dcterms:W3CDTF">2006-09-16T00:00:00Z</dcterms:created>
  <dcterms:modified xsi:type="dcterms:W3CDTF">2023-09-05T13:44:48Z</dcterms:modified>
</cp:coreProperties>
</file>