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Other models\"/>
    </mc:Choice>
  </mc:AlternateContent>
  <bookViews>
    <workbookView xWindow="-120" yWindow="-120" windowWidth="29040" windowHeight="15840" tabRatio="815"/>
  </bookViews>
  <sheets>
    <sheet name="Help" sheetId="22" r:id="rId1"/>
    <sheet name="Parameters" sheetId="9" r:id="rId2"/>
    <sheet name="Model" sheetId="1" r:id="rId3"/>
    <sheet name="pH" sheetId="4" state="hidden" r:id="rId4"/>
    <sheet name="Tableau" sheetId="17" state="hidden" r:id="rId5"/>
    <sheet name="Components" sheetId="2" r:id="rId6"/>
    <sheet name="Algebraic model" sheetId="13" state="hidden" r:id="rId7"/>
    <sheet name="Expert knowledge" sheetId="14" state="hidden" r:id="rId8"/>
    <sheet name="Functions" sheetId="3" state="hidden" r:id="rId9"/>
    <sheet name="Calculated variables" sheetId="5" r:id="rId10"/>
    <sheet name="systemcode_functions" sheetId="18" state="hidden" r:id="rId11"/>
    <sheet name="systemcode_constants" sheetId="19" state="hidden" r:id="rId12"/>
    <sheet name="other parameters" sheetId="20" state="hidden" r:id="rId13"/>
    <sheet name="Code" sheetId="10" state="hidden" r:id="rId14"/>
    <sheet name="Alert" sheetId="15" state="veryHidden" r:id="rId15"/>
    <sheet name="Security" sheetId="16" state="veryHidden" r:id="rId16"/>
    <sheet name="Species" sheetId="21" state="hidden" r:id="rId17"/>
  </sheets>
  <functionGroups builtInGroupCount="18"/>
  <definedNames>
    <definedName name="µ_PAO1">Parameters!$D$25</definedName>
    <definedName name="µ_PAO2">Parameters!$D$26</definedName>
    <definedName name="A_H2O">systemcode_constants!$D$32</definedName>
    <definedName name="A_MAc">systemcode_constants!$D$149</definedName>
    <definedName name="A_MAg">systemcode_constants!$D$107</definedName>
    <definedName name="A_MAl">systemcode_constants!$D$73</definedName>
    <definedName name="A_MAm">systemcode_constants!$D$155</definedName>
    <definedName name="A_MAr">systemcode_constants!$D$78</definedName>
    <definedName name="A_MAs">systemcode_constants!$D$93</definedName>
    <definedName name="A_MAt">systemcode_constants!$D$145</definedName>
    <definedName name="A_MAu">systemcode_constants!$D$139</definedName>
    <definedName name="A_MB">systemcode_constants!$D$65</definedName>
    <definedName name="A_MBa">systemcode_constants!$D$116</definedName>
    <definedName name="A_MBe">systemcode_constants!$D$64</definedName>
    <definedName name="A_MBh">systemcode_constants!$D$167</definedName>
    <definedName name="A_MBi">systemcode_constants!$D$143</definedName>
    <definedName name="A_MBk">systemcode_constants!$D$157</definedName>
    <definedName name="A_MBr">systemcode_constants!$D$95</definedName>
    <definedName name="A_MC">systemcode_constants!$D$66</definedName>
    <definedName name="A_MCa">systemcode_constants!$D$80</definedName>
    <definedName name="A_MCd">systemcode_constants!$D$108</definedName>
    <definedName name="A_MCe">systemcode_constants!$D$118</definedName>
    <definedName name="A_MCf">systemcode_constants!$D$158</definedName>
    <definedName name="A_MCl">systemcode_constants!$D$77</definedName>
    <definedName name="A_MCm">systemcode_constants!$D$156</definedName>
    <definedName name="A_MCn">systemcode_constants!$D$172</definedName>
    <definedName name="A_MCo">systemcode_constants!$D$87</definedName>
    <definedName name="A_MCr">systemcode_constants!$D$84</definedName>
    <definedName name="A_MCu">systemcode_constants!$D$89</definedName>
    <definedName name="A_MCs">systemcode_constants!$D$115</definedName>
    <definedName name="A_MDb">systemcode_constants!$D$165</definedName>
    <definedName name="A_MDs">systemcode_constants!$D$170</definedName>
    <definedName name="A_MDy">systemcode_constants!$D$126</definedName>
    <definedName name="A_MEr">systemcode_constants!$D$128</definedName>
    <definedName name="A_MEs">systemcode_constants!$D$159</definedName>
    <definedName name="A_MEu">systemcode_constants!$D$123</definedName>
    <definedName name="A_MF">systemcode_constants!$D$69</definedName>
    <definedName name="A_MFe">systemcode_constants!$D$86</definedName>
    <definedName name="A_MFl">systemcode_constants!$D$174</definedName>
    <definedName name="A_MFm">systemcode_constants!$D$160</definedName>
    <definedName name="A_MFr">systemcode_constants!$D$147</definedName>
    <definedName name="A_MGa">systemcode_constants!$D$91</definedName>
    <definedName name="A_MGd">systemcode_constants!$D$124</definedName>
    <definedName name="A_MGe">systemcode_constants!$D$92</definedName>
    <definedName name="A_MH">systemcode_constants!$D$61</definedName>
    <definedName name="A_MHe">systemcode_constants!$D$62</definedName>
    <definedName name="A_MHf">systemcode_constants!$D$132</definedName>
    <definedName name="A_MHg">systemcode_constants!$D$140</definedName>
    <definedName name="A_MHo">systemcode_constants!$D$127</definedName>
    <definedName name="A_MHs">systemcode_constants!$D$168</definedName>
    <definedName name="A_MI">systemcode_constants!$D$113</definedName>
    <definedName name="A_MIn">systemcode_constants!$D$109</definedName>
    <definedName name="A_MIr">systemcode_constants!$D$137</definedName>
    <definedName name="A_MK">systemcode_constants!$D$79</definedName>
    <definedName name="A_MKr">systemcode_constants!$D$96</definedName>
    <definedName name="A_MLa">systemcode_constants!$D$117</definedName>
    <definedName name="A_MLi">systemcode_constants!$D$63</definedName>
    <definedName name="A_MLr">systemcode_constants!$D$163</definedName>
    <definedName name="A_MLu">systemcode_constants!$D$131</definedName>
    <definedName name="A_MLv">systemcode_constants!$D$176</definedName>
    <definedName name="A_MMd">systemcode_constants!$D$161</definedName>
    <definedName name="A_MMg">systemcode_constants!$D$72</definedName>
    <definedName name="A_MMn">systemcode_constants!$D$85</definedName>
    <definedName name="A_MMo">systemcode_constants!$D$102</definedName>
    <definedName name="A_MMt">systemcode_constants!$D$169</definedName>
    <definedName name="A_MN">systemcode_constants!$D$67</definedName>
    <definedName name="A_MNa">systemcode_constants!$D$71</definedName>
    <definedName name="A_MNb">systemcode_constants!$D$101</definedName>
    <definedName name="A_MNd">systemcode_constants!$D$120</definedName>
    <definedName name="A_MNe">systemcode_constants!$D$70</definedName>
    <definedName name="A_MNi">systemcode_constants!$D$88</definedName>
    <definedName name="A_MNo">systemcode_constants!$D$162</definedName>
    <definedName name="A_MNp">systemcode_constants!$D$153</definedName>
    <definedName name="A_MO">systemcode_constants!$D$68</definedName>
    <definedName name="A_MOs">systemcode_constants!$D$136</definedName>
    <definedName name="A_MP">systemcode_constants!$D$75</definedName>
    <definedName name="A_MPa">systemcode_constants!$D$151</definedName>
    <definedName name="A_MPb">systemcode_constants!$D$142</definedName>
    <definedName name="A_MPd">systemcode_constants!$D$106</definedName>
    <definedName name="A_MPm">systemcode_constants!$D$121</definedName>
    <definedName name="A_MPo">systemcode_constants!$D$144</definedName>
    <definedName name="A_MPr">systemcode_constants!$D$119</definedName>
    <definedName name="A_MPt">systemcode_constants!$D$138</definedName>
    <definedName name="A_MPu">systemcode_constants!$D$154</definedName>
    <definedName name="A_MRa">systemcode_constants!$D$148</definedName>
    <definedName name="A_MRb">systemcode_constants!$D$97</definedName>
    <definedName name="A_MRe">systemcode_constants!$D$135</definedName>
    <definedName name="A_MRf">systemcode_constants!$D$164</definedName>
    <definedName name="A_MRg">systemcode_constants!$D$171</definedName>
    <definedName name="A_MRh">systemcode_constants!$D$105</definedName>
    <definedName name="A_MRn">systemcode_constants!$D$146</definedName>
    <definedName name="A_MRu">systemcode_constants!$D$104</definedName>
    <definedName name="A_MS">systemcode_constants!$D$76</definedName>
    <definedName name="A_MSb">systemcode_constants!$D$111</definedName>
    <definedName name="A_MSc">systemcode_constants!$D$81</definedName>
    <definedName name="A_MSe">systemcode_constants!$D$94</definedName>
    <definedName name="A_MSg">systemcode_constants!$D$166</definedName>
    <definedName name="A_MSi">systemcode_constants!$D$74</definedName>
    <definedName name="A_MSm">systemcode_constants!$D$122</definedName>
    <definedName name="A_MSn">systemcode_constants!$D$110</definedName>
    <definedName name="A_MSr">systemcode_constants!$D$98</definedName>
    <definedName name="A_MTa">systemcode_constants!$D$133</definedName>
    <definedName name="A_MTb">systemcode_constants!$D$125</definedName>
    <definedName name="A_MTc">systemcode_constants!$D$103</definedName>
    <definedName name="A_MTe">systemcode_constants!$D$112</definedName>
    <definedName name="A_MTh">systemcode_constants!$D$150</definedName>
    <definedName name="A_MTi">systemcode_constants!$D$82</definedName>
    <definedName name="A_MTl">systemcode_constants!$D$141</definedName>
    <definedName name="A_MTm">systemcode_constants!$D$129</definedName>
    <definedName name="A_MU">systemcode_constants!$D$152</definedName>
    <definedName name="A_MUuo">systemcode_constants!$D$178</definedName>
    <definedName name="A_MUup">systemcode_constants!$D$175</definedName>
    <definedName name="A_MUus">systemcode_constants!$D$177</definedName>
    <definedName name="A_MUut">systemcode_constants!$D$173</definedName>
    <definedName name="A_MV">systemcode_constants!$D$83</definedName>
    <definedName name="A_MW">systemcode_constants!$D$134</definedName>
    <definedName name="A_MXe">systemcode_constants!$D$114</definedName>
    <definedName name="A_MY">systemcode_constants!$D$99</definedName>
    <definedName name="A_MYb">systemcode_constants!$D$130</definedName>
    <definedName name="A_MZn">systemcode_constants!$D$90</definedName>
    <definedName name="A_MZr">systemcode_constants!$D$100</definedName>
    <definedName name="A_UR">'Calculated variables'!$E$24</definedName>
    <definedName name="b_H">Parameters!$D$17</definedName>
    <definedName name="B_H2O">systemcode_constants!$D$33</definedName>
    <definedName name="b_NIT">Parameters!$D$40</definedName>
    <definedName name="b_PAO">Parameters!$D$30</definedName>
    <definedName name="b_PP">Parameters!$D$31</definedName>
    <definedName name="c_cm2_m2">systemcode_constants!$D$286</definedName>
    <definedName name="c_g_kg">systemcode_constants!$D$282</definedName>
    <definedName name="C_H2O">systemcode_constants!$D$34</definedName>
    <definedName name="c_L_m3">systemcode_constants!$D$283</definedName>
    <definedName name="c_mg_g">systemcode_constants!$D$281</definedName>
    <definedName name="c_ms_h">systemcode_constants!$D$280</definedName>
    <definedName name="c_p_water">systemcode_constants!$D$50</definedName>
    <definedName name="c_Pa_bar">systemcode_constants!$D$285</definedName>
    <definedName name="c_Pa_Hgmm">systemcode_constants!$D$284</definedName>
    <definedName name="c_percent_fraction">systemcode_constants!$D$278</definedName>
    <definedName name="c_percent_Vconc">systemcode_constants!$D$277</definedName>
    <definedName name="c_ppm_Vconc">systemcode_constants!$D$276</definedName>
    <definedName name="c_s_d">systemcode_constants!$D$279</definedName>
    <definedName name="conc_Hp_Ieq">systemcode_constants!$D$272</definedName>
    <definedName name="D_CH4_25">systemcode_constants!$D$26</definedName>
    <definedName name="D_CO2_25">systemcode_constants!$D$24</definedName>
    <definedName name="D_H2_25">systemcode_constants!$D$25</definedName>
    <definedName name="D_N2_25">systemcode_constants!$D$22</definedName>
    <definedName name="D_N2O_25">systemcode_constants!$D$28</definedName>
    <definedName name="D_NH3_25">systemcode_constants!$D$23</definedName>
    <definedName name="D_NO_25">systemcode_constants!$D$27</definedName>
    <definedName name="D_O2_25">systemcode_constants!$D$21</definedName>
    <definedName name="E_EQH2S_H2SO4">systemcode_constants!$D$259</definedName>
    <definedName name="E_EQN2">systemcode_constants!$D$248</definedName>
    <definedName name="E_EQN2_N2O">systemcode_constants!$D$257</definedName>
    <definedName name="E_EQN2_NO2">systemcode_constants!$D$254</definedName>
    <definedName name="E_EQN2_NO3">systemcode_constants!$D$258</definedName>
    <definedName name="E_EQN2O">systemcode_constants!$D$249</definedName>
    <definedName name="E_EQN2O_NO">systemcode_constants!$D$256</definedName>
    <definedName name="E_EQNO">systemcode_constants!$D$250</definedName>
    <definedName name="E_EQNO_NO2">systemcode_constants!$D$255</definedName>
    <definedName name="E_EQNO2">systemcode_constants!$D$251</definedName>
    <definedName name="E_EQNO2_NO3">systemcode_constants!$D$253</definedName>
    <definedName name="E_EQNO3">systemcode_constants!$D$252</definedName>
    <definedName name="F__">systemcode_constants!$D$48</definedName>
    <definedName name="f_Ar_air">systemcode_constants!$D$41</definedName>
    <definedName name="f_BOD5_BODult">Parameters!$D$89</definedName>
    <definedName name="f_CO2_air">systemcode_constants!$D$42</definedName>
    <definedName name="f_di_IS_an">systemcode_constants!$D$266</definedName>
    <definedName name="f_di_IS_cat">systemcode_constants!$D$265</definedName>
    <definedName name="f_MA">Parameters!$D$12</definedName>
    <definedName name="f_mono_IS_an">systemcode_constants!$D$264</definedName>
    <definedName name="f_mono_IS_cat">systemcode_constants!$D$263</definedName>
    <definedName name="f_N2_air">systemcode_constants!$D$40</definedName>
    <definedName name="f_O2_air">systemcode_constants!$D$39</definedName>
    <definedName name="f_SI_PAO">Parameters!$D$59</definedName>
    <definedName name="f_tri_IS_an">systemcode_constants!$D$268</definedName>
    <definedName name="f_tri_IS_cat">systemcode_constants!$D$267</definedName>
    <definedName name="f_XE_H">Parameters!$D$57</definedName>
    <definedName name="f_XE_NIT">Parameters!$D$60</definedName>
    <definedName name="f_XE_PAO">Parameters!$D$58</definedName>
    <definedName name="g_grav">systemcode_constants!$D$49</definedName>
    <definedName name="H_Acm">systemcode_constants!$D$306</definedName>
    <definedName name="H_CO32m">systemcode_constants!$D$300</definedName>
    <definedName name="H_enryGCH4_25">systemcode_constants!$D$16</definedName>
    <definedName name="H_enryGCH4_dt">systemcode_constants!$D$17</definedName>
    <definedName name="H_enryGCO2_25">systemcode_constants!$D$6</definedName>
    <definedName name="H_enryGCO2_dt">systemcode_constants!$D$7</definedName>
    <definedName name="H_enryGH2_25">systemcode_constants!$D$14</definedName>
    <definedName name="H_enryGH2_dt">systemcode_constants!$D$15</definedName>
    <definedName name="H_enryGN2_25">systemcode_constants!$D$12</definedName>
    <definedName name="H_enryGN2_dt">systemcode_constants!$D$13</definedName>
    <definedName name="H_enryGN2O_25">systemcode_constants!$D$10</definedName>
    <definedName name="H_enryGN2O_dt">systemcode_constants!$D$11</definedName>
    <definedName name="H_enryGNO_25">systemcode_constants!$D$8</definedName>
    <definedName name="H_enryGNO_dt">systemcode_constants!$D$9</definedName>
    <definedName name="H_enryGO2_25">systemcode_constants!$D$4</definedName>
    <definedName name="H_enryGO2_dt">systemcode_constants!$D$5</definedName>
    <definedName name="H_H2CO3">systemcode_constants!$D$298</definedName>
    <definedName name="H_H2O">systemcode_constants!$D$310</definedName>
    <definedName name="H_H2PO4m">systemcode_constants!$D$302</definedName>
    <definedName name="H_H3Op">systemcode_constants!$D$291</definedName>
    <definedName name="H_H3PO4">systemcode_constants!$D$301</definedName>
    <definedName name="H_HAc">systemcode_constants!$D$305</definedName>
    <definedName name="H_HCO3m">systemcode_constants!$D$299</definedName>
    <definedName name="H_HNO2">systemcode_constants!$D$295</definedName>
    <definedName name="H_Hp">systemcode_constants!$D$290</definedName>
    <definedName name="H_HPO42m">systemcode_constants!$D$303</definedName>
    <definedName name="H_NH3">systemcode_constants!$D$293</definedName>
    <definedName name="H_NH4p">systemcode_constants!$D$294</definedName>
    <definedName name="H_NO2m">systemcode_constants!$D$296</definedName>
    <definedName name="H_NO3m">systemcode_constants!$D$297</definedName>
    <definedName name="H_null">systemcode_constants!$D$53</definedName>
    <definedName name="H_OHm">systemcode_constants!$D$292</definedName>
    <definedName name="H_PO43m">systemcode_constants!$D$304</definedName>
    <definedName name="i_COD_N2">Parameters!$D$81</definedName>
    <definedName name="i_COD_NO3">Parameters!$D$80</definedName>
    <definedName name="i_CV">Parameters!$D$85</definedName>
    <definedName name="i_CV_SA">Parameters!$D$87</definedName>
    <definedName name="i_CV_SF">Parameters!$D$86</definedName>
    <definedName name="i_CV_SI">Parameters!$D$88</definedName>
    <definedName name="i_NBM">Parameters!$D$68</definedName>
    <definedName name="i_NENM">Parameters!$D$67</definedName>
    <definedName name="i_NO3_N2">Parameters!$D$79</definedName>
    <definedName name="i_NSF">Parameters!$D$64</definedName>
    <definedName name="i_NSI">Parameters!$D$65</definedName>
    <definedName name="i_NXE">Parameters!$D$69</definedName>
    <definedName name="i_NXI">Parameters!$D$66</definedName>
    <definedName name="i_PBM">Parameters!$D$74</definedName>
    <definedName name="i_PENM">Parameters!$D$73</definedName>
    <definedName name="i_PSF">Parameters!$D$70</definedName>
    <definedName name="i_PSI">Parameters!$D$71</definedName>
    <definedName name="i_PXE">Parameters!$D$75</definedName>
    <definedName name="i_PXI">Parameters!$D$72</definedName>
    <definedName name="K_A">Parameters!$D$15</definedName>
    <definedName name="K_AC">Parameters!$D$32</definedName>
    <definedName name="K_ADS">Parameters!$D$8</definedName>
    <definedName name="K_C1_param">systemcode_constants!$D$236</definedName>
    <definedName name="K_C2_param">systemcode_constants!$D$237</definedName>
    <definedName name="K_F">Parameters!$D$14</definedName>
    <definedName name="K_FE">Parameters!$D$13</definedName>
    <definedName name="K_iAc_param">systemcode_constants!$D$241</definedName>
    <definedName name="K_iH2S_param">systemcode_constants!$D$242</definedName>
    <definedName name="K_iNH3_param">systemcode_constants!$D$234</definedName>
    <definedName name="K_iNO2_param">systemcode_constants!$D$235</definedName>
    <definedName name="K_MP">Parameters!$D$11</definedName>
    <definedName name="K_NH4">Parameters!$D$20</definedName>
    <definedName name="K_NH4_NIT">Parameters!$D$42</definedName>
    <definedName name="K_NO3">Parameters!$D$19</definedName>
    <definedName name="K_OH">Parameters!$D$18</definedName>
    <definedName name="K_ON">Parameters!$D$41</definedName>
    <definedName name="K_P1_param">systemcode_constants!$D$238</definedName>
    <definedName name="K_P2_param">systemcode_constants!$D$239</definedName>
    <definedName name="K_P3_param">systemcode_constants!$D$240</definedName>
    <definedName name="K_PHA1">Parameters!$D$28</definedName>
    <definedName name="K_PHA2">Parameters!$D$29</definedName>
    <definedName name="K_PO4_gro">Parameters!$D$7</definedName>
    <definedName name="K_PO4_lys">Parameters!$D$34</definedName>
    <definedName name="K_PO4_up">Parameters!$D$33</definedName>
    <definedName name="K_PP">Parameters!$D$35</definedName>
    <definedName name="K_SP">Parameters!$D$16</definedName>
    <definedName name="K_sp_CaCO3">systemcode_constants!$D$243</definedName>
    <definedName name="K_sp_STR">systemcode_constants!$D$244</definedName>
    <definedName name="K_W_param">systemcode_constants!$D$233</definedName>
    <definedName name="M_inhSNH4_KNH4">'Calculated variables'!$E$47</definedName>
    <definedName name="M_inhSNO3_KNO3">'Calculated variables'!$E$48</definedName>
    <definedName name="M_inhSO2_KOH">'Calculated variables'!$E$46</definedName>
    <definedName name="M_inhSPO4_KPO4_up">'Calculated variables'!$E$49</definedName>
    <definedName name="M_MACP">systemcode_constants!$D$214</definedName>
    <definedName name="M_MCaCO3">systemcode_constants!$D$213</definedName>
    <definedName name="M_MCH3COOH">systemcode_constants!$D$212</definedName>
    <definedName name="M_MCH3OH">systemcode_constants!$D$211</definedName>
    <definedName name="M_MCO2">systemcode_constants!$D$202</definedName>
    <definedName name="M_MCO3">systemcode_constants!$D$203</definedName>
    <definedName name="M_MEQ_GCH4">systemcode_constants!$D$228</definedName>
    <definedName name="M_MEQ_GCO2">systemcode_constants!$D$226</definedName>
    <definedName name="M_MEQ_GH2">systemcode_constants!$D$229</definedName>
    <definedName name="M_MEQ_GN2">systemcode_constants!$D$222</definedName>
    <definedName name="M_MEQ_GN2O">systemcode_constants!$D$225</definedName>
    <definedName name="M_MEQ_GNH3">systemcode_constants!$D$223</definedName>
    <definedName name="M_MEQ_GNO">systemcode_constants!$D$224</definedName>
    <definedName name="M_MEQ_GO2">systemcode_constants!$D$227</definedName>
    <definedName name="M_MFe2O3">systemcode_constants!$D$200</definedName>
    <definedName name="M_MFeS">systemcode_constants!$D$217</definedName>
    <definedName name="M_MGCH4">systemcode_constants!$D$183</definedName>
    <definedName name="M_MGCO2">systemcode_constants!$D$184</definedName>
    <definedName name="M_MGH2">systemcode_constants!$D$182</definedName>
    <definedName name="M_MGN2">systemcode_constants!$D$186</definedName>
    <definedName name="M_MGN2O">systemcode_constants!$D$189</definedName>
    <definedName name="M_MGNH3">systemcode_constants!$D$185</definedName>
    <definedName name="M_MGNO">systemcode_constants!$D$188</definedName>
    <definedName name="M_MGO2">systemcode_constants!$D$187</definedName>
    <definedName name="M_MH2CO3">systemcode_constants!$D$205</definedName>
    <definedName name="M_MH2O">systemcode_constants!$D$193</definedName>
    <definedName name="M_MH2S">systemcode_constants!$D$209</definedName>
    <definedName name="M_MH2SO4">systemcode_constants!$D$208</definedName>
    <definedName name="M_MHCl">systemcode_constants!$D$210</definedName>
    <definedName name="M_MHCO3">systemcode_constants!$D$204</definedName>
    <definedName name="M_MHSO4">systemcode_constants!$D$207</definedName>
    <definedName name="M_MN2">systemcode_constants!$D$195</definedName>
    <definedName name="M_MNH3">systemcode_constants!$D$196</definedName>
    <definedName name="M_MNH4">systemcode_constants!$D$197</definedName>
    <definedName name="M_MNO2">systemcode_constants!$D$198</definedName>
    <definedName name="M_MNO3">systemcode_constants!$D$199</definedName>
    <definedName name="M_MO2">systemcode_constants!$D$194</definedName>
    <definedName name="M_MPO4">systemcode_constants!$D$201</definedName>
    <definedName name="M_MSiO2">systemcode_constants!$D$218</definedName>
    <definedName name="M_MSO4">systemcode_constants!$D$206</definedName>
    <definedName name="M_MSTR">systemcode_constants!$D$215</definedName>
    <definedName name="M_MVivi">systemcode_constants!$D$216</definedName>
    <definedName name="M_RsatSA_SF_XADS">'Calculated variables'!$E$40</definedName>
    <definedName name="M_RsatSF_SA_XADS">'Calculated variables'!$E$41</definedName>
    <definedName name="M_RsatXADS_SA_SF">'Calculated variables'!$E$42</definedName>
    <definedName name="M_RsatXADS_XH_KSP">'Calculated variables'!$E$43</definedName>
    <definedName name="M_RsatXPHA_XPAO_KPHA1">'Calculated variables'!$E$44</definedName>
    <definedName name="M_RsatXPHA_XPAO_KPHA2">'Calculated variables'!$E$45</definedName>
    <definedName name="M_satSA_KA">'Calculated variables'!$E$28</definedName>
    <definedName name="M_satSA_KAC">'Calculated variables'!$E$37</definedName>
    <definedName name="M_satSF_KF">'Calculated variables'!$E$29</definedName>
    <definedName name="M_satSNH4_KNH4">'Calculated variables'!$E$31</definedName>
    <definedName name="M_satSNH4_KNH4_NIT">'Calculated variables'!$E$39</definedName>
    <definedName name="M_satSNO3_KNO3">'Calculated variables'!$E$32</definedName>
    <definedName name="M_satSO2_KOH">'Calculated variables'!$E$30</definedName>
    <definedName name="M_satSO2_KON">'Calculated variables'!$E$38</definedName>
    <definedName name="M_satSPO4_KPO4_gro">'Calculated variables'!$E$33</definedName>
    <definedName name="M_satSPO4_KPO4_lys">'Calculated variables'!$E$35</definedName>
    <definedName name="M_satSPO4_KPO4_up">'Calculated variables'!$E$34</definedName>
    <definedName name="M_satXPP_KPP">'Calculated variables'!$E$36</definedName>
    <definedName name="N_UR">'Calculated variables'!$E$23</definedName>
    <definedName name="O_UR">'Calculated variables'!$E$22</definedName>
    <definedName name="p_i">systemcode_constants!$D$57</definedName>
    <definedName name="p_St">systemcode_constants!$D$43</definedName>
    <definedName name="q_PHA">Parameters!$D$24</definedName>
    <definedName name="R__">systemcode_constants!$D$47</definedName>
    <definedName name="r_1">Model!$W$50</definedName>
    <definedName name="r_10">Model!$W$59</definedName>
    <definedName name="r_11">Model!$W$60</definedName>
    <definedName name="r_12">Model!$W$61</definedName>
    <definedName name="r_13">Model!$W$62</definedName>
    <definedName name="r_14">Model!$W$63</definedName>
    <definedName name="r_15">Model!$W$64</definedName>
    <definedName name="r_16">Model!$W$65</definedName>
    <definedName name="r_17">Model!$W$66</definedName>
    <definedName name="r_18">Model!$W$67</definedName>
    <definedName name="r_19">Model!$W$68</definedName>
    <definedName name="r_2">Model!$W$51</definedName>
    <definedName name="r_20">Model!$W$69</definedName>
    <definedName name="r_21">Model!$W$70</definedName>
    <definedName name="r_22">Model!$W$71</definedName>
    <definedName name="r_23">Model!$W$72</definedName>
    <definedName name="r_24">Model!$W$73</definedName>
    <definedName name="r_25">Model!$W$74</definedName>
    <definedName name="r_26">Model!$W$75</definedName>
    <definedName name="r_27">Model!$W$76</definedName>
    <definedName name="r_28">Model!$W$77</definedName>
    <definedName name="r_29">Model!$W$78</definedName>
    <definedName name="r_3">Model!$W$52</definedName>
    <definedName name="r_30">Model!$W$79</definedName>
    <definedName name="r_31">Model!$W$80</definedName>
    <definedName name="r_32">Model!$W$81</definedName>
    <definedName name="r_33">Model!$W$82</definedName>
    <definedName name="r_34">Model!$W$83</definedName>
    <definedName name="r_35">Model!$W$84</definedName>
    <definedName name="r_4">Model!$W$53</definedName>
    <definedName name="r_5">Model!$W$54</definedName>
    <definedName name="r_6">Model!$W$55</definedName>
    <definedName name="r_7">Model!$W$56</definedName>
    <definedName name="r_8">Model!$W$57</definedName>
    <definedName name="r_9">Model!$W$58</definedName>
    <definedName name="S_A">Components!$E$5</definedName>
    <definedName name="S_BOD_5">'Calculated variables'!$E$7</definedName>
    <definedName name="S_BOD_ult">'Calculated variables'!$E$4</definedName>
    <definedName name="S_COD">'Calculated variables'!$E$10</definedName>
    <definedName name="S_F">Components!$E$6</definedName>
    <definedName name="S_I">Components!$E$10</definedName>
    <definedName name="S_N2">Components!$E$20</definedName>
    <definedName name="S_NH4">Components!$E$7</definedName>
    <definedName name="S_NO3">Components!$E$8</definedName>
    <definedName name="S_O2">Components!$E$4</definedName>
    <definedName name="S_PO4">Components!$E$9</definedName>
    <definedName name="S_umo__pHEffects">'other parameters'!$D$7</definedName>
    <definedName name="T_BOD_5">'Calculated variables'!$E$9</definedName>
    <definedName name="T_BOD_ult">'Calculated variables'!$E$6</definedName>
    <definedName name="T_COD">'Calculated variables'!$E$12</definedName>
    <definedName name="T_KN">'Calculated variables'!$E$13</definedName>
    <definedName name="T_N">'Calculated variables'!$E$14</definedName>
    <definedName name="T_null">systemcode_constants!$D$52</definedName>
    <definedName name="T_std">systemcode_constants!$D$51</definedName>
    <definedName name="v_1_SA">Model!$F$50</definedName>
    <definedName name="v_1_SF">Model!$G$50</definedName>
    <definedName name="v_1_SI">Model!$K$50</definedName>
    <definedName name="v_1_SN2">Model!$U$50</definedName>
    <definedName name="v_1_SNH4">Model!$H$50</definedName>
    <definedName name="v_1_SNO3">Model!$I$50</definedName>
    <definedName name="v_1_SO2">Model!$E$50</definedName>
    <definedName name="v_1_SPO4">Model!$J$50</definedName>
    <definedName name="v_1_XADS">Model!$N$50</definedName>
    <definedName name="v_1_XE">Model!$L$50</definedName>
    <definedName name="v_1_XENM">Model!$O$50</definedName>
    <definedName name="v_1_XH">Model!$P$50</definedName>
    <definedName name="v_1_XI">Model!$M$50</definedName>
    <definedName name="v_1_XINORG">Model!$V$50</definedName>
    <definedName name="v_1_XNIT">Model!$T$50</definedName>
    <definedName name="v_1_XPAO">Model!$Q$50</definedName>
    <definedName name="v_1_XPHA">Model!$S$50</definedName>
    <definedName name="v_1_XPP">Model!$R$50</definedName>
    <definedName name="v_10_SA">Model!$F$59</definedName>
    <definedName name="v_10_SF">Model!$G$59</definedName>
    <definedName name="v_10_SI">Model!$K$59</definedName>
    <definedName name="v_10_SN2">Model!$U$59</definedName>
    <definedName name="v_10_SNH4">Model!$H$59</definedName>
    <definedName name="v_10_SNO3">Model!$I$59</definedName>
    <definedName name="v_10_SO2">Model!$E$59</definedName>
    <definedName name="v_10_SPO4">Model!$J$59</definedName>
    <definedName name="v_10_XADS">Model!$N$59</definedName>
    <definedName name="v_10_XE">Model!$L$59</definedName>
    <definedName name="v_10_XENM">Model!$O$59</definedName>
    <definedName name="v_10_XH">Model!$P$59</definedName>
    <definedName name="v_10_XI">Model!$M$59</definedName>
    <definedName name="v_10_XINORG">Model!$V$59</definedName>
    <definedName name="v_10_XNIT">Model!$T$59</definedName>
    <definedName name="v_10_XPAO">Model!$Q$59</definedName>
    <definedName name="v_10_XPHA">Model!$S$59</definedName>
    <definedName name="v_10_XPP">Model!$R$59</definedName>
    <definedName name="v_11_SA">Model!$F$60</definedName>
    <definedName name="v_11_SF">Model!$G$60</definedName>
    <definedName name="v_11_SI">Model!$K$60</definedName>
    <definedName name="v_11_SN2">Model!$U$60</definedName>
    <definedName name="v_11_SNH4">Model!$H$60</definedName>
    <definedName name="v_11_SNO3">Model!$I$60</definedName>
    <definedName name="v_11_SO2">Model!$E$60</definedName>
    <definedName name="v_11_SPO4">Model!$J$60</definedName>
    <definedName name="v_11_XADS">Model!$N$60</definedName>
    <definedName name="v_11_XE">Model!$L$60</definedName>
    <definedName name="v_11_XENM">Model!$O$60</definedName>
    <definedName name="v_11_XH">Model!$P$60</definedName>
    <definedName name="v_11_XI">Model!$M$60</definedName>
    <definedName name="v_11_XINORG">Model!$V$60</definedName>
    <definedName name="v_11_XNIT">Model!$T$60</definedName>
    <definedName name="v_11_XPAO">Model!$Q$60</definedName>
    <definedName name="v_11_XPHA">Model!$S$60</definedName>
    <definedName name="v_11_XPP">Model!$R$60</definedName>
    <definedName name="v_12_SA">Model!$F$61</definedName>
    <definedName name="v_12_SF">Model!$G$61</definedName>
    <definedName name="v_12_SI">Model!$K$61</definedName>
    <definedName name="v_12_SN2">Model!$U$61</definedName>
    <definedName name="v_12_SNH4">Model!$H$61</definedName>
    <definedName name="v_12_SNO3">Model!$I$61</definedName>
    <definedName name="v_12_SO2">Model!$E$61</definedName>
    <definedName name="v_12_SPO4">Model!$J$61</definedName>
    <definedName name="v_12_XADS">Model!$N$61</definedName>
    <definedName name="v_12_XE">Model!$L$61</definedName>
    <definedName name="v_12_XENM">Model!$O$61</definedName>
    <definedName name="v_12_XH">Model!$P$61</definedName>
    <definedName name="v_12_XI">Model!$M$61</definedName>
    <definedName name="v_12_XINORG">Model!$V$61</definedName>
    <definedName name="v_12_XNIT">Model!$T$61</definedName>
    <definedName name="v_12_XPAO">Model!$Q$61</definedName>
    <definedName name="v_12_XPHA">Model!$S$61</definedName>
    <definedName name="v_12_XPP">Model!$R$61</definedName>
    <definedName name="v_13_SA">Model!$F$62</definedName>
    <definedName name="v_13_SF">Model!$G$62</definedName>
    <definedName name="v_13_SI">Model!$K$62</definedName>
    <definedName name="v_13_SN2">Model!$U$62</definedName>
    <definedName name="v_13_SNH4">Model!$H$62</definedName>
    <definedName name="v_13_SNO3">Model!$I$62</definedName>
    <definedName name="v_13_SO2">Model!$E$62</definedName>
    <definedName name="v_13_SPO4">Model!$J$62</definedName>
    <definedName name="v_13_XADS">Model!$N$62</definedName>
    <definedName name="v_13_XE">Model!$L$62</definedName>
    <definedName name="v_13_XENM">Model!$O$62</definedName>
    <definedName name="v_13_XH">Model!$P$62</definedName>
    <definedName name="v_13_XI">Model!$M$62</definedName>
    <definedName name="v_13_XINORG">Model!$V$62</definedName>
    <definedName name="v_13_XNIT">Model!$T$62</definedName>
    <definedName name="v_13_XPAO">Model!$Q$62</definedName>
    <definedName name="v_13_XPHA">Model!$S$62</definedName>
    <definedName name="v_13_XPP">Model!$R$62</definedName>
    <definedName name="v_14_SA">Model!$F$63</definedName>
    <definedName name="v_14_SF">Model!$G$63</definedName>
    <definedName name="v_14_SI">Model!$K$63</definedName>
    <definedName name="v_14_SN2">Model!$U$63</definedName>
    <definedName name="v_14_SNH4">Model!$H$63</definedName>
    <definedName name="v_14_SNO3">Model!$I$63</definedName>
    <definedName name="v_14_SO2">Model!$E$63</definedName>
    <definedName name="v_14_SPO4">Model!$J$63</definedName>
    <definedName name="v_14_XADS">Model!$N$63</definedName>
    <definedName name="v_14_XE">Model!$L$63</definedName>
    <definedName name="v_14_XENM">Model!$O$63</definedName>
    <definedName name="v_14_XH">Model!$P$63</definedName>
    <definedName name="v_14_XI">Model!$M$63</definedName>
    <definedName name="v_14_XINORG">Model!$V$63</definedName>
    <definedName name="v_14_XNIT">Model!$T$63</definedName>
    <definedName name="v_14_XPAO">Model!$Q$63</definedName>
    <definedName name="v_14_XPHA">Model!$S$63</definedName>
    <definedName name="v_14_XPP">Model!$R$63</definedName>
    <definedName name="v_15_SA">Model!$F$64</definedName>
    <definedName name="v_15_SF">Model!$G$64</definedName>
    <definedName name="v_15_SI">Model!$K$64</definedName>
    <definedName name="v_15_SN2">Model!$U$64</definedName>
    <definedName name="v_15_SNH4">Model!$H$64</definedName>
    <definedName name="v_15_SNO3">Model!$I$64</definedName>
    <definedName name="v_15_SO2">Model!$E$64</definedName>
    <definedName name="v_15_SPO4">Model!$J$64</definedName>
    <definedName name="v_15_XADS">Model!$N$64</definedName>
    <definedName name="v_15_XE">Model!$L$64</definedName>
    <definedName name="v_15_XENM">Model!$O$64</definedName>
    <definedName name="v_15_XH">Model!$P$64</definedName>
    <definedName name="v_15_XI">Model!$M$64</definedName>
    <definedName name="v_15_XINORG">Model!$V$64</definedName>
    <definedName name="v_15_XNIT">Model!$T$64</definedName>
    <definedName name="v_15_XPAO">Model!$Q$64</definedName>
    <definedName name="v_15_XPHA">Model!$S$64</definedName>
    <definedName name="v_15_XPP">Model!$R$64</definedName>
    <definedName name="v_16_SA">Model!$F$65</definedName>
    <definedName name="v_16_SF">Model!$G$65</definedName>
    <definedName name="v_16_SI">Model!$K$65</definedName>
    <definedName name="v_16_SN2">Model!$U$65</definedName>
    <definedName name="v_16_SNH4">Model!$H$65</definedName>
    <definedName name="v_16_SNO3">Model!$I$65</definedName>
    <definedName name="v_16_SO2">Model!$E$65</definedName>
    <definedName name="v_16_SPO4">Model!$J$65</definedName>
    <definedName name="v_16_XADS">Model!$N$65</definedName>
    <definedName name="v_16_XE">Model!$L$65</definedName>
    <definedName name="v_16_XENM">Model!$O$65</definedName>
    <definedName name="v_16_XH">Model!$P$65</definedName>
    <definedName name="v_16_XI">Model!$M$65</definedName>
    <definedName name="v_16_XINORG">Model!$V$65</definedName>
    <definedName name="v_16_XNIT">Model!$T$65</definedName>
    <definedName name="v_16_XPAO">Model!$Q$65</definedName>
    <definedName name="v_16_XPHA">Model!$S$65</definedName>
    <definedName name="v_16_XPP">Model!$R$65</definedName>
    <definedName name="v_17_SA">Model!$F$66</definedName>
    <definedName name="v_17_SF">Model!$G$66</definedName>
    <definedName name="v_17_SI">Model!$K$66</definedName>
    <definedName name="v_17_SN2">Model!$U$66</definedName>
    <definedName name="v_17_SNH4">Model!$H$66</definedName>
    <definedName name="v_17_SNO3">Model!$I$66</definedName>
    <definedName name="v_17_SO2">Model!$E$66</definedName>
    <definedName name="v_17_SPO4">Model!$J$66</definedName>
    <definedName name="v_17_XADS">Model!$N$66</definedName>
    <definedName name="v_17_XE">Model!$L$66</definedName>
    <definedName name="v_17_XENM">Model!$O$66</definedName>
    <definedName name="v_17_XH">Model!$P$66</definedName>
    <definedName name="v_17_XI">Model!$M$66</definedName>
    <definedName name="v_17_XINORG">Model!$V$66</definedName>
    <definedName name="v_17_XNIT">Model!$T$66</definedName>
    <definedName name="v_17_XPAO">Model!$Q$66</definedName>
    <definedName name="v_17_XPHA">Model!$S$66</definedName>
    <definedName name="v_17_XPP">Model!$R$66</definedName>
    <definedName name="v_18_SA">Model!$F$67</definedName>
    <definedName name="v_18_SF">Model!$G$67</definedName>
    <definedName name="v_18_SI">Model!$K$67</definedName>
    <definedName name="v_18_SN2">Model!$U$67</definedName>
    <definedName name="v_18_SNH4">Model!$H$67</definedName>
    <definedName name="v_18_SNO3">Model!$I$67</definedName>
    <definedName name="v_18_SO2">Model!$E$67</definedName>
    <definedName name="v_18_SPO4">Model!$J$67</definedName>
    <definedName name="v_18_XADS">Model!$N$67</definedName>
    <definedName name="v_18_XE">Model!$L$67</definedName>
    <definedName name="v_18_XENM">Model!$O$67</definedName>
    <definedName name="v_18_XH">Model!$P$67</definedName>
    <definedName name="v_18_XI">Model!$M$67</definedName>
    <definedName name="v_18_XINORG">Model!$V$67</definedName>
    <definedName name="v_18_XNIT">Model!$T$67</definedName>
    <definedName name="v_18_XPAO">Model!$Q$67</definedName>
    <definedName name="v_18_XPHA">Model!$S$67</definedName>
    <definedName name="v_18_XPP">Model!$R$67</definedName>
    <definedName name="v_19_SA">Model!$F$68</definedName>
    <definedName name="v_19_SF">Model!$G$68</definedName>
    <definedName name="v_19_SI">Model!$K$68</definedName>
    <definedName name="v_19_SN2">Model!$U$68</definedName>
    <definedName name="v_19_SNH4">Model!$H$68</definedName>
    <definedName name="v_19_SNO3">Model!$I$68</definedName>
    <definedName name="v_19_SO2">Model!$E$68</definedName>
    <definedName name="v_19_SPO4">Model!$J$68</definedName>
    <definedName name="v_19_XADS">Model!$N$68</definedName>
    <definedName name="v_19_XE">Model!$L$68</definedName>
    <definedName name="v_19_XENM">Model!$O$68</definedName>
    <definedName name="v_19_XH">Model!$P$68</definedName>
    <definedName name="v_19_XI">Model!$M$68</definedName>
    <definedName name="v_19_XINORG">Model!$V$68</definedName>
    <definedName name="v_19_XNIT">Model!$T$68</definedName>
    <definedName name="v_19_XPAO">Model!$Q$68</definedName>
    <definedName name="v_19_XPHA">Model!$S$68</definedName>
    <definedName name="v_19_XPP">Model!$R$68</definedName>
    <definedName name="v_2_SA">Model!$F$51</definedName>
    <definedName name="v_2_SF">Model!$G$51</definedName>
    <definedName name="v_2_SI">Model!$K$51</definedName>
    <definedName name="v_2_SN2">Model!$U$51</definedName>
    <definedName name="v_2_SNH4">Model!$H$51</definedName>
    <definedName name="v_2_SNO3">Model!$I$51</definedName>
    <definedName name="v_2_SO2">Model!$E$51</definedName>
    <definedName name="v_2_SPO4">Model!$J$51</definedName>
    <definedName name="v_2_XADS">Model!$N$51</definedName>
    <definedName name="v_2_XE">Model!$L$51</definedName>
    <definedName name="v_2_XENM">Model!$O$51</definedName>
    <definedName name="v_2_XH">Model!$P$51</definedName>
    <definedName name="v_2_XI">Model!$M$51</definedName>
    <definedName name="v_2_XINORG">Model!$V$51</definedName>
    <definedName name="v_2_XNIT">Model!$T$51</definedName>
    <definedName name="v_2_XPAO">Model!$Q$51</definedName>
    <definedName name="v_2_XPHA">Model!$S$51</definedName>
    <definedName name="v_2_XPP">Model!$R$51</definedName>
    <definedName name="v_20_SA">Model!$F$69</definedName>
    <definedName name="v_20_SF">Model!$G$69</definedName>
    <definedName name="v_20_SI">Model!$K$69</definedName>
    <definedName name="v_20_SN2">Model!$U$69</definedName>
    <definedName name="v_20_SNH4">Model!$H$69</definedName>
    <definedName name="v_20_SNO3">Model!$I$69</definedName>
    <definedName name="v_20_SO2">Model!$E$69</definedName>
    <definedName name="v_20_SPO4">Model!$J$69</definedName>
    <definedName name="v_20_XADS">Model!$N$69</definedName>
    <definedName name="v_20_XE">Model!$L$69</definedName>
    <definedName name="v_20_XENM">Model!$O$69</definedName>
    <definedName name="v_20_XH">Model!$P$69</definedName>
    <definedName name="v_20_XI">Model!$M$69</definedName>
    <definedName name="v_20_XINORG">Model!$V$69</definedName>
    <definedName name="v_20_XNIT">Model!$T$69</definedName>
    <definedName name="v_20_XPAO">Model!$Q$69</definedName>
    <definedName name="v_20_XPHA">Model!$S$69</definedName>
    <definedName name="v_20_XPP">Model!$R$69</definedName>
    <definedName name="v_21_SA">Model!$F$70</definedName>
    <definedName name="v_21_SF">Model!$G$70</definedName>
    <definedName name="v_21_SI">Model!$K$70</definedName>
    <definedName name="v_21_SN2">Model!$U$70</definedName>
    <definedName name="v_21_SNH4">Model!$H$70</definedName>
    <definedName name="v_21_SNO3">Model!$I$70</definedName>
    <definedName name="v_21_SO2">Model!$E$70</definedName>
    <definedName name="v_21_SPO4">Model!$J$70</definedName>
    <definedName name="v_21_XADS">Model!$N$70</definedName>
    <definedName name="v_21_XE">Model!$L$70</definedName>
    <definedName name="v_21_XENM">Model!$O$70</definedName>
    <definedName name="v_21_XH">Model!$P$70</definedName>
    <definedName name="v_21_XI">Model!$M$70</definedName>
    <definedName name="v_21_XINORG">Model!$V$70</definedName>
    <definedName name="v_21_XNIT">Model!$T$70</definedName>
    <definedName name="v_21_XPAO">Model!$Q$70</definedName>
    <definedName name="v_21_XPHA">Model!$S$70</definedName>
    <definedName name="v_21_XPP">Model!$R$70</definedName>
    <definedName name="v_22_SA">Model!$F$71</definedName>
    <definedName name="v_22_SF">Model!$G$71</definedName>
    <definedName name="v_22_SI">Model!$K$71</definedName>
    <definedName name="v_22_SN2">Model!$U$71</definedName>
    <definedName name="v_22_SNH4">Model!$H$71</definedName>
    <definedName name="v_22_SNO3">Model!$I$71</definedName>
    <definedName name="v_22_SO2">Model!$E$71</definedName>
    <definedName name="v_22_SPO4">Model!$J$71</definedName>
    <definedName name="v_22_XADS">Model!$N$71</definedName>
    <definedName name="v_22_XE">Model!$L$71</definedName>
    <definedName name="v_22_XENM">Model!$O$71</definedName>
    <definedName name="v_22_XH">Model!$P$71</definedName>
    <definedName name="v_22_XI">Model!$M$71</definedName>
    <definedName name="v_22_XINORG">Model!$V$71</definedName>
    <definedName name="v_22_XNIT">Model!$T$71</definedName>
    <definedName name="v_22_XPAO">Model!$Q$71</definedName>
    <definedName name="v_22_XPHA">Model!$S$71</definedName>
    <definedName name="v_22_XPP">Model!$R$71</definedName>
    <definedName name="v_23_SA">Model!$F$72</definedName>
    <definedName name="v_23_SF">Model!$G$72</definedName>
    <definedName name="v_23_SI">Model!$K$72</definedName>
    <definedName name="v_23_SN2">Model!$U$72</definedName>
    <definedName name="v_23_SNH4">Model!$H$72</definedName>
    <definedName name="v_23_SNO3">Model!$I$72</definedName>
    <definedName name="v_23_SO2">Model!$E$72</definedName>
    <definedName name="v_23_SPO4">Model!$J$72</definedName>
    <definedName name="v_23_XADS">Model!$N$72</definedName>
    <definedName name="v_23_XE">Model!$L$72</definedName>
    <definedName name="v_23_XENM">Model!$O$72</definedName>
    <definedName name="v_23_XH">Model!$P$72</definedName>
    <definedName name="v_23_XI">Model!$M$72</definedName>
    <definedName name="v_23_XINORG">Model!$V$72</definedName>
    <definedName name="v_23_XNIT">Model!$T$72</definedName>
    <definedName name="v_23_XPAO">Model!$Q$72</definedName>
    <definedName name="v_23_XPHA">Model!$S$72</definedName>
    <definedName name="v_23_XPP">Model!$R$72</definedName>
    <definedName name="v_24_SA">Model!$F$73</definedName>
    <definedName name="v_24_SF">Model!$G$73</definedName>
    <definedName name="v_24_SI">Model!$K$73</definedName>
    <definedName name="v_24_SN2">Model!$U$73</definedName>
    <definedName name="v_24_SNH4">Model!$H$73</definedName>
    <definedName name="v_24_SNO3">Model!$I$73</definedName>
    <definedName name="v_24_SO2">Model!$E$73</definedName>
    <definedName name="v_24_SPO4">Model!$J$73</definedName>
    <definedName name="v_24_XADS">Model!$N$73</definedName>
    <definedName name="v_24_XE">Model!$L$73</definedName>
    <definedName name="v_24_XENM">Model!$O$73</definedName>
    <definedName name="v_24_XH">Model!$P$73</definedName>
    <definedName name="v_24_XI">Model!$M$73</definedName>
    <definedName name="v_24_XINORG">Model!$V$73</definedName>
    <definedName name="v_24_XNIT">Model!$T$73</definedName>
    <definedName name="v_24_XPAO">Model!$Q$73</definedName>
    <definedName name="v_24_XPHA">Model!$S$73</definedName>
    <definedName name="v_24_XPP">Model!$R$73</definedName>
    <definedName name="v_25_SA">Model!$F$74</definedName>
    <definedName name="v_25_SF">Model!$G$74</definedName>
    <definedName name="v_25_SI">Model!$K$74</definedName>
    <definedName name="v_25_SN2">Model!$U$74</definedName>
    <definedName name="v_25_SNH4">Model!$H$74</definedName>
    <definedName name="v_25_SNO3">Model!$I$74</definedName>
    <definedName name="v_25_SO2">Model!$E$74</definedName>
    <definedName name="v_25_SPO4">Model!$J$74</definedName>
    <definedName name="v_25_XADS">Model!$N$74</definedName>
    <definedName name="v_25_XE">Model!$L$74</definedName>
    <definedName name="v_25_XENM">Model!$O$74</definedName>
    <definedName name="v_25_XH">Model!$P$74</definedName>
    <definedName name="v_25_XI">Model!$M$74</definedName>
    <definedName name="v_25_XINORG">Model!$V$74</definedName>
    <definedName name="v_25_XNIT">Model!$T$74</definedName>
    <definedName name="v_25_XPAO">Model!$Q$74</definedName>
    <definedName name="v_25_XPHA">Model!$S$74</definedName>
    <definedName name="v_25_XPP">Model!$R$74</definedName>
    <definedName name="v_26_SA">Model!$F$75</definedName>
    <definedName name="v_26_SF">Model!$G$75</definedName>
    <definedName name="v_26_SI">Model!$K$75</definedName>
    <definedName name="v_26_SN2">Model!$U$75</definedName>
    <definedName name="v_26_SNH4">Model!$H$75</definedName>
    <definedName name="v_26_SNO3">Model!$I$75</definedName>
    <definedName name="v_26_SO2">Model!$E$75</definedName>
    <definedName name="v_26_SPO4">Model!$J$75</definedName>
    <definedName name="v_26_XADS">Model!$N$75</definedName>
    <definedName name="v_26_XE">Model!$L$75</definedName>
    <definedName name="v_26_XENM">Model!$O$75</definedName>
    <definedName name="v_26_XH">Model!$P$75</definedName>
    <definedName name="v_26_XI">Model!$M$75</definedName>
    <definedName name="v_26_XINORG">Model!$V$75</definedName>
    <definedName name="v_26_XNIT">Model!$T$75</definedName>
    <definedName name="v_26_XPAO">Model!$Q$75</definedName>
    <definedName name="v_26_XPHA">Model!$S$75</definedName>
    <definedName name="v_26_XPP">Model!$R$75</definedName>
    <definedName name="v_27_SA">Model!$F$76</definedName>
    <definedName name="v_27_SF">Model!$G$76</definedName>
    <definedName name="v_27_SI">Model!$K$76</definedName>
    <definedName name="v_27_SN2">Model!$U$76</definedName>
    <definedName name="v_27_SNH4">Model!$H$76</definedName>
    <definedName name="v_27_SNO3">Model!$I$76</definedName>
    <definedName name="v_27_SO2">Model!$E$76</definedName>
    <definedName name="v_27_SPO4">Model!$J$76</definedName>
    <definedName name="v_27_XADS">Model!$N$76</definedName>
    <definedName name="v_27_XE">Model!$L$76</definedName>
    <definedName name="v_27_XENM">Model!$O$76</definedName>
    <definedName name="v_27_XH">Model!$P$76</definedName>
    <definedName name="v_27_XI">Model!$M$76</definedName>
    <definedName name="v_27_XINORG">Model!$V$76</definedName>
    <definedName name="v_27_XNIT">Model!$T$76</definedName>
    <definedName name="v_27_XPAO">Model!$Q$76</definedName>
    <definedName name="v_27_XPHA">Model!$S$76</definedName>
    <definedName name="v_27_XPP">Model!$R$76</definedName>
    <definedName name="v_28_SA">Model!$F$77</definedName>
    <definedName name="v_28_SF">Model!$G$77</definedName>
    <definedName name="v_28_SI">Model!$K$77</definedName>
    <definedName name="v_28_SN2">Model!$U$77</definedName>
    <definedName name="v_28_SNH4">Model!$H$77</definedName>
    <definedName name="v_28_SNO3">Model!$I$77</definedName>
    <definedName name="v_28_SO2">Model!$E$77</definedName>
    <definedName name="v_28_SPO4">Model!$J$77</definedName>
    <definedName name="v_28_XADS">Model!$N$77</definedName>
    <definedName name="v_28_XE">Model!$L$77</definedName>
    <definedName name="v_28_XENM">Model!$O$77</definedName>
    <definedName name="v_28_XH">Model!$P$77</definedName>
    <definedName name="v_28_XI">Model!$M$77</definedName>
    <definedName name="v_28_XINORG">Model!$V$77</definedName>
    <definedName name="v_28_XNIT">Model!$T$77</definedName>
    <definedName name="v_28_XPAO">Model!$Q$77</definedName>
    <definedName name="v_28_XPHA">Model!$S$77</definedName>
    <definedName name="v_28_XPP">Model!$R$77</definedName>
    <definedName name="v_29_SA">Model!$F$78</definedName>
    <definedName name="v_29_SF">Model!$G$78</definedName>
    <definedName name="v_29_SI">Model!$K$78</definedName>
    <definedName name="v_29_SN2">Model!$U$78</definedName>
    <definedName name="v_29_SNH4">Model!$H$78</definedName>
    <definedName name="v_29_SNO3">Model!$I$78</definedName>
    <definedName name="v_29_SO2">Model!$E$78</definedName>
    <definedName name="v_29_SPO4">Model!$J$78</definedName>
    <definedName name="v_29_XADS">Model!$N$78</definedName>
    <definedName name="v_29_XE">Model!$L$78</definedName>
    <definedName name="v_29_XENM">Model!$O$78</definedName>
    <definedName name="v_29_XH">Model!$P$78</definedName>
    <definedName name="v_29_XI">Model!$M$78</definedName>
    <definedName name="v_29_XINORG">Model!$V$78</definedName>
    <definedName name="v_29_XNIT">Model!$T$78</definedName>
    <definedName name="v_29_XPAO">Model!$Q$78</definedName>
    <definedName name="v_29_XPHA">Model!$S$78</definedName>
    <definedName name="v_29_XPP">Model!$R$78</definedName>
    <definedName name="v_3_SA">Model!$F$52</definedName>
    <definedName name="v_3_SF">Model!$G$52</definedName>
    <definedName name="v_3_SI">Model!$K$52</definedName>
    <definedName name="v_3_SN2">Model!$U$52</definedName>
    <definedName name="v_3_SNH4">Model!$H$52</definedName>
    <definedName name="v_3_SNO3">Model!$I$52</definedName>
    <definedName name="v_3_SO2">Model!$E$52</definedName>
    <definedName name="v_3_SPO4">Model!$J$52</definedName>
    <definedName name="v_3_XADS">Model!$N$52</definedName>
    <definedName name="v_3_XE">Model!$L$52</definedName>
    <definedName name="v_3_XENM">Model!$O$52</definedName>
    <definedName name="v_3_XH">Model!$P$52</definedName>
    <definedName name="v_3_XI">Model!$M$52</definedName>
    <definedName name="v_3_XINORG">Model!$V$52</definedName>
    <definedName name="v_3_XNIT">Model!$T$52</definedName>
    <definedName name="v_3_XPAO">Model!$Q$52</definedName>
    <definedName name="v_3_XPHA">Model!$S$52</definedName>
    <definedName name="v_3_XPP">Model!$R$52</definedName>
    <definedName name="v_30_SA">Model!$F$79</definedName>
    <definedName name="v_30_SF">Model!$G$79</definedName>
    <definedName name="v_30_SI">Model!$K$79</definedName>
    <definedName name="v_30_SN2">Model!$U$79</definedName>
    <definedName name="v_30_SNH4">Model!$H$79</definedName>
    <definedName name="v_30_SNO3">Model!$I$79</definedName>
    <definedName name="v_30_SO2">Model!$E$79</definedName>
    <definedName name="v_30_SPO4">Model!$J$79</definedName>
    <definedName name="v_30_XADS">Model!$N$79</definedName>
    <definedName name="v_30_XE">Model!$L$79</definedName>
    <definedName name="v_30_XENM">Model!$O$79</definedName>
    <definedName name="v_30_XH">Model!$P$79</definedName>
    <definedName name="v_30_XI">Model!$M$79</definedName>
    <definedName name="v_30_XINORG">Model!$V$79</definedName>
    <definedName name="v_30_XNIT">Model!$T$79</definedName>
    <definedName name="v_30_XPAO">Model!$Q$79</definedName>
    <definedName name="v_30_XPHA">Model!$S$79</definedName>
    <definedName name="v_30_XPP">Model!$R$79</definedName>
    <definedName name="v_31_SA">Model!$F$80</definedName>
    <definedName name="v_31_SF">Model!$G$80</definedName>
    <definedName name="v_31_SI">Model!$K$80</definedName>
    <definedName name="v_31_SN2">Model!$U$80</definedName>
    <definedName name="v_31_SNH4">Model!$H$80</definedName>
    <definedName name="v_31_SNO3">Model!$I$80</definedName>
    <definedName name="v_31_SO2">Model!$E$80</definedName>
    <definedName name="v_31_SPO4">Model!$J$80</definedName>
    <definedName name="v_31_XADS">Model!$N$80</definedName>
    <definedName name="v_31_XE">Model!$L$80</definedName>
    <definedName name="v_31_XENM">Model!$O$80</definedName>
    <definedName name="v_31_XH">Model!$P$80</definedName>
    <definedName name="v_31_XI">Model!$M$80</definedName>
    <definedName name="v_31_XINORG">Model!$V$80</definedName>
    <definedName name="v_31_XNIT">Model!$T$80</definedName>
    <definedName name="v_31_XPAO">Model!$Q$80</definedName>
    <definedName name="v_31_XPHA">Model!$S$80</definedName>
    <definedName name="v_31_XPP">Model!$R$80</definedName>
    <definedName name="v_32_SA">Model!$F$81</definedName>
    <definedName name="v_32_SF">Model!$G$81</definedName>
    <definedName name="v_32_SI">Model!$K$81</definedName>
    <definedName name="v_32_SN2">Model!$U$81</definedName>
    <definedName name="v_32_SNH4">Model!$H$81</definedName>
    <definedName name="v_32_SNO3">Model!$I$81</definedName>
    <definedName name="v_32_SO2">Model!$E$81</definedName>
    <definedName name="v_32_SPO4">Model!$J$81</definedName>
    <definedName name="v_32_XADS">Model!$N$81</definedName>
    <definedName name="v_32_XE">Model!$L$81</definedName>
    <definedName name="v_32_XENM">Model!$O$81</definedName>
    <definedName name="v_32_XH">Model!$P$81</definedName>
    <definedName name="v_32_XI">Model!$M$81</definedName>
    <definedName name="v_32_XINORG">Model!$V$81</definedName>
    <definedName name="v_32_XNIT">Model!$T$81</definedName>
    <definedName name="v_32_XPAO">Model!$Q$81</definedName>
    <definedName name="v_32_XPHA">Model!$S$81</definedName>
    <definedName name="v_32_XPP">Model!$R$81</definedName>
    <definedName name="v_33_SA">Model!$F$82</definedName>
    <definedName name="v_33_SF">Model!$G$82</definedName>
    <definedName name="v_33_SI">Model!$K$82</definedName>
    <definedName name="v_33_SN2">Model!$U$82</definedName>
    <definedName name="v_33_SNH4">Model!$H$82</definedName>
    <definedName name="v_33_SNO3">Model!$I$82</definedName>
    <definedName name="v_33_SO2">Model!$E$82</definedName>
    <definedName name="v_33_SPO4">Model!$J$82</definedName>
    <definedName name="v_33_XADS">Model!$N$82</definedName>
    <definedName name="v_33_XE">Model!$L$82</definedName>
    <definedName name="v_33_XENM">Model!$O$82</definedName>
    <definedName name="v_33_XH">Model!$P$82</definedName>
    <definedName name="v_33_XI">Model!$M$82</definedName>
    <definedName name="v_33_XINORG">Model!$V$82</definedName>
    <definedName name="v_33_XNIT">Model!$T$82</definedName>
    <definedName name="v_33_XPAO">Model!$Q$82</definedName>
    <definedName name="v_33_XPHA">Model!$S$82</definedName>
    <definedName name="v_33_XPP">Model!$R$82</definedName>
    <definedName name="v_34_SA">Model!$F$83</definedName>
    <definedName name="v_34_SF">Model!$G$83</definedName>
    <definedName name="v_34_SI">Model!$K$83</definedName>
    <definedName name="v_34_SN2">Model!$U$83</definedName>
    <definedName name="v_34_SNH4">Model!$H$83</definedName>
    <definedName name="v_34_SNO3">Model!$I$83</definedName>
    <definedName name="v_34_SO2">Model!$E$83</definedName>
    <definedName name="v_34_SPO4">Model!$J$83</definedName>
    <definedName name="v_34_XADS">Model!$N$83</definedName>
    <definedName name="v_34_XE">Model!$L$83</definedName>
    <definedName name="v_34_XENM">Model!$O$83</definedName>
    <definedName name="v_34_XH">Model!$P$83</definedName>
    <definedName name="v_34_XI">Model!$M$83</definedName>
    <definedName name="v_34_XINORG">Model!$V$83</definedName>
    <definedName name="v_34_XNIT">Model!$T$83</definedName>
    <definedName name="v_34_XPAO">Model!$Q$83</definedName>
    <definedName name="v_34_XPHA">Model!$S$83</definedName>
    <definedName name="v_34_XPP">Model!$R$83</definedName>
    <definedName name="v_35_SA">Model!$F$84</definedName>
    <definedName name="v_35_SF">Model!$G$84</definedName>
    <definedName name="v_35_SI">Model!$K$84</definedName>
    <definedName name="v_35_SN2">Model!$U$84</definedName>
    <definedName name="v_35_SNH4">Model!$H$84</definedName>
    <definedName name="v_35_SNO3">Model!$I$84</definedName>
    <definedName name="v_35_SO2">Model!$E$84</definedName>
    <definedName name="v_35_SPO4">Model!$J$84</definedName>
    <definedName name="v_35_XADS">Model!$N$84</definedName>
    <definedName name="v_35_XE">Model!$L$84</definedName>
    <definedName name="v_35_XENM">Model!$O$84</definedName>
    <definedName name="v_35_XH">Model!$P$84</definedName>
    <definedName name="v_35_XI">Model!$M$84</definedName>
    <definedName name="v_35_XINORG">Model!$V$84</definedName>
    <definedName name="v_35_XNIT">Model!$T$84</definedName>
    <definedName name="v_35_XPAO">Model!$Q$84</definedName>
    <definedName name="v_35_XPHA">Model!$S$84</definedName>
    <definedName name="v_35_XPP">Model!$R$84</definedName>
    <definedName name="v_4_SA">Model!$F$53</definedName>
    <definedName name="v_4_SF">Model!$G$53</definedName>
    <definedName name="v_4_SI">Model!$K$53</definedName>
    <definedName name="v_4_SN2">Model!$U$53</definedName>
    <definedName name="v_4_SNH4">Model!$H$53</definedName>
    <definedName name="v_4_SNO3">Model!$I$53</definedName>
    <definedName name="v_4_SO2">Model!$E$53</definedName>
    <definedName name="v_4_SPO4">Model!$J$53</definedName>
    <definedName name="v_4_XADS">Model!$N$53</definedName>
    <definedName name="v_4_XE">Model!$L$53</definedName>
    <definedName name="v_4_XENM">Model!$O$53</definedName>
    <definedName name="v_4_XH">Model!$P$53</definedName>
    <definedName name="v_4_XI">Model!$M$53</definedName>
    <definedName name="v_4_XINORG">Model!$V$53</definedName>
    <definedName name="v_4_XNIT">Model!$T$53</definedName>
    <definedName name="v_4_XPAO">Model!$Q$53</definedName>
    <definedName name="v_4_XPHA">Model!$S$53</definedName>
    <definedName name="v_4_XPP">Model!$R$53</definedName>
    <definedName name="v_5_SA">Model!$F$54</definedName>
    <definedName name="v_5_SF">Model!$G$54</definedName>
    <definedName name="v_5_SI">Model!$K$54</definedName>
    <definedName name="v_5_SN2">Model!$U$54</definedName>
    <definedName name="v_5_SNH4">Model!$H$54</definedName>
    <definedName name="v_5_SNO3">Model!$I$54</definedName>
    <definedName name="v_5_SO2">Model!$E$54</definedName>
    <definedName name="v_5_SPO4">Model!$J$54</definedName>
    <definedName name="v_5_XADS">Model!$N$54</definedName>
    <definedName name="v_5_XE">Model!$L$54</definedName>
    <definedName name="v_5_XENM">Model!$O$54</definedName>
    <definedName name="v_5_XH">Model!$P$54</definedName>
    <definedName name="v_5_XI">Model!$M$54</definedName>
    <definedName name="v_5_XINORG">Model!$V$54</definedName>
    <definedName name="v_5_XNIT">Model!$T$54</definedName>
    <definedName name="v_5_XPAO">Model!$Q$54</definedName>
    <definedName name="v_5_XPHA">Model!$S$54</definedName>
    <definedName name="v_5_XPP">Model!$R$54</definedName>
    <definedName name="v_6_SA">Model!$F$55</definedName>
    <definedName name="v_6_SF">Model!$G$55</definedName>
    <definedName name="v_6_SI">Model!$K$55</definedName>
    <definedName name="v_6_SN2">Model!$U$55</definedName>
    <definedName name="v_6_SNH4">Model!$H$55</definedName>
    <definedName name="v_6_SNO3">Model!$I$55</definedName>
    <definedName name="v_6_SO2">Model!$E$55</definedName>
    <definedName name="v_6_SPO4">Model!$J$55</definedName>
    <definedName name="v_6_XADS">Model!$N$55</definedName>
    <definedName name="v_6_XE">Model!$L$55</definedName>
    <definedName name="v_6_XENM">Model!$O$55</definedName>
    <definedName name="v_6_XH">Model!$P$55</definedName>
    <definedName name="v_6_XI">Model!$M$55</definedName>
    <definedName name="v_6_XINORG">Model!$V$55</definedName>
    <definedName name="v_6_XNIT">Model!$T$55</definedName>
    <definedName name="v_6_XPAO">Model!$Q$55</definedName>
    <definedName name="v_6_XPHA">Model!$S$55</definedName>
    <definedName name="v_6_XPP">Model!$R$55</definedName>
    <definedName name="v_7_SA">Model!$F$56</definedName>
    <definedName name="v_7_SF">Model!$G$56</definedName>
    <definedName name="v_7_SI">Model!$K$56</definedName>
    <definedName name="v_7_SN2">Model!$U$56</definedName>
    <definedName name="v_7_SNH4">Model!$H$56</definedName>
    <definedName name="v_7_SNO3">Model!$I$56</definedName>
    <definedName name="v_7_SO2">Model!$E$56</definedName>
    <definedName name="v_7_SPO4">Model!$J$56</definedName>
    <definedName name="v_7_XADS">Model!$N$56</definedName>
    <definedName name="v_7_XE">Model!$L$56</definedName>
    <definedName name="v_7_XENM">Model!$O$56</definedName>
    <definedName name="v_7_XH">Model!$P$56</definedName>
    <definedName name="v_7_XI">Model!$M$56</definedName>
    <definedName name="v_7_XINORG">Model!$V$56</definedName>
    <definedName name="v_7_XNIT">Model!$T$56</definedName>
    <definedName name="v_7_XPAO">Model!$Q$56</definedName>
    <definedName name="v_7_XPHA">Model!$S$56</definedName>
    <definedName name="v_7_XPP">Model!$R$56</definedName>
    <definedName name="v_8_SA">Model!$F$57</definedName>
    <definedName name="v_8_SF">Model!$G$57</definedName>
    <definedName name="v_8_SI">Model!$K$57</definedName>
    <definedName name="v_8_SN2">Model!$U$57</definedName>
    <definedName name="v_8_SNH4">Model!$H$57</definedName>
    <definedName name="v_8_SNO3">Model!$I$57</definedName>
    <definedName name="v_8_SO2">Model!$E$57</definedName>
    <definedName name="v_8_SPO4">Model!$J$57</definedName>
    <definedName name="v_8_XADS">Model!$N$57</definedName>
    <definedName name="v_8_XE">Model!$L$57</definedName>
    <definedName name="v_8_XENM">Model!$O$57</definedName>
    <definedName name="v_8_XH">Model!$P$57</definedName>
    <definedName name="v_8_XI">Model!$M$57</definedName>
    <definedName name="v_8_XINORG">Model!$V$57</definedName>
    <definedName name="v_8_XNIT">Model!$T$57</definedName>
    <definedName name="v_8_XPAO">Model!$Q$57</definedName>
    <definedName name="v_8_XPHA">Model!$S$57</definedName>
    <definedName name="v_8_XPP">Model!$R$57</definedName>
    <definedName name="v_9_SA">Model!$F$58</definedName>
    <definedName name="v_9_SF">Model!$G$58</definedName>
    <definedName name="v_9_SI">Model!$K$58</definedName>
    <definedName name="v_9_SN2">Model!$U$58</definedName>
    <definedName name="v_9_SNH4">Model!$H$58</definedName>
    <definedName name="v_9_SNO3">Model!$I$58</definedName>
    <definedName name="v_9_SO2">Model!$E$58</definedName>
    <definedName name="v_9_SPO4">Model!$J$58</definedName>
    <definedName name="v_9_XADS">Model!$N$58</definedName>
    <definedName name="v_9_XE">Model!$L$58</definedName>
    <definedName name="v_9_XENM">Model!$O$58</definedName>
    <definedName name="v_9_XH">Model!$P$58</definedName>
    <definedName name="v_9_XI">Model!$M$58</definedName>
    <definedName name="v_9_XINORG">Model!$V$58</definedName>
    <definedName name="v_9_XNIT">Model!$T$58</definedName>
    <definedName name="v_9_XPAO">Model!$Q$58</definedName>
    <definedName name="v_9_XPHA">Model!$S$58</definedName>
    <definedName name="v_9_XPP">Model!$R$58</definedName>
    <definedName name="X_ADS">Components!$E$13</definedName>
    <definedName name="X_BOD_5">'Calculated variables'!$E$8</definedName>
    <definedName name="X_BOD_ult">'Calculated variables'!$E$5</definedName>
    <definedName name="X_COD">'Calculated variables'!$E$11</definedName>
    <definedName name="X_DM">'Calculated variables'!$E$18</definedName>
    <definedName name="X_E">Components!$E$11</definedName>
    <definedName name="X_ENM">Components!$E$14</definedName>
    <definedName name="X_H">Components!$E$15</definedName>
    <definedName name="X_I">Components!$E$12</definedName>
    <definedName name="X_INORG">Components!$E$21</definedName>
    <definedName name="X_ISS">'Calculated variables'!$E$16</definedName>
    <definedName name="X_NIT">Components!$E$19</definedName>
    <definedName name="X_PAO">Components!$E$16</definedName>
    <definedName name="X_PHA">Components!$E$18</definedName>
    <definedName name="X_PP">Components!$E$17</definedName>
    <definedName name="X_TSS">'Calculated variables'!$E$17</definedName>
    <definedName name="X_VSS">'Calculated variables'!$E$15</definedName>
    <definedName name="Y_H1">Parameters!$D$46</definedName>
    <definedName name="Y_H2">Parameters!$D$47</definedName>
    <definedName name="Y_NIT">Parameters!$D$53</definedName>
    <definedName name="Y_PAO1">Parameters!$D$48</definedName>
    <definedName name="Y_PAO2">Parameters!$D$49</definedName>
    <definedName name="Y_PO4">Parameters!$D$52</definedName>
    <definedName name="Y_PP1">Parameters!$D$50</definedName>
    <definedName name="Y_PP2">Parameters!$D$51</definedName>
    <definedName name="η_H">Parameters!$D$10</definedName>
    <definedName name="η_PAO">Parameters!$D$27</definedName>
    <definedName name="μ_H">Parameters!$D$9</definedName>
    <definedName name="μ_NIT">Parameters!$D$39</definedName>
    <definedName name="ρ_H2O">systemcode_constants!$D$35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9" i="5" l="1"/>
  <c r="E48" i="5"/>
  <c r="E47" i="5"/>
  <c r="E46" i="5"/>
  <c r="E45" i="5"/>
  <c r="E44" i="5"/>
  <c r="E43" i="5"/>
  <c r="W61" i="1" s="1"/>
  <c r="E42" i="5"/>
  <c r="E41" i="5"/>
  <c r="E40" i="5"/>
  <c r="E39" i="5"/>
  <c r="E38" i="5"/>
  <c r="E37" i="5"/>
  <c r="E36" i="5"/>
  <c r="E35" i="5"/>
  <c r="E34" i="5"/>
  <c r="E33" i="5"/>
  <c r="E32" i="5"/>
  <c r="E31" i="5"/>
  <c r="E30" i="5"/>
  <c r="E29" i="5"/>
  <c r="W54" i="1" s="1"/>
  <c r="E28" i="5"/>
  <c r="W53" i="1" s="1"/>
  <c r="E18" i="5"/>
  <c r="E17" i="5"/>
  <c r="E16" i="5"/>
  <c r="E15" i="5"/>
  <c r="E14" i="5"/>
  <c r="E13" i="5"/>
  <c r="E12" i="5"/>
  <c r="E11" i="5"/>
  <c r="E10" i="5"/>
  <c r="E9" i="5"/>
  <c r="E8" i="5"/>
  <c r="E7" i="5"/>
  <c r="E6" i="5"/>
  <c r="E5" i="5"/>
  <c r="E4" i="5"/>
  <c r="AA84" i="1"/>
  <c r="Z84" i="1"/>
  <c r="Y84" i="1"/>
  <c r="AA83" i="1"/>
  <c r="Z83" i="1"/>
  <c r="Y83" i="1"/>
  <c r="AA82" i="1"/>
  <c r="Z82" i="1"/>
  <c r="Y82" i="1"/>
  <c r="AA81" i="1"/>
  <c r="Z81" i="1"/>
  <c r="Y81" i="1"/>
  <c r="AA80" i="1"/>
  <c r="Z80" i="1"/>
  <c r="Y80" i="1"/>
  <c r="AA79" i="1"/>
  <c r="Z79" i="1"/>
  <c r="Y79" i="1"/>
  <c r="AA78" i="1"/>
  <c r="Z78" i="1"/>
  <c r="Y78" i="1"/>
  <c r="AA77" i="1"/>
  <c r="Z77" i="1"/>
  <c r="Y77" i="1"/>
  <c r="AA76" i="1"/>
  <c r="Z76" i="1"/>
  <c r="Y76" i="1"/>
  <c r="AA75" i="1"/>
  <c r="Z75" i="1"/>
  <c r="Y75" i="1"/>
  <c r="AA74" i="1"/>
  <c r="Z74" i="1"/>
  <c r="Y74" i="1"/>
  <c r="AA73" i="1"/>
  <c r="Z73" i="1"/>
  <c r="Y73" i="1"/>
  <c r="AA72" i="1"/>
  <c r="Z72" i="1"/>
  <c r="Y72" i="1"/>
  <c r="AA71" i="1"/>
  <c r="Z71" i="1"/>
  <c r="Y71" i="1"/>
  <c r="AA70" i="1"/>
  <c r="Z70" i="1"/>
  <c r="Y70" i="1"/>
  <c r="AA69" i="1"/>
  <c r="Z69" i="1"/>
  <c r="Y69" i="1"/>
  <c r="AA68" i="1"/>
  <c r="Z68" i="1"/>
  <c r="Y68" i="1"/>
  <c r="AA67" i="1"/>
  <c r="Z67" i="1"/>
  <c r="Y67" i="1"/>
  <c r="AA66" i="1"/>
  <c r="Z66" i="1"/>
  <c r="Y66" i="1"/>
  <c r="AA65" i="1"/>
  <c r="Z65" i="1"/>
  <c r="Y65" i="1"/>
  <c r="AA64" i="1"/>
  <c r="Z64" i="1"/>
  <c r="Y64" i="1"/>
  <c r="AA63" i="1"/>
  <c r="Z63" i="1"/>
  <c r="Y63" i="1"/>
  <c r="AA62" i="1"/>
  <c r="Z62" i="1"/>
  <c r="Y62" i="1"/>
  <c r="AA61" i="1"/>
  <c r="Z61" i="1"/>
  <c r="Y61" i="1"/>
  <c r="AA60" i="1"/>
  <c r="Z60" i="1"/>
  <c r="Y60" i="1"/>
  <c r="AA59" i="1"/>
  <c r="Z59" i="1"/>
  <c r="Y59" i="1"/>
  <c r="AA58" i="1"/>
  <c r="Z58" i="1"/>
  <c r="Y58" i="1"/>
  <c r="AA57" i="1"/>
  <c r="Z57" i="1"/>
  <c r="Y57" i="1"/>
  <c r="AA56" i="1"/>
  <c r="Z56" i="1"/>
  <c r="Y56" i="1"/>
  <c r="AA55" i="1"/>
  <c r="Z55" i="1"/>
  <c r="Y55" i="1"/>
  <c r="AA54" i="1"/>
  <c r="Z54" i="1"/>
  <c r="Y54" i="1"/>
  <c r="AA53" i="1"/>
  <c r="Z53" i="1"/>
  <c r="Y53" i="1"/>
  <c r="AA52" i="1"/>
  <c r="Z52" i="1"/>
  <c r="Y52" i="1"/>
  <c r="AA51" i="1"/>
  <c r="Z51" i="1"/>
  <c r="Y51" i="1"/>
  <c r="AA50" i="1"/>
  <c r="Z50" i="1"/>
  <c r="Y50" i="1"/>
  <c r="T90" i="1"/>
  <c r="Q90" i="1"/>
  <c r="P90" i="1"/>
  <c r="O90" i="1"/>
  <c r="N90" i="1"/>
  <c r="M90" i="1"/>
  <c r="L90" i="1"/>
  <c r="K90" i="1"/>
  <c r="G90" i="1"/>
  <c r="T89" i="1"/>
  <c r="Q89" i="1"/>
  <c r="P89" i="1"/>
  <c r="O89" i="1"/>
  <c r="N89" i="1"/>
  <c r="M89" i="1"/>
  <c r="L89" i="1"/>
  <c r="K89" i="1"/>
  <c r="G89" i="1"/>
  <c r="U88" i="1"/>
  <c r="I88" i="1"/>
  <c r="W84" i="1"/>
  <c r="W83" i="1"/>
  <c r="W82" i="1"/>
  <c r="W81" i="1"/>
  <c r="W80" i="1"/>
  <c r="W79" i="1"/>
  <c r="W78" i="1"/>
  <c r="W77" i="1"/>
  <c r="W76" i="1"/>
  <c r="W75" i="1"/>
  <c r="W74" i="1"/>
  <c r="W73" i="1"/>
  <c r="W72" i="1"/>
  <c r="W71" i="1"/>
  <c r="W70" i="1"/>
  <c r="W69" i="1"/>
  <c r="W68" i="1"/>
  <c r="W67" i="1"/>
  <c r="W66" i="1"/>
  <c r="W64" i="1"/>
  <c r="W63" i="1"/>
  <c r="W62" i="1"/>
  <c r="W60" i="1"/>
  <c r="W57" i="1"/>
  <c r="W56" i="1"/>
  <c r="W55" i="1"/>
  <c r="W52" i="1"/>
  <c r="W51" i="1"/>
  <c r="W50"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N84" i="1"/>
  <c r="N83" i="1"/>
  <c r="N82" i="1"/>
  <c r="N81" i="1"/>
  <c r="N80" i="1"/>
  <c r="N79" i="1"/>
  <c r="N78" i="1"/>
  <c r="N77" i="1"/>
  <c r="N76" i="1"/>
  <c r="N75" i="1"/>
  <c r="N74" i="1"/>
  <c r="N73" i="1"/>
  <c r="N72" i="1"/>
  <c r="N71" i="1"/>
  <c r="N70" i="1"/>
  <c r="N69" i="1"/>
  <c r="N68" i="1"/>
  <c r="N67" i="1"/>
  <c r="N66" i="1"/>
  <c r="N65" i="1"/>
  <c r="N64" i="1"/>
  <c r="N63" i="1"/>
  <c r="N62" i="1"/>
  <c r="N61" i="1"/>
  <c r="N60" i="1"/>
  <c r="N59" i="1"/>
  <c r="N58" i="1"/>
  <c r="N57" i="1"/>
  <c r="N56" i="1"/>
  <c r="N55" i="1"/>
  <c r="N54" i="1"/>
  <c r="N53" i="1"/>
  <c r="N52" i="1"/>
  <c r="N51" i="1"/>
  <c r="N50"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W58" i="1" l="1"/>
  <c r="W59" i="1"/>
  <c r="W65" i="1"/>
  <c r="E22" i="5"/>
  <c r="E24" i="5"/>
  <c r="E23" i="5"/>
  <c r="D259" i="19"/>
  <c r="D258" i="19"/>
  <c r="D257" i="19"/>
  <c r="D256" i="19"/>
  <c r="D255" i="19"/>
  <c r="D254" i="19"/>
  <c r="D253" i="19"/>
  <c r="D252" i="19"/>
  <c r="D251" i="19"/>
  <c r="D250" i="19"/>
  <c r="D249" i="19"/>
  <c r="D248" i="19"/>
  <c r="D243" i="19"/>
  <c r="D242" i="19"/>
  <c r="D237" i="19"/>
  <c r="D236" i="19"/>
  <c r="D234" i="19"/>
  <c r="D233" i="19"/>
  <c r="D227" i="19"/>
  <c r="D226" i="19"/>
  <c r="D225" i="19"/>
  <c r="D224" i="19"/>
  <c r="D223" i="19"/>
  <c r="D222" i="19"/>
  <c r="D218" i="19"/>
  <c r="D217" i="19"/>
  <c r="D213" i="19"/>
  <c r="D212" i="19"/>
  <c r="D211" i="19"/>
  <c r="D210" i="19"/>
  <c r="D209" i="19"/>
  <c r="D208" i="19"/>
  <c r="D207" i="19"/>
  <c r="D206" i="19"/>
  <c r="D205" i="19"/>
  <c r="D204" i="19"/>
  <c r="D203" i="19"/>
  <c r="D202" i="19"/>
  <c r="D201" i="19"/>
  <c r="D200" i="19"/>
  <c r="D199" i="19"/>
  <c r="D198" i="19"/>
  <c r="D197" i="19"/>
  <c r="D196" i="19"/>
  <c r="D195" i="19"/>
  <c r="D194" i="19"/>
  <c r="D193" i="19"/>
  <c r="D216" i="19" s="1"/>
  <c r="D189" i="19"/>
  <c r="D188" i="19"/>
  <c r="D187" i="19"/>
  <c r="D186" i="19"/>
  <c r="D185" i="19"/>
  <c r="D184" i="19"/>
  <c r="D183" i="19"/>
  <c r="D182" i="19"/>
  <c r="D23" i="19"/>
  <c r="D214" i="19"/>
  <c r="D215" i="19"/>
</calcChain>
</file>

<file path=xl/comments1.xml><?xml version="1.0" encoding="utf-8"?>
<comments xmlns="http://schemas.openxmlformats.org/spreadsheetml/2006/main">
  <authors>
    <author>Szerző</author>
  </authors>
  <commentList>
    <comment ref="D40" authorId="0" shapeId="0">
      <text>
        <r>
          <rPr>
            <sz val="9"/>
            <color indexed="81"/>
            <rFont val="Tahoma"/>
            <family val="2"/>
          </rPr>
          <t>COD, N, P, O, H, Charge, etc)</t>
        </r>
      </text>
    </comment>
    <comment ref="D87" authorId="0" shapeId="0">
      <text>
        <r>
          <rPr>
            <sz val="9"/>
            <color indexed="81"/>
            <rFont val="Tahoma"/>
            <family val="2"/>
          </rPr>
          <t>COD, N, P, O, H, Charge, etc)</t>
        </r>
      </text>
    </comment>
  </commentList>
</comments>
</file>

<file path=xl/sharedStrings.xml><?xml version="1.0" encoding="utf-8"?>
<sst xmlns="http://schemas.openxmlformats.org/spreadsheetml/2006/main" count="2757" uniqueCount="1621">
  <si>
    <t>Symbol</t>
  </si>
  <si>
    <t>Name</t>
  </si>
  <si>
    <t>Unit</t>
  </si>
  <si>
    <t>Handling</t>
  </si>
  <si>
    <t>Expression</t>
  </si>
  <si>
    <t>Elemental composition</t>
  </si>
  <si>
    <t>Chemical formula</t>
  </si>
  <si>
    <t>Equilibrium species</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</si>
  <si>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</si>
  <si>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</si>
  <si>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</si>
  <si>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</si>
  <si>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</si>
  <si>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</si>
  <si>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</si>
  <si>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</si>
  <si>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</si>
  <si>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</si>
  <si>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</si>
  <si>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</si>
  <si>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</si>
  <si>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</si>
  <si>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</si>
  <si>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</si>
  <si>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</si>
  <si>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</si>
  <si>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</si>
  <si>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</si>
  <si>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</si>
  <si>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</si>
  <si>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</si>
  <si>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</si>
  <si>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</si>
  <si>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</si>
  <si>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</si>
  <si>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</si>
  <si>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</si>
  <si>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</si>
  <si>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</si>
  <si>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</si>
  <si>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</si>
  <si>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</si>
  <si>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</si>
  <si>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</si>
  <si>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</si>
  <si>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</si>
  <si>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</si>
  <si>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</si>
  <si>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</si>
  <si>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</si>
  <si>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</si>
  <si>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</si>
  <si>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</si>
  <si>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</si>
  <si>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</si>
  <si>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</si>
  <si>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</si>
  <si>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</si>
  <si>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</si>
  <si>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</si>
  <si>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</si>
  <si>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</si>
  <si>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</si>
  <si>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</si>
  <si>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</si>
  <si>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</si>
  <si>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</si>
  <si>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</si>
  <si>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</si>
  <si>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</si>
  <si>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</si>
  <si>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</si>
  <si>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</si>
  <si>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</si>
  <si>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</si>
  <si>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</si>
  <si>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</si>
  <si>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</si>
  <si>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</si>
  <si>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</si>
  <si>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</si>
  <si>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</si>
  <si>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</si>
  <si>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</si>
  <si>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</si>
  <si>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</si>
  <si>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</si>
  <si>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</si>
  <si>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</si>
  <si>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</si>
  <si>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</si>
  <si>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</si>
  <si>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</si>
  <si>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</si>
  <si>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</si>
  <si>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</si>
  <si>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</si>
  <si>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</si>
  <si>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</si>
  <si>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</si>
  <si>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</si>
  <si>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</si>
  <si>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</si>
  <si>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</si>
  <si>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</si>
  <si>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</si>
  <si>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</si>
  <si>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</si>
  <si>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</si>
  <si>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</si>
  <si>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</si>
  <si>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</si>
  <si>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</si>
  <si>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</si>
  <si>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</si>
  <si>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</si>
  <si>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</si>
  <si>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</si>
  <si>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</si>
  <si>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</si>
  <si>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</si>
  <si>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</si>
  <si>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</si>
  <si>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</si>
  <si>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</si>
  <si>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</si>
  <si>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</si>
  <si>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</si>
  <si>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</si>
  <si>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</si>
  <si>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</si>
  <si>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</si>
  <si>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</si>
  <si>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</si>
  <si>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</si>
  <si>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</si>
  <si>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</si>
  <si>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</si>
  <si>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</si>
  <si>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</si>
  <si>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</si>
  <si>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</si>
  <si>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</si>
  <si>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</si>
  <si>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</si>
  <si>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</si>
  <si>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</si>
  <si>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</si>
  <si>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</si>
  <si>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</si>
  <si>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</si>
  <si>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</si>
  <si>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</si>
  <si>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</si>
  <si>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</si>
  <si>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</si>
  <si>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</si>
  <si>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</si>
  <si>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</si>
  <si>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</si>
  <si>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</si>
  <si>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</si>
  <si>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</si>
  <si>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</si>
  <si>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</si>
  <si>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</si>
  <si>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</si>
  <si>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</si>
  <si>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</si>
  <si>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</si>
  <si>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</si>
  <si>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</si>
  <si>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</si>
  <si>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</si>
  <si>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</si>
  <si>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</si>
  <si>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</si>
  <si>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</si>
  <si>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</si>
  <si>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</si>
  <si>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</si>
  <si>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</si>
  <si>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</si>
  <si>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</si>
  <si>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</si>
  <si>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</si>
  <si>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</si>
  <si>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</si>
  <si>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</si>
  <si>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</si>
  <si>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</si>
  <si>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</si>
  <si>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</si>
  <si>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</si>
  <si>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</si>
  <si>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</si>
  <si>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</si>
  <si>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</si>
  <si>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</si>
  <si>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</si>
  <si>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</si>
  <si>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</si>
  <si>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</si>
  <si>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</si>
  <si>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</si>
  <si>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</si>
  <si>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</si>
  <si>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</si>
  <si>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</si>
  <si>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</si>
  <si>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</si>
  <si>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</si>
  <si>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UCTPHO+</t>
  </si>
  <si>
    <t>-</t>
  </si>
  <si>
    <t>Rate of fermentation</t>
  </si>
  <si>
    <r>
      <t>Y</t>
    </r>
    <r>
      <rPr>
        <vertAlign val="subscript"/>
        <sz val="12"/>
        <rFont val="Arial"/>
        <family val="2"/>
      </rPr>
      <t>PO4</t>
    </r>
  </si>
  <si>
    <r>
      <t>f</t>
    </r>
    <r>
      <rPr>
        <vertAlign val="subscript"/>
        <sz val="12"/>
        <rFont val="Arial"/>
        <family val="2"/>
      </rPr>
      <t>XE,PAO</t>
    </r>
  </si>
  <si>
    <r>
      <t>f</t>
    </r>
    <r>
      <rPr>
        <vertAlign val="subscript"/>
        <sz val="12"/>
        <rFont val="Arial"/>
        <family val="2"/>
      </rPr>
      <t>SI,PAO</t>
    </r>
  </si>
  <si>
    <r>
      <t>f</t>
    </r>
    <r>
      <rPr>
        <vertAlign val="subscript"/>
        <sz val="12"/>
        <rFont val="Arial"/>
        <family val="2"/>
      </rPr>
      <t>XE,NIT</t>
    </r>
  </si>
  <si>
    <r>
      <t>i</t>
    </r>
    <r>
      <rPr>
        <vertAlign val="subscript"/>
        <sz val="12"/>
        <rFont val="Arial"/>
        <family val="2"/>
      </rPr>
      <t>NSF</t>
    </r>
  </si>
  <si>
    <t>N content of products from biomass</t>
  </si>
  <si>
    <r>
      <t>i</t>
    </r>
    <r>
      <rPr>
        <vertAlign val="subscript"/>
        <sz val="12"/>
        <rFont val="Arial"/>
        <family val="2"/>
      </rPr>
      <t>PSF</t>
    </r>
  </si>
  <si>
    <t>P content of products from biomass</t>
  </si>
  <si>
    <t>Particulate COD to VSS ratio</t>
  </si>
  <si>
    <r>
      <t>S</t>
    </r>
    <r>
      <rPr>
        <vertAlign val="subscript"/>
        <sz val="12"/>
        <rFont val="Arial"/>
        <family val="2"/>
      </rPr>
      <t>O2</t>
    </r>
  </si>
  <si>
    <r>
      <t>Dissolved oxygen (O</t>
    </r>
    <r>
      <rPr>
        <vertAlign val="subscript"/>
        <sz val="11"/>
        <color rgb="FF000000"/>
        <rFont val="Calibri"/>
        <family val="2"/>
        <scheme val="minor"/>
      </rPr>
      <t>2</t>
    </r>
    <r>
      <rPr>
        <sz val="11"/>
        <color rgb="FF000000"/>
        <rFont val="Calibri"/>
        <family val="2"/>
        <charset val="238"/>
        <scheme val="minor"/>
      </rPr>
      <t>)</t>
    </r>
  </si>
  <si>
    <r>
      <t>- g COD.m</t>
    </r>
    <r>
      <rPr>
        <vertAlign val="superscript"/>
        <sz val="8"/>
        <rFont val="Arial"/>
        <family val="2"/>
      </rPr>
      <t>-3</t>
    </r>
  </si>
  <si>
    <t>L</t>
  </si>
  <si>
    <t>S</t>
  </si>
  <si>
    <r>
      <t>S</t>
    </r>
    <r>
      <rPr>
        <vertAlign val="subscript"/>
        <sz val="12"/>
        <rFont val="Arial"/>
        <family val="2"/>
      </rPr>
      <t>A</t>
    </r>
  </si>
  <si>
    <r>
      <t>g COD.m</t>
    </r>
    <r>
      <rPr>
        <vertAlign val="superscript"/>
        <sz val="8"/>
        <rFont val="Arial"/>
        <family val="2"/>
      </rPr>
      <t>-3</t>
    </r>
  </si>
  <si>
    <t>Integrated</t>
  </si>
  <si>
    <r>
      <t>S</t>
    </r>
    <r>
      <rPr>
        <vertAlign val="subscript"/>
        <sz val="12"/>
        <rFont val="Arial"/>
        <family val="2"/>
      </rPr>
      <t>F</t>
    </r>
  </si>
  <si>
    <t>Fermentable organic matter</t>
  </si>
  <si>
    <r>
      <t>S</t>
    </r>
    <r>
      <rPr>
        <vertAlign val="subscript"/>
        <sz val="12"/>
        <rFont val="Arial"/>
        <family val="2"/>
      </rPr>
      <t>NH4</t>
    </r>
  </si>
  <si>
    <r>
      <t>Ammonia (NH</t>
    </r>
    <r>
      <rPr>
        <vertAlign val="subscript"/>
        <sz val="11"/>
        <color rgb="FF000000"/>
        <rFont val="Calibri"/>
        <family val="2"/>
        <scheme val="minor"/>
      </rPr>
      <t>4</t>
    </r>
    <r>
      <rPr>
        <vertAlign val="superscript"/>
        <sz val="11"/>
        <color rgb="FF000000"/>
        <rFont val="Calibri"/>
        <family val="2"/>
        <scheme val="minor"/>
      </rPr>
      <t>+</t>
    </r>
    <r>
      <rPr>
        <sz val="11"/>
        <color rgb="FF000000"/>
        <rFont val="Calibri"/>
        <family val="2"/>
        <charset val="238"/>
        <scheme val="minor"/>
      </rPr>
      <t xml:space="preserve"> + NH</t>
    </r>
    <r>
      <rPr>
        <vertAlign val="subscript"/>
        <sz val="11"/>
        <color rgb="FF000000"/>
        <rFont val="Calibri"/>
        <family val="2"/>
        <scheme val="minor"/>
      </rPr>
      <t>3</t>
    </r>
    <r>
      <rPr>
        <sz val="11"/>
        <color rgb="FF000000"/>
        <rFont val="Calibri"/>
        <family val="2"/>
        <charset val="238"/>
        <scheme val="minor"/>
      </rPr>
      <t>)</t>
    </r>
  </si>
  <si>
    <r>
      <t>g N.m</t>
    </r>
    <r>
      <rPr>
        <vertAlign val="superscript"/>
        <sz val="8"/>
        <rFont val="Arial"/>
        <family val="2"/>
      </rPr>
      <t>-3</t>
    </r>
  </si>
  <si>
    <r>
      <t>S</t>
    </r>
    <r>
      <rPr>
        <vertAlign val="subscript"/>
        <sz val="12"/>
        <rFont val="Arial"/>
        <family val="2"/>
      </rPr>
      <t>NO3</t>
    </r>
  </si>
  <si>
    <r>
      <t>Nitrate and nitrite (NO</t>
    </r>
    <r>
      <rPr>
        <vertAlign val="subscript"/>
        <sz val="11"/>
        <color rgb="FF000000"/>
        <rFont val="Calibri"/>
        <family val="2"/>
        <scheme val="minor"/>
      </rPr>
      <t>3</t>
    </r>
    <r>
      <rPr>
        <sz val="11"/>
        <color rgb="FF000000"/>
        <rFont val="Calibri"/>
        <family val="2"/>
        <charset val="238"/>
        <scheme val="minor"/>
      </rPr>
      <t xml:space="preserve"> + NO</t>
    </r>
    <r>
      <rPr>
        <vertAlign val="subscript"/>
        <sz val="11"/>
        <color rgb="FF000000"/>
        <rFont val="Calibri"/>
        <family val="2"/>
        <scheme val="minor"/>
      </rPr>
      <t>2</t>
    </r>
    <r>
      <rPr>
        <sz val="11"/>
        <color rgb="FF000000"/>
        <rFont val="Calibri"/>
        <family val="2"/>
        <charset val="238"/>
        <scheme val="minor"/>
      </rPr>
      <t>)</t>
    </r>
  </si>
  <si>
    <r>
      <t>S</t>
    </r>
    <r>
      <rPr>
        <vertAlign val="subscript"/>
        <sz val="12"/>
        <rFont val="Arial"/>
        <family val="2"/>
      </rPr>
      <t>PO4</t>
    </r>
  </si>
  <si>
    <t xml:space="preserve">Soluble inorganic phosphorus </t>
  </si>
  <si>
    <r>
      <t>g P.m</t>
    </r>
    <r>
      <rPr>
        <vertAlign val="superscript"/>
        <sz val="8"/>
        <rFont val="Arial"/>
        <family val="2"/>
      </rPr>
      <t>-3</t>
    </r>
  </si>
  <si>
    <r>
      <t>S</t>
    </r>
    <r>
      <rPr>
        <vertAlign val="subscript"/>
        <sz val="12"/>
        <rFont val="Arial"/>
        <family val="2"/>
      </rPr>
      <t>I</t>
    </r>
  </si>
  <si>
    <t>Soluble undegradable organics</t>
  </si>
  <si>
    <r>
      <t>X</t>
    </r>
    <r>
      <rPr>
        <vertAlign val="subscript"/>
        <sz val="12"/>
        <rFont val="Arial"/>
        <family val="2"/>
      </rPr>
      <t>E</t>
    </r>
  </si>
  <si>
    <t>Particulate undegradable endogenous products</t>
  </si>
  <si>
    <t>X</t>
  </si>
  <si>
    <r>
      <t>X</t>
    </r>
    <r>
      <rPr>
        <vertAlign val="subscript"/>
        <sz val="12"/>
        <rFont val="Arial"/>
        <family val="2"/>
      </rPr>
      <t>I</t>
    </r>
  </si>
  <si>
    <t>Particulate unbiodegradable organics</t>
  </si>
  <si>
    <r>
      <t>X</t>
    </r>
    <r>
      <rPr>
        <vertAlign val="subscript"/>
        <sz val="12"/>
        <rFont val="Arial"/>
        <family val="2"/>
      </rPr>
      <t>ADS</t>
    </r>
  </si>
  <si>
    <t>Adsorbed slowly biodegradable substrate</t>
  </si>
  <si>
    <r>
      <t>X</t>
    </r>
    <r>
      <rPr>
        <vertAlign val="subscript"/>
        <sz val="12"/>
        <rFont val="Arial"/>
        <family val="2"/>
      </rPr>
      <t>ENM</t>
    </r>
  </si>
  <si>
    <t>Enmeshed slowly biodegradable substrate</t>
  </si>
  <si>
    <r>
      <t>X</t>
    </r>
    <r>
      <rPr>
        <vertAlign val="subscript"/>
        <sz val="12"/>
        <rFont val="Arial"/>
        <family val="2"/>
      </rPr>
      <t>H</t>
    </r>
  </si>
  <si>
    <t>Ordinary heterotrophic organisms (OHO)</t>
  </si>
  <si>
    <r>
      <t>X</t>
    </r>
    <r>
      <rPr>
        <vertAlign val="subscript"/>
        <sz val="12"/>
        <rFont val="Arial"/>
        <family val="2"/>
      </rPr>
      <t>PAO</t>
    </r>
  </si>
  <si>
    <t>Phosphorus accumulating organisms (PAO)</t>
  </si>
  <si>
    <r>
      <t>X</t>
    </r>
    <r>
      <rPr>
        <vertAlign val="subscript"/>
        <sz val="12"/>
        <rFont val="Arial"/>
        <family val="2"/>
      </rPr>
      <t>PP</t>
    </r>
  </si>
  <si>
    <t>Stored polyphosphate (PP)</t>
  </si>
  <si>
    <r>
      <t>X</t>
    </r>
    <r>
      <rPr>
        <vertAlign val="subscript"/>
        <sz val="12"/>
        <rFont val="Arial"/>
        <family val="2"/>
      </rPr>
      <t>PHA</t>
    </r>
  </si>
  <si>
    <t>Stored polyhydroxyalkanoates (PHA)</t>
  </si>
  <si>
    <r>
      <t>X</t>
    </r>
    <r>
      <rPr>
        <vertAlign val="subscript"/>
        <sz val="12"/>
        <rFont val="Arial"/>
        <family val="2"/>
      </rPr>
      <t>NIT</t>
    </r>
  </si>
  <si>
    <r>
      <t>Autotrophic nitrifying organisms (NH4</t>
    </r>
    <r>
      <rPr>
        <vertAlign val="superscript"/>
        <sz val="11"/>
        <color rgb="FF000000"/>
        <rFont val="Calibri"/>
        <family val="2"/>
        <scheme val="minor"/>
      </rPr>
      <t>+</t>
    </r>
    <r>
      <rPr>
        <sz val="11"/>
        <color rgb="FF000000"/>
        <rFont val="Calibri"/>
        <family val="2"/>
        <charset val="238"/>
        <scheme val="minor"/>
      </rPr>
      <t xml:space="preserve"> to NO3</t>
    </r>
    <r>
      <rPr>
        <vertAlign val="superscript"/>
        <sz val="11"/>
        <color rgb="FF000000"/>
        <rFont val="Calibri"/>
        <family val="2"/>
        <scheme val="minor"/>
      </rPr>
      <t>-</t>
    </r>
    <r>
      <rPr>
        <sz val="11"/>
        <color rgb="FF000000"/>
        <rFont val="Calibri"/>
        <family val="2"/>
        <charset val="238"/>
        <scheme val="minor"/>
      </rPr>
      <t>)</t>
    </r>
  </si>
  <si>
    <r>
      <t>S</t>
    </r>
    <r>
      <rPr>
        <vertAlign val="subscript"/>
        <sz val="12"/>
        <rFont val="Arial"/>
        <family val="2"/>
      </rPr>
      <t>N2</t>
    </r>
  </si>
  <si>
    <r>
      <t>Dissolved nitrogen (N</t>
    </r>
    <r>
      <rPr>
        <vertAlign val="subscript"/>
        <sz val="11"/>
        <color rgb="FF000000"/>
        <rFont val="Calibri"/>
        <family val="2"/>
        <scheme val="minor"/>
      </rPr>
      <t>2</t>
    </r>
    <r>
      <rPr>
        <sz val="11"/>
        <color rgb="FF000000"/>
        <rFont val="Calibri"/>
        <family val="2"/>
        <charset val="238"/>
        <scheme val="minor"/>
      </rPr>
      <t>)</t>
    </r>
  </si>
  <si>
    <r>
      <t>X</t>
    </r>
    <r>
      <rPr>
        <i/>
        <vertAlign val="subscript"/>
        <sz val="12"/>
        <rFont val="Arial"/>
        <family val="2"/>
      </rPr>
      <t>INORG</t>
    </r>
  </si>
  <si>
    <t>Inorganic suspended solids</t>
  </si>
  <si>
    <r>
      <t>g TSS.m</t>
    </r>
    <r>
      <rPr>
        <vertAlign val="superscript"/>
        <sz val="8"/>
        <rFont val="Arial"/>
        <family val="2"/>
      </rPr>
      <t>-3</t>
    </r>
  </si>
  <si>
    <r>
      <t>S</t>
    </r>
    <r>
      <rPr>
        <b/>
        <vertAlign val="subscript"/>
        <sz val="12"/>
        <rFont val="Arial"/>
        <family val="2"/>
      </rPr>
      <t>O2</t>
    </r>
  </si>
  <si>
    <r>
      <t>S</t>
    </r>
    <r>
      <rPr>
        <b/>
        <vertAlign val="subscript"/>
        <sz val="12"/>
        <rFont val="Arial"/>
        <family val="2"/>
      </rPr>
      <t>A</t>
    </r>
  </si>
  <si>
    <r>
      <t>S</t>
    </r>
    <r>
      <rPr>
        <b/>
        <vertAlign val="subscript"/>
        <sz val="12"/>
        <rFont val="Arial"/>
        <family val="2"/>
      </rPr>
      <t>F</t>
    </r>
  </si>
  <si>
    <r>
      <t>S</t>
    </r>
    <r>
      <rPr>
        <b/>
        <vertAlign val="subscript"/>
        <sz val="12"/>
        <rFont val="Arial"/>
        <family val="2"/>
      </rPr>
      <t>NH4</t>
    </r>
  </si>
  <si>
    <r>
      <t>S</t>
    </r>
    <r>
      <rPr>
        <b/>
        <vertAlign val="subscript"/>
        <sz val="12"/>
        <rFont val="Arial"/>
        <family val="2"/>
      </rPr>
      <t>NO3</t>
    </r>
  </si>
  <si>
    <r>
      <t>S</t>
    </r>
    <r>
      <rPr>
        <b/>
        <vertAlign val="subscript"/>
        <sz val="12"/>
        <rFont val="Arial"/>
        <family val="2"/>
      </rPr>
      <t>PO4</t>
    </r>
  </si>
  <si>
    <r>
      <t>S</t>
    </r>
    <r>
      <rPr>
        <b/>
        <vertAlign val="subscript"/>
        <sz val="12"/>
        <rFont val="Arial"/>
        <family val="2"/>
      </rPr>
      <t>I</t>
    </r>
  </si>
  <si>
    <r>
      <t>X</t>
    </r>
    <r>
      <rPr>
        <b/>
        <vertAlign val="subscript"/>
        <sz val="12"/>
        <rFont val="Arial"/>
        <family val="2"/>
      </rPr>
      <t>E</t>
    </r>
  </si>
  <si>
    <r>
      <t>X</t>
    </r>
    <r>
      <rPr>
        <b/>
        <vertAlign val="subscript"/>
        <sz val="12"/>
        <rFont val="Arial"/>
        <family val="2"/>
      </rPr>
      <t>I</t>
    </r>
  </si>
  <si>
    <r>
      <t>X</t>
    </r>
    <r>
      <rPr>
        <b/>
        <vertAlign val="subscript"/>
        <sz val="12"/>
        <rFont val="Arial"/>
        <family val="2"/>
      </rPr>
      <t>ADS</t>
    </r>
  </si>
  <si>
    <r>
      <t>X</t>
    </r>
    <r>
      <rPr>
        <b/>
        <vertAlign val="subscript"/>
        <sz val="12"/>
        <rFont val="Arial"/>
        <family val="2"/>
      </rPr>
      <t>ENM</t>
    </r>
  </si>
  <si>
    <r>
      <t>X</t>
    </r>
    <r>
      <rPr>
        <b/>
        <vertAlign val="subscript"/>
        <sz val="12"/>
        <rFont val="Arial"/>
        <family val="2"/>
      </rPr>
      <t>H</t>
    </r>
  </si>
  <si>
    <r>
      <t>X</t>
    </r>
    <r>
      <rPr>
        <b/>
        <vertAlign val="subscript"/>
        <sz val="12"/>
        <rFont val="Arial"/>
        <family val="2"/>
      </rPr>
      <t>PAO</t>
    </r>
  </si>
  <si>
    <r>
      <t>X</t>
    </r>
    <r>
      <rPr>
        <b/>
        <vertAlign val="subscript"/>
        <sz val="12"/>
        <rFont val="Arial"/>
        <family val="2"/>
      </rPr>
      <t>PP</t>
    </r>
  </si>
  <si>
    <r>
      <t>X</t>
    </r>
    <r>
      <rPr>
        <b/>
        <vertAlign val="subscript"/>
        <sz val="12"/>
        <rFont val="Arial"/>
        <family val="2"/>
      </rPr>
      <t>PHA</t>
    </r>
  </si>
  <si>
    <r>
      <t>X</t>
    </r>
    <r>
      <rPr>
        <b/>
        <vertAlign val="subscript"/>
        <sz val="12"/>
        <rFont val="Arial"/>
        <family val="2"/>
      </rPr>
      <t>NIT</t>
    </r>
  </si>
  <si>
    <r>
      <t>S</t>
    </r>
    <r>
      <rPr>
        <b/>
        <vertAlign val="subscript"/>
        <sz val="12"/>
        <rFont val="Arial"/>
        <family val="2"/>
      </rPr>
      <t>N2</t>
    </r>
  </si>
  <si>
    <r>
      <t>X</t>
    </r>
    <r>
      <rPr>
        <b/>
        <i/>
        <vertAlign val="subscript"/>
        <sz val="12"/>
        <rFont val="Arial"/>
        <family val="2"/>
      </rPr>
      <t>INORG</t>
    </r>
  </si>
  <si>
    <t>r1</t>
  </si>
  <si>
    <r>
      <t>Aerobic growth of X</t>
    </r>
    <r>
      <rPr>
        <b/>
        <vertAlign val="subscript"/>
        <sz val="10"/>
        <rFont val="Arial"/>
        <family val="2"/>
      </rPr>
      <t xml:space="preserve">H </t>
    </r>
    <r>
      <rPr>
        <b/>
        <sz val="10"/>
        <rFont val="Arial"/>
        <family val="2"/>
      </rPr>
      <t>on S</t>
    </r>
    <r>
      <rPr>
        <b/>
        <vertAlign val="subscript"/>
        <sz val="10"/>
        <rFont val="Arial"/>
        <family val="2"/>
      </rPr>
      <t>A</t>
    </r>
    <r>
      <rPr>
        <b/>
        <sz val="10"/>
        <rFont val="Arial"/>
        <family val="2"/>
      </rPr>
      <t xml:space="preserve"> with S</t>
    </r>
    <r>
      <rPr>
        <b/>
        <vertAlign val="subscript"/>
        <sz val="10"/>
        <rFont val="Arial"/>
        <family val="2"/>
      </rPr>
      <t>NH4</t>
    </r>
  </si>
  <si>
    <r>
      <t>-(1-</t>
    </r>
    <r>
      <rPr>
        <i/>
        <sz val="12"/>
        <rFont val="Arial"/>
        <family val="2"/>
      </rPr>
      <t>Y</t>
    </r>
    <r>
      <rPr>
        <vertAlign val="subscript"/>
        <sz val="12"/>
        <rFont val="Arial"/>
        <family val="2"/>
      </rPr>
      <t>H1</t>
    </r>
    <r>
      <rPr>
        <sz val="12"/>
        <rFont val="Arial"/>
        <family val="2"/>
      </rPr>
      <t>)</t>
    </r>
    <r>
      <rPr>
        <i/>
        <sz val="12"/>
        <rFont val="Arial"/>
        <family val="2"/>
      </rPr>
      <t>/Y</t>
    </r>
    <r>
      <rPr>
        <vertAlign val="subscript"/>
        <sz val="12"/>
        <rFont val="Arial"/>
        <family val="2"/>
      </rPr>
      <t>H1</t>
    </r>
  </si>
  <si>
    <r>
      <t>-1/</t>
    </r>
    <r>
      <rPr>
        <i/>
        <sz val="12"/>
        <rFont val="Arial"/>
        <family val="2"/>
      </rPr>
      <t>Y</t>
    </r>
    <r>
      <rPr>
        <vertAlign val="subscript"/>
        <sz val="12"/>
        <rFont val="Arial"/>
        <family val="2"/>
      </rPr>
      <t>H1</t>
    </r>
  </si>
  <si>
    <r>
      <t>-</t>
    </r>
    <r>
      <rPr>
        <i/>
        <sz val="12"/>
        <rFont val="Arial"/>
        <family val="2"/>
      </rPr>
      <t>i</t>
    </r>
    <r>
      <rPr>
        <vertAlign val="subscript"/>
        <sz val="12"/>
        <rFont val="Arial"/>
        <family val="2"/>
      </rPr>
      <t>NBM</t>
    </r>
  </si>
  <si>
    <r>
      <t>-</t>
    </r>
    <r>
      <rPr>
        <i/>
        <sz val="12"/>
        <rFont val="Arial"/>
        <family val="2"/>
      </rPr>
      <t>i</t>
    </r>
    <r>
      <rPr>
        <vertAlign val="subscript"/>
        <sz val="12"/>
        <rFont val="Arial"/>
        <family val="2"/>
      </rPr>
      <t>PBM</t>
    </r>
  </si>
  <si>
    <t>1</t>
  </si>
  <si>
    <t>r2</t>
  </si>
  <si>
    <r>
      <t>Aerobic growth of X</t>
    </r>
    <r>
      <rPr>
        <b/>
        <vertAlign val="subscript"/>
        <sz val="10"/>
        <rFont val="Arial"/>
        <family val="2"/>
      </rPr>
      <t xml:space="preserve">H </t>
    </r>
    <r>
      <rPr>
        <b/>
        <sz val="10"/>
        <rFont val="Arial"/>
        <family val="2"/>
      </rPr>
      <t>on S</t>
    </r>
    <r>
      <rPr>
        <b/>
        <vertAlign val="subscript"/>
        <sz val="10"/>
        <rFont val="Arial"/>
        <family val="2"/>
      </rPr>
      <t>A</t>
    </r>
    <r>
      <rPr>
        <b/>
        <sz val="10"/>
        <rFont val="Arial"/>
        <family val="2"/>
      </rPr>
      <t xml:space="preserve"> with S</t>
    </r>
    <r>
      <rPr>
        <b/>
        <vertAlign val="subscript"/>
        <sz val="10"/>
        <rFont val="Arial"/>
        <family val="2"/>
      </rPr>
      <t>NO3</t>
    </r>
  </si>
  <si>
    <r>
      <t>-(1-</t>
    </r>
    <r>
      <rPr>
        <i/>
        <sz val="12"/>
        <rFont val="Arial"/>
        <family val="2"/>
      </rPr>
      <t>Y</t>
    </r>
    <r>
      <rPr>
        <vertAlign val="subscript"/>
        <sz val="12"/>
        <rFont val="Arial"/>
        <family val="2"/>
      </rPr>
      <t>H1</t>
    </r>
    <r>
      <rPr>
        <sz val="12"/>
        <rFont val="Arial"/>
        <family val="2"/>
      </rPr>
      <t>)/</t>
    </r>
    <r>
      <rPr>
        <i/>
        <sz val="12"/>
        <rFont val="Arial"/>
        <family val="2"/>
      </rPr>
      <t>Y</t>
    </r>
    <r>
      <rPr>
        <vertAlign val="subscript"/>
        <sz val="12"/>
        <rFont val="Arial"/>
        <family val="2"/>
      </rPr>
      <t>H1</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i</t>
    </r>
    <r>
      <rPr>
        <vertAlign val="subscript"/>
        <sz val="12"/>
        <rFont val="Arial"/>
        <family val="2"/>
      </rPr>
      <t>NBM</t>
    </r>
  </si>
  <si>
    <t>r3</t>
  </si>
  <si>
    <r>
      <t>Anoxic growth of X</t>
    </r>
    <r>
      <rPr>
        <b/>
        <vertAlign val="subscript"/>
        <sz val="10"/>
        <rFont val="Arial"/>
        <family val="2"/>
      </rPr>
      <t xml:space="preserve">H </t>
    </r>
    <r>
      <rPr>
        <b/>
        <sz val="10"/>
        <rFont val="Arial"/>
        <family val="2"/>
      </rPr>
      <t>on S</t>
    </r>
    <r>
      <rPr>
        <b/>
        <vertAlign val="subscript"/>
        <sz val="10"/>
        <rFont val="Arial"/>
        <family val="2"/>
      </rPr>
      <t>A</t>
    </r>
    <r>
      <rPr>
        <b/>
        <sz val="10"/>
        <rFont val="Arial"/>
        <family val="2"/>
      </rPr>
      <t xml:space="preserve"> with S</t>
    </r>
    <r>
      <rPr>
        <b/>
        <vertAlign val="subscript"/>
        <sz val="10"/>
        <rFont val="Arial"/>
        <family val="2"/>
      </rPr>
      <t>NH4</t>
    </r>
  </si>
  <si>
    <r>
      <t>-1/</t>
    </r>
    <r>
      <rPr>
        <i/>
        <sz val="12"/>
        <rFont val="Arial"/>
        <family val="2"/>
      </rPr>
      <t>Y</t>
    </r>
    <r>
      <rPr>
        <vertAlign val="subscript"/>
        <sz val="12"/>
        <rFont val="Arial"/>
        <family val="2"/>
      </rPr>
      <t>H2</t>
    </r>
  </si>
  <si>
    <r>
      <t>-(1-</t>
    </r>
    <r>
      <rPr>
        <i/>
        <sz val="12"/>
        <rFont val="Arial"/>
        <family val="2"/>
      </rPr>
      <t>Y</t>
    </r>
    <r>
      <rPr>
        <vertAlign val="subscript"/>
        <sz val="12"/>
        <rFont val="Arial"/>
        <family val="2"/>
      </rPr>
      <t>H2</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H2</t>
    </r>
    <r>
      <rPr>
        <sz val="12"/>
        <rFont val="Arial"/>
        <family val="2"/>
      </rPr>
      <t>)</t>
    </r>
  </si>
  <si>
    <r>
      <t>(1-</t>
    </r>
    <r>
      <rPr>
        <i/>
        <sz val="12"/>
        <rFont val="Arial"/>
        <family val="2"/>
      </rPr>
      <t>Y</t>
    </r>
    <r>
      <rPr>
        <vertAlign val="subscript"/>
        <sz val="12"/>
        <rFont val="Arial"/>
        <family val="2"/>
      </rPr>
      <t>H2</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H2</t>
    </r>
    <r>
      <rPr>
        <sz val="12"/>
        <rFont val="Arial"/>
        <family val="2"/>
      </rPr>
      <t>)</t>
    </r>
  </si>
  <si>
    <t>r4</t>
  </si>
  <si>
    <r>
      <t>Anoxic growth of X</t>
    </r>
    <r>
      <rPr>
        <b/>
        <vertAlign val="subscript"/>
        <sz val="10"/>
        <rFont val="Arial"/>
        <family val="2"/>
      </rPr>
      <t xml:space="preserve">H </t>
    </r>
    <r>
      <rPr>
        <b/>
        <sz val="10"/>
        <rFont val="Arial"/>
        <family val="2"/>
      </rPr>
      <t>on S</t>
    </r>
    <r>
      <rPr>
        <b/>
        <vertAlign val="subscript"/>
        <sz val="10"/>
        <rFont val="Arial"/>
        <family val="2"/>
      </rPr>
      <t>A</t>
    </r>
    <r>
      <rPr>
        <b/>
        <sz val="10"/>
        <rFont val="Arial"/>
        <family val="2"/>
      </rPr>
      <t xml:space="preserve"> with S</t>
    </r>
    <r>
      <rPr>
        <b/>
        <vertAlign val="subscript"/>
        <sz val="10"/>
        <rFont val="Arial"/>
        <family val="2"/>
      </rPr>
      <t>NO3</t>
    </r>
  </si>
  <si>
    <r>
      <t>-1/</t>
    </r>
    <r>
      <rPr>
        <i/>
        <sz val="12"/>
        <rFont val="Arial"/>
        <family val="2"/>
      </rPr>
      <t>Y</t>
    </r>
    <r>
      <rPr>
        <vertAlign val="subscript"/>
        <sz val="12"/>
        <rFont val="Arial"/>
        <family val="2"/>
      </rPr>
      <t>H2</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i</t>
    </r>
    <r>
      <rPr>
        <vertAlign val="subscript"/>
        <sz val="12"/>
        <rFont val="Arial"/>
        <family val="2"/>
      </rPr>
      <t>NBM</t>
    </r>
  </si>
  <si>
    <r>
      <t>-</t>
    </r>
    <r>
      <rPr>
        <i/>
        <sz val="12"/>
        <rFont val="Arial"/>
        <family val="2"/>
      </rPr>
      <t>i</t>
    </r>
    <r>
      <rPr>
        <vertAlign val="subscript"/>
        <sz val="12"/>
        <rFont val="Arial"/>
        <family val="2"/>
      </rPr>
      <t>NBM</t>
    </r>
    <r>
      <rPr>
        <sz val="12"/>
        <rFont val="Arial"/>
        <family val="2"/>
      </rPr>
      <t>-(1-</t>
    </r>
    <r>
      <rPr>
        <i/>
        <sz val="12"/>
        <rFont val="Arial"/>
        <family val="2"/>
      </rPr>
      <t>Y</t>
    </r>
    <r>
      <rPr>
        <vertAlign val="subscript"/>
        <sz val="12"/>
        <rFont val="Arial"/>
        <family val="2"/>
      </rPr>
      <t>H2</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H2</t>
    </r>
    <r>
      <rPr>
        <sz val="12"/>
        <rFont val="Arial"/>
        <family val="2"/>
      </rPr>
      <t>)</t>
    </r>
  </si>
  <si>
    <t>r5</t>
  </si>
  <si>
    <r>
      <t>Aerobic growth of X</t>
    </r>
    <r>
      <rPr>
        <b/>
        <vertAlign val="subscript"/>
        <sz val="10"/>
        <rFont val="Arial"/>
        <family val="2"/>
      </rPr>
      <t xml:space="preserve">H </t>
    </r>
    <r>
      <rPr>
        <b/>
        <sz val="10"/>
        <rFont val="Arial"/>
        <family val="2"/>
      </rPr>
      <t>on S</t>
    </r>
    <r>
      <rPr>
        <b/>
        <vertAlign val="subscript"/>
        <sz val="10"/>
        <rFont val="Arial"/>
        <family val="2"/>
      </rPr>
      <t>F</t>
    </r>
    <r>
      <rPr>
        <b/>
        <sz val="10"/>
        <rFont val="Arial"/>
        <family val="2"/>
      </rPr>
      <t xml:space="preserve"> with S</t>
    </r>
    <r>
      <rPr>
        <b/>
        <vertAlign val="subscript"/>
        <sz val="10"/>
        <rFont val="Arial"/>
        <family val="2"/>
      </rPr>
      <t>NH4</t>
    </r>
  </si>
  <si>
    <r>
      <t>-</t>
    </r>
    <r>
      <rPr>
        <i/>
        <sz val="12"/>
        <rFont val="Arial"/>
        <family val="2"/>
      </rPr>
      <t>i</t>
    </r>
    <r>
      <rPr>
        <vertAlign val="subscript"/>
        <sz val="12"/>
        <rFont val="Arial"/>
        <family val="2"/>
      </rPr>
      <t>NBM</t>
    </r>
    <r>
      <rPr>
        <i/>
        <sz val="12"/>
        <rFont val="Arial"/>
        <family val="2"/>
      </rPr>
      <t>+i</t>
    </r>
    <r>
      <rPr>
        <vertAlign val="subscript"/>
        <sz val="12"/>
        <rFont val="Arial"/>
        <family val="2"/>
      </rPr>
      <t>NSF</t>
    </r>
    <r>
      <rPr>
        <sz val="12"/>
        <rFont val="Arial"/>
        <family val="2"/>
      </rPr>
      <t>/</t>
    </r>
    <r>
      <rPr>
        <i/>
        <sz val="12"/>
        <rFont val="Arial"/>
        <family val="2"/>
      </rPr>
      <t>Y</t>
    </r>
    <r>
      <rPr>
        <vertAlign val="subscript"/>
        <sz val="12"/>
        <rFont val="Arial"/>
        <family val="2"/>
      </rPr>
      <t>H1</t>
    </r>
  </si>
  <si>
    <r>
      <t>-</t>
    </r>
    <r>
      <rPr>
        <i/>
        <sz val="12"/>
        <rFont val="Arial"/>
        <family val="2"/>
      </rPr>
      <t>i</t>
    </r>
    <r>
      <rPr>
        <vertAlign val="subscript"/>
        <sz val="12"/>
        <rFont val="Arial"/>
        <family val="2"/>
      </rPr>
      <t>PBM</t>
    </r>
    <r>
      <rPr>
        <i/>
        <sz val="12"/>
        <rFont val="Arial"/>
        <family val="2"/>
      </rPr>
      <t>+i</t>
    </r>
    <r>
      <rPr>
        <vertAlign val="subscript"/>
        <sz val="12"/>
        <rFont val="Arial"/>
        <family val="2"/>
      </rPr>
      <t>PSF</t>
    </r>
    <r>
      <rPr>
        <sz val="12"/>
        <rFont val="Arial"/>
        <family val="2"/>
      </rPr>
      <t>/</t>
    </r>
    <r>
      <rPr>
        <i/>
        <sz val="12"/>
        <rFont val="Arial"/>
        <family val="2"/>
      </rPr>
      <t>Y</t>
    </r>
    <r>
      <rPr>
        <vertAlign val="subscript"/>
        <sz val="12"/>
        <rFont val="Arial"/>
        <family val="2"/>
      </rPr>
      <t>H1</t>
    </r>
  </si>
  <si>
    <t>r6</t>
  </si>
  <si>
    <r>
      <t>Aerobic growth of X</t>
    </r>
    <r>
      <rPr>
        <b/>
        <vertAlign val="subscript"/>
        <sz val="10"/>
        <rFont val="Arial"/>
        <family val="2"/>
      </rPr>
      <t xml:space="preserve">H </t>
    </r>
    <r>
      <rPr>
        <b/>
        <sz val="10"/>
        <rFont val="Arial"/>
        <family val="2"/>
      </rPr>
      <t>on S</t>
    </r>
    <r>
      <rPr>
        <b/>
        <vertAlign val="subscript"/>
        <sz val="10"/>
        <rFont val="Arial"/>
        <family val="2"/>
      </rPr>
      <t>F</t>
    </r>
    <r>
      <rPr>
        <b/>
        <sz val="10"/>
        <rFont val="Arial"/>
        <family val="2"/>
      </rPr>
      <t xml:space="preserve"> with S</t>
    </r>
    <r>
      <rPr>
        <b/>
        <vertAlign val="subscript"/>
        <sz val="10"/>
        <rFont val="Arial"/>
        <family val="2"/>
      </rPr>
      <t>NO3</t>
    </r>
  </si>
  <si>
    <r>
      <t>i</t>
    </r>
    <r>
      <rPr>
        <vertAlign val="subscript"/>
        <sz val="12"/>
        <rFont val="Arial"/>
        <family val="2"/>
      </rPr>
      <t>NSF</t>
    </r>
    <r>
      <rPr>
        <i/>
        <sz val="12"/>
        <rFont val="Arial"/>
        <family val="2"/>
      </rPr>
      <t>/Y</t>
    </r>
    <r>
      <rPr>
        <vertAlign val="subscript"/>
        <sz val="12"/>
        <rFont val="Arial"/>
        <family val="2"/>
      </rPr>
      <t>H1</t>
    </r>
  </si>
  <si>
    <t>r7</t>
  </si>
  <si>
    <r>
      <t>Anoxic growth of X</t>
    </r>
    <r>
      <rPr>
        <b/>
        <vertAlign val="subscript"/>
        <sz val="10"/>
        <rFont val="Arial"/>
        <family val="2"/>
      </rPr>
      <t xml:space="preserve">H </t>
    </r>
    <r>
      <rPr>
        <b/>
        <sz val="10"/>
        <rFont val="Arial"/>
        <family val="2"/>
      </rPr>
      <t>on S</t>
    </r>
    <r>
      <rPr>
        <b/>
        <vertAlign val="subscript"/>
        <sz val="10"/>
        <rFont val="Arial"/>
        <family val="2"/>
      </rPr>
      <t>F</t>
    </r>
    <r>
      <rPr>
        <b/>
        <sz val="10"/>
        <rFont val="Arial"/>
        <family val="2"/>
      </rPr>
      <t xml:space="preserve"> with S</t>
    </r>
    <r>
      <rPr>
        <b/>
        <vertAlign val="subscript"/>
        <sz val="10"/>
        <rFont val="Arial"/>
        <family val="2"/>
      </rPr>
      <t>NH4</t>
    </r>
  </si>
  <si>
    <r>
      <t>-</t>
    </r>
    <r>
      <rPr>
        <i/>
        <sz val="12"/>
        <rFont val="Arial"/>
        <family val="2"/>
      </rPr>
      <t>i</t>
    </r>
    <r>
      <rPr>
        <vertAlign val="subscript"/>
        <sz val="12"/>
        <rFont val="Arial"/>
        <family val="2"/>
      </rPr>
      <t>NBM</t>
    </r>
    <r>
      <rPr>
        <i/>
        <sz val="12"/>
        <rFont val="Arial"/>
        <family val="2"/>
      </rPr>
      <t>+i</t>
    </r>
    <r>
      <rPr>
        <vertAlign val="subscript"/>
        <sz val="12"/>
        <rFont val="Arial"/>
        <family val="2"/>
      </rPr>
      <t>NSF</t>
    </r>
    <r>
      <rPr>
        <sz val="12"/>
        <rFont val="Arial"/>
        <family val="2"/>
      </rPr>
      <t>/</t>
    </r>
    <r>
      <rPr>
        <i/>
        <sz val="12"/>
        <rFont val="Arial"/>
        <family val="2"/>
      </rPr>
      <t>Y</t>
    </r>
    <r>
      <rPr>
        <vertAlign val="subscript"/>
        <sz val="12"/>
        <rFont val="Arial"/>
        <family val="2"/>
      </rPr>
      <t>H2</t>
    </r>
  </si>
  <si>
    <r>
      <t>-</t>
    </r>
    <r>
      <rPr>
        <i/>
        <sz val="12"/>
        <rFont val="Arial"/>
        <family val="2"/>
      </rPr>
      <t>i</t>
    </r>
    <r>
      <rPr>
        <vertAlign val="subscript"/>
        <sz val="12"/>
        <rFont val="Arial"/>
        <family val="2"/>
      </rPr>
      <t>PBM</t>
    </r>
    <r>
      <rPr>
        <i/>
        <sz val="12"/>
        <rFont val="Arial"/>
        <family val="2"/>
      </rPr>
      <t>+i</t>
    </r>
    <r>
      <rPr>
        <vertAlign val="subscript"/>
        <sz val="12"/>
        <rFont val="Arial"/>
        <family val="2"/>
      </rPr>
      <t>PSF</t>
    </r>
    <r>
      <rPr>
        <sz val="12"/>
        <rFont val="Arial"/>
        <family val="2"/>
      </rPr>
      <t>/</t>
    </r>
    <r>
      <rPr>
        <i/>
        <sz val="12"/>
        <rFont val="Arial"/>
        <family val="2"/>
      </rPr>
      <t>Y</t>
    </r>
    <r>
      <rPr>
        <vertAlign val="subscript"/>
        <sz val="12"/>
        <rFont val="Arial"/>
        <family val="2"/>
      </rPr>
      <t>H2</t>
    </r>
  </si>
  <si>
    <t>r8</t>
  </si>
  <si>
    <r>
      <t>Anoxic growth of X</t>
    </r>
    <r>
      <rPr>
        <b/>
        <vertAlign val="subscript"/>
        <sz val="10"/>
        <rFont val="Arial"/>
        <family val="2"/>
      </rPr>
      <t xml:space="preserve">H </t>
    </r>
    <r>
      <rPr>
        <b/>
        <sz val="10"/>
        <rFont val="Arial"/>
        <family val="2"/>
      </rPr>
      <t>on S</t>
    </r>
    <r>
      <rPr>
        <b/>
        <vertAlign val="subscript"/>
        <sz val="10"/>
        <rFont val="Arial"/>
        <family val="2"/>
      </rPr>
      <t>F</t>
    </r>
    <r>
      <rPr>
        <b/>
        <sz val="10"/>
        <rFont val="Arial"/>
        <family val="2"/>
      </rPr>
      <t xml:space="preserve"> with S</t>
    </r>
    <r>
      <rPr>
        <b/>
        <vertAlign val="subscript"/>
        <sz val="10"/>
        <rFont val="Arial"/>
        <family val="2"/>
      </rPr>
      <t>NO3</t>
    </r>
  </si>
  <si>
    <r>
      <t>i</t>
    </r>
    <r>
      <rPr>
        <vertAlign val="subscript"/>
        <sz val="12"/>
        <rFont val="Arial"/>
        <family val="2"/>
      </rPr>
      <t>NSF</t>
    </r>
    <r>
      <rPr>
        <i/>
        <sz val="12"/>
        <rFont val="Arial"/>
        <family val="2"/>
      </rPr>
      <t>/Y</t>
    </r>
    <r>
      <rPr>
        <vertAlign val="subscript"/>
        <sz val="12"/>
        <rFont val="Arial"/>
        <family val="2"/>
      </rPr>
      <t>H2</t>
    </r>
    <r>
      <rPr>
        <i/>
        <sz val="12"/>
        <rFont val="Arial"/>
        <family val="2"/>
      </rPr>
      <t>-i</t>
    </r>
    <r>
      <rPr>
        <vertAlign val="subscript"/>
        <sz val="12"/>
        <rFont val="Arial"/>
        <family val="2"/>
      </rPr>
      <t>COD_NO3</t>
    </r>
    <r>
      <rPr>
        <i/>
        <sz val="12"/>
        <rFont val="Arial"/>
        <family val="2"/>
      </rPr>
      <t>*i</t>
    </r>
    <r>
      <rPr>
        <vertAlign val="subscript"/>
        <sz val="12"/>
        <rFont val="Arial"/>
        <family val="2"/>
      </rPr>
      <t>NBM</t>
    </r>
    <r>
      <rPr>
        <i/>
        <sz val="12"/>
        <rFont val="Arial"/>
        <family val="2"/>
      </rPr>
      <t>*i</t>
    </r>
    <r>
      <rPr>
        <vertAlign val="subscript"/>
        <sz val="12"/>
        <rFont val="Arial"/>
        <family val="2"/>
      </rPr>
      <t>NSF</t>
    </r>
  </si>
  <si>
    <r>
      <t>-</t>
    </r>
    <r>
      <rPr>
        <i/>
        <sz val="12"/>
        <rFont val="Arial"/>
        <family val="2"/>
      </rPr>
      <t>i</t>
    </r>
    <r>
      <rPr>
        <vertAlign val="subscript"/>
        <sz val="12"/>
        <rFont val="Arial"/>
        <family val="2"/>
      </rPr>
      <t>PBM</t>
    </r>
    <r>
      <rPr>
        <sz val="12"/>
        <rFont val="Arial"/>
        <family val="2"/>
      </rPr>
      <t>+</t>
    </r>
    <r>
      <rPr>
        <i/>
        <sz val="12"/>
        <rFont val="Arial"/>
        <family val="2"/>
      </rPr>
      <t>i</t>
    </r>
    <r>
      <rPr>
        <vertAlign val="subscript"/>
        <sz val="12"/>
        <rFont val="Arial"/>
        <family val="2"/>
      </rPr>
      <t>PSF</t>
    </r>
    <r>
      <rPr>
        <sz val="12"/>
        <rFont val="Arial"/>
        <family val="2"/>
      </rPr>
      <t>/</t>
    </r>
    <r>
      <rPr>
        <i/>
        <sz val="12"/>
        <rFont val="Arial"/>
        <family val="2"/>
      </rPr>
      <t>Y</t>
    </r>
    <r>
      <rPr>
        <vertAlign val="subscript"/>
        <sz val="12"/>
        <rFont val="Arial"/>
        <family val="2"/>
      </rPr>
      <t>H2</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i</t>
    </r>
    <r>
      <rPr>
        <vertAlign val="subscript"/>
        <sz val="12"/>
        <rFont val="Arial"/>
        <family val="2"/>
      </rPr>
      <t>NBM</t>
    </r>
    <r>
      <rPr>
        <sz val="12"/>
        <rFont val="Arial"/>
        <family val="2"/>
      </rPr>
      <t>*</t>
    </r>
    <r>
      <rPr>
        <i/>
        <sz val="12"/>
        <rFont val="Arial"/>
        <family val="2"/>
      </rPr>
      <t>i</t>
    </r>
    <r>
      <rPr>
        <vertAlign val="subscript"/>
        <sz val="12"/>
        <rFont val="Arial"/>
        <family val="2"/>
      </rPr>
      <t>PSF</t>
    </r>
  </si>
  <si>
    <t>r9</t>
  </si>
  <si>
    <r>
      <t>Aerobic growth of X</t>
    </r>
    <r>
      <rPr>
        <b/>
        <vertAlign val="subscript"/>
        <sz val="10"/>
        <rFont val="Arial"/>
        <family val="2"/>
      </rPr>
      <t xml:space="preserve">H </t>
    </r>
    <r>
      <rPr>
        <b/>
        <sz val="10"/>
        <rFont val="Arial"/>
        <family val="2"/>
      </rPr>
      <t>on X</t>
    </r>
    <r>
      <rPr>
        <b/>
        <vertAlign val="subscript"/>
        <sz val="10"/>
        <rFont val="Arial"/>
        <family val="2"/>
      </rPr>
      <t>ADS</t>
    </r>
    <r>
      <rPr>
        <b/>
        <sz val="10"/>
        <rFont val="Arial"/>
        <family val="2"/>
      </rPr>
      <t xml:space="preserve"> with S</t>
    </r>
    <r>
      <rPr>
        <b/>
        <vertAlign val="subscript"/>
        <sz val="10"/>
        <rFont val="Arial"/>
        <family val="2"/>
      </rPr>
      <t>NH4</t>
    </r>
  </si>
  <si>
    <r>
      <t>-</t>
    </r>
    <r>
      <rPr>
        <i/>
        <sz val="12"/>
        <rFont val="Arial"/>
        <family val="2"/>
      </rPr>
      <t>i</t>
    </r>
    <r>
      <rPr>
        <vertAlign val="subscript"/>
        <sz val="12"/>
        <rFont val="Arial"/>
        <family val="2"/>
      </rPr>
      <t>NBM</t>
    </r>
    <r>
      <rPr>
        <i/>
        <sz val="12"/>
        <rFont val="Arial"/>
        <family val="2"/>
      </rPr>
      <t>+i</t>
    </r>
    <r>
      <rPr>
        <vertAlign val="subscript"/>
        <sz val="12"/>
        <rFont val="Arial"/>
        <family val="2"/>
      </rPr>
      <t>NENM</t>
    </r>
    <r>
      <rPr>
        <sz val="12"/>
        <rFont val="Arial"/>
        <family val="2"/>
      </rPr>
      <t>/</t>
    </r>
    <r>
      <rPr>
        <i/>
        <sz val="12"/>
        <rFont val="Arial"/>
        <family val="2"/>
      </rPr>
      <t>Y</t>
    </r>
    <r>
      <rPr>
        <vertAlign val="subscript"/>
        <sz val="12"/>
        <rFont val="Arial"/>
        <family val="2"/>
      </rPr>
      <t>H1</t>
    </r>
  </si>
  <si>
    <r>
      <t>-</t>
    </r>
    <r>
      <rPr>
        <i/>
        <sz val="12"/>
        <rFont val="Arial"/>
        <family val="2"/>
      </rPr>
      <t>i</t>
    </r>
    <r>
      <rPr>
        <vertAlign val="subscript"/>
        <sz val="12"/>
        <rFont val="Arial"/>
        <family val="2"/>
      </rPr>
      <t>PBM</t>
    </r>
    <r>
      <rPr>
        <i/>
        <sz val="12"/>
        <rFont val="Arial"/>
        <family val="2"/>
      </rPr>
      <t>+i</t>
    </r>
    <r>
      <rPr>
        <vertAlign val="subscript"/>
        <sz val="12"/>
        <rFont val="Arial"/>
        <family val="2"/>
      </rPr>
      <t>PENM</t>
    </r>
    <r>
      <rPr>
        <sz val="12"/>
        <rFont val="Arial"/>
        <family val="2"/>
      </rPr>
      <t>/</t>
    </r>
    <r>
      <rPr>
        <i/>
        <sz val="12"/>
        <rFont val="Arial"/>
        <family val="2"/>
      </rPr>
      <t>Y</t>
    </r>
    <r>
      <rPr>
        <vertAlign val="subscript"/>
        <sz val="12"/>
        <rFont val="Arial"/>
        <family val="2"/>
      </rPr>
      <t>H1</t>
    </r>
  </si>
  <si>
    <t>r10</t>
  </si>
  <si>
    <r>
      <t>Aerobic growth of X</t>
    </r>
    <r>
      <rPr>
        <b/>
        <vertAlign val="subscript"/>
        <sz val="10"/>
        <rFont val="Arial"/>
        <family val="2"/>
      </rPr>
      <t xml:space="preserve">H </t>
    </r>
    <r>
      <rPr>
        <b/>
        <sz val="10"/>
        <rFont val="Arial"/>
        <family val="2"/>
      </rPr>
      <t>on X</t>
    </r>
    <r>
      <rPr>
        <b/>
        <vertAlign val="subscript"/>
        <sz val="10"/>
        <rFont val="Arial"/>
        <family val="2"/>
      </rPr>
      <t>ADS</t>
    </r>
    <r>
      <rPr>
        <b/>
        <sz val="10"/>
        <rFont val="Arial"/>
        <family val="2"/>
      </rPr>
      <t xml:space="preserve"> with S</t>
    </r>
    <r>
      <rPr>
        <b/>
        <vertAlign val="subscript"/>
        <sz val="10"/>
        <rFont val="Arial"/>
        <family val="2"/>
      </rPr>
      <t>NO3</t>
    </r>
  </si>
  <si>
    <r>
      <t>i</t>
    </r>
    <r>
      <rPr>
        <vertAlign val="subscript"/>
        <sz val="12"/>
        <rFont val="Arial"/>
        <family val="2"/>
      </rPr>
      <t>NENM</t>
    </r>
    <r>
      <rPr>
        <i/>
        <sz val="12"/>
        <rFont val="Arial"/>
        <family val="2"/>
      </rPr>
      <t>/Y</t>
    </r>
    <r>
      <rPr>
        <vertAlign val="subscript"/>
        <sz val="12"/>
        <rFont val="Arial"/>
        <family val="2"/>
      </rPr>
      <t>H1</t>
    </r>
  </si>
  <si>
    <t>r11</t>
  </si>
  <si>
    <r>
      <t>Anoxic growth of X</t>
    </r>
    <r>
      <rPr>
        <b/>
        <vertAlign val="subscript"/>
        <sz val="10"/>
        <rFont val="Arial"/>
        <family val="2"/>
      </rPr>
      <t xml:space="preserve">H </t>
    </r>
    <r>
      <rPr>
        <b/>
        <sz val="10"/>
        <rFont val="Arial"/>
        <family val="2"/>
      </rPr>
      <t>on X</t>
    </r>
    <r>
      <rPr>
        <b/>
        <vertAlign val="subscript"/>
        <sz val="10"/>
        <rFont val="Arial"/>
        <family val="2"/>
      </rPr>
      <t>ADS</t>
    </r>
    <r>
      <rPr>
        <b/>
        <sz val="10"/>
        <rFont val="Arial"/>
        <family val="2"/>
      </rPr>
      <t xml:space="preserve"> with S</t>
    </r>
    <r>
      <rPr>
        <b/>
        <vertAlign val="subscript"/>
        <sz val="10"/>
        <rFont val="Arial"/>
        <family val="2"/>
      </rPr>
      <t>NH4</t>
    </r>
  </si>
  <si>
    <r>
      <t>-</t>
    </r>
    <r>
      <rPr>
        <i/>
        <sz val="12"/>
        <rFont val="Arial"/>
        <family val="2"/>
      </rPr>
      <t>i</t>
    </r>
    <r>
      <rPr>
        <vertAlign val="subscript"/>
        <sz val="12"/>
        <rFont val="Arial"/>
        <family val="2"/>
      </rPr>
      <t>NBM</t>
    </r>
    <r>
      <rPr>
        <i/>
        <sz val="12"/>
        <rFont val="Arial"/>
        <family val="2"/>
      </rPr>
      <t>+i</t>
    </r>
    <r>
      <rPr>
        <vertAlign val="subscript"/>
        <sz val="12"/>
        <rFont val="Arial"/>
        <family val="2"/>
      </rPr>
      <t>NENM</t>
    </r>
    <r>
      <rPr>
        <sz val="12"/>
        <rFont val="Arial"/>
        <family val="2"/>
      </rPr>
      <t>/</t>
    </r>
    <r>
      <rPr>
        <i/>
        <sz val="12"/>
        <rFont val="Arial"/>
        <family val="2"/>
      </rPr>
      <t>Y</t>
    </r>
    <r>
      <rPr>
        <vertAlign val="subscript"/>
        <sz val="12"/>
        <rFont val="Arial"/>
        <family val="2"/>
      </rPr>
      <t>H2</t>
    </r>
  </si>
  <si>
    <r>
      <t>-</t>
    </r>
    <r>
      <rPr>
        <i/>
        <sz val="12"/>
        <rFont val="Arial"/>
        <family val="2"/>
      </rPr>
      <t>i</t>
    </r>
    <r>
      <rPr>
        <vertAlign val="subscript"/>
        <sz val="12"/>
        <rFont val="Arial"/>
        <family val="2"/>
      </rPr>
      <t>PBM</t>
    </r>
    <r>
      <rPr>
        <i/>
        <sz val="12"/>
        <rFont val="Arial"/>
        <family val="2"/>
      </rPr>
      <t>+i</t>
    </r>
    <r>
      <rPr>
        <vertAlign val="subscript"/>
        <sz val="12"/>
        <rFont val="Arial"/>
        <family val="2"/>
      </rPr>
      <t>PENM</t>
    </r>
    <r>
      <rPr>
        <sz val="12"/>
        <rFont val="Arial"/>
        <family val="2"/>
      </rPr>
      <t>*</t>
    </r>
    <r>
      <rPr>
        <i/>
        <sz val="12"/>
        <rFont val="Arial"/>
        <family val="2"/>
      </rPr>
      <t>Y</t>
    </r>
    <r>
      <rPr>
        <vertAlign val="subscript"/>
        <sz val="12"/>
        <rFont val="Arial"/>
        <family val="2"/>
      </rPr>
      <t>H2</t>
    </r>
  </si>
  <si>
    <t>r12</t>
  </si>
  <si>
    <r>
      <t>Anoxic growth of X</t>
    </r>
    <r>
      <rPr>
        <b/>
        <vertAlign val="subscript"/>
        <sz val="10"/>
        <rFont val="Arial"/>
        <family val="2"/>
      </rPr>
      <t xml:space="preserve">H </t>
    </r>
    <r>
      <rPr>
        <b/>
        <sz val="10"/>
        <rFont val="Arial"/>
        <family val="2"/>
      </rPr>
      <t>on X</t>
    </r>
    <r>
      <rPr>
        <b/>
        <vertAlign val="subscript"/>
        <sz val="10"/>
        <rFont val="Arial"/>
        <family val="2"/>
      </rPr>
      <t>ADS</t>
    </r>
    <r>
      <rPr>
        <b/>
        <sz val="10"/>
        <rFont val="Arial"/>
        <family val="2"/>
      </rPr>
      <t xml:space="preserve"> with S</t>
    </r>
    <r>
      <rPr>
        <b/>
        <vertAlign val="subscript"/>
        <sz val="10"/>
        <rFont val="Arial"/>
        <family val="2"/>
      </rPr>
      <t>NO3</t>
    </r>
  </si>
  <si>
    <r>
      <t>i</t>
    </r>
    <r>
      <rPr>
        <vertAlign val="subscript"/>
        <sz val="12"/>
        <rFont val="Arial"/>
        <family val="2"/>
      </rPr>
      <t>NENM</t>
    </r>
    <r>
      <rPr>
        <i/>
        <sz val="12"/>
        <rFont val="Arial"/>
        <family val="2"/>
      </rPr>
      <t>/Y</t>
    </r>
    <r>
      <rPr>
        <vertAlign val="subscript"/>
        <sz val="12"/>
        <rFont val="Arial"/>
        <family val="2"/>
      </rPr>
      <t>H2</t>
    </r>
    <r>
      <rPr>
        <i/>
        <sz val="12"/>
        <rFont val="Arial"/>
        <family val="2"/>
      </rPr>
      <t>-i</t>
    </r>
    <r>
      <rPr>
        <vertAlign val="subscript"/>
        <sz val="12"/>
        <rFont val="Arial"/>
        <family val="2"/>
      </rPr>
      <t>COD_NO3</t>
    </r>
    <r>
      <rPr>
        <i/>
        <sz val="12"/>
        <rFont val="Arial"/>
        <family val="2"/>
      </rPr>
      <t>*i</t>
    </r>
    <r>
      <rPr>
        <vertAlign val="subscript"/>
        <sz val="12"/>
        <rFont val="Arial"/>
        <family val="2"/>
      </rPr>
      <t>NBM</t>
    </r>
    <r>
      <rPr>
        <i/>
        <sz val="12"/>
        <rFont val="Arial"/>
        <family val="2"/>
      </rPr>
      <t>*i</t>
    </r>
    <r>
      <rPr>
        <vertAlign val="subscript"/>
        <sz val="12"/>
        <rFont val="Arial"/>
        <family val="2"/>
      </rPr>
      <t>NENM</t>
    </r>
  </si>
  <si>
    <r>
      <t>-</t>
    </r>
    <r>
      <rPr>
        <i/>
        <sz val="12"/>
        <rFont val="Arial"/>
        <family val="2"/>
      </rPr>
      <t>i</t>
    </r>
    <r>
      <rPr>
        <vertAlign val="subscript"/>
        <sz val="12"/>
        <rFont val="Arial"/>
        <family val="2"/>
      </rPr>
      <t>PBM</t>
    </r>
    <r>
      <rPr>
        <sz val="12"/>
        <rFont val="Arial"/>
        <family val="2"/>
      </rPr>
      <t>+</t>
    </r>
    <r>
      <rPr>
        <i/>
        <sz val="12"/>
        <rFont val="Arial"/>
        <family val="2"/>
      </rPr>
      <t>i</t>
    </r>
    <r>
      <rPr>
        <vertAlign val="subscript"/>
        <sz val="12"/>
        <rFont val="Arial"/>
        <family val="2"/>
      </rPr>
      <t>PENM</t>
    </r>
    <r>
      <rPr>
        <sz val="12"/>
        <rFont val="Arial"/>
        <family val="2"/>
      </rPr>
      <t>/</t>
    </r>
    <r>
      <rPr>
        <i/>
        <sz val="12"/>
        <rFont val="Arial"/>
        <family val="2"/>
      </rPr>
      <t>Y</t>
    </r>
    <r>
      <rPr>
        <vertAlign val="subscript"/>
        <sz val="12"/>
        <rFont val="Arial"/>
        <family val="2"/>
      </rPr>
      <t>H2</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i</t>
    </r>
    <r>
      <rPr>
        <vertAlign val="subscript"/>
        <sz val="12"/>
        <rFont val="Arial"/>
        <family val="2"/>
      </rPr>
      <t>NBM</t>
    </r>
    <r>
      <rPr>
        <sz val="12"/>
        <rFont val="Arial"/>
        <family val="2"/>
      </rPr>
      <t>*</t>
    </r>
    <r>
      <rPr>
        <i/>
        <sz val="12"/>
        <rFont val="Arial"/>
        <family val="2"/>
      </rPr>
      <t>i</t>
    </r>
    <r>
      <rPr>
        <vertAlign val="subscript"/>
        <sz val="12"/>
        <rFont val="Arial"/>
        <family val="2"/>
      </rPr>
      <t>PENM</t>
    </r>
  </si>
  <si>
    <t>r13</t>
  </si>
  <si>
    <r>
      <t>Adsorption of X</t>
    </r>
    <r>
      <rPr>
        <b/>
        <vertAlign val="subscript"/>
        <sz val="10"/>
        <rFont val="Arial"/>
        <family val="2"/>
      </rPr>
      <t>ENM</t>
    </r>
  </si>
  <si>
    <t>r14</t>
  </si>
  <si>
    <t>Heterotrophic decay</t>
  </si>
  <si>
    <r>
      <t>i</t>
    </r>
    <r>
      <rPr>
        <vertAlign val="subscript"/>
        <sz val="12"/>
        <rFont val="Arial"/>
        <family val="2"/>
      </rPr>
      <t>NBM</t>
    </r>
    <r>
      <rPr>
        <sz val="12"/>
        <rFont val="Arial"/>
        <family val="2"/>
      </rPr>
      <t>-(1</t>
    </r>
    <r>
      <rPr>
        <i/>
        <sz val="12"/>
        <rFont val="Arial"/>
        <family val="2"/>
      </rPr>
      <t>-f</t>
    </r>
    <r>
      <rPr>
        <vertAlign val="subscript"/>
        <sz val="12"/>
        <rFont val="Arial"/>
        <family val="2"/>
      </rPr>
      <t>XE,H</t>
    </r>
    <r>
      <rPr>
        <i/>
        <sz val="12"/>
        <rFont val="Arial"/>
        <family val="2"/>
      </rPr>
      <t>)</t>
    </r>
    <r>
      <rPr>
        <sz val="12"/>
        <rFont val="Arial"/>
        <family val="2"/>
      </rPr>
      <t>*</t>
    </r>
    <r>
      <rPr>
        <i/>
        <sz val="12"/>
        <rFont val="Arial"/>
        <family val="2"/>
      </rPr>
      <t>i</t>
    </r>
    <r>
      <rPr>
        <vertAlign val="subscript"/>
        <sz val="12"/>
        <rFont val="Arial"/>
        <family val="2"/>
      </rPr>
      <t>NENM</t>
    </r>
    <r>
      <rPr>
        <sz val="12"/>
        <rFont val="Arial"/>
        <family val="2"/>
      </rPr>
      <t>-</t>
    </r>
    <r>
      <rPr>
        <i/>
        <sz val="12"/>
        <rFont val="Arial"/>
        <family val="2"/>
      </rPr>
      <t>f</t>
    </r>
    <r>
      <rPr>
        <vertAlign val="subscript"/>
        <sz val="12"/>
        <rFont val="Arial"/>
        <family val="2"/>
      </rPr>
      <t>XE,H</t>
    </r>
    <r>
      <rPr>
        <sz val="12"/>
        <rFont val="Arial"/>
        <family val="2"/>
      </rPr>
      <t>*</t>
    </r>
    <r>
      <rPr>
        <i/>
        <sz val="12"/>
        <rFont val="Arial"/>
        <family val="2"/>
      </rPr>
      <t>i</t>
    </r>
    <r>
      <rPr>
        <vertAlign val="subscript"/>
        <sz val="12"/>
        <rFont val="Arial"/>
        <family val="2"/>
      </rPr>
      <t>NXE</t>
    </r>
  </si>
  <si>
    <r>
      <t>i</t>
    </r>
    <r>
      <rPr>
        <vertAlign val="subscript"/>
        <sz val="12"/>
        <rFont val="Arial"/>
        <family val="2"/>
      </rPr>
      <t>PBM</t>
    </r>
    <r>
      <rPr>
        <i/>
        <sz val="12"/>
        <rFont val="Arial"/>
        <family val="2"/>
      </rPr>
      <t>-f</t>
    </r>
    <r>
      <rPr>
        <vertAlign val="subscript"/>
        <sz val="12"/>
        <rFont val="Arial"/>
        <family val="2"/>
      </rPr>
      <t>XE,H</t>
    </r>
    <r>
      <rPr>
        <sz val="12"/>
        <rFont val="Arial"/>
        <family val="2"/>
      </rPr>
      <t>*</t>
    </r>
    <r>
      <rPr>
        <i/>
        <sz val="12"/>
        <rFont val="Arial"/>
        <family val="2"/>
      </rPr>
      <t>i</t>
    </r>
    <r>
      <rPr>
        <vertAlign val="subscript"/>
        <sz val="12"/>
        <rFont val="Arial"/>
        <family val="2"/>
      </rPr>
      <t>PXE</t>
    </r>
    <r>
      <rPr>
        <b/>
        <sz val="12"/>
        <rFont val="Arial"/>
        <family val="2"/>
      </rPr>
      <t>-</t>
    </r>
    <r>
      <rPr>
        <i/>
        <sz val="12"/>
        <rFont val="Arial"/>
        <family val="2"/>
      </rPr>
      <t>(</t>
    </r>
    <r>
      <rPr>
        <sz val="12"/>
        <rFont val="Arial"/>
        <family val="2"/>
      </rPr>
      <t>1-</t>
    </r>
    <r>
      <rPr>
        <i/>
        <sz val="12"/>
        <rFont val="Arial"/>
        <family val="2"/>
      </rPr>
      <t>f</t>
    </r>
    <r>
      <rPr>
        <vertAlign val="subscript"/>
        <sz val="12"/>
        <rFont val="Arial"/>
        <family val="2"/>
      </rPr>
      <t>XE,H</t>
    </r>
    <r>
      <rPr>
        <sz val="12"/>
        <rFont val="Arial"/>
        <family val="2"/>
      </rPr>
      <t>)*</t>
    </r>
    <r>
      <rPr>
        <i/>
        <sz val="12"/>
        <rFont val="Arial"/>
        <family val="2"/>
      </rPr>
      <t>i</t>
    </r>
    <r>
      <rPr>
        <vertAlign val="subscript"/>
        <sz val="12"/>
        <rFont val="Arial"/>
        <family val="2"/>
      </rPr>
      <t>PENM</t>
    </r>
  </si>
  <si>
    <r>
      <t>f</t>
    </r>
    <r>
      <rPr>
        <vertAlign val="subscript"/>
        <sz val="12"/>
        <rFont val="Arial"/>
        <family val="2"/>
      </rPr>
      <t>XE,H</t>
    </r>
  </si>
  <si>
    <r>
      <t>1-</t>
    </r>
    <r>
      <rPr>
        <i/>
        <sz val="12"/>
        <rFont val="Arial"/>
        <family val="2"/>
      </rPr>
      <t>f</t>
    </r>
    <r>
      <rPr>
        <vertAlign val="subscript"/>
        <sz val="12"/>
        <rFont val="Arial"/>
        <family val="2"/>
      </rPr>
      <t>XE,H</t>
    </r>
  </si>
  <si>
    <t>-1</t>
  </si>
  <si>
    <r>
      <t>b</t>
    </r>
    <r>
      <rPr>
        <vertAlign val="subscript"/>
        <sz val="12"/>
        <rFont val="Arial"/>
        <family val="2"/>
      </rPr>
      <t>H</t>
    </r>
    <r>
      <rPr>
        <sz val="12"/>
        <rFont val="Arial"/>
        <family val="2"/>
      </rPr>
      <t>*</t>
    </r>
    <r>
      <rPr>
        <i/>
        <sz val="12"/>
        <rFont val="Arial"/>
        <family val="2"/>
      </rPr>
      <t>X</t>
    </r>
    <r>
      <rPr>
        <vertAlign val="subscript"/>
        <sz val="12"/>
        <rFont val="Arial"/>
        <family val="2"/>
      </rPr>
      <t>H</t>
    </r>
  </si>
  <si>
    <t>r15</t>
  </si>
  <si>
    <r>
      <t>Conversion of S</t>
    </r>
    <r>
      <rPr>
        <b/>
        <vertAlign val="subscript"/>
        <sz val="10"/>
        <rFont val="Arial"/>
        <family val="2"/>
      </rPr>
      <t>F</t>
    </r>
    <r>
      <rPr>
        <b/>
        <sz val="10"/>
        <rFont val="Arial"/>
        <family val="2"/>
      </rPr>
      <t xml:space="preserve"> to S</t>
    </r>
    <r>
      <rPr>
        <b/>
        <vertAlign val="subscript"/>
        <sz val="10"/>
        <rFont val="Arial"/>
        <family val="2"/>
      </rPr>
      <t>A</t>
    </r>
  </si>
  <si>
    <t>r16</t>
  </si>
  <si>
    <r>
      <t xml:space="preserve"> growth of X</t>
    </r>
    <r>
      <rPr>
        <b/>
        <vertAlign val="subscript"/>
        <sz val="10"/>
        <rFont val="Arial"/>
        <family val="2"/>
      </rPr>
      <t>NIT</t>
    </r>
  </si>
  <si>
    <r>
      <t>-(-</t>
    </r>
    <r>
      <rPr>
        <i/>
        <sz val="12"/>
        <rFont val="Arial"/>
        <family val="2"/>
      </rPr>
      <t>i</t>
    </r>
    <r>
      <rPr>
        <vertAlign val="subscript"/>
        <sz val="12"/>
        <rFont val="Arial"/>
        <family val="2"/>
      </rPr>
      <t>COD_NO3</t>
    </r>
    <r>
      <rPr>
        <sz val="12"/>
        <rFont val="Arial"/>
        <family val="2"/>
      </rPr>
      <t>-</t>
    </r>
    <r>
      <rPr>
        <i/>
        <sz val="12"/>
        <rFont val="Arial"/>
        <family val="2"/>
      </rPr>
      <t>Y</t>
    </r>
    <r>
      <rPr>
        <vertAlign val="subscript"/>
        <sz val="12"/>
        <rFont val="Arial"/>
        <family val="2"/>
      </rPr>
      <t>NIT</t>
    </r>
    <r>
      <rPr>
        <sz val="12"/>
        <rFont val="Arial"/>
        <family val="2"/>
      </rPr>
      <t>)/</t>
    </r>
    <r>
      <rPr>
        <i/>
        <sz val="12"/>
        <rFont val="Arial"/>
        <family val="2"/>
      </rPr>
      <t>Y</t>
    </r>
    <r>
      <rPr>
        <vertAlign val="subscript"/>
        <sz val="12"/>
        <rFont val="Arial"/>
        <family val="2"/>
      </rPr>
      <t>NIT</t>
    </r>
  </si>
  <si>
    <r>
      <t>-</t>
    </r>
    <r>
      <rPr>
        <i/>
        <sz val="12"/>
        <rFont val="Arial"/>
        <family val="2"/>
      </rPr>
      <t>i</t>
    </r>
    <r>
      <rPr>
        <vertAlign val="subscript"/>
        <sz val="12"/>
        <rFont val="Arial"/>
        <family val="2"/>
      </rPr>
      <t>NBM</t>
    </r>
    <r>
      <rPr>
        <sz val="12"/>
        <rFont val="Arial"/>
        <family val="2"/>
      </rPr>
      <t>-1</t>
    </r>
    <r>
      <rPr>
        <i/>
        <sz val="12"/>
        <rFont val="Arial"/>
        <family val="2"/>
      </rPr>
      <t>/Y</t>
    </r>
    <r>
      <rPr>
        <vertAlign val="subscript"/>
        <sz val="12"/>
        <rFont val="Arial"/>
        <family val="2"/>
      </rPr>
      <t>NIT</t>
    </r>
  </si>
  <si>
    <r>
      <t>1/</t>
    </r>
    <r>
      <rPr>
        <i/>
        <sz val="12"/>
        <rFont val="Arial"/>
        <family val="2"/>
      </rPr>
      <t>Y</t>
    </r>
    <r>
      <rPr>
        <vertAlign val="subscript"/>
        <sz val="12"/>
        <rFont val="Arial"/>
        <family val="2"/>
      </rPr>
      <t>NIT</t>
    </r>
  </si>
  <si>
    <t>r17</t>
  </si>
  <si>
    <r>
      <t xml:space="preserve"> decay of X</t>
    </r>
    <r>
      <rPr>
        <b/>
        <vertAlign val="subscript"/>
        <sz val="10"/>
        <rFont val="Arial"/>
        <family val="2"/>
      </rPr>
      <t>NIT</t>
    </r>
  </si>
  <si>
    <r>
      <t>i</t>
    </r>
    <r>
      <rPr>
        <vertAlign val="subscript"/>
        <sz val="12"/>
        <rFont val="Arial"/>
        <family val="2"/>
      </rPr>
      <t>NBM</t>
    </r>
    <r>
      <rPr>
        <sz val="12"/>
        <rFont val="Arial"/>
        <family val="2"/>
      </rPr>
      <t>-(1</t>
    </r>
    <r>
      <rPr>
        <i/>
        <sz val="12"/>
        <rFont val="Arial"/>
        <family val="2"/>
      </rPr>
      <t>-f</t>
    </r>
    <r>
      <rPr>
        <vertAlign val="subscript"/>
        <sz val="12"/>
        <rFont val="Arial"/>
        <family val="2"/>
      </rPr>
      <t>XE,NIT</t>
    </r>
    <r>
      <rPr>
        <sz val="12"/>
        <rFont val="Arial"/>
        <family val="2"/>
      </rPr>
      <t>)*</t>
    </r>
    <r>
      <rPr>
        <i/>
        <sz val="12"/>
        <rFont val="Arial"/>
        <family val="2"/>
      </rPr>
      <t>i</t>
    </r>
    <r>
      <rPr>
        <vertAlign val="subscript"/>
        <sz val="12"/>
        <rFont val="Arial"/>
        <family val="2"/>
      </rPr>
      <t>NENM</t>
    </r>
    <r>
      <rPr>
        <sz val="12"/>
        <rFont val="Arial"/>
        <family val="2"/>
      </rPr>
      <t>-</t>
    </r>
    <r>
      <rPr>
        <i/>
        <sz val="12"/>
        <rFont val="Arial"/>
        <family val="2"/>
      </rPr>
      <t>f</t>
    </r>
    <r>
      <rPr>
        <vertAlign val="subscript"/>
        <sz val="12"/>
        <rFont val="Arial"/>
        <family val="2"/>
      </rPr>
      <t>XE,NIT</t>
    </r>
    <r>
      <rPr>
        <sz val="12"/>
        <rFont val="Arial"/>
        <family val="2"/>
      </rPr>
      <t>*</t>
    </r>
    <r>
      <rPr>
        <i/>
        <sz val="12"/>
        <rFont val="Arial"/>
        <family val="2"/>
      </rPr>
      <t>i</t>
    </r>
    <r>
      <rPr>
        <vertAlign val="subscript"/>
        <sz val="12"/>
        <rFont val="Arial"/>
        <family val="2"/>
      </rPr>
      <t>NXE</t>
    </r>
  </si>
  <si>
    <r>
      <t>i</t>
    </r>
    <r>
      <rPr>
        <vertAlign val="subscript"/>
        <sz val="12"/>
        <rFont val="Arial"/>
        <family val="2"/>
      </rPr>
      <t>PBM</t>
    </r>
    <r>
      <rPr>
        <i/>
        <sz val="12"/>
        <rFont val="Arial"/>
        <family val="2"/>
      </rPr>
      <t>-f</t>
    </r>
    <r>
      <rPr>
        <vertAlign val="subscript"/>
        <sz val="12"/>
        <rFont val="Arial"/>
        <family val="2"/>
      </rPr>
      <t>XE,NIT</t>
    </r>
    <r>
      <rPr>
        <sz val="12"/>
        <rFont val="Arial"/>
        <family val="2"/>
      </rPr>
      <t>*</t>
    </r>
    <r>
      <rPr>
        <i/>
        <sz val="12"/>
        <rFont val="Arial"/>
        <family val="2"/>
      </rPr>
      <t>i</t>
    </r>
    <r>
      <rPr>
        <vertAlign val="subscript"/>
        <sz val="12"/>
        <rFont val="Arial"/>
        <family val="2"/>
      </rPr>
      <t>PXE</t>
    </r>
    <r>
      <rPr>
        <b/>
        <sz val="12"/>
        <rFont val="Arial"/>
        <family val="2"/>
      </rPr>
      <t>-</t>
    </r>
    <r>
      <rPr>
        <i/>
        <sz val="12"/>
        <rFont val="Arial"/>
        <family val="2"/>
      </rPr>
      <t>(</t>
    </r>
    <r>
      <rPr>
        <sz val="12"/>
        <rFont val="Arial"/>
        <family val="2"/>
      </rPr>
      <t>1-</t>
    </r>
    <r>
      <rPr>
        <i/>
        <sz val="12"/>
        <rFont val="Arial"/>
        <family val="2"/>
      </rPr>
      <t>f</t>
    </r>
    <r>
      <rPr>
        <vertAlign val="subscript"/>
        <sz val="12"/>
        <rFont val="Arial"/>
        <family val="2"/>
      </rPr>
      <t>XE,NIT</t>
    </r>
    <r>
      <rPr>
        <sz val="12"/>
        <rFont val="Arial"/>
        <family val="2"/>
      </rPr>
      <t>)*</t>
    </r>
    <r>
      <rPr>
        <i/>
        <sz val="12"/>
        <rFont val="Arial"/>
        <family val="2"/>
      </rPr>
      <t>i</t>
    </r>
    <r>
      <rPr>
        <vertAlign val="subscript"/>
        <sz val="12"/>
        <rFont val="Arial"/>
        <family val="2"/>
      </rPr>
      <t>PENM</t>
    </r>
  </si>
  <si>
    <r>
      <t>1-</t>
    </r>
    <r>
      <rPr>
        <i/>
        <sz val="12"/>
        <rFont val="Arial"/>
        <family val="2"/>
      </rPr>
      <t>f</t>
    </r>
    <r>
      <rPr>
        <vertAlign val="subscript"/>
        <sz val="12"/>
        <rFont val="Arial"/>
        <family val="2"/>
      </rPr>
      <t>XE,NIT</t>
    </r>
  </si>
  <si>
    <r>
      <t>b</t>
    </r>
    <r>
      <rPr>
        <vertAlign val="subscript"/>
        <sz val="12"/>
        <rFont val="Arial"/>
        <family val="2"/>
      </rPr>
      <t>NIT</t>
    </r>
    <r>
      <rPr>
        <sz val="12"/>
        <rFont val="Arial"/>
        <family val="2"/>
      </rPr>
      <t>*</t>
    </r>
    <r>
      <rPr>
        <i/>
        <sz val="12"/>
        <rFont val="Arial"/>
        <family val="2"/>
      </rPr>
      <t>X</t>
    </r>
    <r>
      <rPr>
        <vertAlign val="subscript"/>
        <sz val="12"/>
        <rFont val="Arial"/>
        <family val="2"/>
      </rPr>
      <t>NIT</t>
    </r>
  </si>
  <si>
    <t>r18</t>
  </si>
  <si>
    <r>
      <t>Aerobic growth of X</t>
    </r>
    <r>
      <rPr>
        <b/>
        <vertAlign val="subscript"/>
        <sz val="10"/>
        <rFont val="Arial"/>
        <family val="2"/>
      </rPr>
      <t>PAO</t>
    </r>
    <r>
      <rPr>
        <b/>
        <sz val="10"/>
        <rFont val="Arial"/>
        <family val="2"/>
      </rPr>
      <t xml:space="preserve"> on X</t>
    </r>
    <r>
      <rPr>
        <b/>
        <vertAlign val="subscript"/>
        <sz val="10"/>
        <rFont val="Arial"/>
        <family val="2"/>
      </rPr>
      <t>PHA</t>
    </r>
    <r>
      <rPr>
        <b/>
        <sz val="10"/>
        <rFont val="Arial"/>
        <family val="2"/>
      </rPr>
      <t xml:space="preserve"> with S</t>
    </r>
    <r>
      <rPr>
        <b/>
        <vertAlign val="subscript"/>
        <sz val="10"/>
        <rFont val="Arial"/>
        <family val="2"/>
      </rPr>
      <t>NH4</t>
    </r>
  </si>
  <si>
    <r>
      <t>-(1-</t>
    </r>
    <r>
      <rPr>
        <i/>
        <sz val="12"/>
        <rFont val="Arial"/>
        <family val="2"/>
      </rPr>
      <t>Y</t>
    </r>
    <r>
      <rPr>
        <vertAlign val="subscript"/>
        <sz val="12"/>
        <rFont val="Arial"/>
        <family val="2"/>
      </rPr>
      <t>PAO1</t>
    </r>
    <r>
      <rPr>
        <sz val="12"/>
        <rFont val="Arial"/>
        <family val="2"/>
      </rPr>
      <t>)</t>
    </r>
    <r>
      <rPr>
        <i/>
        <sz val="12"/>
        <rFont val="Arial"/>
        <family val="2"/>
      </rPr>
      <t>/Y</t>
    </r>
    <r>
      <rPr>
        <vertAlign val="subscript"/>
        <sz val="12"/>
        <rFont val="Arial"/>
        <family val="2"/>
      </rPr>
      <t>PAO1</t>
    </r>
  </si>
  <si>
    <r>
      <t>-</t>
    </r>
    <r>
      <rPr>
        <i/>
        <sz val="12"/>
        <rFont val="Arial"/>
        <family val="2"/>
      </rPr>
      <t>Y</t>
    </r>
    <r>
      <rPr>
        <vertAlign val="subscript"/>
        <sz val="12"/>
        <rFont val="Arial"/>
        <family val="2"/>
      </rPr>
      <t>PP1</t>
    </r>
    <r>
      <rPr>
        <i/>
        <sz val="12"/>
        <rFont val="Arial"/>
        <family val="2"/>
      </rPr>
      <t>/Y</t>
    </r>
    <r>
      <rPr>
        <vertAlign val="subscript"/>
        <sz val="12"/>
        <rFont val="Arial"/>
        <family val="2"/>
      </rPr>
      <t>PAO1</t>
    </r>
    <r>
      <rPr>
        <sz val="12"/>
        <rFont val="Arial"/>
        <family val="2"/>
      </rPr>
      <t>-</t>
    </r>
    <r>
      <rPr>
        <i/>
        <sz val="12"/>
        <rFont val="Arial"/>
        <family val="2"/>
      </rPr>
      <t>i</t>
    </r>
    <r>
      <rPr>
        <vertAlign val="subscript"/>
        <sz val="12"/>
        <rFont val="Arial"/>
        <family val="2"/>
      </rPr>
      <t>PBM</t>
    </r>
  </si>
  <si>
    <r>
      <t>Y</t>
    </r>
    <r>
      <rPr>
        <vertAlign val="subscript"/>
        <sz val="12"/>
        <rFont val="Arial"/>
        <family val="2"/>
      </rPr>
      <t>PP1</t>
    </r>
    <r>
      <rPr>
        <i/>
        <sz val="12"/>
        <rFont val="Arial"/>
        <family val="2"/>
      </rPr>
      <t>/Y</t>
    </r>
    <r>
      <rPr>
        <vertAlign val="subscript"/>
        <sz val="12"/>
        <rFont val="Arial"/>
        <family val="2"/>
      </rPr>
      <t>PAO1</t>
    </r>
  </si>
  <si>
    <r>
      <t>-1/</t>
    </r>
    <r>
      <rPr>
        <i/>
        <sz val="12"/>
        <rFont val="Arial"/>
        <family val="2"/>
      </rPr>
      <t>Y</t>
    </r>
    <r>
      <rPr>
        <vertAlign val="subscript"/>
        <sz val="12"/>
        <rFont val="Arial"/>
        <family val="2"/>
      </rPr>
      <t>PAO1</t>
    </r>
  </si>
  <si>
    <t>r19</t>
  </si>
  <si>
    <r>
      <t>Aerobic growth of X</t>
    </r>
    <r>
      <rPr>
        <b/>
        <vertAlign val="subscript"/>
        <sz val="10"/>
        <rFont val="Arial"/>
        <family val="2"/>
      </rPr>
      <t>PAO</t>
    </r>
    <r>
      <rPr>
        <b/>
        <sz val="10"/>
        <rFont val="Arial"/>
        <family val="2"/>
      </rPr>
      <t xml:space="preserve"> on X</t>
    </r>
    <r>
      <rPr>
        <b/>
        <vertAlign val="subscript"/>
        <sz val="10"/>
        <rFont val="Arial"/>
        <family val="2"/>
      </rPr>
      <t>PHA</t>
    </r>
    <r>
      <rPr>
        <b/>
        <sz val="10"/>
        <rFont val="Arial"/>
        <family val="2"/>
      </rPr>
      <t xml:space="preserve"> with S</t>
    </r>
    <r>
      <rPr>
        <b/>
        <vertAlign val="subscript"/>
        <sz val="10"/>
        <rFont val="Arial"/>
        <family val="2"/>
      </rPr>
      <t>NO3</t>
    </r>
  </si>
  <si>
    <r>
      <t>-(1-</t>
    </r>
    <r>
      <rPr>
        <i/>
        <sz val="12"/>
        <rFont val="Arial"/>
        <family val="2"/>
      </rPr>
      <t>Y</t>
    </r>
    <r>
      <rPr>
        <vertAlign val="subscript"/>
        <sz val="12"/>
        <rFont val="Arial"/>
        <family val="2"/>
      </rPr>
      <t>PAO1</t>
    </r>
    <r>
      <rPr>
        <sz val="12"/>
        <rFont val="Arial"/>
        <family val="2"/>
      </rPr>
      <t>)/</t>
    </r>
    <r>
      <rPr>
        <i/>
        <sz val="12"/>
        <rFont val="Arial"/>
        <family val="2"/>
      </rPr>
      <t>Y</t>
    </r>
    <r>
      <rPr>
        <vertAlign val="subscript"/>
        <sz val="12"/>
        <rFont val="Arial"/>
        <family val="2"/>
      </rPr>
      <t>PAO1</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i</t>
    </r>
    <r>
      <rPr>
        <vertAlign val="subscript"/>
        <sz val="12"/>
        <rFont val="Arial"/>
        <family val="2"/>
      </rPr>
      <t>NBM</t>
    </r>
  </si>
  <si>
    <t>r20</t>
  </si>
  <si>
    <r>
      <t>Aerobic growth of X</t>
    </r>
    <r>
      <rPr>
        <b/>
        <vertAlign val="subscript"/>
        <sz val="10"/>
        <rFont val="Arial"/>
        <family val="2"/>
      </rPr>
      <t>PAO</t>
    </r>
    <r>
      <rPr>
        <b/>
        <sz val="10"/>
        <rFont val="Arial"/>
        <family val="2"/>
      </rPr>
      <t xml:space="preserve"> on X</t>
    </r>
    <r>
      <rPr>
        <b/>
        <vertAlign val="subscript"/>
        <sz val="10"/>
        <rFont val="Arial"/>
        <family val="2"/>
      </rPr>
      <t>PHA</t>
    </r>
    <r>
      <rPr>
        <b/>
        <sz val="10"/>
        <rFont val="Arial"/>
        <family val="2"/>
      </rPr>
      <t xml:space="preserve"> with S</t>
    </r>
    <r>
      <rPr>
        <b/>
        <vertAlign val="subscript"/>
        <sz val="10"/>
        <rFont val="Arial"/>
        <family val="2"/>
      </rPr>
      <t xml:space="preserve">NH4 </t>
    </r>
    <r>
      <rPr>
        <b/>
        <sz val="10"/>
        <rFont val="Arial"/>
        <family val="2"/>
      </rPr>
      <t>/ S</t>
    </r>
    <r>
      <rPr>
        <b/>
        <vertAlign val="subscript"/>
        <sz val="10"/>
        <rFont val="Arial"/>
        <family val="2"/>
      </rPr>
      <t>PO4</t>
    </r>
    <r>
      <rPr>
        <b/>
        <sz val="10"/>
        <rFont val="Arial"/>
        <family val="2"/>
      </rPr>
      <t xml:space="preserve"> limited</t>
    </r>
  </si>
  <si>
    <t>r21</t>
  </si>
  <si>
    <r>
      <t>Aerobic growth of X</t>
    </r>
    <r>
      <rPr>
        <b/>
        <vertAlign val="subscript"/>
        <sz val="10"/>
        <rFont val="Arial"/>
        <family val="2"/>
      </rPr>
      <t>PAO</t>
    </r>
    <r>
      <rPr>
        <b/>
        <sz val="10"/>
        <rFont val="Arial"/>
        <family val="2"/>
      </rPr>
      <t xml:space="preserve"> on X</t>
    </r>
    <r>
      <rPr>
        <b/>
        <vertAlign val="subscript"/>
        <sz val="10"/>
        <rFont val="Arial"/>
        <family val="2"/>
      </rPr>
      <t>PHA</t>
    </r>
    <r>
      <rPr>
        <b/>
        <sz val="10"/>
        <rFont val="Arial"/>
        <family val="2"/>
      </rPr>
      <t xml:space="preserve"> with S</t>
    </r>
    <r>
      <rPr>
        <b/>
        <vertAlign val="subscript"/>
        <sz val="10"/>
        <rFont val="Arial"/>
        <family val="2"/>
      </rPr>
      <t xml:space="preserve">NO3 </t>
    </r>
    <r>
      <rPr>
        <b/>
        <sz val="10"/>
        <rFont val="Arial"/>
        <family val="2"/>
      </rPr>
      <t>/ S</t>
    </r>
    <r>
      <rPr>
        <b/>
        <vertAlign val="subscript"/>
        <sz val="10"/>
        <rFont val="Arial"/>
        <family val="2"/>
      </rPr>
      <t>PO4</t>
    </r>
    <r>
      <rPr>
        <b/>
        <sz val="10"/>
        <rFont val="Arial"/>
        <family val="2"/>
      </rPr>
      <t xml:space="preserve"> limited</t>
    </r>
  </si>
  <si>
    <t>r22</t>
  </si>
  <si>
    <r>
      <t>Anoxic growth of X</t>
    </r>
    <r>
      <rPr>
        <b/>
        <vertAlign val="subscript"/>
        <sz val="10"/>
        <rFont val="Arial"/>
        <family val="2"/>
      </rPr>
      <t>PAO</t>
    </r>
    <r>
      <rPr>
        <b/>
        <sz val="10"/>
        <rFont val="Arial"/>
        <family val="2"/>
      </rPr>
      <t xml:space="preserve"> on X</t>
    </r>
    <r>
      <rPr>
        <b/>
        <vertAlign val="subscript"/>
        <sz val="10"/>
        <rFont val="Arial"/>
        <family val="2"/>
      </rPr>
      <t>PHA</t>
    </r>
    <r>
      <rPr>
        <b/>
        <sz val="10"/>
        <rFont val="Arial"/>
        <family val="2"/>
      </rPr>
      <t xml:space="preserve"> with S</t>
    </r>
    <r>
      <rPr>
        <b/>
        <vertAlign val="subscript"/>
        <sz val="10"/>
        <rFont val="Arial"/>
        <family val="2"/>
      </rPr>
      <t>NH4</t>
    </r>
  </si>
  <si>
    <r>
      <t>-(1-</t>
    </r>
    <r>
      <rPr>
        <i/>
        <sz val="12"/>
        <rFont val="Arial"/>
        <family val="2"/>
      </rPr>
      <t>Y</t>
    </r>
    <r>
      <rPr>
        <vertAlign val="subscript"/>
        <sz val="12"/>
        <rFont val="Arial"/>
        <family val="2"/>
      </rPr>
      <t>PAO2</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PAO2</t>
    </r>
    <r>
      <rPr>
        <sz val="12"/>
        <rFont val="Arial"/>
        <family val="2"/>
      </rPr>
      <t>)</t>
    </r>
  </si>
  <si>
    <r>
      <t>-</t>
    </r>
    <r>
      <rPr>
        <i/>
        <sz val="12"/>
        <rFont val="Arial"/>
        <family val="2"/>
      </rPr>
      <t>Y</t>
    </r>
    <r>
      <rPr>
        <vertAlign val="subscript"/>
        <sz val="12"/>
        <rFont val="Arial"/>
        <family val="2"/>
      </rPr>
      <t>PP2</t>
    </r>
    <r>
      <rPr>
        <i/>
        <sz val="12"/>
        <rFont val="Arial"/>
        <family val="2"/>
      </rPr>
      <t>/Y</t>
    </r>
    <r>
      <rPr>
        <vertAlign val="subscript"/>
        <sz val="12"/>
        <rFont val="Arial"/>
        <family val="2"/>
      </rPr>
      <t>PAO2</t>
    </r>
    <r>
      <rPr>
        <sz val="12"/>
        <rFont val="Arial"/>
        <family val="2"/>
      </rPr>
      <t>-</t>
    </r>
    <r>
      <rPr>
        <i/>
        <sz val="12"/>
        <rFont val="Arial"/>
        <family val="2"/>
      </rPr>
      <t>i</t>
    </r>
    <r>
      <rPr>
        <vertAlign val="subscript"/>
        <sz val="12"/>
        <rFont val="Arial"/>
        <family val="2"/>
      </rPr>
      <t>PBM</t>
    </r>
  </si>
  <si>
    <r>
      <t>Y</t>
    </r>
    <r>
      <rPr>
        <vertAlign val="subscript"/>
        <sz val="12"/>
        <rFont val="Arial"/>
        <family val="2"/>
      </rPr>
      <t>PP2</t>
    </r>
    <r>
      <rPr>
        <i/>
        <sz val="12"/>
        <rFont val="Arial"/>
        <family val="2"/>
      </rPr>
      <t>/Y</t>
    </r>
    <r>
      <rPr>
        <vertAlign val="subscript"/>
        <sz val="12"/>
        <rFont val="Arial"/>
        <family val="2"/>
      </rPr>
      <t>PAO2</t>
    </r>
  </si>
  <si>
    <r>
      <t>-1/</t>
    </r>
    <r>
      <rPr>
        <i/>
        <sz val="12"/>
        <rFont val="Arial"/>
        <family val="2"/>
      </rPr>
      <t>Y</t>
    </r>
    <r>
      <rPr>
        <vertAlign val="subscript"/>
        <sz val="12"/>
        <rFont val="Arial"/>
        <family val="2"/>
      </rPr>
      <t>PAO2</t>
    </r>
  </si>
  <si>
    <r>
      <t>(1-</t>
    </r>
    <r>
      <rPr>
        <i/>
        <sz val="12"/>
        <rFont val="Arial"/>
        <family val="2"/>
      </rPr>
      <t>Y</t>
    </r>
    <r>
      <rPr>
        <vertAlign val="subscript"/>
        <sz val="12"/>
        <rFont val="Arial"/>
        <family val="2"/>
      </rPr>
      <t>PAO2</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PAO2</t>
    </r>
    <r>
      <rPr>
        <sz val="12"/>
        <rFont val="Arial"/>
        <family val="2"/>
      </rPr>
      <t>)</t>
    </r>
  </si>
  <si>
    <t>r23</t>
  </si>
  <si>
    <r>
      <t>Anoxic growth of X</t>
    </r>
    <r>
      <rPr>
        <b/>
        <vertAlign val="subscript"/>
        <sz val="10"/>
        <rFont val="Arial"/>
        <family val="2"/>
      </rPr>
      <t>PAO</t>
    </r>
    <r>
      <rPr>
        <b/>
        <sz val="10"/>
        <rFont val="Arial"/>
        <family val="2"/>
      </rPr>
      <t xml:space="preserve"> on X</t>
    </r>
    <r>
      <rPr>
        <b/>
        <vertAlign val="subscript"/>
        <sz val="10"/>
        <rFont val="Arial"/>
        <family val="2"/>
      </rPr>
      <t>PHA</t>
    </r>
    <r>
      <rPr>
        <b/>
        <sz val="10"/>
        <rFont val="Arial"/>
        <family val="2"/>
      </rPr>
      <t xml:space="preserve"> with S</t>
    </r>
    <r>
      <rPr>
        <b/>
        <vertAlign val="subscript"/>
        <sz val="10"/>
        <rFont val="Arial"/>
        <family val="2"/>
      </rPr>
      <t>N03</t>
    </r>
  </si>
  <si>
    <r>
      <t>-(1-</t>
    </r>
    <r>
      <rPr>
        <i/>
        <sz val="12"/>
        <rFont val="Arial"/>
        <family val="2"/>
      </rPr>
      <t>Y</t>
    </r>
    <r>
      <rPr>
        <vertAlign val="subscript"/>
        <sz val="12"/>
        <rFont val="Arial"/>
        <family val="2"/>
      </rPr>
      <t>PAO2</t>
    </r>
    <r>
      <rPr>
        <sz val="12"/>
        <rFont val="Arial"/>
        <family val="2"/>
      </rPr>
      <t>)/(</t>
    </r>
    <r>
      <rPr>
        <i/>
        <sz val="12"/>
        <rFont val="Arial"/>
        <family val="2"/>
      </rPr>
      <t>i</t>
    </r>
    <r>
      <rPr>
        <vertAlign val="subscript"/>
        <sz val="12"/>
        <rFont val="Arial"/>
        <family val="2"/>
      </rPr>
      <t>NO3,N2</t>
    </r>
    <r>
      <rPr>
        <sz val="12"/>
        <rFont val="Arial"/>
        <family val="2"/>
      </rPr>
      <t>*</t>
    </r>
    <r>
      <rPr>
        <i/>
        <sz val="12"/>
        <rFont val="Arial"/>
        <family val="2"/>
      </rPr>
      <t>Y</t>
    </r>
    <r>
      <rPr>
        <vertAlign val="subscript"/>
        <sz val="12"/>
        <rFont val="Arial"/>
        <family val="2"/>
      </rPr>
      <t>PAO2</t>
    </r>
    <r>
      <rPr>
        <sz val="12"/>
        <rFont val="Arial"/>
        <family val="2"/>
      </rPr>
      <t>)-</t>
    </r>
    <r>
      <rPr>
        <i/>
        <sz val="12"/>
        <rFont val="Arial"/>
        <family val="2"/>
      </rPr>
      <t>i</t>
    </r>
    <r>
      <rPr>
        <vertAlign val="subscript"/>
        <sz val="12"/>
        <rFont val="Arial"/>
        <family val="2"/>
      </rPr>
      <t>NBM</t>
    </r>
  </si>
  <si>
    <r>
      <t>-1/</t>
    </r>
    <r>
      <rPr>
        <i/>
        <sz val="12"/>
        <rFont val="Arial"/>
        <family val="2"/>
      </rPr>
      <t>Y</t>
    </r>
    <r>
      <rPr>
        <vertAlign val="subscript"/>
        <sz val="12"/>
        <rFont val="Arial"/>
        <family val="2"/>
      </rPr>
      <t>PAO2</t>
    </r>
    <r>
      <rPr>
        <sz val="12"/>
        <rFont val="Arial"/>
        <family val="2"/>
      </rPr>
      <t>+</t>
    </r>
    <r>
      <rPr>
        <i/>
        <sz val="12"/>
        <rFont val="Arial"/>
        <family val="2"/>
      </rPr>
      <t>i</t>
    </r>
    <r>
      <rPr>
        <vertAlign val="subscript"/>
        <sz val="12"/>
        <rFont val="Arial"/>
        <family val="2"/>
      </rPr>
      <t>COD_NO3</t>
    </r>
    <r>
      <rPr>
        <sz val="12"/>
        <rFont val="Arial"/>
        <family val="2"/>
      </rPr>
      <t>*</t>
    </r>
    <r>
      <rPr>
        <i/>
        <sz val="12"/>
        <rFont val="Arial"/>
        <family val="2"/>
      </rPr>
      <t>i</t>
    </r>
    <r>
      <rPr>
        <vertAlign val="subscript"/>
        <sz val="12"/>
        <rFont val="Arial"/>
        <family val="2"/>
      </rPr>
      <t>NBM</t>
    </r>
  </si>
  <si>
    <t>r24</t>
  </si>
  <si>
    <r>
      <t>Aerobic decay of X</t>
    </r>
    <r>
      <rPr>
        <b/>
        <vertAlign val="subscript"/>
        <sz val="10"/>
        <rFont val="Arial"/>
        <family val="2"/>
      </rPr>
      <t>PAO</t>
    </r>
  </si>
  <si>
    <r>
      <t>-(1-</t>
    </r>
    <r>
      <rPr>
        <i/>
        <sz val="12"/>
        <rFont val="Arial"/>
        <family val="2"/>
      </rPr>
      <t>f</t>
    </r>
    <r>
      <rPr>
        <vertAlign val="subscript"/>
        <sz val="12"/>
        <rFont val="Arial"/>
        <family val="2"/>
      </rPr>
      <t>XE,PAO</t>
    </r>
    <r>
      <rPr>
        <i/>
        <sz val="12"/>
        <rFont val="Arial"/>
        <family val="2"/>
      </rPr>
      <t>-f</t>
    </r>
    <r>
      <rPr>
        <vertAlign val="subscript"/>
        <sz val="12"/>
        <rFont val="Arial"/>
        <family val="2"/>
      </rPr>
      <t>SI,PAO</t>
    </r>
    <r>
      <rPr>
        <sz val="12"/>
        <rFont val="Arial"/>
        <family val="2"/>
      </rPr>
      <t>)</t>
    </r>
  </si>
  <si>
    <r>
      <t>i</t>
    </r>
    <r>
      <rPr>
        <vertAlign val="subscript"/>
        <sz val="12"/>
        <rFont val="Arial"/>
        <family val="2"/>
      </rPr>
      <t>NBM</t>
    </r>
    <r>
      <rPr>
        <i/>
        <sz val="12"/>
        <rFont val="Arial"/>
        <family val="2"/>
      </rPr>
      <t>-f</t>
    </r>
    <r>
      <rPr>
        <vertAlign val="subscript"/>
        <sz val="12"/>
        <rFont val="Arial"/>
        <family val="2"/>
      </rPr>
      <t>XE,PAO</t>
    </r>
    <r>
      <rPr>
        <sz val="12"/>
        <rFont val="Arial"/>
        <family val="2"/>
      </rPr>
      <t>*</t>
    </r>
    <r>
      <rPr>
        <i/>
        <sz val="12"/>
        <rFont val="Arial"/>
        <family val="2"/>
      </rPr>
      <t>i</t>
    </r>
    <r>
      <rPr>
        <vertAlign val="subscript"/>
        <sz val="12"/>
        <rFont val="Arial"/>
        <family val="2"/>
      </rPr>
      <t>NXE</t>
    </r>
    <r>
      <rPr>
        <sz val="12"/>
        <rFont val="Arial"/>
        <family val="2"/>
      </rPr>
      <t>-</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NSI</t>
    </r>
  </si>
  <si>
    <r>
      <t>i</t>
    </r>
    <r>
      <rPr>
        <vertAlign val="subscript"/>
        <sz val="12"/>
        <rFont val="Arial"/>
        <family val="2"/>
      </rPr>
      <t>PBM</t>
    </r>
    <r>
      <rPr>
        <i/>
        <sz val="12"/>
        <rFont val="Arial"/>
        <family val="2"/>
      </rPr>
      <t>-f</t>
    </r>
    <r>
      <rPr>
        <vertAlign val="subscript"/>
        <sz val="12"/>
        <rFont val="Arial"/>
        <family val="2"/>
      </rPr>
      <t>XE,PAO</t>
    </r>
    <r>
      <rPr>
        <sz val="12"/>
        <rFont val="Arial"/>
        <family val="2"/>
      </rPr>
      <t>*</t>
    </r>
    <r>
      <rPr>
        <i/>
        <sz val="12"/>
        <rFont val="Arial"/>
        <family val="2"/>
      </rPr>
      <t>i</t>
    </r>
    <r>
      <rPr>
        <vertAlign val="subscript"/>
        <sz val="12"/>
        <rFont val="Arial"/>
        <family val="2"/>
      </rPr>
      <t>PXE</t>
    </r>
    <r>
      <rPr>
        <sz val="12"/>
        <rFont val="Arial"/>
        <family val="2"/>
      </rPr>
      <t>-</t>
    </r>
    <r>
      <rPr>
        <i/>
        <sz val="12"/>
        <rFont val="Arial"/>
        <family val="2"/>
      </rPr>
      <t>f</t>
    </r>
    <r>
      <rPr>
        <vertAlign val="subscript"/>
        <sz val="12"/>
        <rFont val="Arial"/>
        <family val="2"/>
      </rPr>
      <t>SI,PAO</t>
    </r>
    <r>
      <rPr>
        <b/>
        <sz val="12"/>
        <rFont val="Arial"/>
        <family val="2"/>
      </rPr>
      <t>*</t>
    </r>
    <r>
      <rPr>
        <i/>
        <sz val="12"/>
        <rFont val="Arial"/>
        <family val="2"/>
      </rPr>
      <t>i</t>
    </r>
    <r>
      <rPr>
        <vertAlign val="subscript"/>
        <sz val="12"/>
        <rFont val="Arial"/>
        <family val="2"/>
      </rPr>
      <t>PSI</t>
    </r>
  </si>
  <si>
    <t>r25</t>
  </si>
  <si>
    <t>PP lysis on aerobic decay</t>
  </si>
  <si>
    <t>r26</t>
  </si>
  <si>
    <t>PHA lysis on aerobic decay</t>
  </si>
  <si>
    <r>
      <t>-</t>
    </r>
    <r>
      <rPr>
        <i/>
        <sz val="12"/>
        <rFont val="Arial"/>
        <family val="2"/>
      </rPr>
      <t>i</t>
    </r>
    <r>
      <rPr>
        <vertAlign val="subscript"/>
        <sz val="12"/>
        <rFont val="Arial"/>
        <family val="2"/>
      </rPr>
      <t>NENM</t>
    </r>
  </si>
  <si>
    <r>
      <t>-</t>
    </r>
    <r>
      <rPr>
        <i/>
        <sz val="12"/>
        <rFont val="Arial"/>
        <family val="2"/>
      </rPr>
      <t>i</t>
    </r>
    <r>
      <rPr>
        <vertAlign val="subscript"/>
        <sz val="12"/>
        <rFont val="Arial"/>
        <family val="2"/>
      </rPr>
      <t>PENM</t>
    </r>
  </si>
  <si>
    <t>r27</t>
  </si>
  <si>
    <r>
      <t>Anoxic decay of X</t>
    </r>
    <r>
      <rPr>
        <b/>
        <vertAlign val="subscript"/>
        <sz val="10"/>
        <rFont val="Arial"/>
        <family val="2"/>
      </rPr>
      <t>PAO</t>
    </r>
  </si>
  <si>
    <r>
      <t>i</t>
    </r>
    <r>
      <rPr>
        <vertAlign val="subscript"/>
        <sz val="12"/>
        <rFont val="Arial"/>
        <family val="2"/>
      </rPr>
      <t>NBM</t>
    </r>
    <r>
      <rPr>
        <i/>
        <sz val="12"/>
        <rFont val="Arial"/>
        <family val="2"/>
      </rPr>
      <t>-f</t>
    </r>
    <r>
      <rPr>
        <vertAlign val="subscript"/>
        <sz val="12"/>
        <rFont val="Arial"/>
        <family val="2"/>
      </rPr>
      <t>XE,PAO</t>
    </r>
    <r>
      <rPr>
        <i/>
        <sz val="12"/>
        <rFont val="Arial"/>
        <family val="2"/>
      </rPr>
      <t>*i</t>
    </r>
    <r>
      <rPr>
        <vertAlign val="subscript"/>
        <sz val="12"/>
        <rFont val="Arial"/>
        <family val="2"/>
      </rPr>
      <t>NXE</t>
    </r>
    <r>
      <rPr>
        <i/>
        <sz val="12"/>
        <rFont val="Arial"/>
        <family val="2"/>
      </rPr>
      <t>-f</t>
    </r>
    <r>
      <rPr>
        <vertAlign val="subscript"/>
        <sz val="12"/>
        <rFont val="Arial"/>
        <family val="2"/>
      </rPr>
      <t>SI,PAO</t>
    </r>
    <r>
      <rPr>
        <i/>
        <sz val="12"/>
        <rFont val="Arial"/>
        <family val="2"/>
      </rPr>
      <t>*i</t>
    </r>
    <r>
      <rPr>
        <vertAlign val="subscript"/>
        <sz val="12"/>
        <rFont val="Arial"/>
        <family val="2"/>
      </rPr>
      <t>NSI</t>
    </r>
    <r>
      <rPr>
        <i/>
        <sz val="12"/>
        <rFont val="Arial"/>
        <family val="2"/>
      </rPr>
      <t>-i</t>
    </r>
    <r>
      <rPr>
        <vertAlign val="subscript"/>
        <sz val="12"/>
        <rFont val="Arial"/>
        <family val="2"/>
      </rPr>
      <t>NENM</t>
    </r>
    <r>
      <rPr>
        <i/>
        <sz val="12"/>
        <rFont val="Arial"/>
        <family val="2"/>
      </rPr>
      <t>*</t>
    </r>
    <r>
      <rPr>
        <sz val="12"/>
        <rFont val="Arial"/>
        <family val="2"/>
      </rPr>
      <t>(1</t>
    </r>
    <r>
      <rPr>
        <i/>
        <sz val="12"/>
        <rFont val="Arial"/>
        <family val="2"/>
      </rPr>
      <t>-η</t>
    </r>
    <r>
      <rPr>
        <vertAlign val="subscript"/>
        <sz val="12"/>
        <rFont val="Arial"/>
        <family val="2"/>
      </rPr>
      <t>PAO</t>
    </r>
    <r>
      <rPr>
        <sz val="12"/>
        <rFont val="Arial"/>
        <family val="2"/>
      </rPr>
      <t>)*(1-</t>
    </r>
    <r>
      <rPr>
        <i/>
        <sz val="12"/>
        <rFont val="Arial"/>
        <family val="2"/>
      </rPr>
      <t>f</t>
    </r>
    <r>
      <rPr>
        <vertAlign val="subscript"/>
        <sz val="12"/>
        <rFont val="Arial"/>
        <family val="2"/>
      </rPr>
      <t>XE,PAO</t>
    </r>
    <r>
      <rPr>
        <i/>
        <sz val="12"/>
        <rFont val="Arial"/>
        <family val="2"/>
      </rPr>
      <t>-f</t>
    </r>
    <r>
      <rPr>
        <vertAlign val="subscript"/>
        <sz val="12"/>
        <rFont val="Arial"/>
        <family val="2"/>
      </rPr>
      <t>SI,PAO</t>
    </r>
    <r>
      <rPr>
        <sz val="12"/>
        <rFont val="Arial"/>
        <family val="2"/>
      </rPr>
      <t>)</t>
    </r>
  </si>
  <si>
    <r>
      <t>-</t>
    </r>
    <r>
      <rPr>
        <i/>
        <sz val="12"/>
        <rFont val="Arial"/>
        <family val="2"/>
      </rPr>
      <t>η</t>
    </r>
    <r>
      <rPr>
        <vertAlign val="subscript"/>
        <sz val="12"/>
        <rFont val="Arial"/>
        <family val="2"/>
      </rPr>
      <t>PAO</t>
    </r>
    <r>
      <rPr>
        <sz val="12"/>
        <rFont val="Arial"/>
        <family val="2"/>
      </rPr>
      <t>*(1-</t>
    </r>
    <r>
      <rPr>
        <i/>
        <sz val="12"/>
        <rFont val="Arial"/>
        <family val="2"/>
      </rPr>
      <t>f</t>
    </r>
    <r>
      <rPr>
        <vertAlign val="subscript"/>
        <sz val="12"/>
        <rFont val="Arial"/>
        <family val="2"/>
      </rPr>
      <t>XE,PAO</t>
    </r>
    <r>
      <rPr>
        <sz val="12"/>
        <rFont val="Arial"/>
        <family val="2"/>
      </rPr>
      <t>-</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NO3,N2</t>
    </r>
  </si>
  <si>
    <r>
      <t>i</t>
    </r>
    <r>
      <rPr>
        <vertAlign val="subscript"/>
        <sz val="12"/>
        <rFont val="Arial"/>
        <family val="2"/>
      </rPr>
      <t>PBM</t>
    </r>
    <r>
      <rPr>
        <i/>
        <sz val="12"/>
        <rFont val="Arial"/>
        <family val="2"/>
      </rPr>
      <t>-f</t>
    </r>
    <r>
      <rPr>
        <vertAlign val="subscript"/>
        <sz val="12"/>
        <rFont val="Arial"/>
        <family val="2"/>
      </rPr>
      <t>XE,PAO</t>
    </r>
    <r>
      <rPr>
        <i/>
        <sz val="12"/>
        <rFont val="Arial"/>
        <family val="2"/>
      </rPr>
      <t>*i</t>
    </r>
    <r>
      <rPr>
        <vertAlign val="subscript"/>
        <sz val="12"/>
        <rFont val="Arial"/>
        <family val="2"/>
      </rPr>
      <t>PXE</t>
    </r>
    <r>
      <rPr>
        <i/>
        <sz val="12"/>
        <rFont val="Arial"/>
        <family val="2"/>
      </rPr>
      <t>-f</t>
    </r>
    <r>
      <rPr>
        <vertAlign val="subscript"/>
        <sz val="12"/>
        <rFont val="Arial"/>
        <family val="2"/>
      </rPr>
      <t>SI,PAO</t>
    </r>
    <r>
      <rPr>
        <i/>
        <sz val="12"/>
        <rFont val="Arial"/>
        <family val="2"/>
      </rPr>
      <t>*i</t>
    </r>
    <r>
      <rPr>
        <vertAlign val="subscript"/>
        <sz val="12"/>
        <rFont val="Arial"/>
        <family val="2"/>
      </rPr>
      <t>PSI</t>
    </r>
    <r>
      <rPr>
        <sz val="12"/>
        <rFont val="Arial"/>
        <family val="2"/>
      </rPr>
      <t>-(1-</t>
    </r>
    <r>
      <rPr>
        <i/>
        <sz val="12"/>
        <rFont val="Arial"/>
        <family val="2"/>
      </rPr>
      <t>η</t>
    </r>
    <r>
      <rPr>
        <vertAlign val="subscript"/>
        <sz val="12"/>
        <rFont val="Arial"/>
        <family val="2"/>
      </rPr>
      <t>PAO</t>
    </r>
    <r>
      <rPr>
        <sz val="12"/>
        <rFont val="Arial"/>
        <family val="2"/>
      </rPr>
      <t>)*(1-</t>
    </r>
    <r>
      <rPr>
        <i/>
        <sz val="12"/>
        <rFont val="Arial"/>
        <family val="2"/>
      </rPr>
      <t>f</t>
    </r>
    <r>
      <rPr>
        <vertAlign val="subscript"/>
        <sz val="12"/>
        <rFont val="Arial"/>
        <family val="2"/>
      </rPr>
      <t>XE,PAO</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PENM</t>
    </r>
  </si>
  <si>
    <r>
      <t>(1-</t>
    </r>
    <r>
      <rPr>
        <i/>
        <sz val="12"/>
        <rFont val="Arial"/>
        <family val="2"/>
      </rPr>
      <t>η</t>
    </r>
    <r>
      <rPr>
        <vertAlign val="subscript"/>
        <sz val="12"/>
        <rFont val="Arial"/>
        <family val="2"/>
      </rPr>
      <t>PAO</t>
    </r>
    <r>
      <rPr>
        <sz val="12"/>
        <rFont val="Arial"/>
        <family val="2"/>
      </rPr>
      <t>)*(1-</t>
    </r>
    <r>
      <rPr>
        <i/>
        <sz val="12"/>
        <rFont val="Arial"/>
        <family val="2"/>
      </rPr>
      <t>f</t>
    </r>
    <r>
      <rPr>
        <vertAlign val="subscript"/>
        <sz val="12"/>
        <rFont val="Arial"/>
        <family val="2"/>
      </rPr>
      <t>XE,PAO</t>
    </r>
    <r>
      <rPr>
        <sz val="12"/>
        <rFont val="Arial"/>
        <family val="2"/>
      </rPr>
      <t>-</t>
    </r>
    <r>
      <rPr>
        <i/>
        <sz val="12"/>
        <rFont val="Arial"/>
        <family val="2"/>
      </rPr>
      <t>f</t>
    </r>
    <r>
      <rPr>
        <vertAlign val="subscript"/>
        <sz val="12"/>
        <rFont val="Arial"/>
        <family val="2"/>
      </rPr>
      <t>SI,PAO</t>
    </r>
    <r>
      <rPr>
        <sz val="12"/>
        <rFont val="Arial"/>
        <family val="2"/>
      </rPr>
      <t>)</t>
    </r>
  </si>
  <si>
    <r>
      <t>η</t>
    </r>
    <r>
      <rPr>
        <vertAlign val="subscript"/>
        <sz val="12"/>
        <rFont val="Arial"/>
        <family val="2"/>
      </rPr>
      <t>PAO</t>
    </r>
    <r>
      <rPr>
        <i/>
        <sz val="12"/>
        <rFont val="Arial"/>
        <family val="2"/>
      </rPr>
      <t>*</t>
    </r>
    <r>
      <rPr>
        <sz val="12"/>
        <rFont val="Arial"/>
        <family val="2"/>
      </rPr>
      <t>(1-</t>
    </r>
    <r>
      <rPr>
        <i/>
        <sz val="12"/>
        <rFont val="Arial"/>
        <family val="2"/>
      </rPr>
      <t>f</t>
    </r>
    <r>
      <rPr>
        <vertAlign val="subscript"/>
        <sz val="12"/>
        <rFont val="Arial"/>
        <family val="2"/>
      </rPr>
      <t>XE,PAO</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NO3,N2</t>
    </r>
  </si>
  <si>
    <t>r28</t>
  </si>
  <si>
    <t>PP lysis on anoxic decay</t>
  </si>
  <si>
    <t>r29</t>
  </si>
  <si>
    <t>PHA lysis on anoxic decay</t>
  </si>
  <si>
    <t>r30</t>
  </si>
  <si>
    <r>
      <t>Anaerobic decay of X</t>
    </r>
    <r>
      <rPr>
        <b/>
        <vertAlign val="subscript"/>
        <sz val="10"/>
        <rFont val="Arial"/>
        <family val="2"/>
      </rPr>
      <t>PAO</t>
    </r>
  </si>
  <si>
    <r>
      <t>i</t>
    </r>
    <r>
      <rPr>
        <vertAlign val="subscript"/>
        <sz val="12"/>
        <rFont val="Arial"/>
        <family val="2"/>
      </rPr>
      <t>NBM</t>
    </r>
    <r>
      <rPr>
        <i/>
        <sz val="12"/>
        <rFont val="Arial"/>
        <family val="2"/>
      </rPr>
      <t>-f</t>
    </r>
    <r>
      <rPr>
        <vertAlign val="subscript"/>
        <sz val="12"/>
        <rFont val="Arial"/>
        <family val="2"/>
      </rPr>
      <t>XE,PAO</t>
    </r>
    <r>
      <rPr>
        <sz val="12"/>
        <rFont val="Arial"/>
        <family val="2"/>
      </rPr>
      <t>*</t>
    </r>
    <r>
      <rPr>
        <i/>
        <sz val="12"/>
        <rFont val="Arial"/>
        <family val="2"/>
      </rPr>
      <t>i</t>
    </r>
    <r>
      <rPr>
        <vertAlign val="subscript"/>
        <sz val="12"/>
        <rFont val="Arial"/>
        <family val="2"/>
      </rPr>
      <t>NXE</t>
    </r>
    <r>
      <rPr>
        <sz val="12"/>
        <rFont val="Arial"/>
        <family val="2"/>
      </rPr>
      <t>-</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NSI</t>
    </r>
    <r>
      <rPr>
        <sz val="12"/>
        <rFont val="Arial"/>
        <family val="2"/>
      </rPr>
      <t>-</t>
    </r>
    <r>
      <rPr>
        <i/>
        <sz val="12"/>
        <rFont val="Arial"/>
        <family val="2"/>
      </rPr>
      <t>i</t>
    </r>
    <r>
      <rPr>
        <vertAlign val="subscript"/>
        <sz val="12"/>
        <rFont val="Arial"/>
        <family val="2"/>
      </rPr>
      <t>NENM</t>
    </r>
    <r>
      <rPr>
        <sz val="12"/>
        <rFont val="Arial"/>
        <family val="2"/>
      </rPr>
      <t>*(1-</t>
    </r>
    <r>
      <rPr>
        <i/>
        <sz val="12"/>
        <rFont val="Arial"/>
        <family val="2"/>
      </rPr>
      <t>f</t>
    </r>
    <r>
      <rPr>
        <vertAlign val="subscript"/>
        <sz val="12"/>
        <rFont val="Arial"/>
        <family val="2"/>
      </rPr>
      <t>XE,PAO</t>
    </r>
    <r>
      <rPr>
        <sz val="12"/>
        <rFont val="Arial"/>
        <family val="2"/>
      </rPr>
      <t>-</t>
    </r>
    <r>
      <rPr>
        <i/>
        <sz val="12"/>
        <rFont val="Arial"/>
        <family val="2"/>
      </rPr>
      <t>f</t>
    </r>
    <r>
      <rPr>
        <vertAlign val="subscript"/>
        <sz val="12"/>
        <rFont val="Arial"/>
        <family val="2"/>
      </rPr>
      <t>SI,PAO</t>
    </r>
    <r>
      <rPr>
        <sz val="12"/>
        <rFont val="Arial"/>
        <family val="2"/>
      </rPr>
      <t>)</t>
    </r>
  </si>
  <si>
    <r>
      <t>i</t>
    </r>
    <r>
      <rPr>
        <vertAlign val="subscript"/>
        <sz val="12"/>
        <rFont val="Arial"/>
        <family val="2"/>
      </rPr>
      <t>PBM</t>
    </r>
    <r>
      <rPr>
        <i/>
        <sz val="12"/>
        <rFont val="Arial"/>
        <family val="2"/>
      </rPr>
      <t>-f</t>
    </r>
    <r>
      <rPr>
        <vertAlign val="subscript"/>
        <sz val="12"/>
        <rFont val="Arial"/>
        <family val="2"/>
      </rPr>
      <t>XE,PAO</t>
    </r>
    <r>
      <rPr>
        <sz val="12"/>
        <rFont val="Arial"/>
        <family val="2"/>
      </rPr>
      <t>*</t>
    </r>
    <r>
      <rPr>
        <i/>
        <sz val="12"/>
        <rFont val="Arial"/>
        <family val="2"/>
      </rPr>
      <t>i</t>
    </r>
    <r>
      <rPr>
        <vertAlign val="subscript"/>
        <sz val="12"/>
        <rFont val="Arial"/>
        <family val="2"/>
      </rPr>
      <t>PXE</t>
    </r>
    <r>
      <rPr>
        <sz val="12"/>
        <rFont val="Arial"/>
        <family val="2"/>
      </rPr>
      <t>-</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PSI</t>
    </r>
    <r>
      <rPr>
        <sz val="12"/>
        <rFont val="Arial"/>
        <family val="2"/>
      </rPr>
      <t>-(1-</t>
    </r>
    <r>
      <rPr>
        <i/>
        <sz val="12"/>
        <rFont val="Arial"/>
        <family val="2"/>
      </rPr>
      <t>f</t>
    </r>
    <r>
      <rPr>
        <vertAlign val="subscript"/>
        <sz val="12"/>
        <rFont val="Arial"/>
        <family val="2"/>
      </rPr>
      <t>XE,PAO</t>
    </r>
    <r>
      <rPr>
        <sz val="12"/>
        <rFont val="Arial"/>
        <family val="2"/>
      </rPr>
      <t>-</t>
    </r>
    <r>
      <rPr>
        <i/>
        <sz val="12"/>
        <rFont val="Arial"/>
        <family val="2"/>
      </rPr>
      <t>f</t>
    </r>
    <r>
      <rPr>
        <vertAlign val="subscript"/>
        <sz val="12"/>
        <rFont val="Arial"/>
        <family val="2"/>
      </rPr>
      <t>SI,PAO</t>
    </r>
    <r>
      <rPr>
        <sz val="12"/>
        <rFont val="Arial"/>
        <family val="2"/>
      </rPr>
      <t>)*</t>
    </r>
    <r>
      <rPr>
        <i/>
        <sz val="12"/>
        <rFont val="Arial"/>
        <family val="2"/>
      </rPr>
      <t>i</t>
    </r>
    <r>
      <rPr>
        <vertAlign val="subscript"/>
        <sz val="12"/>
        <rFont val="Arial"/>
        <family val="2"/>
      </rPr>
      <t>PENM</t>
    </r>
  </si>
  <si>
    <r>
      <t>1-</t>
    </r>
    <r>
      <rPr>
        <i/>
        <sz val="12"/>
        <rFont val="Arial"/>
        <family val="2"/>
      </rPr>
      <t>f</t>
    </r>
    <r>
      <rPr>
        <vertAlign val="subscript"/>
        <sz val="12"/>
        <rFont val="Arial"/>
        <family val="2"/>
      </rPr>
      <t>XE,PAO</t>
    </r>
    <r>
      <rPr>
        <i/>
        <sz val="12"/>
        <rFont val="Arial"/>
        <family val="2"/>
      </rPr>
      <t>-f</t>
    </r>
    <r>
      <rPr>
        <vertAlign val="subscript"/>
        <sz val="12"/>
        <rFont val="Arial"/>
        <family val="2"/>
      </rPr>
      <t>SI,PAO</t>
    </r>
  </si>
  <si>
    <t>r31</t>
  </si>
  <si>
    <t>PP lysis on anaerobic decay</t>
  </si>
  <si>
    <t>r32</t>
  </si>
  <si>
    <t>PHA lysis on anaerobic decay</t>
  </si>
  <si>
    <t>r33</t>
  </si>
  <si>
    <r>
      <t>Cleavage of X</t>
    </r>
    <r>
      <rPr>
        <b/>
        <vertAlign val="subscript"/>
        <sz val="10"/>
        <rFont val="Arial"/>
        <family val="2"/>
      </rPr>
      <t>PP</t>
    </r>
    <r>
      <rPr>
        <b/>
        <sz val="10"/>
        <rFont val="Arial"/>
        <family val="2"/>
      </rPr>
      <t xml:space="preserve"> for anoxic maintenance</t>
    </r>
  </si>
  <si>
    <t>r34</t>
  </si>
  <si>
    <r>
      <t>Cleavage of X</t>
    </r>
    <r>
      <rPr>
        <b/>
        <vertAlign val="subscript"/>
        <sz val="10"/>
        <rFont val="Arial"/>
        <family val="2"/>
      </rPr>
      <t>PP</t>
    </r>
    <r>
      <rPr>
        <b/>
        <sz val="10"/>
        <rFont val="Arial"/>
        <family val="2"/>
      </rPr>
      <t xml:space="preserve"> for anaerobic maintenance</t>
    </r>
  </si>
  <si>
    <t>r35</t>
  </si>
  <si>
    <r>
      <t>Sequestration of S</t>
    </r>
    <r>
      <rPr>
        <b/>
        <vertAlign val="subscript"/>
        <sz val="10"/>
        <rFont val="Arial"/>
        <family val="2"/>
      </rPr>
      <t>A</t>
    </r>
    <r>
      <rPr>
        <b/>
        <sz val="10"/>
        <rFont val="Arial"/>
        <family val="2"/>
      </rPr>
      <t xml:space="preserve"> by X</t>
    </r>
    <r>
      <rPr>
        <b/>
        <vertAlign val="subscript"/>
        <sz val="10"/>
        <rFont val="Arial"/>
        <family val="2"/>
      </rPr>
      <t>PAO</t>
    </r>
  </si>
  <si>
    <r>
      <t>-</t>
    </r>
    <r>
      <rPr>
        <i/>
        <sz val="12"/>
        <rFont val="Arial"/>
        <family val="2"/>
      </rPr>
      <t>Y</t>
    </r>
    <r>
      <rPr>
        <vertAlign val="subscript"/>
        <sz val="12"/>
        <rFont val="Arial"/>
        <family val="2"/>
      </rPr>
      <t>PO4</t>
    </r>
  </si>
  <si>
    <t>N</t>
  </si>
  <si>
    <t>P</t>
  </si>
  <si>
    <r>
      <t>K</t>
    </r>
    <r>
      <rPr>
        <vertAlign val="subscript"/>
        <sz val="12"/>
        <rFont val="Arial"/>
        <family val="2"/>
      </rPr>
      <t>ADS</t>
    </r>
    <r>
      <rPr>
        <sz val="12"/>
        <rFont val="Arial"/>
        <family val="2"/>
      </rPr>
      <t>*</t>
    </r>
    <r>
      <rPr>
        <i/>
        <sz val="12"/>
        <rFont val="Arial"/>
        <family val="2"/>
      </rPr>
      <t>X</t>
    </r>
    <r>
      <rPr>
        <vertAlign val="subscript"/>
        <sz val="12"/>
        <rFont val="Arial"/>
        <family val="2"/>
      </rPr>
      <t>ENM</t>
    </r>
    <r>
      <rPr>
        <sz val="10"/>
        <rFont val="Arial"/>
        <family val="2"/>
      </rPr>
      <t>*</t>
    </r>
    <r>
      <rPr>
        <sz val="12"/>
        <rFont val="Arial"/>
        <family val="2"/>
      </rPr>
      <t>(</t>
    </r>
    <r>
      <rPr>
        <i/>
        <sz val="12"/>
        <rFont val="Arial"/>
        <family val="2"/>
      </rPr>
      <t>f</t>
    </r>
    <r>
      <rPr>
        <vertAlign val="subscript"/>
        <sz val="12"/>
        <rFont val="Arial"/>
        <family val="2"/>
      </rPr>
      <t>MA</t>
    </r>
    <r>
      <rPr>
        <sz val="12"/>
        <rFont val="Arial"/>
        <family val="2"/>
      </rPr>
      <t>-</t>
    </r>
    <r>
      <rPr>
        <i/>
        <sz val="12"/>
        <rFont val="Arial"/>
        <family val="2"/>
      </rPr>
      <t>X</t>
    </r>
    <r>
      <rPr>
        <vertAlign val="subscript"/>
        <sz val="12"/>
        <rFont val="Arial"/>
        <family val="2"/>
      </rPr>
      <t>ADS</t>
    </r>
    <r>
      <rPr>
        <sz val="12"/>
        <rFont val="Arial"/>
        <family val="2"/>
      </rPr>
      <t>/</t>
    </r>
    <r>
      <rPr>
        <i/>
        <sz val="12"/>
        <rFont val="Arial"/>
        <family val="2"/>
      </rPr>
      <t>X</t>
    </r>
    <r>
      <rPr>
        <vertAlign val="subscript"/>
        <sz val="12"/>
        <rFont val="Arial"/>
        <family val="2"/>
      </rPr>
      <t>H</t>
    </r>
    <r>
      <rPr>
        <sz val="12"/>
        <rFont val="Arial"/>
        <family val="2"/>
      </rPr>
      <t>)*</t>
    </r>
    <r>
      <rPr>
        <i/>
        <sz val="12"/>
        <rFont val="Arial"/>
        <family val="2"/>
      </rPr>
      <t>X</t>
    </r>
    <r>
      <rPr>
        <vertAlign val="subscript"/>
        <sz val="12"/>
        <rFont val="Arial"/>
        <family val="2"/>
      </rPr>
      <t>H</t>
    </r>
  </si>
  <si>
    <t>Balances per processes</t>
  </si>
  <si>
    <t>OUR</t>
  </si>
  <si>
    <t>Reactive</t>
  </si>
  <si>
    <t>Volatile suspended solids (VSS)</t>
  </si>
  <si>
    <t>Total suspended solids (TSS)</t>
  </si>
  <si>
    <r>
      <t>X</t>
    </r>
    <r>
      <rPr>
        <vertAlign val="subscript"/>
        <sz val="11"/>
        <color indexed="8"/>
        <rFont val="Calibri"/>
        <family val="2"/>
      </rPr>
      <t>E</t>
    </r>
    <r>
      <rPr>
        <sz val="11"/>
        <color indexed="8"/>
        <rFont val="Calibri"/>
        <family val="2"/>
      </rPr>
      <t>+X</t>
    </r>
    <r>
      <rPr>
        <vertAlign val="subscript"/>
        <sz val="11"/>
        <color indexed="8"/>
        <rFont val="Calibri"/>
        <family val="2"/>
      </rPr>
      <t>I</t>
    </r>
    <r>
      <rPr>
        <sz val="11"/>
        <color indexed="8"/>
        <rFont val="Calibri"/>
        <family val="2"/>
      </rPr>
      <t>+X</t>
    </r>
    <r>
      <rPr>
        <vertAlign val="subscript"/>
        <sz val="11"/>
        <color indexed="8"/>
        <rFont val="Calibri"/>
        <family val="2"/>
      </rPr>
      <t>ADS</t>
    </r>
    <r>
      <rPr>
        <sz val="11"/>
        <color indexed="8"/>
        <rFont val="Calibri"/>
        <family val="2"/>
      </rPr>
      <t>+X</t>
    </r>
    <r>
      <rPr>
        <vertAlign val="subscript"/>
        <sz val="11"/>
        <color indexed="8"/>
        <rFont val="Calibri"/>
        <family val="2"/>
      </rPr>
      <t>ENM</t>
    </r>
    <r>
      <rPr>
        <sz val="11"/>
        <color indexed="8"/>
        <rFont val="Calibri"/>
        <family val="2"/>
      </rPr>
      <t>+X</t>
    </r>
    <r>
      <rPr>
        <vertAlign val="subscript"/>
        <sz val="11"/>
        <color indexed="8"/>
        <rFont val="Calibri"/>
        <family val="2"/>
      </rPr>
      <t>H</t>
    </r>
    <r>
      <rPr>
        <sz val="11"/>
        <color indexed="8"/>
        <rFont val="Calibri"/>
        <family val="2"/>
      </rPr>
      <t>+X</t>
    </r>
    <r>
      <rPr>
        <vertAlign val="subscript"/>
        <sz val="11"/>
        <color indexed="8"/>
        <rFont val="Calibri"/>
        <family val="2"/>
      </rPr>
      <t>PAO</t>
    </r>
    <r>
      <rPr>
        <sz val="11"/>
        <color indexed="8"/>
        <rFont val="Calibri"/>
        <family val="2"/>
      </rPr>
      <t>+X</t>
    </r>
    <r>
      <rPr>
        <vertAlign val="subscript"/>
        <sz val="11"/>
        <color indexed="8"/>
        <rFont val="Calibri"/>
        <family val="2"/>
      </rPr>
      <t>PHA</t>
    </r>
    <r>
      <rPr>
        <sz val="11"/>
        <color indexed="8"/>
        <rFont val="Calibri"/>
        <family val="2"/>
      </rPr>
      <t>+X</t>
    </r>
    <r>
      <rPr>
        <vertAlign val="subscript"/>
        <sz val="11"/>
        <color indexed="8"/>
        <rFont val="Calibri"/>
        <family val="2"/>
      </rPr>
      <t>NIT</t>
    </r>
  </si>
  <si>
    <t>Fermentation product (Volatile Fatty Acids)</t>
  </si>
  <si>
    <t>Decimals</t>
  </si>
  <si>
    <t>Type(Kinetic)</t>
  </si>
  <si>
    <t>Growth and decay of heterotrophic organisms</t>
  </si>
  <si>
    <t>Growth and decay of phosphorus accumulating organisms</t>
  </si>
  <si>
    <t>Growth and decay of autotrophic nitrifying organisms</t>
  </si>
  <si>
    <t>Yields</t>
  </si>
  <si>
    <t>Type(Stoichiometric)</t>
  </si>
  <si>
    <t>Inert fractions</t>
  </si>
  <si>
    <t>Nitrogen and phosphorus contents</t>
  </si>
  <si>
    <t>Electron equivalence and charge balance</t>
  </si>
  <si>
    <t>Calculated variable ratios</t>
  </si>
  <si>
    <r>
      <t>BOD</t>
    </r>
    <r>
      <rPr>
        <vertAlign val="subscript"/>
        <sz val="11"/>
        <rFont val="Calibri"/>
        <family val="2"/>
        <scheme val="minor"/>
      </rPr>
      <t>5</t>
    </r>
    <r>
      <rPr>
        <sz val="11"/>
        <rFont val="Calibri"/>
        <family val="2"/>
        <scheme val="minor"/>
      </rPr>
      <t xml:space="preserve"> to ultimate BOD ratio</t>
    </r>
  </si>
  <si>
    <r>
      <t>gCOD.gCOD</t>
    </r>
    <r>
      <rPr>
        <vertAlign val="superscript"/>
        <sz val="11"/>
        <rFont val="Calibri"/>
        <family val="2"/>
        <scheme val="minor"/>
      </rPr>
      <t>-1</t>
    </r>
  </si>
  <si>
    <t>Uptake rates</t>
  </si>
  <si>
    <t>NUR</t>
  </si>
  <si>
    <t>AUR</t>
  </si>
  <si>
    <t>Oxygen uptake rate (OUR)</t>
  </si>
  <si>
    <t>Ammonia uptake rate (AUR)</t>
  </si>
  <si>
    <r>
      <t>g.m</t>
    </r>
    <r>
      <rPr>
        <vertAlign val="superscript"/>
        <sz val="11"/>
        <rFont val="Calibri"/>
        <family val="2"/>
      </rPr>
      <t>-3</t>
    </r>
  </si>
  <si>
    <r>
      <t>X</t>
    </r>
    <r>
      <rPr>
        <vertAlign val="subscript"/>
        <sz val="11"/>
        <rFont val="Calibri"/>
        <family val="2"/>
      </rPr>
      <t>VSS</t>
    </r>
  </si>
  <si>
    <r>
      <t>X</t>
    </r>
    <r>
      <rPr>
        <vertAlign val="subscript"/>
        <sz val="11"/>
        <rFont val="Calibri"/>
        <family val="2"/>
      </rPr>
      <t>COD</t>
    </r>
    <r>
      <rPr>
        <sz val="11"/>
        <rFont val="Calibri"/>
        <family val="2"/>
      </rPr>
      <t>/i</t>
    </r>
    <r>
      <rPr>
        <vertAlign val="subscript"/>
        <sz val="11"/>
        <rFont val="Calibri"/>
        <family val="2"/>
      </rPr>
      <t>CV</t>
    </r>
  </si>
  <si>
    <r>
      <t>X</t>
    </r>
    <r>
      <rPr>
        <vertAlign val="subscript"/>
        <sz val="11"/>
        <rFont val="Calibri"/>
        <family val="2"/>
      </rPr>
      <t>TSS</t>
    </r>
  </si>
  <si>
    <t>Filtered ultimate biochemical oxygen demand</t>
  </si>
  <si>
    <r>
      <t>g COD.m</t>
    </r>
    <r>
      <rPr>
        <vertAlign val="superscript"/>
        <sz val="11"/>
        <rFont val="Calibri"/>
        <family val="2"/>
      </rPr>
      <t>-3</t>
    </r>
  </si>
  <si>
    <t>Particulate ultimate biochemical oxygen demand</t>
  </si>
  <si>
    <t>Total ultimate biochemical oxygen demand</t>
  </si>
  <si>
    <r>
      <t>S</t>
    </r>
    <r>
      <rPr>
        <vertAlign val="subscript"/>
        <sz val="11"/>
        <rFont val="Calibri"/>
        <family val="2"/>
        <scheme val="minor"/>
      </rPr>
      <t>BOD,5</t>
    </r>
  </si>
  <si>
    <r>
      <t>X</t>
    </r>
    <r>
      <rPr>
        <vertAlign val="subscript"/>
        <sz val="11"/>
        <rFont val="Calibri"/>
        <family val="2"/>
        <scheme val="minor"/>
      </rPr>
      <t>BOD,5</t>
    </r>
  </si>
  <si>
    <r>
      <t>T</t>
    </r>
    <r>
      <rPr>
        <vertAlign val="subscript"/>
        <sz val="11"/>
        <rFont val="Calibri"/>
        <family val="2"/>
        <scheme val="minor"/>
      </rPr>
      <t>BOD,5</t>
    </r>
  </si>
  <si>
    <r>
      <t>S</t>
    </r>
    <r>
      <rPr>
        <vertAlign val="subscript"/>
        <sz val="11"/>
        <rFont val="Calibri"/>
        <family val="2"/>
        <scheme val="minor"/>
      </rPr>
      <t>COD</t>
    </r>
  </si>
  <si>
    <t>Filtered flocculated chemical oxygen demand</t>
  </si>
  <si>
    <r>
      <t>X</t>
    </r>
    <r>
      <rPr>
        <vertAlign val="subscript"/>
        <sz val="11"/>
        <rFont val="Calibri"/>
        <family val="2"/>
      </rPr>
      <t>COD</t>
    </r>
  </si>
  <si>
    <t>COD of particulates</t>
  </si>
  <si>
    <r>
      <t>T</t>
    </r>
    <r>
      <rPr>
        <vertAlign val="subscript"/>
        <sz val="11"/>
        <rFont val="Calibri"/>
        <family val="2"/>
      </rPr>
      <t>COD</t>
    </r>
  </si>
  <si>
    <t>Total chemical oxygen demand</t>
  </si>
  <si>
    <r>
      <t>T</t>
    </r>
    <r>
      <rPr>
        <vertAlign val="subscript"/>
        <sz val="11"/>
        <rFont val="Calibri"/>
        <family val="2"/>
      </rPr>
      <t>KN</t>
    </r>
  </si>
  <si>
    <t>Total Kjeldahl nitrogen (TKN)</t>
  </si>
  <si>
    <r>
      <t>g N.m</t>
    </r>
    <r>
      <rPr>
        <vertAlign val="superscript"/>
        <sz val="11"/>
        <rFont val="Calibri"/>
        <family val="2"/>
      </rPr>
      <t>-3</t>
    </r>
  </si>
  <si>
    <r>
      <t>T</t>
    </r>
    <r>
      <rPr>
        <vertAlign val="subscript"/>
        <sz val="11"/>
        <rFont val="Calibri"/>
        <family val="2"/>
      </rPr>
      <t>N</t>
    </r>
  </si>
  <si>
    <t>Total nitrogen</t>
  </si>
  <si>
    <r>
      <t>X</t>
    </r>
    <r>
      <rPr>
        <vertAlign val="subscript"/>
        <sz val="11"/>
        <color indexed="8"/>
        <rFont val="Calibri"/>
        <family val="2"/>
      </rPr>
      <t>ADS</t>
    </r>
    <r>
      <rPr>
        <sz val="11"/>
        <color indexed="8"/>
        <rFont val="Calibri"/>
        <family val="2"/>
      </rPr>
      <t>+X</t>
    </r>
    <r>
      <rPr>
        <vertAlign val="subscript"/>
        <sz val="11"/>
        <color indexed="8"/>
        <rFont val="Calibri"/>
        <family val="2"/>
      </rPr>
      <t>ENM</t>
    </r>
    <r>
      <rPr>
        <sz val="11"/>
        <color indexed="8"/>
        <rFont val="Calibri"/>
        <family val="2"/>
      </rPr>
      <t>+X</t>
    </r>
    <r>
      <rPr>
        <vertAlign val="subscript"/>
        <sz val="11"/>
        <color indexed="8"/>
        <rFont val="Calibri"/>
        <family val="2"/>
      </rPr>
      <t>H</t>
    </r>
    <r>
      <rPr>
        <sz val="11"/>
        <color indexed="8"/>
        <rFont val="Calibri"/>
        <family val="2"/>
      </rPr>
      <t>+X</t>
    </r>
    <r>
      <rPr>
        <vertAlign val="subscript"/>
        <sz val="11"/>
        <color indexed="8"/>
        <rFont val="Calibri"/>
        <family val="2"/>
      </rPr>
      <t>PAO</t>
    </r>
    <r>
      <rPr>
        <sz val="11"/>
        <color indexed="8"/>
        <rFont val="Calibri"/>
        <family val="2"/>
      </rPr>
      <t>+X</t>
    </r>
    <r>
      <rPr>
        <vertAlign val="subscript"/>
        <sz val="11"/>
        <color indexed="8"/>
        <rFont val="Calibri"/>
        <family val="2"/>
      </rPr>
      <t>PHA</t>
    </r>
    <r>
      <rPr>
        <sz val="11"/>
        <color indexed="8"/>
        <rFont val="Calibri"/>
        <family val="2"/>
      </rPr>
      <t>+X</t>
    </r>
    <r>
      <rPr>
        <vertAlign val="subscript"/>
        <sz val="11"/>
        <color indexed="8"/>
        <rFont val="Calibri"/>
        <family val="2"/>
      </rPr>
      <t>NIT</t>
    </r>
  </si>
  <si>
    <r>
      <t>S</t>
    </r>
    <r>
      <rPr>
        <vertAlign val="subscript"/>
        <sz val="11"/>
        <rFont val="Calibri"/>
        <family val="2"/>
      </rPr>
      <t>NH4</t>
    </r>
    <r>
      <rPr>
        <sz val="11"/>
        <rFont val="Calibri"/>
        <family val="2"/>
      </rPr>
      <t xml:space="preserve"> + i</t>
    </r>
    <r>
      <rPr>
        <vertAlign val="subscript"/>
        <sz val="11"/>
        <rFont val="Calibri"/>
        <family val="2"/>
      </rPr>
      <t>NSF</t>
    </r>
    <r>
      <rPr>
        <sz val="11"/>
        <rFont val="Calibri"/>
        <family val="2"/>
      </rPr>
      <t>*S</t>
    </r>
    <r>
      <rPr>
        <vertAlign val="subscript"/>
        <sz val="11"/>
        <rFont val="Calibri"/>
        <family val="2"/>
      </rPr>
      <t>F</t>
    </r>
    <r>
      <rPr>
        <sz val="11"/>
        <rFont val="Calibri"/>
        <family val="2"/>
      </rPr>
      <t xml:space="preserve"> + i</t>
    </r>
    <r>
      <rPr>
        <vertAlign val="subscript"/>
        <sz val="11"/>
        <rFont val="Calibri"/>
        <family val="2"/>
      </rPr>
      <t>NSI</t>
    </r>
    <r>
      <rPr>
        <sz val="11"/>
        <rFont val="Calibri"/>
        <family val="2"/>
      </rPr>
      <t>*S</t>
    </r>
    <r>
      <rPr>
        <vertAlign val="subscript"/>
        <sz val="11"/>
        <rFont val="Calibri"/>
        <family val="2"/>
      </rPr>
      <t>I</t>
    </r>
    <r>
      <rPr>
        <sz val="11"/>
        <rFont val="Calibri"/>
        <family val="2"/>
      </rPr>
      <t xml:space="preserve"> + i</t>
    </r>
    <r>
      <rPr>
        <vertAlign val="subscript"/>
        <sz val="11"/>
        <rFont val="Calibri"/>
        <family val="2"/>
      </rPr>
      <t>NXI</t>
    </r>
    <r>
      <rPr>
        <sz val="11"/>
        <rFont val="Calibri"/>
        <family val="2"/>
      </rPr>
      <t>*X</t>
    </r>
    <r>
      <rPr>
        <vertAlign val="subscript"/>
        <sz val="11"/>
        <rFont val="Calibri"/>
        <family val="2"/>
      </rPr>
      <t>I</t>
    </r>
    <r>
      <rPr>
        <sz val="11"/>
        <rFont val="Calibri"/>
        <family val="2"/>
      </rPr>
      <t xml:space="preserve"> + i</t>
    </r>
    <r>
      <rPr>
        <vertAlign val="subscript"/>
        <sz val="11"/>
        <rFont val="Calibri"/>
        <family val="2"/>
      </rPr>
      <t>NENM</t>
    </r>
    <r>
      <rPr>
        <sz val="11"/>
        <rFont val="Calibri"/>
        <family val="2"/>
      </rPr>
      <t>*X</t>
    </r>
    <r>
      <rPr>
        <vertAlign val="subscript"/>
        <sz val="11"/>
        <rFont val="Calibri"/>
        <family val="2"/>
      </rPr>
      <t>ENM</t>
    </r>
    <r>
      <rPr>
        <sz val="11"/>
        <rFont val="Calibri"/>
        <family val="2"/>
      </rPr>
      <t xml:space="preserve"> + i</t>
    </r>
    <r>
      <rPr>
        <vertAlign val="subscript"/>
        <sz val="11"/>
        <rFont val="Calibri"/>
        <family val="2"/>
      </rPr>
      <t>NBM</t>
    </r>
    <r>
      <rPr>
        <sz val="11"/>
        <rFont val="Calibri"/>
        <family val="2"/>
      </rPr>
      <t>*(X</t>
    </r>
    <r>
      <rPr>
        <vertAlign val="subscript"/>
        <sz val="11"/>
        <rFont val="Calibri"/>
        <family val="2"/>
      </rPr>
      <t>H</t>
    </r>
    <r>
      <rPr>
        <sz val="11"/>
        <rFont val="Calibri"/>
        <family val="2"/>
      </rPr>
      <t xml:space="preserve"> + X</t>
    </r>
    <r>
      <rPr>
        <vertAlign val="subscript"/>
        <sz val="11"/>
        <rFont val="Calibri"/>
        <family val="2"/>
      </rPr>
      <t>NIT</t>
    </r>
    <r>
      <rPr>
        <sz val="11"/>
        <rFont val="Calibri"/>
        <family val="2"/>
      </rPr>
      <t xml:space="preserve"> + X</t>
    </r>
    <r>
      <rPr>
        <vertAlign val="subscript"/>
        <sz val="11"/>
        <rFont val="Calibri"/>
        <family val="2"/>
      </rPr>
      <t>PAO</t>
    </r>
    <r>
      <rPr>
        <sz val="11"/>
        <rFont val="Calibri"/>
        <family val="2"/>
      </rPr>
      <t>) + i</t>
    </r>
    <r>
      <rPr>
        <vertAlign val="subscript"/>
        <sz val="11"/>
        <rFont val="Calibri"/>
        <family val="2"/>
      </rPr>
      <t>NXE</t>
    </r>
    <r>
      <rPr>
        <sz val="11"/>
        <rFont val="Calibri"/>
        <family val="2"/>
      </rPr>
      <t>*X</t>
    </r>
    <r>
      <rPr>
        <vertAlign val="subscript"/>
        <sz val="11"/>
        <rFont val="Calibri"/>
        <family val="2"/>
      </rPr>
      <t>E</t>
    </r>
  </si>
  <si>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</si>
  <si>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</si>
  <si>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</si>
  <si>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</si>
  <si>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</si>
  <si>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</si>
  <si>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</si>
  <si>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</si>
  <si>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</si>
  <si>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(k)/(s/x+k)</t>
  </si>
  <si>
    <t>BellinhpH(var; Klo; Khi)</t>
  </si>
  <si>
    <t>Bell-shaped inhibition with check for pH availability</t>
  </si>
  <si>
    <t>Max(lolim;Min(hilim;var))</t>
  </si>
  <si>
    <t>Sign(x)</t>
  </si>
  <si>
    <t>Sign</t>
  </si>
  <si>
    <t>If(x&gt;0;1;If(x&lt;0;-1;0))</t>
  </si>
  <si>
    <t>this can be used in Excel from FuncEngine 1.5.2</t>
  </si>
  <si>
    <t>Dmp(dx; x)</t>
  </si>
  <si>
    <t xml:space="preserve">Derivative damping </t>
  </si>
  <si>
    <t>if (x &lt; Sumo__DampingLimit &amp;&amp; dx &lt; 0.0 &amp;&amp; fabs(dx/x) &gt; Sumo__DerivToStateRatiolimit)
{
     pvt x_d = 1/((1+exp(-Sumo__DampingStrength/(Sumo__DampingLimit)*
                      (x - Sumo__DampingLimit/2.0))));
    return x_d*dx;
}
else return dx;</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</si>
  <si>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</si>
  <si>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</si>
  <si>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</si>
  <si>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</si>
  <si>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</si>
  <si>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</si>
  <si>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</si>
  <si>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C++ functions</t>
  </si>
  <si>
    <t>New functions to be used only in C++ (must follow C++ syntax)</t>
  </si>
  <si>
    <t>SignedAbs(x1; x2)</t>
  </si>
  <si>
    <t>Abs value with sign of x2</t>
  </si>
  <si>
    <t>Sign(x2) * abs(x1)</t>
  </si>
  <si>
    <t>Damp(x)</t>
  </si>
  <si>
    <t xml:space="preserve">Logarithmic damping </t>
  </si>
  <si>
    <t xml:space="preserve">if (x &lt; 0) 
  return -log10(-x+1); </t>
  </si>
  <si>
    <t>else</t>
  </si>
  <si>
    <t>return log10(x+1);</t>
  </si>
  <si>
    <t>Cval(v; thr; if_above; if_below)</t>
  </si>
  <si>
    <t>Conditional value depending on a threshold</t>
  </si>
  <si>
    <t>return v &gt;= thr ? if_above : if_below;</t>
  </si>
  <si>
    <t>CvalEq(v; thr; if_yes; if_no)</t>
  </si>
  <si>
    <t>return v == thr ? if_yes : if_no;</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</si>
  <si>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</si>
  <si>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</si>
  <si>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</si>
  <si>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</si>
  <si>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</si>
  <si>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</si>
  <si>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</si>
  <si>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</si>
  <si>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</si>
  <si>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</si>
  <si>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</si>
  <si>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</si>
  <si>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</si>
  <si>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</si>
  <si>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</si>
  <si>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</si>
  <si>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</si>
  <si>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pvt sum = 0.0;
for( int i = 0; i &lt; y.size; ++i )
{
  if( y(i) == z ) sum += x(i);
}
return sum;</t>
  </si>
  <si>
    <t>If(BOOL a;b;c)</t>
  </si>
  <si>
    <t>if (a is true) then b else c</t>
  </si>
  <si>
    <t>return a ? b : c;</t>
  </si>
  <si>
    <t>Average([] x)</t>
  </si>
  <si>
    <t>Average of array elements</t>
  </si>
  <si>
    <t>pvt sum = 0.0;
for( int i = 0; i &lt; x.size; ++i )
{
  sum += x(i);
}
return sum/x.size;</t>
  </si>
  <si>
    <t>Max([] x)</t>
  </si>
  <si>
    <t>Maximum of array elements</t>
  </si>
  <si>
    <t>pvt m = x(0);
for( int i = 1; i &lt; x.size; ++i )
{
    m = max( m, x(i) );
}
return m;</t>
  </si>
  <si>
    <t>Min([] x)</t>
  </si>
  <si>
    <t>Minimum of array elements</t>
  </si>
  <si>
    <t>pvt m = x(0);
for( int i = 1; i &lt; x.size; ++i )
{
    m = min( m, x(i) );
}
return m;</t>
  </si>
  <si>
    <t>Sum([] x)</t>
  </si>
  <si>
    <t>Sum of array elements</t>
  </si>
  <si>
    <t>pvt sum = 0.0;
for( int i = 0; i &lt;= x.size; ++i )
{
  sum += x(i);
}
return sum;</t>
  </si>
  <si>
    <t>SUMO to C++ mapping</t>
  </si>
  <si>
    <t>Straight mapping from Excel to C++. Will work in both</t>
  </si>
  <si>
    <t>Min(a;b)</t>
  </si>
  <si>
    <t>Minimum</t>
  </si>
  <si>
    <t>min(a,b)</t>
  </si>
  <si>
    <t>Maximum</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</si>
  <si>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</si>
  <si>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</si>
  <si>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</si>
  <si>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</si>
  <si>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</si>
  <si>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</si>
  <si>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</si>
  <si>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</si>
  <si>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</si>
  <si>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</si>
  <si>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</si>
  <si>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</si>
  <si>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</si>
  <si>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</si>
  <si>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</si>
  <si>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</si>
  <si>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</si>
  <si>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</si>
  <si>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</si>
  <si>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</si>
  <si>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</si>
  <si>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</si>
  <si>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</si>
  <si>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</si>
  <si>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</si>
  <si>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</si>
  <si>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</si>
  <si>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</si>
  <si>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</si>
  <si>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</si>
  <si>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</si>
  <si>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</si>
  <si>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</si>
  <si>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</si>
  <si>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</si>
  <si>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</si>
  <si>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</si>
  <si>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</si>
  <si>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</si>
  <si>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</si>
  <si>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</si>
  <si>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</si>
  <si>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</si>
  <si>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</si>
  <si>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</si>
  <si>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</si>
  <si>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</si>
  <si>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</si>
  <si>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</si>
  <si>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</si>
  <si>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</si>
  <si>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</si>
  <si>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</si>
  <si>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</si>
  <si>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</si>
  <si>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</si>
  <si>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</si>
  <si>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</si>
  <si>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</si>
  <si>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</si>
  <si>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</si>
  <si>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</si>
  <si>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</si>
  <si>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</si>
  <si>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</si>
  <si>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</si>
  <si>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</si>
  <si>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</si>
  <si>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</si>
  <si>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</si>
  <si>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</si>
  <si>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</si>
  <si>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</si>
  <si>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</si>
  <si>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</si>
  <si>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</si>
  <si>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</si>
  <si>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</si>
  <si>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</si>
  <si>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</si>
  <si>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</si>
  <si>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</si>
  <si>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</si>
  <si>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</si>
  <si>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</si>
  <si>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</si>
  <si>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coefficients</t>
  </si>
  <si>
    <r>
      <t>D</t>
    </r>
    <r>
      <rPr>
        <vertAlign val="subscript"/>
        <sz val="11"/>
        <rFont val="Calibri"/>
        <family val="2"/>
        <scheme val="minor"/>
      </rPr>
      <t>O2,25</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</si>
  <si>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</si>
  <si>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</si>
  <si>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D</t>
    </r>
    <r>
      <rPr>
        <vertAlign val="subscript"/>
        <sz val="11"/>
        <rFont val="Calibri"/>
        <family val="2"/>
        <scheme val="minor"/>
      </rPr>
      <t>N2,25</t>
    </r>
  </si>
  <si>
    <t>Diffusion coefficient of nitrogen in water</t>
  </si>
  <si>
    <r>
      <t>D</t>
    </r>
    <r>
      <rPr>
        <vertAlign val="subscript"/>
        <sz val="11"/>
        <rFont val="Calibri"/>
        <family val="2"/>
        <scheme val="minor"/>
      </rPr>
      <t>CO2,25</t>
    </r>
  </si>
  <si>
    <t>Diffusion coefficient of carbon dioxide in water</t>
  </si>
  <si>
    <r>
      <t>D</t>
    </r>
    <r>
      <rPr>
        <vertAlign val="subscript"/>
        <sz val="11"/>
        <rFont val="Calibri"/>
        <family val="2"/>
      </rPr>
      <t>H2,25</t>
    </r>
  </si>
  <si>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</si>
  <si>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</si>
  <si>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r>
      <t>D</t>
    </r>
    <r>
      <rPr>
        <vertAlign val="subscript"/>
        <sz val="11"/>
        <rFont val="Calibri"/>
        <family val="2"/>
      </rPr>
      <t>CH4,25</t>
    </r>
  </si>
  <si>
    <t>Diffusion coefficient of methane in water @ 25°C</t>
  </si>
  <si>
    <r>
      <t>D</t>
    </r>
    <r>
      <rPr>
        <vertAlign val="subscript"/>
        <sz val="11"/>
        <rFont val="Calibri"/>
        <family val="2"/>
      </rPr>
      <t>NO,25</t>
    </r>
  </si>
  <si>
    <t>Diffusion coefficient of NO in water @ 25°C</t>
  </si>
  <si>
    <r>
      <t>D</t>
    </r>
    <r>
      <rPr>
        <vertAlign val="subscript"/>
        <sz val="11"/>
        <rFont val="Calibri"/>
        <family val="2"/>
      </rPr>
      <t>N2O,25</t>
    </r>
  </si>
  <si>
    <r>
      <t>Diffusion coefficient of N</t>
    </r>
    <r>
      <rPr>
        <vertAlign val="subscript"/>
        <sz val="11"/>
        <rFont val="Calibri"/>
        <family val="2"/>
        <charset val="238"/>
      </rPr>
      <t>2</t>
    </r>
    <r>
      <rPr>
        <sz val="11"/>
        <rFont val="Calibri"/>
        <family val="2"/>
      </rPr>
      <t>O in water @ 25°C</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</si>
  <si>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</si>
  <si>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</si>
  <si>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</si>
  <si>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</si>
  <si>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</si>
  <si>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</si>
  <si>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</si>
  <si>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</si>
  <si>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Density</t>
  </si>
  <si>
    <r>
      <t>g.m</t>
    </r>
    <r>
      <rPr>
        <vertAlign val="superscript"/>
        <sz val="11"/>
        <rFont val="Calibri"/>
        <family val="2"/>
        <scheme val="minor"/>
      </rPr>
      <t>-3</t>
    </r>
  </si>
  <si>
    <t>Physical constants - air</t>
  </si>
  <si>
    <r>
      <t>f</t>
    </r>
    <r>
      <rPr>
        <vertAlign val="subscript"/>
        <sz val="11"/>
        <rFont val="Calibri"/>
        <family val="2"/>
      </rPr>
      <t>O2,air</t>
    </r>
  </si>
  <si>
    <t>Oxygen content of air</t>
  </si>
  <si>
    <t>zero</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</si>
  <si>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</si>
  <si>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</si>
  <si>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</si>
  <si>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</si>
  <si>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</si>
  <si>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</si>
  <si>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</si>
  <si>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</si>
  <si>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</si>
  <si>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</si>
  <si>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</si>
  <si>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</si>
  <si>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</si>
  <si>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</si>
  <si>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</si>
  <si>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</si>
  <si>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</si>
  <si>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</si>
  <si>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</si>
  <si>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</si>
  <si>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</si>
  <si>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</si>
  <si>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</si>
  <si>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</si>
  <si>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</si>
  <si>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</si>
  <si>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</si>
  <si>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</si>
  <si>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</si>
  <si>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</si>
  <si>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</si>
  <si>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</si>
  <si>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</si>
  <si>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</si>
  <si>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</si>
  <si>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</si>
  <si>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</si>
  <si>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</si>
  <si>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</si>
  <si>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</si>
  <si>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</si>
  <si>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</si>
  <si>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</si>
  <si>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</si>
  <si>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</si>
  <si>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</si>
  <si>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</si>
  <si>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</si>
  <si>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</si>
  <si>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</si>
  <si>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</si>
  <si>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</si>
  <si>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</si>
  <si>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</si>
  <si>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</si>
  <si>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</si>
  <si>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</si>
  <si>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</si>
  <si>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</si>
  <si>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</si>
  <si>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</si>
  <si>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</si>
  <si>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</si>
  <si>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</si>
  <si>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</si>
  <si>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</si>
  <si>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</si>
  <si>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</si>
  <si>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</si>
  <si>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</si>
  <si>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</si>
  <si>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</si>
  <si>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</si>
  <si>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</si>
  <si>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</si>
  <si>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</si>
  <si>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</si>
  <si>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</si>
  <si>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</si>
  <si>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</si>
  <si>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</si>
  <si>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</si>
  <si>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</si>
  <si>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</si>
  <si>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</si>
  <si>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</si>
  <si>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</si>
  <si>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</si>
  <si>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</si>
  <si>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</si>
  <si>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</si>
  <si>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</si>
  <si>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</si>
  <si>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</si>
  <si>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</si>
  <si>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</si>
  <si>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</si>
  <si>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</si>
  <si>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</si>
  <si>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</si>
  <si>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</si>
  <si>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</si>
  <si>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</si>
  <si>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</si>
  <si>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</si>
  <si>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</si>
  <si>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</si>
  <si>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</si>
  <si>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</si>
  <si>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</si>
  <si>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</si>
  <si>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</si>
  <si>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</si>
  <si>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</si>
  <si>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</si>
  <si>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</si>
  <si>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</si>
  <si>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</si>
  <si>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</si>
  <si>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</si>
  <si>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</si>
  <si>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</si>
  <si>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</si>
  <si>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</si>
  <si>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</si>
  <si>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</si>
  <si>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</si>
  <si>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</si>
  <si>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</si>
  <si>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</si>
  <si>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</si>
  <si>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</si>
  <si>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</si>
  <si>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</si>
  <si>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</si>
  <si>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</si>
  <si>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</si>
  <si>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</si>
  <si>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</si>
  <si>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</si>
  <si>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</si>
  <si>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</si>
  <si>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</si>
  <si>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</si>
  <si>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</si>
  <si>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</si>
  <si>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</si>
  <si>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</si>
  <si>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</si>
  <si>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</si>
  <si>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</si>
  <si>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</si>
  <si>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</si>
  <si>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</si>
  <si>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</si>
  <si>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</si>
  <si>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</si>
  <si>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</si>
  <si>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</si>
  <si>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</si>
  <si>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</si>
  <si>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</si>
  <si>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</si>
  <si>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</si>
  <si>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</si>
  <si>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</si>
  <si>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</si>
  <si>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</si>
  <si>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</si>
  <si>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</si>
  <si>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</si>
  <si>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</si>
  <si>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</si>
  <si>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</si>
  <si>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</si>
  <si>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</si>
  <si>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</si>
  <si>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</si>
  <si>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</si>
  <si>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</si>
  <si>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</si>
  <si>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</si>
  <si>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</si>
  <si>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</si>
  <si>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</si>
  <si>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</si>
  <si>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</si>
  <si>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</si>
  <si>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</si>
  <si>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</si>
  <si>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</si>
  <si>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</si>
  <si>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</si>
  <si>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</si>
  <si>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</si>
  <si>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</si>
  <si>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</si>
  <si>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</si>
  <si>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</si>
  <si>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</si>
  <si>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</si>
  <si>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</si>
  <si>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</si>
  <si>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</si>
  <si>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</si>
  <si>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</si>
  <si>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</si>
  <si>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</si>
  <si>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</si>
  <si>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</si>
  <si>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</si>
  <si>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</si>
  <si>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</si>
  <si>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</si>
  <si>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</si>
  <si>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</si>
  <si>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</si>
  <si>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</si>
  <si>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</si>
  <si>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</si>
  <si>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</si>
  <si>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</si>
  <si>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</si>
  <si>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</si>
  <si>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</si>
  <si>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</si>
  <si>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</si>
  <si>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</si>
  <si>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</si>
  <si>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</si>
  <si>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</si>
  <si>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</si>
  <si>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</si>
  <si>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</si>
  <si>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</si>
  <si>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</si>
  <si>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</si>
  <si>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</si>
  <si>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</si>
  <si>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</si>
  <si>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</si>
  <si>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</si>
  <si>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</si>
  <si>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</si>
  <si>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</si>
  <si>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</si>
  <si>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</si>
  <si>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</si>
  <si>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</si>
  <si>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</si>
  <si>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</si>
  <si>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</si>
  <si>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</si>
  <si>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</si>
  <si>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</si>
  <si>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</si>
  <si>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</si>
  <si>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</si>
  <si>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</si>
  <si>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</si>
  <si>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</si>
  <si>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</si>
  <si>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</si>
  <si>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</si>
  <si>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</si>
  <si>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</si>
  <si>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</si>
  <si>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</si>
  <si>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</si>
  <si>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</si>
  <si>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</si>
  <si>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</si>
  <si>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</si>
  <si>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</si>
  <si>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</si>
  <si>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</si>
  <si>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</si>
  <si>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</si>
  <si>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</si>
  <si>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</si>
  <si>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</si>
  <si>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</si>
  <si>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</si>
  <si>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</si>
  <si>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r>
      <t>MM</t>
    </r>
    <r>
      <rPr>
        <vertAlign val="subscript"/>
        <sz val="11"/>
        <rFont val="Calibri"/>
        <family val="2"/>
        <charset val="238"/>
      </rPr>
      <t>Fe2O3</t>
    </r>
  </si>
  <si>
    <r>
      <t>Molecular mass of Fe</t>
    </r>
    <r>
      <rPr>
        <vertAlign val="subscript"/>
        <sz val="11"/>
        <rFont val="Calibri"/>
        <family val="2"/>
        <charset val="238"/>
        <scheme val="minor"/>
      </rPr>
      <t>2</t>
    </r>
    <r>
      <rPr>
        <sz val="11"/>
        <rFont val="Calibri"/>
        <family val="2"/>
        <scheme val="minor"/>
      </rPr>
      <t>O</t>
    </r>
    <r>
      <rPr>
        <vertAlign val="subscript"/>
        <sz val="11"/>
        <rFont val="Calibri"/>
        <family val="2"/>
        <charset val="238"/>
        <scheme val="minor"/>
      </rPr>
      <t>3</t>
    </r>
  </si>
  <si>
    <r>
      <t>MM</t>
    </r>
    <r>
      <rPr>
        <vertAlign val="subscript"/>
        <sz val="11"/>
        <rFont val="Calibri"/>
        <family val="2"/>
        <charset val="238"/>
      </rPr>
      <t>PO4</t>
    </r>
  </si>
  <si>
    <t>Molecular mass of phosphate</t>
  </si>
  <si>
    <r>
      <t>MM</t>
    </r>
    <r>
      <rPr>
        <vertAlign val="subscript"/>
        <sz val="11"/>
        <rFont val="Calibri"/>
        <family val="2"/>
        <charset val="238"/>
      </rPr>
      <t>CO2</t>
    </r>
  </si>
  <si>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</si>
  <si>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</si>
  <si>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</si>
  <si>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</si>
  <si>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r>
      <t>MM</t>
    </r>
    <r>
      <rPr>
        <vertAlign val="subscript"/>
        <sz val="11"/>
        <rFont val="Calibri"/>
        <family val="2"/>
        <charset val="238"/>
        <scheme val="minor"/>
      </rPr>
      <t>CaCO3</t>
    </r>
  </si>
  <si>
    <t>Specific molecular masses</t>
  </si>
  <si>
    <r>
      <t>MM</t>
    </r>
    <r>
      <rPr>
        <vertAlign val="subscript"/>
        <sz val="11"/>
        <rFont val="Calibri"/>
        <family val="2"/>
        <charset val="238"/>
        <scheme val="minor"/>
      </rPr>
      <t>EQ,GN2</t>
    </r>
  </si>
  <si>
    <t>N content in GN2</t>
  </si>
  <si>
    <r>
      <t>gN.mol</t>
    </r>
    <r>
      <rPr>
        <vertAlign val="superscript"/>
        <sz val="11"/>
        <rFont val="Calibri"/>
        <family val="2"/>
        <scheme val="minor"/>
      </rPr>
      <t>-1</t>
    </r>
  </si>
  <si>
    <r>
      <t>MM</t>
    </r>
    <r>
      <rPr>
        <vertAlign val="subscript"/>
        <sz val="11"/>
        <rFont val="Calibri"/>
        <family val="2"/>
        <charset val="238"/>
        <scheme val="minor"/>
      </rPr>
      <t>EQ,GNO</t>
    </r>
  </si>
  <si>
    <t>N content in GNO</t>
  </si>
  <si>
    <r>
      <t>MM</t>
    </r>
    <r>
      <rPr>
        <vertAlign val="subscript"/>
        <sz val="11"/>
        <rFont val="Calibri"/>
        <family val="2"/>
        <charset val="238"/>
        <scheme val="minor"/>
      </rPr>
      <t>EQ,GN2O</t>
    </r>
  </si>
  <si>
    <t>N content in GN2O</t>
  </si>
  <si>
    <r>
      <t>MM</t>
    </r>
    <r>
      <rPr>
        <vertAlign val="subscript"/>
        <sz val="11"/>
        <rFont val="Calibri"/>
        <family val="2"/>
        <charset val="238"/>
        <scheme val="minor"/>
      </rPr>
      <t>EQ,GCO2</t>
    </r>
  </si>
  <si>
    <t>Molecular mass of GCO2</t>
  </si>
  <si>
    <r>
      <t>MM</t>
    </r>
    <r>
      <rPr>
        <vertAlign val="subscript"/>
        <sz val="11"/>
        <rFont val="Calibri"/>
        <family val="2"/>
        <charset val="238"/>
        <scheme val="minor"/>
      </rPr>
      <t>EQ,GO2</t>
    </r>
  </si>
  <si>
    <t>Molecular mass of GO2</t>
  </si>
  <si>
    <r>
      <t>MM</t>
    </r>
    <r>
      <rPr>
        <vertAlign val="subscript"/>
        <sz val="11"/>
        <rFont val="Calibri"/>
        <family val="2"/>
        <scheme val="minor"/>
      </rPr>
      <t>EQ,GCH4</t>
    </r>
  </si>
  <si>
    <t>Molecular mass of GCH4</t>
  </si>
  <si>
    <r>
      <t>MM</t>
    </r>
    <r>
      <rPr>
        <vertAlign val="subscript"/>
        <sz val="11"/>
        <rFont val="Calibri"/>
        <family val="2"/>
        <scheme val="minor"/>
      </rPr>
      <t>EQ,GH2</t>
    </r>
  </si>
  <si>
    <t>Molecular mass of GH2</t>
  </si>
  <si>
    <t>Dissociation constants</t>
  </si>
  <si>
    <t>Water dissociation</t>
  </si>
  <si>
    <t xml:space="preserve">Ammonia protonation </t>
  </si>
  <si>
    <t>Nitrite dissociation</t>
  </si>
  <si>
    <t>K carbonate first step</t>
  </si>
  <si>
    <t>K carbonate second step</t>
  </si>
  <si>
    <t>Phosphate first step</t>
  </si>
  <si>
    <t>Phosphate second step</t>
  </si>
  <si>
    <t>Phosphate third step</t>
  </si>
  <si>
    <t>VFA dissociation (Acetate)</t>
  </si>
  <si>
    <t>Electron equivalences</t>
  </si>
  <si>
    <r>
      <t>EEQ</t>
    </r>
    <r>
      <rPr>
        <vertAlign val="subscript"/>
        <sz val="11"/>
        <rFont val="Calibri"/>
        <family val="2"/>
      </rPr>
      <t>N2</t>
    </r>
  </si>
  <si>
    <r>
      <t>Electron equivalence of N</t>
    </r>
    <r>
      <rPr>
        <vertAlign val="subscript"/>
        <sz val="11"/>
        <rFont val="Calibri"/>
        <family val="2"/>
      </rPr>
      <t>2</t>
    </r>
  </si>
  <si>
    <t>g COD/g N</t>
  </si>
  <si>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</si>
  <si>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</si>
  <si>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</si>
  <si>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</si>
  <si>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</si>
  <si>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</si>
  <si>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</si>
  <si>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</si>
  <si>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</si>
  <si>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</si>
  <si>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</si>
  <si>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</si>
  <si>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</si>
  <si>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</si>
  <si>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</si>
  <si>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</si>
  <si>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t>pH effects on/not on from systemcode</t>
  </si>
  <si>
    <t>Boolean</t>
  </si>
  <si>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</si>
  <si>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</si>
  <si>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</si>
  <si>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</si>
  <si>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</si>
  <si>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</si>
  <si>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</si>
  <si>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</si>
  <si>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</si>
  <si>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Particle size</t>
  </si>
  <si>
    <t>Default</t>
  </si>
  <si>
    <r>
      <t>d</t>
    </r>
    <r>
      <rPr>
        <vertAlign val="superscript"/>
        <sz val="11"/>
        <rFont val="Calibri"/>
        <family val="2"/>
        <scheme val="minor"/>
      </rPr>
      <t>-1</t>
    </r>
  </si>
  <si>
    <t>Components</t>
  </si>
  <si>
    <t>Saturation/inhibition terms</t>
  </si>
  <si>
    <r>
      <t>Msat</t>
    </r>
    <r>
      <rPr>
        <vertAlign val="subscript"/>
        <sz val="11"/>
        <rFont val="Calibri"/>
        <family val="2"/>
      </rPr>
      <t>SA,KA</t>
    </r>
  </si>
  <si>
    <r>
      <t>S</t>
    </r>
    <r>
      <rPr>
        <vertAlign val="subscript"/>
        <sz val="11"/>
        <rFont val="Calibri"/>
        <family val="2"/>
      </rPr>
      <t>A</t>
    </r>
    <r>
      <rPr>
        <sz val="11"/>
        <rFont val="Calibri"/>
        <family val="2"/>
      </rPr>
      <t>/(K</t>
    </r>
    <r>
      <rPr>
        <vertAlign val="subscript"/>
        <sz val="11"/>
        <rFont val="Calibri"/>
        <family val="2"/>
      </rPr>
      <t>A</t>
    </r>
    <r>
      <rPr>
        <sz val="11"/>
        <rFont val="Calibri"/>
        <family val="2"/>
      </rPr>
      <t>+S</t>
    </r>
    <r>
      <rPr>
        <vertAlign val="subscript"/>
        <sz val="11"/>
        <rFont val="Calibri"/>
        <family val="2"/>
      </rPr>
      <t>A</t>
    </r>
    <r>
      <rPr>
        <sz val="11"/>
        <rFont val="Calibri"/>
        <family val="2"/>
      </rPr>
      <t>)</t>
    </r>
  </si>
  <si>
    <r>
      <t>S</t>
    </r>
    <r>
      <rPr>
        <vertAlign val="subscript"/>
        <sz val="11"/>
        <rFont val="Calibri"/>
        <family val="2"/>
      </rPr>
      <t>F</t>
    </r>
    <r>
      <rPr>
        <sz val="11"/>
        <rFont val="Calibri"/>
        <family val="2"/>
      </rPr>
      <t>/(K</t>
    </r>
    <r>
      <rPr>
        <vertAlign val="subscript"/>
        <sz val="11"/>
        <rFont val="Calibri"/>
        <family val="2"/>
      </rPr>
      <t>F</t>
    </r>
    <r>
      <rPr>
        <sz val="11"/>
        <rFont val="Calibri"/>
        <family val="2"/>
      </rPr>
      <t>+S</t>
    </r>
    <r>
      <rPr>
        <vertAlign val="subscript"/>
        <sz val="11"/>
        <rFont val="Calibri"/>
        <family val="2"/>
      </rPr>
      <t>F</t>
    </r>
    <r>
      <rPr>
        <sz val="11"/>
        <rFont val="Calibri"/>
        <family val="2"/>
      </rPr>
      <t>)</t>
    </r>
  </si>
  <si>
    <r>
      <t>Msat</t>
    </r>
    <r>
      <rPr>
        <vertAlign val="subscript"/>
        <sz val="11"/>
        <rFont val="Calibri"/>
        <family val="2"/>
      </rPr>
      <t>SF,KF</t>
    </r>
  </si>
  <si>
    <r>
      <t>Msat</t>
    </r>
    <r>
      <rPr>
        <vertAlign val="subscript"/>
        <sz val="11"/>
        <rFont val="Calibri"/>
        <family val="2"/>
      </rPr>
      <t>SO2,KOH</t>
    </r>
  </si>
  <si>
    <r>
      <t>S</t>
    </r>
    <r>
      <rPr>
        <vertAlign val="subscript"/>
        <sz val="11"/>
        <rFont val="Calibri"/>
        <family val="2"/>
      </rPr>
      <t>O2</t>
    </r>
    <r>
      <rPr>
        <sz val="11"/>
        <rFont val="Calibri"/>
        <family val="2"/>
      </rPr>
      <t>/(K</t>
    </r>
    <r>
      <rPr>
        <vertAlign val="subscript"/>
        <sz val="11"/>
        <rFont val="Calibri"/>
        <family val="2"/>
      </rPr>
      <t>OH</t>
    </r>
    <r>
      <rPr>
        <sz val="11"/>
        <rFont val="Calibri"/>
        <family val="2"/>
      </rPr>
      <t>+S</t>
    </r>
    <r>
      <rPr>
        <vertAlign val="subscript"/>
        <sz val="11"/>
        <rFont val="Calibri"/>
        <family val="2"/>
      </rPr>
      <t>O2</t>
    </r>
    <r>
      <rPr>
        <sz val="11"/>
        <rFont val="Calibri"/>
        <family val="2"/>
      </rPr>
      <t>)</t>
    </r>
  </si>
  <si>
    <r>
      <t>Msat</t>
    </r>
    <r>
      <rPr>
        <vertAlign val="subscript"/>
        <sz val="11"/>
        <rFont val="Calibri"/>
        <family val="2"/>
      </rPr>
      <t>SNH4,KNH4</t>
    </r>
  </si>
  <si>
    <r>
      <t>S</t>
    </r>
    <r>
      <rPr>
        <vertAlign val="subscript"/>
        <sz val="11"/>
        <rFont val="Calibri"/>
        <family val="2"/>
      </rPr>
      <t>NH4</t>
    </r>
    <r>
      <rPr>
        <sz val="11"/>
        <rFont val="Calibri"/>
        <family val="2"/>
      </rPr>
      <t>/(K</t>
    </r>
    <r>
      <rPr>
        <vertAlign val="subscript"/>
        <sz val="11"/>
        <rFont val="Calibri"/>
        <family val="2"/>
      </rPr>
      <t>NH4</t>
    </r>
    <r>
      <rPr>
        <sz val="11"/>
        <rFont val="Calibri"/>
        <family val="2"/>
      </rPr>
      <t>+S</t>
    </r>
    <r>
      <rPr>
        <vertAlign val="subscript"/>
        <sz val="11"/>
        <rFont val="Calibri"/>
        <family val="2"/>
      </rPr>
      <t>NH4</t>
    </r>
    <r>
      <rPr>
        <sz val="11"/>
        <rFont val="Calibri"/>
        <family val="2"/>
      </rPr>
      <t>)</t>
    </r>
  </si>
  <si>
    <r>
      <t>Msat</t>
    </r>
    <r>
      <rPr>
        <vertAlign val="subscript"/>
        <sz val="11"/>
        <rFont val="Calibri"/>
        <family val="2"/>
      </rPr>
      <t>SNO3,KNO3</t>
    </r>
  </si>
  <si>
    <r>
      <t>S</t>
    </r>
    <r>
      <rPr>
        <vertAlign val="subscript"/>
        <sz val="11"/>
        <rFont val="Calibri"/>
        <family val="2"/>
      </rPr>
      <t>NO3</t>
    </r>
    <r>
      <rPr>
        <sz val="11"/>
        <rFont val="Calibri"/>
        <family val="2"/>
      </rPr>
      <t>/(K</t>
    </r>
    <r>
      <rPr>
        <vertAlign val="subscript"/>
        <sz val="11"/>
        <rFont val="Calibri"/>
        <family val="2"/>
      </rPr>
      <t>NO3</t>
    </r>
    <r>
      <rPr>
        <sz val="11"/>
        <rFont val="Calibri"/>
        <family val="2"/>
      </rPr>
      <t>+S</t>
    </r>
    <r>
      <rPr>
        <vertAlign val="subscript"/>
        <sz val="11"/>
        <rFont val="Calibri"/>
        <family val="2"/>
      </rPr>
      <t>NO3</t>
    </r>
    <r>
      <rPr>
        <sz val="11"/>
        <rFont val="Calibri"/>
        <family val="2"/>
      </rPr>
      <t>)</t>
    </r>
  </si>
  <si>
    <r>
      <t>Msat</t>
    </r>
    <r>
      <rPr>
        <vertAlign val="subscript"/>
        <sz val="11"/>
        <rFont val="Calibri"/>
        <family val="2"/>
      </rPr>
      <t>SPO4,KPO4,gro</t>
    </r>
  </si>
  <si>
    <r>
      <t>S</t>
    </r>
    <r>
      <rPr>
        <vertAlign val="subscript"/>
        <sz val="11"/>
        <rFont val="Calibri"/>
        <family val="2"/>
      </rPr>
      <t>PO4</t>
    </r>
    <r>
      <rPr>
        <sz val="11"/>
        <rFont val="Calibri"/>
        <family val="2"/>
      </rPr>
      <t>/(K</t>
    </r>
    <r>
      <rPr>
        <vertAlign val="subscript"/>
        <sz val="11"/>
        <rFont val="Calibri"/>
        <family val="2"/>
      </rPr>
      <t>PO4,gro</t>
    </r>
    <r>
      <rPr>
        <sz val="11"/>
        <rFont val="Calibri"/>
        <family val="2"/>
      </rPr>
      <t>+S</t>
    </r>
    <r>
      <rPr>
        <vertAlign val="subscript"/>
        <sz val="11"/>
        <rFont val="Calibri"/>
        <family val="2"/>
      </rPr>
      <t>PO4</t>
    </r>
    <r>
      <rPr>
        <sz val="11"/>
        <rFont val="Calibri"/>
        <family val="2"/>
      </rPr>
      <t>)</t>
    </r>
  </si>
  <si>
    <r>
      <t>Msat</t>
    </r>
    <r>
      <rPr>
        <vertAlign val="subscript"/>
        <sz val="11"/>
        <rFont val="Calibri"/>
        <family val="2"/>
      </rPr>
      <t>SPO4,KPO4,up</t>
    </r>
  </si>
  <si>
    <r>
      <t>S</t>
    </r>
    <r>
      <rPr>
        <vertAlign val="subscript"/>
        <sz val="11"/>
        <rFont val="Calibri"/>
        <family val="2"/>
      </rPr>
      <t>PO4</t>
    </r>
    <r>
      <rPr>
        <sz val="11"/>
        <rFont val="Calibri"/>
        <family val="2"/>
      </rPr>
      <t>/(K</t>
    </r>
    <r>
      <rPr>
        <vertAlign val="subscript"/>
        <sz val="11"/>
        <rFont val="Calibri"/>
        <family val="2"/>
      </rPr>
      <t>PO4,up</t>
    </r>
    <r>
      <rPr>
        <sz val="11"/>
        <rFont val="Calibri"/>
        <family val="2"/>
      </rPr>
      <t>+S</t>
    </r>
    <r>
      <rPr>
        <vertAlign val="subscript"/>
        <sz val="11"/>
        <rFont val="Calibri"/>
        <family val="2"/>
      </rPr>
      <t>PO4</t>
    </r>
    <r>
      <rPr>
        <sz val="11"/>
        <rFont val="Calibri"/>
        <family val="2"/>
      </rPr>
      <t>)</t>
    </r>
  </si>
  <si>
    <r>
      <t>Msat</t>
    </r>
    <r>
      <rPr>
        <vertAlign val="subscript"/>
        <sz val="11"/>
        <rFont val="Calibri"/>
        <family val="2"/>
      </rPr>
      <t>SPO4,KPO4,lys</t>
    </r>
  </si>
  <si>
    <r>
      <t>S</t>
    </r>
    <r>
      <rPr>
        <vertAlign val="subscript"/>
        <sz val="11"/>
        <rFont val="Calibri"/>
        <family val="2"/>
      </rPr>
      <t>PO4</t>
    </r>
    <r>
      <rPr>
        <sz val="11"/>
        <rFont val="Calibri"/>
        <family val="2"/>
      </rPr>
      <t>/(K</t>
    </r>
    <r>
      <rPr>
        <vertAlign val="subscript"/>
        <sz val="11"/>
        <rFont val="Calibri"/>
        <family val="2"/>
      </rPr>
      <t>PO4,lys</t>
    </r>
    <r>
      <rPr>
        <sz val="11"/>
        <rFont val="Calibri"/>
        <family val="2"/>
      </rPr>
      <t>+S</t>
    </r>
    <r>
      <rPr>
        <vertAlign val="subscript"/>
        <sz val="11"/>
        <rFont val="Calibri"/>
        <family val="2"/>
      </rPr>
      <t>PO4</t>
    </r>
    <r>
      <rPr>
        <sz val="11"/>
        <rFont val="Calibri"/>
        <family val="2"/>
      </rPr>
      <t>)</t>
    </r>
  </si>
  <si>
    <r>
      <t>Minh</t>
    </r>
    <r>
      <rPr>
        <vertAlign val="subscript"/>
        <sz val="11"/>
        <rFont val="Calibri"/>
        <family val="2"/>
      </rPr>
      <t>SO2,KOH</t>
    </r>
  </si>
  <si>
    <r>
      <t>K</t>
    </r>
    <r>
      <rPr>
        <vertAlign val="subscript"/>
        <sz val="11"/>
        <rFont val="Calibri"/>
        <family val="2"/>
      </rPr>
      <t>OH</t>
    </r>
    <r>
      <rPr>
        <sz val="11"/>
        <rFont val="Calibri"/>
        <family val="2"/>
      </rPr>
      <t>/(K</t>
    </r>
    <r>
      <rPr>
        <vertAlign val="subscript"/>
        <sz val="11"/>
        <rFont val="Calibri"/>
        <family val="2"/>
      </rPr>
      <t>OH</t>
    </r>
    <r>
      <rPr>
        <sz val="11"/>
        <rFont val="Calibri"/>
        <family val="2"/>
      </rPr>
      <t>+S</t>
    </r>
    <r>
      <rPr>
        <vertAlign val="subscript"/>
        <sz val="11"/>
        <rFont val="Calibri"/>
        <family val="2"/>
      </rPr>
      <t>O2</t>
    </r>
    <r>
      <rPr>
        <sz val="11"/>
        <rFont val="Calibri"/>
        <family val="2"/>
      </rPr>
      <t>)</t>
    </r>
  </si>
  <si>
    <r>
      <t>Minh</t>
    </r>
    <r>
      <rPr>
        <vertAlign val="subscript"/>
        <sz val="11"/>
        <rFont val="Calibri"/>
        <family val="2"/>
      </rPr>
      <t>SNH4,KNH4</t>
    </r>
  </si>
  <si>
    <r>
      <t>K</t>
    </r>
    <r>
      <rPr>
        <vertAlign val="subscript"/>
        <sz val="11"/>
        <rFont val="Calibri"/>
        <family val="2"/>
      </rPr>
      <t>NH4</t>
    </r>
    <r>
      <rPr>
        <sz val="11"/>
        <rFont val="Calibri"/>
        <family val="2"/>
      </rPr>
      <t>/(K</t>
    </r>
    <r>
      <rPr>
        <vertAlign val="subscript"/>
        <sz val="11"/>
        <rFont val="Calibri"/>
        <family val="2"/>
      </rPr>
      <t>NH4</t>
    </r>
    <r>
      <rPr>
        <sz val="11"/>
        <rFont val="Calibri"/>
        <family val="2"/>
      </rPr>
      <t>+S</t>
    </r>
    <r>
      <rPr>
        <vertAlign val="subscript"/>
        <sz val="11"/>
        <rFont val="Calibri"/>
        <family val="2"/>
      </rPr>
      <t>NH4</t>
    </r>
    <r>
      <rPr>
        <sz val="11"/>
        <rFont val="Calibri"/>
        <family val="2"/>
      </rPr>
      <t>)</t>
    </r>
  </si>
  <si>
    <r>
      <t>Minh</t>
    </r>
    <r>
      <rPr>
        <vertAlign val="subscript"/>
        <sz val="11"/>
        <rFont val="Calibri"/>
        <family val="2"/>
      </rPr>
      <t>SPO4,KPO4,up</t>
    </r>
  </si>
  <si>
    <r>
      <t>K</t>
    </r>
    <r>
      <rPr>
        <vertAlign val="subscript"/>
        <sz val="11"/>
        <rFont val="Calibri"/>
        <family val="2"/>
      </rPr>
      <t>PO4,up</t>
    </r>
    <r>
      <rPr>
        <sz val="11"/>
        <rFont val="Calibri"/>
        <family val="2"/>
      </rPr>
      <t>/(K</t>
    </r>
    <r>
      <rPr>
        <vertAlign val="subscript"/>
        <sz val="11"/>
        <rFont val="Calibri"/>
        <family val="2"/>
      </rPr>
      <t>PO4,up</t>
    </r>
    <r>
      <rPr>
        <sz val="11"/>
        <rFont val="Calibri"/>
        <family val="2"/>
      </rPr>
      <t>+S</t>
    </r>
    <r>
      <rPr>
        <vertAlign val="subscript"/>
        <sz val="11"/>
        <rFont val="Calibri"/>
        <family val="2"/>
      </rPr>
      <t>PO4</t>
    </r>
    <r>
      <rPr>
        <sz val="11"/>
        <rFont val="Calibri"/>
        <family val="2"/>
      </rPr>
      <t>)</t>
    </r>
  </si>
  <si>
    <r>
      <t>Minh</t>
    </r>
    <r>
      <rPr>
        <vertAlign val="subscript"/>
        <sz val="11"/>
        <rFont val="Calibri"/>
        <family val="2"/>
      </rPr>
      <t>SNO3,KNO3</t>
    </r>
  </si>
  <si>
    <r>
      <t>K</t>
    </r>
    <r>
      <rPr>
        <vertAlign val="subscript"/>
        <sz val="11"/>
        <rFont val="Calibri"/>
        <family val="2"/>
      </rPr>
      <t>NO3</t>
    </r>
    <r>
      <rPr>
        <sz val="11"/>
        <rFont val="Calibri"/>
        <family val="2"/>
      </rPr>
      <t>/(K</t>
    </r>
    <r>
      <rPr>
        <vertAlign val="subscript"/>
        <sz val="11"/>
        <rFont val="Calibri"/>
        <family val="2"/>
      </rPr>
      <t>NO3</t>
    </r>
    <r>
      <rPr>
        <sz val="11"/>
        <rFont val="Calibri"/>
        <family val="2"/>
      </rPr>
      <t>+S</t>
    </r>
    <r>
      <rPr>
        <vertAlign val="subscript"/>
        <sz val="11"/>
        <rFont val="Calibri"/>
        <family val="2"/>
      </rPr>
      <t>NO3</t>
    </r>
    <r>
      <rPr>
        <sz val="11"/>
        <rFont val="Calibri"/>
        <family val="2"/>
      </rPr>
      <t>)</t>
    </r>
  </si>
  <si>
    <r>
      <t>K</t>
    </r>
    <r>
      <rPr>
        <i/>
        <vertAlign val="subscript"/>
        <sz val="12"/>
        <rFont val="Arial"/>
        <family val="2"/>
      </rPr>
      <t>FE</t>
    </r>
    <r>
      <rPr>
        <i/>
        <sz val="12"/>
        <rFont val="Arial"/>
        <family val="2"/>
      </rPr>
      <t>*S</t>
    </r>
    <r>
      <rPr>
        <i/>
        <vertAlign val="subscript"/>
        <sz val="12"/>
        <rFont val="Arial"/>
        <family val="2"/>
      </rPr>
      <t>F</t>
    </r>
    <r>
      <rPr>
        <i/>
        <sz val="12"/>
        <rFont val="Arial"/>
        <family val="2"/>
      </rPr>
      <t>*Minh</t>
    </r>
    <r>
      <rPr>
        <i/>
        <vertAlign val="subscript"/>
        <sz val="12"/>
        <rFont val="Arial"/>
        <family val="2"/>
      </rPr>
      <t>SO2,KOH</t>
    </r>
    <r>
      <rPr>
        <i/>
        <sz val="12"/>
        <rFont val="Arial"/>
        <family val="2"/>
      </rPr>
      <t>*Minh</t>
    </r>
    <r>
      <rPr>
        <i/>
        <vertAlign val="subscript"/>
        <sz val="12"/>
        <rFont val="Arial"/>
        <family val="2"/>
      </rPr>
      <t>SNO3,KNO3</t>
    </r>
    <r>
      <rPr>
        <i/>
        <sz val="12"/>
        <rFont val="Arial"/>
        <family val="2"/>
      </rPr>
      <t>*X</t>
    </r>
    <r>
      <rPr>
        <i/>
        <vertAlign val="subscript"/>
        <sz val="12"/>
        <rFont val="Arial"/>
        <family val="2"/>
      </rPr>
      <t>H</t>
    </r>
  </si>
  <si>
    <r>
      <t>b</t>
    </r>
    <r>
      <rPr>
        <i/>
        <vertAlign val="subscript"/>
        <sz val="12"/>
        <rFont val="Arial"/>
        <family val="2"/>
      </rPr>
      <t>PAO</t>
    </r>
    <r>
      <rPr>
        <i/>
        <sz val="12"/>
        <rFont val="Arial"/>
        <family val="2"/>
      </rPr>
      <t>*Msat</t>
    </r>
    <r>
      <rPr>
        <i/>
        <vertAlign val="subscript"/>
        <sz val="12"/>
        <rFont val="Arial"/>
        <family val="2"/>
      </rPr>
      <t>SO2,KOH</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</si>
  <si>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*Msat</t>
    </r>
    <r>
      <rPr>
        <i/>
        <vertAlign val="subscript"/>
        <sz val="12"/>
        <rFont val="Arial"/>
        <family val="2"/>
      </rPr>
      <t>SO2,KOH</t>
    </r>
    <r>
      <rPr>
        <i/>
        <sz val="12"/>
        <rFont val="Arial"/>
        <family val="2"/>
      </rPr>
      <t>*(X</t>
    </r>
    <r>
      <rPr>
        <i/>
        <vertAlign val="subscript"/>
        <sz val="12"/>
        <rFont val="Arial"/>
        <family val="2"/>
      </rPr>
      <t>PP</t>
    </r>
    <r>
      <rPr>
        <i/>
        <sz val="12"/>
        <rFont val="Arial"/>
        <family val="2"/>
      </rPr>
      <t>/X</t>
    </r>
    <r>
      <rPr>
        <i/>
        <vertAlign val="subscript"/>
        <sz val="12"/>
        <rFont val="Arial"/>
        <family val="2"/>
      </rPr>
      <t>PAO</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</si>
  <si>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*Msat</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SPO4,KPO4,lys</t>
    </r>
    <r>
      <rPr>
        <i/>
        <sz val="12"/>
        <rFont val="Arial"/>
        <family val="2"/>
      </rPr>
      <t>*(X</t>
    </r>
    <r>
      <rPr>
        <i/>
        <vertAlign val="subscript"/>
        <sz val="12"/>
        <rFont val="Arial"/>
        <family val="2"/>
      </rPr>
      <t>PHA</t>
    </r>
    <r>
      <rPr>
        <i/>
        <sz val="12"/>
        <rFont val="Arial"/>
        <family val="2"/>
      </rPr>
      <t>/X</t>
    </r>
    <r>
      <rPr>
        <i/>
        <vertAlign val="subscript"/>
        <sz val="12"/>
        <rFont val="Arial"/>
        <family val="2"/>
      </rPr>
      <t>PAO</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</si>
  <si>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*Minh</t>
    </r>
    <r>
      <rPr>
        <i/>
        <vertAlign val="subscript"/>
        <sz val="12"/>
        <rFont val="Arial"/>
        <family val="2"/>
      </rPr>
      <t>SO2,KOH</t>
    </r>
    <r>
      <rPr>
        <i/>
        <sz val="12"/>
        <rFont val="Arial"/>
        <family val="2"/>
      </rPr>
      <t>*Msat</t>
    </r>
    <r>
      <rPr>
        <i/>
        <vertAlign val="subscript"/>
        <sz val="12"/>
        <rFont val="Arial"/>
        <family val="2"/>
      </rPr>
      <t>SNO3,KNO3</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</si>
  <si>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*Minh</t>
    </r>
    <r>
      <rPr>
        <i/>
        <vertAlign val="subscript"/>
        <sz val="12"/>
        <rFont val="Arial"/>
        <family val="2"/>
      </rPr>
      <t>SO2,KOH</t>
    </r>
    <r>
      <rPr>
        <i/>
        <sz val="12"/>
        <rFont val="Arial"/>
        <family val="2"/>
      </rPr>
      <t>*Msat</t>
    </r>
    <r>
      <rPr>
        <i/>
        <vertAlign val="subscript"/>
        <sz val="12"/>
        <rFont val="Arial"/>
        <family val="2"/>
      </rPr>
      <t>SNO3,KNO3</t>
    </r>
    <r>
      <rPr>
        <i/>
        <sz val="12"/>
        <rFont val="Arial"/>
        <family val="2"/>
      </rPr>
      <t>*(X</t>
    </r>
    <r>
      <rPr>
        <i/>
        <vertAlign val="subscript"/>
        <sz val="12"/>
        <rFont val="Arial"/>
        <family val="2"/>
      </rPr>
      <t>PP</t>
    </r>
    <r>
      <rPr>
        <i/>
        <sz val="12"/>
        <rFont val="Arial"/>
        <family val="2"/>
      </rPr>
      <t>/X</t>
    </r>
    <r>
      <rPr>
        <i/>
        <vertAlign val="subscript"/>
        <sz val="12"/>
        <rFont val="Arial"/>
        <family val="2"/>
      </rPr>
      <t>PAO</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</si>
  <si>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*Minh</t>
    </r>
    <r>
      <rPr>
        <i/>
        <vertAlign val="subscript"/>
        <sz val="12"/>
        <rFont val="Arial"/>
        <family val="2"/>
      </rPr>
      <t>SO2,KOH</t>
    </r>
    <r>
      <rPr>
        <i/>
        <sz val="12"/>
        <rFont val="Arial"/>
        <family val="2"/>
      </rPr>
      <t>*Minh</t>
    </r>
    <r>
      <rPr>
        <i/>
        <vertAlign val="subscript"/>
        <sz val="12"/>
        <rFont val="Arial"/>
        <family val="2"/>
      </rPr>
      <t>SNO3,KNO3</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</si>
  <si>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*Minh</t>
    </r>
    <r>
      <rPr>
        <i/>
        <vertAlign val="subscript"/>
        <sz val="12"/>
        <rFont val="Arial"/>
        <family val="2"/>
      </rPr>
      <t>SO2,KOH</t>
    </r>
    <r>
      <rPr>
        <i/>
        <sz val="12"/>
        <rFont val="Arial"/>
        <family val="2"/>
      </rPr>
      <t>*Minh</t>
    </r>
    <r>
      <rPr>
        <i/>
        <vertAlign val="subscript"/>
        <sz val="12"/>
        <rFont val="Arial"/>
        <family val="2"/>
      </rPr>
      <t>SNO3,KNO3</t>
    </r>
    <r>
      <rPr>
        <i/>
        <sz val="12"/>
        <rFont val="Arial"/>
        <family val="2"/>
      </rPr>
      <t>*(X</t>
    </r>
    <r>
      <rPr>
        <i/>
        <vertAlign val="subscript"/>
        <sz val="12"/>
        <rFont val="Arial"/>
        <family val="2"/>
      </rPr>
      <t>PP</t>
    </r>
    <r>
      <rPr>
        <i/>
        <sz val="12"/>
        <rFont val="Arial"/>
        <family val="2"/>
      </rPr>
      <t>/X</t>
    </r>
    <r>
      <rPr>
        <i/>
        <vertAlign val="subscript"/>
        <sz val="12"/>
        <rFont val="Arial"/>
        <family val="2"/>
      </rPr>
      <t>PAO</t>
    </r>
    <r>
      <rPr>
        <i/>
        <sz val="12"/>
        <rFont val="Arial"/>
        <family val="2"/>
      </rPr>
      <t>)*X</t>
    </r>
    <r>
      <rPr>
        <i/>
        <vertAlign val="subscript"/>
        <sz val="12"/>
        <rFont val="Arial"/>
        <family val="2"/>
      </rPr>
      <t>PAO</t>
    </r>
  </si>
  <si>
    <r>
      <t>b</t>
    </r>
    <r>
      <rPr>
        <i/>
        <vertAlign val="subscript"/>
        <sz val="12"/>
        <rFont val="Arial"/>
        <family val="2"/>
      </rPr>
      <t>PAO</t>
    </r>
    <r>
      <rPr>
        <i/>
        <sz val="12"/>
        <rFont val="Arial"/>
        <family val="2"/>
      </rPr>
      <t>*Minh</t>
    </r>
    <r>
      <rPr>
        <i/>
        <vertAlign val="subscript"/>
        <sz val="12"/>
        <rFont val="Arial"/>
        <family val="2"/>
      </rPr>
      <t>SO2,KOH</t>
    </r>
    <r>
      <rPr>
        <i/>
        <sz val="12"/>
        <rFont val="Arial"/>
        <family val="2"/>
      </rPr>
      <t>*Minh</t>
    </r>
    <r>
      <rPr>
        <i/>
        <vertAlign val="subscript"/>
        <sz val="12"/>
        <rFont val="Arial"/>
        <family val="2"/>
      </rPr>
      <t>SNO3,KNO3</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SPO4,KPO4,lys</t>
    </r>
    <r>
      <rPr>
        <i/>
        <sz val="12"/>
        <rFont val="Arial"/>
        <family val="2"/>
      </rPr>
      <t>*(X</t>
    </r>
    <r>
      <rPr>
        <i/>
        <vertAlign val="subscript"/>
        <sz val="12"/>
        <rFont val="Arial"/>
        <family val="2"/>
      </rPr>
      <t>PHA</t>
    </r>
    <r>
      <rPr>
        <i/>
        <sz val="12"/>
        <rFont val="Arial"/>
        <family val="2"/>
      </rPr>
      <t>/X</t>
    </r>
    <r>
      <rPr>
        <i/>
        <vertAlign val="subscript"/>
        <sz val="12"/>
        <rFont val="Arial"/>
        <family val="2"/>
      </rPr>
      <t>PAO</t>
    </r>
    <r>
      <rPr>
        <i/>
        <sz val="12"/>
        <rFont val="Arial"/>
        <family val="2"/>
      </rPr>
      <t>)*X</t>
    </r>
    <r>
      <rPr>
        <i/>
        <vertAlign val="subscript"/>
        <sz val="12"/>
        <rFont val="Arial"/>
        <family val="2"/>
      </rPr>
      <t>PAO</t>
    </r>
  </si>
  <si>
    <r>
      <t>MRsat</t>
    </r>
    <r>
      <rPr>
        <vertAlign val="subscript"/>
        <sz val="11"/>
        <rFont val="Calibri"/>
        <family val="2"/>
      </rPr>
      <t>SA,SF,XADS</t>
    </r>
  </si>
  <si>
    <r>
      <t>MRsat</t>
    </r>
    <r>
      <rPr>
        <vertAlign val="subscript"/>
        <sz val="11"/>
        <rFont val="Calibri"/>
        <family val="2"/>
      </rPr>
      <t>SF,SA,XADS</t>
    </r>
  </si>
  <si>
    <r>
      <t>MRsat</t>
    </r>
    <r>
      <rPr>
        <vertAlign val="subscript"/>
        <sz val="11"/>
        <rFont val="Calibri"/>
        <family val="2"/>
      </rPr>
      <t>XADS,SA,SF</t>
    </r>
  </si>
  <si>
    <t>Saturation term for fermentation products (VFA,ADS)</t>
  </si>
  <si>
    <t>Saturation term for fermentable organic matter (ADS)</t>
  </si>
  <si>
    <t>Saturation term for adsorbed slowly biodegradable substrate</t>
  </si>
  <si>
    <r>
      <t>MRsat</t>
    </r>
    <r>
      <rPr>
        <vertAlign val="subscript"/>
        <sz val="11"/>
        <rFont val="Calibri"/>
        <family val="2"/>
      </rPr>
      <t>XADS,XH,KSP</t>
    </r>
  </si>
  <si>
    <t>Saturation term for adsorbed slowly biodegradable substrate (heterotrophs)</t>
  </si>
  <si>
    <r>
      <t>S</t>
    </r>
    <r>
      <rPr>
        <vertAlign val="subscript"/>
        <sz val="11"/>
        <rFont val="Calibri"/>
        <family val="2"/>
      </rPr>
      <t>A</t>
    </r>
    <r>
      <rPr>
        <sz val="11"/>
        <rFont val="Calibri"/>
        <family val="2"/>
      </rPr>
      <t>/(S</t>
    </r>
    <r>
      <rPr>
        <vertAlign val="subscript"/>
        <sz val="11"/>
        <rFont val="Calibri"/>
        <family val="2"/>
      </rPr>
      <t>A</t>
    </r>
    <r>
      <rPr>
        <sz val="11"/>
        <rFont val="Calibri"/>
        <family val="2"/>
      </rPr>
      <t>+S</t>
    </r>
    <r>
      <rPr>
        <vertAlign val="subscript"/>
        <sz val="11"/>
        <rFont val="Calibri"/>
        <family val="2"/>
      </rPr>
      <t>F</t>
    </r>
    <r>
      <rPr>
        <sz val="11"/>
        <rFont val="Calibri"/>
        <family val="2"/>
      </rPr>
      <t>+X</t>
    </r>
    <r>
      <rPr>
        <vertAlign val="subscript"/>
        <sz val="11"/>
        <rFont val="Calibri"/>
        <family val="2"/>
      </rPr>
      <t>ADS</t>
    </r>
    <r>
      <rPr>
        <sz val="11"/>
        <rFont val="Calibri"/>
        <family val="2"/>
      </rPr>
      <t>)</t>
    </r>
  </si>
  <si>
    <r>
      <t>S</t>
    </r>
    <r>
      <rPr>
        <vertAlign val="subscript"/>
        <sz val="11"/>
        <rFont val="Calibri"/>
        <family val="2"/>
      </rPr>
      <t>F</t>
    </r>
    <r>
      <rPr>
        <sz val="11"/>
        <rFont val="Calibri"/>
        <family val="2"/>
      </rPr>
      <t>/(S</t>
    </r>
    <r>
      <rPr>
        <vertAlign val="subscript"/>
        <sz val="11"/>
        <rFont val="Calibri"/>
        <family val="2"/>
      </rPr>
      <t>A</t>
    </r>
    <r>
      <rPr>
        <sz val="11"/>
        <rFont val="Calibri"/>
        <family val="2"/>
      </rPr>
      <t>+S</t>
    </r>
    <r>
      <rPr>
        <vertAlign val="subscript"/>
        <sz val="11"/>
        <rFont val="Calibri"/>
        <family val="2"/>
      </rPr>
      <t>F</t>
    </r>
    <r>
      <rPr>
        <sz val="11"/>
        <rFont val="Calibri"/>
        <family val="2"/>
      </rPr>
      <t>+X</t>
    </r>
    <r>
      <rPr>
        <vertAlign val="subscript"/>
        <sz val="11"/>
        <rFont val="Calibri"/>
        <family val="2"/>
      </rPr>
      <t>ADS</t>
    </r>
    <r>
      <rPr>
        <sz val="11"/>
        <rFont val="Calibri"/>
        <family val="2"/>
      </rPr>
      <t>)</t>
    </r>
  </si>
  <si>
    <r>
      <t>X</t>
    </r>
    <r>
      <rPr>
        <vertAlign val="subscript"/>
        <sz val="11"/>
        <rFont val="Calibri"/>
        <family val="2"/>
      </rPr>
      <t>ADS</t>
    </r>
    <r>
      <rPr>
        <sz val="11"/>
        <rFont val="Calibri"/>
        <family val="2"/>
      </rPr>
      <t>/(S</t>
    </r>
    <r>
      <rPr>
        <vertAlign val="subscript"/>
        <sz val="11"/>
        <rFont val="Calibri"/>
        <family val="2"/>
      </rPr>
      <t>A</t>
    </r>
    <r>
      <rPr>
        <sz val="11"/>
        <rFont val="Calibri"/>
        <family val="2"/>
      </rPr>
      <t>+S</t>
    </r>
    <r>
      <rPr>
        <vertAlign val="subscript"/>
        <sz val="11"/>
        <rFont val="Calibri"/>
        <family val="2"/>
      </rPr>
      <t>F</t>
    </r>
    <r>
      <rPr>
        <sz val="11"/>
        <rFont val="Calibri"/>
        <family val="2"/>
      </rPr>
      <t>+X</t>
    </r>
    <r>
      <rPr>
        <vertAlign val="subscript"/>
        <sz val="11"/>
        <rFont val="Calibri"/>
        <family val="2"/>
      </rPr>
      <t>ADS</t>
    </r>
    <r>
      <rPr>
        <sz val="11"/>
        <rFont val="Calibri"/>
        <family val="2"/>
      </rPr>
      <t>)</t>
    </r>
  </si>
  <si>
    <r>
      <t>(X</t>
    </r>
    <r>
      <rPr>
        <vertAlign val="subscript"/>
        <sz val="11"/>
        <rFont val="Calibri"/>
        <family val="2"/>
      </rPr>
      <t>ADS</t>
    </r>
    <r>
      <rPr>
        <sz val="11"/>
        <rFont val="Calibri"/>
        <family val="2"/>
      </rPr>
      <t>/X</t>
    </r>
    <r>
      <rPr>
        <vertAlign val="subscript"/>
        <sz val="11"/>
        <rFont val="Calibri"/>
        <family val="2"/>
      </rPr>
      <t>H</t>
    </r>
    <r>
      <rPr>
        <sz val="11"/>
        <rFont val="Calibri"/>
        <family val="2"/>
      </rPr>
      <t>)/(K</t>
    </r>
    <r>
      <rPr>
        <vertAlign val="subscript"/>
        <sz val="11"/>
        <rFont val="Calibri"/>
        <family val="2"/>
      </rPr>
      <t>SP</t>
    </r>
    <r>
      <rPr>
        <sz val="11"/>
        <rFont val="Calibri"/>
        <family val="2"/>
      </rPr>
      <t>+(X</t>
    </r>
    <r>
      <rPr>
        <vertAlign val="subscript"/>
        <sz val="11"/>
        <rFont val="Calibri"/>
        <family val="2"/>
      </rPr>
      <t>ADS</t>
    </r>
    <r>
      <rPr>
        <sz val="11"/>
        <rFont val="Calibri"/>
        <family val="2"/>
      </rPr>
      <t>/X</t>
    </r>
    <r>
      <rPr>
        <vertAlign val="subscript"/>
        <sz val="11"/>
        <rFont val="Calibri"/>
        <family val="2"/>
      </rPr>
      <t>H</t>
    </r>
    <r>
      <rPr>
        <sz val="11"/>
        <rFont val="Calibri"/>
        <family val="2"/>
      </rPr>
      <t>))</t>
    </r>
  </si>
  <si>
    <r>
      <t>(X</t>
    </r>
    <r>
      <rPr>
        <vertAlign val="subscript"/>
        <sz val="11"/>
        <rFont val="Calibri"/>
        <family val="2"/>
      </rPr>
      <t>PHA</t>
    </r>
    <r>
      <rPr>
        <sz val="11"/>
        <rFont val="Calibri"/>
        <family val="2"/>
      </rPr>
      <t>/X</t>
    </r>
    <r>
      <rPr>
        <vertAlign val="subscript"/>
        <sz val="11"/>
        <rFont val="Calibri"/>
        <family val="2"/>
      </rPr>
      <t>PAO</t>
    </r>
    <r>
      <rPr>
        <sz val="11"/>
        <rFont val="Calibri"/>
        <family val="2"/>
      </rPr>
      <t>)/(K</t>
    </r>
    <r>
      <rPr>
        <vertAlign val="subscript"/>
        <sz val="11"/>
        <rFont val="Calibri"/>
        <family val="2"/>
      </rPr>
      <t>PHA2</t>
    </r>
    <r>
      <rPr>
        <sz val="11"/>
        <rFont val="Calibri"/>
        <family val="2"/>
      </rPr>
      <t>+X</t>
    </r>
    <r>
      <rPr>
        <vertAlign val="subscript"/>
        <sz val="11"/>
        <rFont val="Calibri"/>
        <family val="2"/>
      </rPr>
      <t>PHA</t>
    </r>
    <r>
      <rPr>
        <sz val="11"/>
        <rFont val="Calibri"/>
        <family val="2"/>
      </rPr>
      <t>/X</t>
    </r>
    <r>
      <rPr>
        <vertAlign val="subscript"/>
        <sz val="11"/>
        <rFont val="Calibri"/>
        <family val="2"/>
      </rPr>
      <t>PAO</t>
    </r>
    <r>
      <rPr>
        <sz val="11"/>
        <rFont val="Calibri"/>
        <family val="2"/>
      </rPr>
      <t>)</t>
    </r>
  </si>
  <si>
    <r>
      <t>(X</t>
    </r>
    <r>
      <rPr>
        <vertAlign val="subscript"/>
        <sz val="11"/>
        <rFont val="Calibri"/>
        <family val="2"/>
      </rPr>
      <t>PHA</t>
    </r>
    <r>
      <rPr>
        <sz val="11"/>
        <rFont val="Calibri"/>
        <family val="2"/>
      </rPr>
      <t>/X</t>
    </r>
    <r>
      <rPr>
        <vertAlign val="subscript"/>
        <sz val="11"/>
        <rFont val="Calibri"/>
        <family val="2"/>
      </rPr>
      <t>PAO</t>
    </r>
    <r>
      <rPr>
        <sz val="11"/>
        <rFont val="Calibri"/>
        <family val="2"/>
      </rPr>
      <t>)/(K</t>
    </r>
    <r>
      <rPr>
        <vertAlign val="subscript"/>
        <sz val="11"/>
        <rFont val="Calibri"/>
        <family val="2"/>
      </rPr>
      <t>PHA1</t>
    </r>
    <r>
      <rPr>
        <sz val="11"/>
        <rFont val="Calibri"/>
        <family val="2"/>
      </rPr>
      <t>+X</t>
    </r>
    <r>
      <rPr>
        <vertAlign val="subscript"/>
        <sz val="11"/>
        <rFont val="Calibri"/>
        <family val="2"/>
      </rPr>
      <t>PHA</t>
    </r>
    <r>
      <rPr>
        <sz val="11"/>
        <rFont val="Calibri"/>
        <family val="2"/>
      </rPr>
      <t>/X</t>
    </r>
    <r>
      <rPr>
        <vertAlign val="subscript"/>
        <sz val="11"/>
        <rFont val="Calibri"/>
        <family val="2"/>
      </rPr>
      <t>PAO</t>
    </r>
    <r>
      <rPr>
        <sz val="11"/>
        <rFont val="Calibri"/>
        <family val="2"/>
      </rPr>
      <t>)</t>
    </r>
  </si>
  <si>
    <r>
      <t>MRsat</t>
    </r>
    <r>
      <rPr>
        <vertAlign val="subscript"/>
        <sz val="11"/>
        <rFont val="Calibri"/>
        <family val="2"/>
      </rPr>
      <t>XPHA,XPAO,KPHA1</t>
    </r>
  </si>
  <si>
    <r>
      <t>MRsat</t>
    </r>
    <r>
      <rPr>
        <vertAlign val="subscript"/>
        <sz val="11"/>
        <rFont val="Calibri"/>
        <family val="2"/>
      </rPr>
      <t>XPHA,XPAO,KPHA2</t>
    </r>
    <r>
      <rPr>
        <sz val="11"/>
        <color theme="1"/>
        <rFont val="Calibri"/>
        <family val="2"/>
        <scheme val="minor"/>
      </rPr>
      <t/>
    </r>
  </si>
  <si>
    <t>Saturation term for storage compound in PAOs (P limit)</t>
  </si>
  <si>
    <r>
      <t>µ</t>
    </r>
    <r>
      <rPr>
        <i/>
        <vertAlign val="subscript"/>
        <sz val="12"/>
        <rFont val="Arial"/>
        <family val="2"/>
      </rPr>
      <t>PAO1</t>
    </r>
    <r>
      <rPr>
        <i/>
        <sz val="12"/>
        <rFont val="Arial"/>
        <family val="2"/>
      </rPr>
      <t>*MRsat</t>
    </r>
    <r>
      <rPr>
        <i/>
        <vertAlign val="subscript"/>
        <sz val="12"/>
        <rFont val="Arial"/>
        <family val="2"/>
      </rPr>
      <t>XPHA,XPAO,KPHA1</t>
    </r>
    <r>
      <rPr>
        <i/>
        <sz val="12"/>
        <rFont val="Arial"/>
        <family val="2"/>
      </rPr>
      <t>*Msat</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SPO4,KPO4,up</t>
    </r>
    <r>
      <rPr>
        <i/>
        <sz val="12"/>
        <rFont val="Arial"/>
        <family val="2"/>
      </rPr>
      <t>*X</t>
    </r>
    <r>
      <rPr>
        <i/>
        <vertAlign val="subscript"/>
        <sz val="12"/>
        <rFont val="Arial"/>
        <family val="2"/>
      </rPr>
      <t>PAO</t>
    </r>
  </si>
  <si>
    <r>
      <t>µ</t>
    </r>
    <r>
      <rPr>
        <i/>
        <vertAlign val="subscript"/>
        <sz val="12"/>
        <rFont val="Arial"/>
        <family val="2"/>
      </rPr>
      <t>PAO1</t>
    </r>
    <r>
      <rPr>
        <i/>
        <sz val="12"/>
        <rFont val="Arial"/>
        <family val="2"/>
      </rPr>
      <t>*</t>
    </r>
    <r>
      <rPr>
        <i/>
        <sz val="12"/>
        <rFont val="Arial"/>
        <family val="2"/>
      </rPr>
      <t>MRsat</t>
    </r>
    <r>
      <rPr>
        <i/>
        <vertAlign val="subscript"/>
        <sz val="12"/>
        <rFont val="Arial"/>
        <family val="2"/>
      </rPr>
      <t>XPHA,XPAO,KPHA1</t>
    </r>
    <r>
      <rPr>
        <i/>
        <sz val="12"/>
        <rFont val="Arial"/>
        <family val="2"/>
      </rPr>
      <t>*Msat</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SPO4,KPO4,up</t>
    </r>
    <r>
      <rPr>
        <i/>
        <sz val="12"/>
        <rFont val="Arial"/>
        <family val="2"/>
      </rPr>
      <t>*X</t>
    </r>
    <r>
      <rPr>
        <i/>
        <vertAlign val="subscript"/>
        <sz val="12"/>
        <rFont val="Arial"/>
        <family val="2"/>
      </rPr>
      <t>PAO</t>
    </r>
  </si>
  <si>
    <r>
      <t>η</t>
    </r>
    <r>
      <rPr>
        <i/>
        <vertAlign val="subscript"/>
        <sz val="12"/>
        <rFont val="Arial"/>
        <family val="2"/>
      </rPr>
      <t>PAO</t>
    </r>
    <r>
      <rPr>
        <i/>
        <sz val="12"/>
        <rFont val="Arial"/>
        <family val="2"/>
      </rPr>
      <t>*µ</t>
    </r>
    <r>
      <rPr>
        <i/>
        <vertAlign val="subscript"/>
        <sz val="12"/>
        <rFont val="Arial"/>
        <family val="2"/>
      </rPr>
      <t>PAO1</t>
    </r>
    <r>
      <rPr>
        <i/>
        <sz val="12"/>
        <rFont val="Arial"/>
        <family val="2"/>
      </rPr>
      <t>*</t>
    </r>
    <r>
      <rPr>
        <i/>
        <sz val="12"/>
        <rFont val="Arial"/>
        <family val="2"/>
      </rPr>
      <t>MRsat</t>
    </r>
    <r>
      <rPr>
        <i/>
        <vertAlign val="subscript"/>
        <sz val="12"/>
        <rFont val="Arial"/>
        <family val="2"/>
      </rPr>
      <t>XPHA,XPAO,KPHA1</t>
    </r>
    <r>
      <rPr>
        <i/>
        <sz val="12"/>
        <rFont val="Arial"/>
        <family val="2"/>
      </rPr>
      <t>*Minh</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SPO4,KPO4,up</t>
    </r>
    <r>
      <rPr>
        <i/>
        <sz val="12"/>
        <rFont val="Arial"/>
        <family val="2"/>
      </rPr>
      <t>*X</t>
    </r>
    <r>
      <rPr>
        <i/>
        <vertAlign val="subscript"/>
        <sz val="12"/>
        <rFont val="Arial"/>
        <family val="2"/>
      </rPr>
      <t>PAO</t>
    </r>
  </si>
  <si>
    <r>
      <t>η</t>
    </r>
    <r>
      <rPr>
        <i/>
        <vertAlign val="subscript"/>
        <sz val="12"/>
        <rFont val="Arial"/>
        <family val="2"/>
      </rPr>
      <t>PAO</t>
    </r>
    <r>
      <rPr>
        <i/>
        <sz val="12"/>
        <rFont val="Arial"/>
        <family val="2"/>
      </rPr>
      <t>*µ</t>
    </r>
    <r>
      <rPr>
        <i/>
        <vertAlign val="subscript"/>
        <sz val="12"/>
        <rFont val="Arial"/>
        <family val="2"/>
      </rPr>
      <t>PAO2</t>
    </r>
    <r>
      <rPr>
        <i/>
        <sz val="12"/>
        <rFont val="Arial"/>
        <family val="2"/>
      </rPr>
      <t>*</t>
    </r>
    <r>
      <rPr>
        <i/>
        <sz val="12"/>
        <rFont val="Arial"/>
        <family val="2"/>
      </rPr>
      <t>MRsat</t>
    </r>
    <r>
      <rPr>
        <i/>
        <vertAlign val="subscript"/>
        <sz val="12"/>
        <rFont val="Arial"/>
        <family val="2"/>
      </rPr>
      <t>XPHA,XPAO,KPHA1</t>
    </r>
    <r>
      <rPr>
        <i/>
        <sz val="12"/>
        <rFont val="Arial"/>
        <family val="2"/>
      </rPr>
      <t>*Minh</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SPO4,KPO4,up</t>
    </r>
    <r>
      <rPr>
        <i/>
        <sz val="12"/>
        <rFont val="Arial"/>
        <family val="2"/>
      </rPr>
      <t>*X</t>
    </r>
    <r>
      <rPr>
        <i/>
        <vertAlign val="subscript"/>
        <sz val="12"/>
        <rFont val="Arial"/>
        <family val="2"/>
      </rPr>
      <t>PAO</t>
    </r>
  </si>
  <si>
    <t>Saturation term for fermentation products (heterotrophs)</t>
  </si>
  <si>
    <t>Saturation term for fermentable organic matter (fermentation)</t>
  </si>
  <si>
    <t>Saturation term for dissolved oxygen (heterotrophs)</t>
  </si>
  <si>
    <t>Saturation term for ammonia (heterotrophs)</t>
  </si>
  <si>
    <t>Saturation term for nitrate and nitrite (heterotrophs)</t>
  </si>
  <si>
    <r>
      <t>Saturation term for PO</t>
    </r>
    <r>
      <rPr>
        <vertAlign val="subscript"/>
        <sz val="11"/>
        <color rgb="FF000000"/>
        <rFont val="Calibri"/>
        <family val="2"/>
        <scheme val="minor"/>
      </rPr>
      <t>4</t>
    </r>
    <r>
      <rPr>
        <sz val="11"/>
        <color rgb="FF000000"/>
        <rFont val="Calibri"/>
        <family val="2"/>
        <charset val="238"/>
        <scheme val="minor"/>
      </rPr>
      <t xml:space="preserve"> (as nutrient)</t>
    </r>
  </si>
  <si>
    <r>
      <t>Saturation term for PO</t>
    </r>
    <r>
      <rPr>
        <vertAlign val="subscript"/>
        <sz val="11"/>
        <color rgb="FF000000"/>
        <rFont val="Calibri"/>
        <family val="2"/>
        <scheme val="minor"/>
      </rPr>
      <t>4</t>
    </r>
    <r>
      <rPr>
        <sz val="11"/>
        <color rgb="FF000000"/>
        <rFont val="Calibri"/>
        <family val="2"/>
        <charset val="238"/>
        <scheme val="minor"/>
      </rPr>
      <t xml:space="preserve"> (PAO)</t>
    </r>
  </si>
  <si>
    <r>
      <t>Saturation term for PO</t>
    </r>
    <r>
      <rPr>
        <vertAlign val="subscript"/>
        <sz val="11"/>
        <color rgb="FF000000"/>
        <rFont val="Calibri"/>
        <family val="2"/>
        <scheme val="minor"/>
      </rPr>
      <t>4</t>
    </r>
    <r>
      <rPr>
        <sz val="11"/>
        <color rgb="FF000000"/>
        <rFont val="Calibri"/>
        <family val="2"/>
        <charset val="238"/>
        <scheme val="minor"/>
      </rPr>
      <t xml:space="preserve"> (lysis)</t>
    </r>
  </si>
  <si>
    <t>Inhibition term for dissolved oxygen (heterotrophs)</t>
  </si>
  <si>
    <t>Inhibition term for nitrate and nitrite</t>
  </si>
  <si>
    <r>
      <t>Inhibition term for PO</t>
    </r>
    <r>
      <rPr>
        <vertAlign val="subscript"/>
        <sz val="11"/>
        <color rgb="FF000000"/>
        <rFont val="Calibri"/>
        <family val="2"/>
        <scheme val="minor"/>
      </rPr>
      <t>4</t>
    </r>
    <r>
      <rPr>
        <sz val="11"/>
        <color rgb="FF000000"/>
        <rFont val="Calibri"/>
        <family val="2"/>
        <charset val="238"/>
        <scheme val="minor"/>
      </rPr>
      <t xml:space="preserve"> (PAO)</t>
    </r>
  </si>
  <si>
    <r>
      <t>Msat</t>
    </r>
    <r>
      <rPr>
        <vertAlign val="subscript"/>
        <sz val="11"/>
        <rFont val="Calibri"/>
        <family val="2"/>
      </rPr>
      <t>XPP,KPP</t>
    </r>
  </si>
  <si>
    <t>Saturation term for PP (PAO)</t>
  </si>
  <si>
    <r>
      <t>X</t>
    </r>
    <r>
      <rPr>
        <vertAlign val="subscript"/>
        <sz val="11"/>
        <rFont val="Calibri"/>
        <family val="2"/>
      </rPr>
      <t>PP</t>
    </r>
    <r>
      <rPr>
        <sz val="11"/>
        <rFont val="Calibri"/>
        <family val="2"/>
      </rPr>
      <t>/(K</t>
    </r>
    <r>
      <rPr>
        <vertAlign val="subscript"/>
        <sz val="11"/>
        <rFont val="Calibri"/>
        <family val="2"/>
      </rPr>
      <t>PP</t>
    </r>
    <r>
      <rPr>
        <sz val="11"/>
        <rFont val="Calibri"/>
        <family val="2"/>
      </rPr>
      <t>+X</t>
    </r>
    <r>
      <rPr>
        <vertAlign val="subscript"/>
        <sz val="11"/>
        <rFont val="Calibri"/>
        <family val="2"/>
      </rPr>
      <t>PP</t>
    </r>
    <r>
      <rPr>
        <sz val="11"/>
        <rFont val="Calibri"/>
        <family val="2"/>
      </rPr>
      <t>)</t>
    </r>
  </si>
  <si>
    <r>
      <t>b</t>
    </r>
    <r>
      <rPr>
        <i/>
        <vertAlign val="subscript"/>
        <sz val="12"/>
        <rFont val="Arial"/>
        <family val="2"/>
      </rPr>
      <t>PP</t>
    </r>
    <r>
      <rPr>
        <i/>
        <sz val="12"/>
        <rFont val="Arial"/>
        <family val="2"/>
      </rPr>
      <t>*Minh</t>
    </r>
    <r>
      <rPr>
        <i/>
        <vertAlign val="subscript"/>
        <sz val="12"/>
        <rFont val="Arial"/>
        <family val="2"/>
      </rPr>
      <t>SO2,KOH</t>
    </r>
    <r>
      <rPr>
        <i/>
        <sz val="12"/>
        <rFont val="Arial"/>
        <family val="2"/>
      </rPr>
      <t>*Minh</t>
    </r>
    <r>
      <rPr>
        <i/>
        <vertAlign val="subscript"/>
        <sz val="12"/>
        <rFont val="Arial"/>
        <family val="2"/>
      </rPr>
      <t>SNO3,KNO3</t>
    </r>
    <r>
      <rPr>
        <i/>
        <sz val="12"/>
        <rFont val="Arial"/>
        <family val="2"/>
      </rPr>
      <t>*</t>
    </r>
    <r>
      <rPr>
        <i/>
        <sz val="12"/>
        <rFont val="Arial"/>
        <family val="2"/>
      </rPr>
      <t>Msat</t>
    </r>
    <r>
      <rPr>
        <i/>
        <vertAlign val="subscript"/>
        <sz val="12"/>
        <rFont val="Arial"/>
        <family val="2"/>
      </rPr>
      <t>XPP,KPP</t>
    </r>
    <r>
      <rPr>
        <i/>
        <sz val="12"/>
        <rFont val="Arial"/>
        <family val="2"/>
      </rPr>
      <t>*X</t>
    </r>
    <r>
      <rPr>
        <i/>
        <vertAlign val="subscript"/>
        <sz val="12"/>
        <rFont val="Arial"/>
        <family val="2"/>
      </rPr>
      <t>PAO</t>
    </r>
  </si>
  <si>
    <r>
      <t>b</t>
    </r>
    <r>
      <rPr>
        <i/>
        <vertAlign val="subscript"/>
        <sz val="12"/>
        <rFont val="Arial"/>
        <family val="2"/>
      </rPr>
      <t>PP</t>
    </r>
    <r>
      <rPr>
        <i/>
        <sz val="12"/>
        <rFont val="Arial"/>
        <family val="2"/>
      </rPr>
      <t>*(1-η</t>
    </r>
    <r>
      <rPr>
        <i/>
        <vertAlign val="subscript"/>
        <sz val="12"/>
        <rFont val="Arial"/>
        <family val="2"/>
      </rPr>
      <t>PAO</t>
    </r>
    <r>
      <rPr>
        <i/>
        <sz val="12"/>
        <rFont val="Arial"/>
        <family val="2"/>
      </rPr>
      <t>)*Minh</t>
    </r>
    <r>
      <rPr>
        <i/>
        <vertAlign val="subscript"/>
        <sz val="12"/>
        <rFont val="Arial"/>
        <family val="2"/>
      </rPr>
      <t>SO2,KOH</t>
    </r>
    <r>
      <rPr>
        <i/>
        <sz val="12"/>
        <rFont val="Arial"/>
        <family val="2"/>
      </rPr>
      <t>*Msat</t>
    </r>
    <r>
      <rPr>
        <i/>
        <vertAlign val="subscript"/>
        <sz val="12"/>
        <rFont val="Arial"/>
        <family val="2"/>
      </rPr>
      <t>SNO3,KNO3</t>
    </r>
    <r>
      <rPr>
        <i/>
        <sz val="12"/>
        <rFont val="Arial"/>
        <family val="2"/>
      </rPr>
      <t>*</t>
    </r>
    <r>
      <rPr>
        <i/>
        <sz val="12"/>
        <rFont val="Arial"/>
        <family val="2"/>
      </rPr>
      <t>Msat</t>
    </r>
    <r>
      <rPr>
        <i/>
        <vertAlign val="subscript"/>
        <sz val="12"/>
        <rFont val="Arial"/>
        <family val="2"/>
      </rPr>
      <t>XPP,KPP</t>
    </r>
    <r>
      <rPr>
        <i/>
        <sz val="12"/>
        <rFont val="Arial"/>
        <family val="2"/>
      </rPr>
      <t>*X</t>
    </r>
    <r>
      <rPr>
        <i/>
        <vertAlign val="subscript"/>
        <sz val="12"/>
        <rFont val="Arial"/>
        <family val="2"/>
      </rPr>
      <t>PAO</t>
    </r>
  </si>
  <si>
    <r>
      <t>µ</t>
    </r>
    <r>
      <rPr>
        <i/>
        <vertAlign val="subscript"/>
        <sz val="12"/>
        <rFont val="Arial"/>
        <family val="2"/>
      </rPr>
      <t>PAO2</t>
    </r>
    <r>
      <rPr>
        <i/>
        <sz val="12"/>
        <rFont val="Arial"/>
        <family val="2"/>
      </rPr>
      <t>*MRsat</t>
    </r>
    <r>
      <rPr>
        <i/>
        <vertAlign val="subscript"/>
        <sz val="12"/>
        <rFont val="Arial"/>
        <family val="2"/>
      </rPr>
      <t>XPHA,XPAO,KPHA2</t>
    </r>
    <r>
      <rPr>
        <i/>
        <sz val="12"/>
        <rFont val="Arial"/>
        <family val="2"/>
      </rPr>
      <t>*Msat</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*Minh</t>
    </r>
    <r>
      <rPr>
        <i/>
        <vertAlign val="subscript"/>
        <sz val="12"/>
        <rFont val="Arial"/>
        <family val="2"/>
      </rPr>
      <t>SPO4,KPO4,up</t>
    </r>
    <r>
      <rPr>
        <i/>
        <sz val="12"/>
        <rFont val="Arial"/>
        <family val="2"/>
      </rPr>
      <t>*</t>
    </r>
    <r>
      <rPr>
        <i/>
        <sz val="12"/>
        <rFont val="Arial"/>
        <family val="2"/>
      </rPr>
      <t>Msat</t>
    </r>
    <r>
      <rPr>
        <i/>
        <vertAlign val="subscript"/>
        <sz val="12"/>
        <rFont val="Arial"/>
        <family val="2"/>
      </rPr>
      <t>XPP,KPP</t>
    </r>
    <r>
      <rPr>
        <i/>
        <sz val="12"/>
        <rFont val="Arial"/>
        <family val="2"/>
      </rPr>
      <t>*X</t>
    </r>
    <r>
      <rPr>
        <i/>
        <vertAlign val="subscript"/>
        <sz val="12"/>
        <rFont val="Arial"/>
        <family val="2"/>
      </rPr>
      <t>PAO</t>
    </r>
  </si>
  <si>
    <r>
      <t>µ</t>
    </r>
    <r>
      <rPr>
        <i/>
        <vertAlign val="subscript"/>
        <sz val="12"/>
        <rFont val="Arial"/>
        <family val="2"/>
      </rPr>
      <t>PAO2</t>
    </r>
    <r>
      <rPr>
        <i/>
        <sz val="12"/>
        <rFont val="Arial"/>
        <family val="2"/>
      </rPr>
      <t>*MRsat</t>
    </r>
    <r>
      <rPr>
        <i/>
        <vertAlign val="subscript"/>
        <sz val="12"/>
        <rFont val="Arial"/>
        <family val="2"/>
      </rPr>
      <t>XPHA,XPAO,KPHA2</t>
    </r>
    <r>
      <rPr>
        <i/>
        <sz val="12"/>
        <rFont val="Arial"/>
        <family val="2"/>
      </rPr>
      <t>*Msat</t>
    </r>
    <r>
      <rPr>
        <i/>
        <vertAlign val="subscript"/>
        <sz val="12"/>
        <rFont val="Arial"/>
        <family val="2"/>
      </rPr>
      <t>SO2,KOH</t>
    </r>
    <r>
      <rPr>
        <i/>
        <sz val="12"/>
        <rFont val="Arial"/>
        <family val="2"/>
      </rPr>
      <t>*Msat</t>
    </r>
    <r>
      <rPr>
        <i/>
        <vertAlign val="subscript"/>
        <sz val="12"/>
        <rFont val="Arial"/>
        <family val="2"/>
      </rPr>
      <t>SNH4,KNH4</t>
    </r>
    <r>
      <rPr>
        <i/>
        <sz val="12"/>
        <rFont val="Arial"/>
        <family val="2"/>
      </rPr>
      <t>*Minh</t>
    </r>
    <r>
      <rPr>
        <i/>
        <vertAlign val="subscript"/>
        <sz val="12"/>
        <rFont val="Arial"/>
        <family val="2"/>
      </rPr>
      <t>SPO4,KPO4,up</t>
    </r>
    <r>
      <rPr>
        <i/>
        <sz val="12"/>
        <rFont val="Arial"/>
        <family val="2"/>
      </rPr>
      <t>*</t>
    </r>
    <r>
      <rPr>
        <i/>
        <sz val="12"/>
        <rFont val="Arial"/>
        <family val="2"/>
      </rPr>
      <t>Msat</t>
    </r>
    <r>
      <rPr>
        <i/>
        <vertAlign val="subscript"/>
        <sz val="12"/>
        <rFont val="Arial"/>
        <family val="2"/>
      </rPr>
      <t>XPP,KPP</t>
    </r>
    <r>
      <rPr>
        <i/>
        <sz val="12"/>
        <rFont val="Arial"/>
        <family val="2"/>
      </rPr>
      <t>*X</t>
    </r>
    <r>
      <rPr>
        <i/>
        <vertAlign val="subscript"/>
        <sz val="12"/>
        <rFont val="Arial"/>
        <family val="2"/>
      </rPr>
      <t>PAO</t>
    </r>
  </si>
  <si>
    <r>
      <t>Msat</t>
    </r>
    <r>
      <rPr>
        <vertAlign val="subscript"/>
        <sz val="11"/>
        <rFont val="Calibri"/>
        <family val="2"/>
      </rPr>
      <t>SA,KAC</t>
    </r>
  </si>
  <si>
    <r>
      <t>S</t>
    </r>
    <r>
      <rPr>
        <vertAlign val="subscript"/>
        <sz val="11"/>
        <rFont val="Calibri"/>
        <family val="2"/>
      </rPr>
      <t>A</t>
    </r>
    <r>
      <rPr>
        <sz val="11"/>
        <rFont val="Calibri"/>
        <family val="2"/>
      </rPr>
      <t>/(K</t>
    </r>
    <r>
      <rPr>
        <vertAlign val="subscript"/>
        <sz val="11"/>
        <rFont val="Calibri"/>
        <family val="2"/>
      </rPr>
      <t>AC</t>
    </r>
    <r>
      <rPr>
        <sz val="11"/>
        <rFont val="Calibri"/>
        <family val="2"/>
      </rPr>
      <t>+S</t>
    </r>
    <r>
      <rPr>
        <vertAlign val="subscript"/>
        <sz val="11"/>
        <rFont val="Calibri"/>
        <family val="2"/>
      </rPr>
      <t>A</t>
    </r>
    <r>
      <rPr>
        <sz val="11"/>
        <rFont val="Calibri"/>
        <family val="2"/>
      </rPr>
      <t>)</t>
    </r>
  </si>
  <si>
    <t>Saturation term for fermentation products (PAO)</t>
  </si>
  <si>
    <r>
      <t>q</t>
    </r>
    <r>
      <rPr>
        <vertAlign val="subscript"/>
        <sz val="12"/>
        <rFont val="Arial"/>
        <family val="2"/>
      </rPr>
      <t>PHA</t>
    </r>
    <r>
      <rPr>
        <sz val="10"/>
        <rFont val="Arial"/>
        <family val="2"/>
      </rPr>
      <t>*</t>
    </r>
    <r>
      <rPr>
        <sz val="12"/>
        <rFont val="Arial"/>
        <family val="2"/>
      </rPr>
      <t>Msat</t>
    </r>
    <r>
      <rPr>
        <vertAlign val="subscript"/>
        <sz val="12"/>
        <rFont val="Arial"/>
        <family val="2"/>
      </rPr>
      <t>SA,KAC</t>
    </r>
    <r>
      <rPr>
        <sz val="12"/>
        <rFont val="Arial"/>
        <family val="2"/>
      </rPr>
      <t>*Msat</t>
    </r>
    <r>
      <rPr>
        <vertAlign val="subscript"/>
        <sz val="12"/>
        <rFont val="Arial"/>
        <family val="2"/>
      </rPr>
      <t>XPP,KPP</t>
    </r>
    <r>
      <rPr>
        <sz val="12"/>
        <rFont val="Arial"/>
        <family val="2"/>
      </rPr>
      <t>*</t>
    </r>
    <r>
      <rPr>
        <i/>
        <sz val="12"/>
        <rFont val="Arial"/>
        <family val="2"/>
      </rPr>
      <t>X</t>
    </r>
    <r>
      <rPr>
        <vertAlign val="subscript"/>
        <sz val="12"/>
        <rFont val="Arial"/>
        <family val="2"/>
      </rPr>
      <t>PAO</t>
    </r>
  </si>
  <si>
    <r>
      <t>Msat</t>
    </r>
    <r>
      <rPr>
        <vertAlign val="subscript"/>
        <sz val="11"/>
        <rFont val="Calibri"/>
        <family val="2"/>
      </rPr>
      <t>SO2,KON</t>
    </r>
  </si>
  <si>
    <t>Saturation term for dissolved oxygen (autotrophs)</t>
  </si>
  <si>
    <r>
      <t>S</t>
    </r>
    <r>
      <rPr>
        <vertAlign val="subscript"/>
        <sz val="11"/>
        <rFont val="Calibri"/>
        <family val="2"/>
      </rPr>
      <t>O2</t>
    </r>
    <r>
      <rPr>
        <sz val="11"/>
        <rFont val="Calibri"/>
        <family val="2"/>
      </rPr>
      <t>/(K</t>
    </r>
    <r>
      <rPr>
        <vertAlign val="subscript"/>
        <sz val="11"/>
        <rFont val="Calibri"/>
        <family val="2"/>
      </rPr>
      <t>ON</t>
    </r>
    <r>
      <rPr>
        <sz val="11"/>
        <rFont val="Calibri"/>
        <family val="2"/>
      </rPr>
      <t>+S</t>
    </r>
    <r>
      <rPr>
        <vertAlign val="subscript"/>
        <sz val="11"/>
        <rFont val="Calibri"/>
        <family val="2"/>
      </rPr>
      <t>O2</t>
    </r>
    <r>
      <rPr>
        <sz val="11"/>
        <rFont val="Calibri"/>
        <family val="2"/>
      </rPr>
      <t>)</t>
    </r>
  </si>
  <si>
    <r>
      <t>Msat</t>
    </r>
    <r>
      <rPr>
        <vertAlign val="subscript"/>
        <sz val="11"/>
        <rFont val="Calibri"/>
        <family val="2"/>
      </rPr>
      <t>SNH4,KNH4,NIT</t>
    </r>
  </si>
  <si>
    <t>Saturation term for ammonia (autotrophs)</t>
  </si>
  <si>
    <r>
      <t>S</t>
    </r>
    <r>
      <rPr>
        <vertAlign val="subscript"/>
        <sz val="11"/>
        <rFont val="Calibri"/>
        <family val="2"/>
      </rPr>
      <t>NH4</t>
    </r>
    <r>
      <rPr>
        <sz val="11"/>
        <rFont val="Calibri"/>
        <family val="2"/>
      </rPr>
      <t>/(K</t>
    </r>
    <r>
      <rPr>
        <vertAlign val="subscript"/>
        <sz val="11"/>
        <rFont val="Calibri"/>
        <family val="2"/>
      </rPr>
      <t>NH4,NIT</t>
    </r>
    <r>
      <rPr>
        <sz val="11"/>
        <rFont val="Calibri"/>
        <family val="2"/>
      </rPr>
      <t>+S</t>
    </r>
    <r>
      <rPr>
        <vertAlign val="subscript"/>
        <sz val="11"/>
        <rFont val="Calibri"/>
        <family val="2"/>
      </rPr>
      <t>NH4</t>
    </r>
    <r>
      <rPr>
        <sz val="11"/>
        <rFont val="Calibri"/>
        <family val="2"/>
      </rPr>
      <t>)</t>
    </r>
  </si>
  <si>
    <r>
      <t>μ</t>
    </r>
    <r>
      <rPr>
        <i/>
        <vertAlign val="subscript"/>
        <sz val="12"/>
        <rFont val="Arial"/>
        <family val="2"/>
      </rPr>
      <t>NIT</t>
    </r>
    <r>
      <rPr>
        <i/>
        <sz val="12"/>
        <rFont val="Arial"/>
        <family val="2"/>
      </rPr>
      <t>*</t>
    </r>
    <r>
      <rPr>
        <i/>
        <sz val="12"/>
        <rFont val="Arial"/>
        <family val="2"/>
      </rPr>
      <t>Msat</t>
    </r>
    <r>
      <rPr>
        <i/>
        <vertAlign val="subscript"/>
        <sz val="12"/>
        <rFont val="Arial"/>
        <family val="2"/>
      </rPr>
      <t>SO2,KON</t>
    </r>
    <r>
      <rPr>
        <i/>
        <sz val="12"/>
        <rFont val="Arial"/>
        <family val="2"/>
      </rPr>
      <t>*Msat</t>
    </r>
    <r>
      <rPr>
        <i/>
        <vertAlign val="subscript"/>
        <sz val="12"/>
        <rFont val="Arial"/>
        <family val="2"/>
      </rPr>
      <t>SNH4,KNH4,NIT</t>
    </r>
    <r>
      <rPr>
        <i/>
        <sz val="12"/>
        <rFont val="Arial"/>
        <family val="2"/>
      </rPr>
      <t>*Msat</t>
    </r>
    <r>
      <rPr>
        <i/>
        <vertAlign val="subscript"/>
        <sz val="12"/>
        <rFont val="Arial"/>
        <family val="2"/>
      </rPr>
      <t>SPO4,KPO4,gro</t>
    </r>
    <r>
      <rPr>
        <i/>
        <sz val="12"/>
        <rFont val="Arial"/>
        <family val="2"/>
      </rPr>
      <t>*X</t>
    </r>
    <r>
      <rPr>
        <i/>
        <vertAlign val="subscript"/>
        <sz val="12"/>
        <rFont val="Arial"/>
        <family val="2"/>
      </rPr>
      <t>NIT</t>
    </r>
  </si>
  <si>
    <r>
      <t>b</t>
    </r>
    <r>
      <rPr>
        <i/>
        <vertAlign val="subscript"/>
        <sz val="12"/>
        <rFont val="Arial"/>
        <family val="2"/>
      </rPr>
      <t>PAO</t>
    </r>
    <r>
      <rPr>
        <i/>
        <sz val="12"/>
        <rFont val="Arial"/>
        <family val="2"/>
      </rPr>
      <t>*Minh</t>
    </r>
    <r>
      <rPr>
        <i/>
        <vertAlign val="subscript"/>
        <sz val="12"/>
        <rFont val="Arial"/>
        <family val="2"/>
      </rPr>
      <t>SO2,KOH</t>
    </r>
    <r>
      <rPr>
        <i/>
        <sz val="12"/>
        <rFont val="Arial"/>
        <family val="2"/>
      </rPr>
      <t>*Msat</t>
    </r>
    <r>
      <rPr>
        <vertAlign val="subscript"/>
        <sz val="11"/>
        <color indexed="8"/>
        <rFont val="Calibri"/>
        <family val="2"/>
      </rPr>
      <t>SNO3,KNO3</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SPO4,KPO4,lys</t>
    </r>
    <r>
      <rPr>
        <i/>
        <sz val="12"/>
        <rFont val="Arial"/>
        <family val="2"/>
      </rPr>
      <t>*(X</t>
    </r>
    <r>
      <rPr>
        <i/>
        <vertAlign val="subscript"/>
        <sz val="12"/>
        <rFont val="Arial"/>
        <family val="2"/>
      </rPr>
      <t>PHA</t>
    </r>
    <r>
      <rPr>
        <i/>
        <sz val="12"/>
        <rFont val="Arial"/>
        <family val="2"/>
      </rPr>
      <t>/X</t>
    </r>
    <r>
      <rPr>
        <i/>
        <vertAlign val="subscript"/>
        <sz val="12"/>
        <rFont val="Arial"/>
        <family val="2"/>
      </rPr>
      <t>PAO</t>
    </r>
    <r>
      <rPr>
        <i/>
        <sz val="12"/>
        <rFont val="Arial"/>
        <family val="2"/>
      </rPr>
      <t>)*X</t>
    </r>
    <r>
      <rPr>
        <i/>
        <vertAlign val="subscript"/>
        <sz val="12"/>
        <rFont val="Arial"/>
        <family val="2"/>
      </rPr>
      <t>PAO</t>
    </r>
  </si>
  <si>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</si>
  <si>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</si>
  <si>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</si>
  <si>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</si>
  <si>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</si>
  <si>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</si>
  <si>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</si>
  <si>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</si>
  <si>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</si>
  <si>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</si>
  <si>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MsatpH(var;k;varpH;kpH)</t>
  </si>
  <si>
    <t>If(Sumo__pHEffects; varpH/(kpH+varpH); var/(k+var))</t>
  </si>
  <si>
    <t>MinhpH(var;k;varpH;kpH)</t>
  </si>
  <si>
    <t>If(Sumo__pHEffects; kpH/(kpH+varpH); k/(k+var))</t>
  </si>
  <si>
    <t>1 / (1 + Exp((halfval - var) * slope))</t>
  </si>
  <si>
    <t>LogsatpH(var; halfval; slope; varpH; halfvalpH; slopepH)</t>
  </si>
  <si>
    <t>Logistic saturation with check for pH availability</t>
  </si>
  <si>
    <t>If( Sumo__pHEffects; 1 / (1 + Exp((halfvalpH - varpH) * slopepH)); 1/((1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</si>
  <si>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</si>
  <si>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</si>
  <si>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</si>
  <si>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</si>
  <si>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</si>
  <si>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</si>
  <si>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If( Sumo__pHEffects; varpH / (halfvalpH + varpH + ((varpH)^2/halfinhpH));var / (halfval + var + ((var)^2/halfinh)))</t>
  </si>
  <si>
    <t>Noncompinh(var; halfinh)</t>
  </si>
  <si>
    <t>Non-competetive inhibition</t>
  </si>
  <si>
    <t>1 / (1 + (var / halfinh))</t>
  </si>
  <si>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</si>
  <si>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GO2_25</t>
    </r>
    <r>
      <rPr>
        <sz val="11"/>
        <rFont val="Calibri"/>
        <family val="2"/>
        <scheme val="minor"/>
      </rPr>
      <t>*Exp(Henry</t>
    </r>
    <r>
      <rPr>
        <vertAlign val="subscript"/>
        <sz val="11"/>
        <rFont val="Calibri"/>
        <family val="2"/>
        <scheme val="minor"/>
      </rPr>
      <t>GO2_dt</t>
    </r>
    <r>
      <rPr>
        <sz val="11"/>
        <rFont val="Calibri"/>
        <family val="2"/>
        <scheme val="minor"/>
      </rPr>
      <t>*((1/T)-(1/298.15)))</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</si>
  <si>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</si>
  <si>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GCO2_25</t>
    </r>
    <r>
      <rPr>
        <sz val="11"/>
        <rFont val="Calibri"/>
        <family val="2"/>
        <scheme val="minor"/>
      </rPr>
      <t>*Exp(Henry</t>
    </r>
    <r>
      <rPr>
        <vertAlign val="subscript"/>
        <sz val="11"/>
        <rFont val="Calibri"/>
        <family val="2"/>
        <scheme val="minor"/>
      </rPr>
      <t>GCO2_dt</t>
    </r>
    <r>
      <rPr>
        <sz val="11"/>
        <rFont val="Calibri"/>
        <family val="2"/>
        <scheme val="minor"/>
      </rPr>
      <t>*((1/T)-(1/298.15)))</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</si>
  <si>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</si>
  <si>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GNO_25</t>
    </r>
    <r>
      <rPr>
        <sz val="11"/>
        <rFont val="Calibri"/>
        <family val="2"/>
        <scheme val="minor"/>
      </rPr>
      <t>*Exp(Henry</t>
    </r>
    <r>
      <rPr>
        <vertAlign val="subscript"/>
        <sz val="11"/>
        <rFont val="Calibri"/>
        <family val="2"/>
        <scheme val="minor"/>
      </rPr>
      <t>GNO_dt</t>
    </r>
    <r>
      <rPr>
        <sz val="11"/>
        <rFont val="Calibri"/>
        <family val="2"/>
        <scheme val="minor"/>
      </rPr>
      <t>*((1/T)-(1/298.15)))</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</si>
  <si>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</si>
  <si>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GN2O_25</t>
    </r>
    <r>
      <rPr>
        <sz val="11"/>
        <rFont val="Calibri"/>
        <family val="2"/>
        <scheme val="minor"/>
      </rPr>
      <t>*Exp(Henry</t>
    </r>
    <r>
      <rPr>
        <vertAlign val="subscript"/>
        <sz val="11"/>
        <rFont val="Calibri"/>
        <family val="2"/>
        <scheme val="minor"/>
      </rPr>
      <t>GN2O_dt</t>
    </r>
    <r>
      <rPr>
        <sz val="11"/>
        <rFont val="Calibri"/>
        <family val="2"/>
        <scheme val="minor"/>
      </rPr>
      <t>*((1/T)-(1/298.15)))</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</si>
  <si>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</si>
  <si>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GN2_25</t>
    </r>
    <r>
      <rPr>
        <sz val="11"/>
        <rFont val="Calibri"/>
        <family val="2"/>
        <scheme val="minor"/>
      </rPr>
      <t>*Exp(Henry</t>
    </r>
    <r>
      <rPr>
        <vertAlign val="subscript"/>
        <sz val="11"/>
        <rFont val="Calibri"/>
        <family val="2"/>
        <scheme val="minor"/>
      </rPr>
      <t>GN2_dt</t>
    </r>
    <r>
      <rPr>
        <sz val="11"/>
        <rFont val="Calibri"/>
        <family val="2"/>
        <scheme val="minor"/>
      </rPr>
      <t>*((1/T)-(1/298.15)))</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</si>
  <si>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</si>
  <si>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GH2_25</t>
    </r>
    <r>
      <rPr>
        <sz val="11"/>
        <rFont val="Calibri"/>
        <family val="2"/>
        <scheme val="minor"/>
      </rPr>
      <t>*Exp(Henry</t>
    </r>
    <r>
      <rPr>
        <vertAlign val="subscript"/>
        <sz val="11"/>
        <rFont val="Calibri"/>
        <family val="2"/>
        <scheme val="minor"/>
      </rPr>
      <t>GH2_dt</t>
    </r>
    <r>
      <rPr>
        <sz val="11"/>
        <rFont val="Calibri"/>
        <family val="2"/>
        <scheme val="minor"/>
      </rPr>
      <t>*((1/T)-(1/298.15)))</t>
    </r>
  </si>
  <si>
    <r>
      <t>Henry</t>
    </r>
    <r>
      <rPr>
        <vertAlign val="subscript"/>
        <sz val="11"/>
        <rFont val="Calibri"/>
        <family val="2"/>
        <scheme val="minor"/>
      </rPr>
      <t>GCH4</t>
    </r>
    <r>
      <rPr>
        <sz val="11"/>
        <rFont val="Calibri"/>
        <family val="2"/>
        <scheme val="minor"/>
      </rPr>
      <t>(T)</t>
    </r>
  </si>
  <si>
    <r>
      <t>Henry</t>
    </r>
    <r>
      <rPr>
        <vertAlign val="subscript"/>
        <sz val="11"/>
        <rFont val="Calibri"/>
        <family val="2"/>
        <scheme val="minor"/>
      </rPr>
      <t>GCH4_25</t>
    </r>
    <r>
      <rPr>
        <sz val="11"/>
        <rFont val="Calibri"/>
        <family val="2"/>
        <scheme val="minor"/>
      </rPr>
      <t>*Exp(Henry</t>
    </r>
    <r>
      <rPr>
        <vertAlign val="subscript"/>
        <sz val="11"/>
        <rFont val="Calibri"/>
        <family val="2"/>
        <scheme val="minor"/>
      </rPr>
      <t>GCH4_dt</t>
    </r>
    <r>
      <rPr>
        <sz val="11"/>
        <rFont val="Calibri"/>
        <family val="2"/>
        <scheme val="minor"/>
      </rPr>
      <t>*((1/T)-(1/298.15)))</t>
    </r>
  </si>
  <si>
    <t>And(BOOL x; BOOL y)</t>
  </si>
  <si>
    <t>Logical 'and'</t>
  </si>
  <si>
    <t>return x &amp;&amp; y;</t>
  </si>
  <si>
    <t>And(BOOL x; BOOL y; BOOL z)</t>
  </si>
  <si>
    <t>Logical 'and' for three arguments</t>
  </si>
  <si>
    <t>return x &amp;&amp; y &amp;&amp; z;</t>
  </si>
  <si>
    <t>And(BOOL x; BOOL y; BOOL z; BOOL m)</t>
  </si>
  <si>
    <t>Logical 'and' for four arguments</t>
  </si>
  <si>
    <t>return x &amp;&amp; y &amp;&amp; z &amp;&amp; m;</t>
  </si>
  <si>
    <t>And(BOOL x; BOOL y; BOOL z; BOOL m; BOOL n)</t>
  </si>
  <si>
    <t>Logical 'and' for five arguments</t>
  </si>
  <si>
    <t>return x &amp;&amp; y &amp;&amp; z &amp;&amp; m &amp;&amp; n;</t>
  </si>
  <si>
    <t>And(BOOL x; BOOL y; BOOL z; BOOL m; BOOL n; BOOL o)</t>
  </si>
  <si>
    <t>Logical 'and' for six arguments</t>
  </si>
  <si>
    <t>return x &amp;&amp; y &amp;&amp; z &amp;&amp; m &amp;&amp; n &amp;&amp; o;</t>
  </si>
  <si>
    <t>Or(BOOL x; BOOL y)</t>
  </si>
  <si>
    <t>Logical 'or'</t>
  </si>
  <si>
    <t>return x || y;</t>
  </si>
  <si>
    <t>Or(BOOL x; BOOL y; BOOL z)</t>
  </si>
  <si>
    <t>Logical 'or' for three arguments</t>
  </si>
  <si>
    <t>return x || y || z;</t>
  </si>
  <si>
    <t>Or(BOOL x; BOOL y; BOOL z; BOOL m)</t>
  </si>
  <si>
    <t>Logical 'or' for four arguments</t>
  </si>
  <si>
    <t>return x || y || z || m;</t>
  </si>
  <si>
    <t>Or(BOOL x; BOOL y; BOOL z; BOOL m; BOOL n)</t>
  </si>
  <si>
    <t>Logical 'or' for five arguments</t>
  </si>
  <si>
    <t>return x || y || z || m || n;</t>
  </si>
  <si>
    <t>Or(BOOL x; BOOL y; BOOL z; BOOL m; BOOL n; BOOL o)</t>
  </si>
  <si>
    <t>Logical 'or' for six arguments</t>
  </si>
  <si>
    <t>return x || y || z || m || n || o;</t>
  </si>
  <si>
    <t>Max(a;b;c)</t>
  </si>
  <si>
    <t>max(Max(a;b);c)</t>
  </si>
  <si>
    <t>Max(a;b;c;d)</t>
  </si>
  <si>
    <t>max(Max(a;b;c);d)</t>
  </si>
  <si>
    <t>Max(a;b;c;d;e)</t>
  </si>
  <si>
    <t>max(Max(a;b;c;d);e)</t>
  </si>
  <si>
    <t>Max(a;b;c;d;e;f)</t>
  </si>
  <si>
    <t>max(Max(a;b;c;d;e);f)</t>
  </si>
  <si>
    <t>Max(a;b;c;d;e;f;g)</t>
  </si>
  <si>
    <t>max(Max(a;b;c;d;e;f);g)</t>
  </si>
  <si>
    <t>Max(a;b;c;d;e;f;g;h)</t>
  </si>
  <si>
    <t>max(Max(a;b;c;d;e;f;g);h)</t>
  </si>
  <si>
    <t>Max(a;b;c;d;e;f;g;h;i)</t>
  </si>
  <si>
    <t>max(Max(a;b;c;d;e;f;g;h);i)</t>
  </si>
  <si>
    <t>Max(a;b;c;d;e;f;g;h;i;j)</t>
  </si>
  <si>
    <t>max(Max(a;b;c;d;e;f;g;h;i);j)</t>
  </si>
  <si>
    <t>Max(a;b;c;d;e;f;g;h;i;j;k)</t>
  </si>
  <si>
    <t>max(Max(a;b;c;d;e;f;g;h;i;j);k)</t>
  </si>
  <si>
    <r>
      <t>Henry</t>
    </r>
    <r>
      <rPr>
        <vertAlign val="subscript"/>
        <sz val="11"/>
        <rFont val="Calibri"/>
        <family val="2"/>
        <scheme val="minor"/>
      </rPr>
      <t>GO2,25</t>
    </r>
  </si>
  <si>
    <t>http://webbook.nist.gov/cgi/cbook.cgi?ID=C7782447&amp;Mask=10</t>
  </si>
  <si>
    <r>
      <t>Henry</t>
    </r>
    <r>
      <rPr>
        <vertAlign val="subscript"/>
        <sz val="11"/>
        <rFont val="Calibri"/>
        <family val="2"/>
        <scheme val="minor"/>
      </rPr>
      <t>GO2,dt</t>
    </r>
  </si>
  <si>
    <r>
      <t>Henry</t>
    </r>
    <r>
      <rPr>
        <vertAlign val="subscript"/>
        <sz val="11"/>
        <rFont val="Calibri"/>
        <family val="2"/>
        <scheme val="minor"/>
      </rPr>
      <t>GCO2,25</t>
    </r>
  </si>
  <si>
    <t>http://webbook.nist.gov/cgi/cbook.cgi?ID=C124389&amp;Mask=10</t>
  </si>
  <si>
    <r>
      <t>Henry</t>
    </r>
    <r>
      <rPr>
        <vertAlign val="subscript"/>
        <sz val="11"/>
        <rFont val="Calibri"/>
        <family val="2"/>
        <scheme val="minor"/>
      </rPr>
      <t>GCO2,dt</t>
    </r>
  </si>
  <si>
    <r>
      <t>Henry</t>
    </r>
    <r>
      <rPr>
        <vertAlign val="subscript"/>
        <sz val="11"/>
        <rFont val="Calibri"/>
        <family val="2"/>
        <scheme val="minor"/>
      </rPr>
      <t>GNO,25</t>
    </r>
  </si>
  <si>
    <t>http://webbook.nist.gov/cgi/cbook.cgi?ID=C10102439&amp;Mask=10</t>
  </si>
  <si>
    <r>
      <t>Henry</t>
    </r>
    <r>
      <rPr>
        <vertAlign val="subscript"/>
        <sz val="11"/>
        <rFont val="Calibri"/>
        <family val="2"/>
        <scheme val="minor"/>
      </rPr>
      <t>GNO,dt</t>
    </r>
  </si>
  <si>
    <r>
      <t>Henry</t>
    </r>
    <r>
      <rPr>
        <vertAlign val="subscript"/>
        <sz val="11"/>
        <rFont val="Calibri"/>
        <family val="2"/>
        <scheme val="minor"/>
      </rPr>
      <t>GN2O,25</t>
    </r>
  </si>
  <si>
    <t>http://webbook.nist.gov/cgi/cbook.cgi?ID=C10024972&amp;Mask=10</t>
  </si>
  <si>
    <r>
      <t>Henry</t>
    </r>
    <r>
      <rPr>
        <vertAlign val="subscript"/>
        <sz val="11"/>
        <rFont val="Calibri"/>
        <family val="2"/>
        <scheme val="minor"/>
      </rPr>
      <t>GN2O,dt</t>
    </r>
  </si>
  <si>
    <r>
      <t>Henry</t>
    </r>
    <r>
      <rPr>
        <vertAlign val="subscript"/>
        <sz val="11"/>
        <rFont val="Calibri"/>
        <family val="2"/>
        <scheme val="minor"/>
      </rPr>
      <t>GN2,25</t>
    </r>
  </si>
  <si>
    <t>http://webbook.nist.gov/cgi/cbook.cgi?ID=C7727379&amp;Mask=10</t>
  </si>
  <si>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</si>
  <si>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</si>
  <si>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</si>
  <si>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</si>
  <si>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t>http://webbook.nist.gov/cgi/cbook.cgi?ID=C74828&amp;Mask=10#Solubility</t>
  </si>
  <si>
    <r>
      <t>Henry</t>
    </r>
    <r>
      <rPr>
        <vertAlign val="subscript"/>
        <sz val="11"/>
        <rFont val="Calibri"/>
        <family val="2"/>
        <scheme val="minor"/>
      </rPr>
      <t>GCH4,dt</t>
    </r>
  </si>
  <si>
    <r>
      <t>D</t>
    </r>
    <r>
      <rPr>
        <vertAlign val="subscript"/>
        <sz val="11"/>
        <rFont val="Calibri"/>
        <family val="2"/>
        <scheme val="minor"/>
      </rPr>
      <t>NH3,25</t>
    </r>
  </si>
  <si>
    <t>Diffusion coefficient of ammonia in water</t>
  </si>
  <si>
    <t>one</t>
  </si>
  <si>
    <r>
      <t>c</t>
    </r>
    <r>
      <rPr>
        <vertAlign val="subscript"/>
        <sz val="11"/>
        <rFont val="Calibri"/>
        <family val="2"/>
        <scheme val="minor"/>
      </rPr>
      <t>p,water</t>
    </r>
  </si>
  <si>
    <t>Heat capacity of water at standard temperature (25°C)</t>
  </si>
  <si>
    <t>kJ.m-3.K-1</t>
  </si>
  <si>
    <r>
      <t>T</t>
    </r>
    <r>
      <rPr>
        <vertAlign val="subscript"/>
        <sz val="11"/>
        <rFont val="Calibri"/>
        <family val="2"/>
        <scheme val="minor"/>
      </rPr>
      <t>std</t>
    </r>
  </si>
  <si>
    <t>Standard temperature</t>
  </si>
  <si>
    <t>25°C</t>
  </si>
  <si>
    <r>
      <t>T</t>
    </r>
    <r>
      <rPr>
        <vertAlign val="subscript"/>
        <sz val="11"/>
        <rFont val="Calibri"/>
        <family val="2"/>
        <scheme val="minor"/>
      </rPr>
      <t>null</t>
    </r>
  </si>
  <si>
    <t>0°C in Kelvin</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</si>
  <si>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</si>
  <si>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</si>
  <si>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</si>
  <si>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NH4</t>
    </r>
  </si>
  <si>
    <t>Molecular mass of ammonium ion</t>
  </si>
  <si>
    <t>g.mol-1</t>
  </si>
  <si>
    <r>
      <t>MM</t>
    </r>
    <r>
      <rPr>
        <vertAlign val="subscript"/>
        <sz val="11"/>
        <rFont val="Calibri"/>
        <family val="2"/>
        <scheme val="minor"/>
      </rPr>
      <t>NO2</t>
    </r>
  </si>
  <si>
    <t>Molecular mass of nitrite ion</t>
  </si>
  <si>
    <r>
      <t>MM</t>
    </r>
    <r>
      <rPr>
        <vertAlign val="subscript"/>
        <sz val="11"/>
        <rFont val="Calibri"/>
        <family val="2"/>
        <scheme val="minor"/>
      </rPr>
      <t>NO3</t>
    </r>
  </si>
  <si>
    <t>Molecular mass of nitrate ion</t>
  </si>
  <si>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</si>
  <si>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</si>
  <si>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</si>
  <si>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</si>
  <si>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</si>
  <si>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</si>
  <si>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</si>
  <si>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</si>
  <si>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</si>
  <si>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</si>
  <si>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</si>
  <si>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t>Molecular mass of sulfuric acid</t>
  </si>
  <si>
    <r>
      <t>MM</t>
    </r>
    <r>
      <rPr>
        <vertAlign val="subscript"/>
        <sz val="11"/>
        <rFont val="Calibri"/>
        <family val="2"/>
        <scheme val="minor"/>
      </rPr>
      <t>H2S</t>
    </r>
  </si>
  <si>
    <t>Molecular mass of hydrogen sulfide</t>
  </si>
  <si>
    <r>
      <t>MM</t>
    </r>
    <r>
      <rPr>
        <vertAlign val="subscript"/>
        <sz val="11"/>
        <rFont val="Calibri"/>
        <family val="2"/>
        <scheme val="minor"/>
      </rPr>
      <t>HCl</t>
    </r>
  </si>
  <si>
    <t>Molecular mass of hydrogen chloride</t>
  </si>
  <si>
    <t>Molecular mass of calcium carbonate</t>
  </si>
  <si>
    <r>
      <t>MM</t>
    </r>
    <r>
      <rPr>
        <vertAlign val="subscript"/>
        <sz val="11"/>
        <rFont val="Calibri"/>
        <family val="2"/>
        <scheme val="minor"/>
      </rPr>
      <t>ACP</t>
    </r>
  </si>
  <si>
    <t>Molecular mass of amorphous calcium phosphate</t>
  </si>
  <si>
    <r>
      <t>MM</t>
    </r>
    <r>
      <rPr>
        <vertAlign val="subscript"/>
        <sz val="11"/>
        <rFont val="Calibri"/>
        <family val="2"/>
        <charset val="238"/>
        <scheme val="minor"/>
      </rPr>
      <t>STR</t>
    </r>
  </si>
  <si>
    <t>Molecular mass of struvite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</si>
  <si>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</si>
  <si>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</si>
  <si>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</si>
  <si>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</si>
  <si>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r>
      <t>MM</t>
    </r>
    <r>
      <rPr>
        <vertAlign val="subscript"/>
        <sz val="11"/>
        <rFont val="Calibri"/>
        <family val="2"/>
        <scheme val="minor"/>
      </rPr>
      <t>SiO2</t>
    </r>
  </si>
  <si>
    <t>Molecular mass of silica</t>
  </si>
  <si>
    <r>
      <t>MM</t>
    </r>
    <r>
      <rPr>
        <vertAlign val="subscript"/>
        <sz val="11"/>
        <rFont val="Calibri"/>
        <family val="2"/>
        <charset val="238"/>
        <scheme val="minor"/>
      </rPr>
      <t>EQ,GNH3</t>
    </r>
  </si>
  <si>
    <t>N content in GNH3</t>
  </si>
  <si>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charset val="238"/>
        <scheme val="minor"/>
      </rPr>
      <t>EQ,XXX</t>
    </r>
    <r>
      <rPr>
        <sz val="11"/>
        <rFont val="Calibri"/>
        <family val="2"/>
        <scheme val="minor"/>
      </rPr>
      <t xml:space="preserve"> data</t>
    </r>
  </si>
  <si>
    <t>gCOD.mol-1</t>
  </si>
  <si>
    <r>
      <t>K</t>
    </r>
    <r>
      <rPr>
        <vertAlign val="subscript"/>
        <sz val="11"/>
        <rFont val="Calibri"/>
        <family val="2"/>
        <scheme val="minor"/>
      </rPr>
      <t>W,param</t>
    </r>
  </si>
  <si>
    <r>
      <t>K</t>
    </r>
    <r>
      <rPr>
        <vertAlign val="subscript"/>
        <sz val="11"/>
        <rFont val="Calibri"/>
        <family val="2"/>
        <scheme val="minor"/>
      </rPr>
      <t>iNH3,param</t>
    </r>
  </si>
  <si>
    <r>
      <t>K</t>
    </r>
    <r>
      <rPr>
        <vertAlign val="subscript"/>
        <sz val="11"/>
        <rFont val="Calibri"/>
        <family val="2"/>
        <scheme val="minor"/>
      </rPr>
      <t>iNO2,param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</si>
  <si>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</si>
  <si>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</si>
  <si>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</si>
  <si>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</si>
  <si>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</si>
  <si>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Ki</t>
    </r>
    <r>
      <rPr>
        <vertAlign val="subscript"/>
        <sz val="11"/>
        <rFont val="Calibri"/>
        <family val="2"/>
        <scheme val="minor"/>
      </rPr>
      <t>Ac,param</t>
    </r>
  </si>
  <si>
    <r>
      <t>Ki</t>
    </r>
    <r>
      <rPr>
        <vertAlign val="subscript"/>
        <sz val="11"/>
        <rFont val="Calibri"/>
        <family val="2"/>
        <scheme val="minor"/>
      </rPr>
      <t>H2S,param</t>
    </r>
  </si>
  <si>
    <t>Hydrogen sulfide dissociation</t>
  </si>
  <si>
    <r>
      <t>K</t>
    </r>
    <r>
      <rPr>
        <vertAlign val="subscript"/>
        <sz val="11"/>
        <rFont val="Calibri"/>
        <family val="2"/>
        <scheme val="minor"/>
      </rPr>
      <t>sp,CaCO3</t>
    </r>
  </si>
  <si>
    <t>Calcium carbonate solubility</t>
  </si>
  <si>
    <r>
      <t>K</t>
    </r>
    <r>
      <rPr>
        <vertAlign val="subscript"/>
        <sz val="11"/>
        <rFont val="Calibri"/>
        <family val="2"/>
        <scheme val="minor"/>
      </rPr>
      <t>sp,STR</t>
    </r>
  </si>
  <si>
    <t>Struvite solubility</t>
  </si>
  <si>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</si>
  <si>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</si>
  <si>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</si>
  <si>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</si>
  <si>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</si>
  <si>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r>
      <t>EEQ</t>
    </r>
    <r>
      <rPr>
        <vertAlign val="subscript"/>
        <sz val="11"/>
        <rFont val="Calibri"/>
        <family val="2"/>
        <scheme val="minor"/>
      </rPr>
      <t>N2,NO3</t>
    </r>
  </si>
  <si>
    <r>
      <t>EEQ</t>
    </r>
    <r>
      <rPr>
        <vertAlign val="subscript"/>
        <sz val="11"/>
        <rFont val="Calibri"/>
        <family val="2"/>
        <scheme val="minor"/>
      </rPr>
      <t>H2S,H2SO4</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</si>
  <si>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</si>
  <si>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g COD/g S</t>
  </si>
  <si>
    <t>IS coefficients</t>
  </si>
  <si>
    <r>
      <t>f</t>
    </r>
    <r>
      <rPr>
        <vertAlign val="subscript"/>
        <sz val="11"/>
        <rFont val="Calibri"/>
        <family val="2"/>
        <scheme val="minor"/>
      </rPr>
      <t>mono,IS,cat</t>
    </r>
  </si>
  <si>
    <t>Coefficient for ionic strength calculation for monovalent cations</t>
  </si>
  <si>
    <t>=0.5*1^2</t>
  </si>
  <si>
    <r>
      <t>f</t>
    </r>
    <r>
      <rPr>
        <vertAlign val="subscript"/>
        <sz val="11"/>
        <rFont val="Calibri"/>
        <family val="2"/>
        <scheme val="minor"/>
      </rPr>
      <t>mono,IS,an</t>
    </r>
  </si>
  <si>
    <t>Coefficient for ionic strength calculation for monovalent anions</t>
  </si>
  <si>
    <t>=0.5*(-1)^2</t>
  </si>
  <si>
    <r>
      <t>f</t>
    </r>
    <r>
      <rPr>
        <vertAlign val="subscript"/>
        <sz val="11"/>
        <rFont val="Calibri"/>
        <family val="2"/>
        <scheme val="minor"/>
      </rPr>
      <t>di,IS,cat</t>
    </r>
  </si>
  <si>
    <t>Coefficient for ionic strength calculation for divalent cations</t>
  </si>
  <si>
    <t>=0.5*2^2</t>
  </si>
  <si>
    <r>
      <t>f</t>
    </r>
    <r>
      <rPr>
        <vertAlign val="subscript"/>
        <sz val="11"/>
        <rFont val="Calibri"/>
        <family val="2"/>
        <scheme val="minor"/>
      </rPr>
      <t>di,IS,an</t>
    </r>
  </si>
  <si>
    <t>Coefficient for ionic strength calculation for divalent anions</t>
  </si>
  <si>
    <t>=0.5*(-2)^2</t>
  </si>
  <si>
    <r>
      <t>f</t>
    </r>
    <r>
      <rPr>
        <vertAlign val="subscript"/>
        <sz val="11"/>
        <rFont val="Calibri"/>
        <family val="2"/>
        <scheme val="minor"/>
      </rPr>
      <t>tri,IS,cat</t>
    </r>
  </si>
  <si>
    <t>Coefficient for ionic strength calculation for trivalent cations</t>
  </si>
  <si>
    <t>=0.5*3^2</t>
  </si>
  <si>
    <r>
      <t>f</t>
    </r>
    <r>
      <rPr>
        <vertAlign val="subscript"/>
        <sz val="11"/>
        <rFont val="Calibri"/>
        <family val="2"/>
        <scheme val="minor"/>
      </rPr>
      <t>tri,IS,an</t>
    </r>
  </si>
  <si>
    <t>Coefficient for ionic strength calculation for trivalent anions</t>
  </si>
  <si>
    <t>=0.5*(-3)^2</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</si>
  <si>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</si>
  <si>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</si>
  <si>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</si>
  <si>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</si>
  <si>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</si>
  <si>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</si>
  <si>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</si>
  <si>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t>ppm.m-3.m3</t>
  </si>
  <si>
    <r>
      <t>c</t>
    </r>
    <r>
      <rPr>
        <vertAlign val="subscript"/>
        <sz val="11"/>
        <rFont val="Calibri"/>
        <family val="2"/>
        <scheme val="minor"/>
      </rPr>
      <t>s,d</t>
    </r>
  </si>
  <si>
    <t>Conversion coefficient between secs and day</t>
  </si>
  <si>
    <t>s.d-1</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</si>
  <si>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</si>
  <si>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</si>
  <si>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</si>
  <si>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c</t>
    </r>
    <r>
      <rPr>
        <vertAlign val="subscript"/>
        <sz val="11"/>
        <rFont val="Calibri"/>
        <family val="2"/>
        <scheme val="minor"/>
      </rPr>
      <t>mg,g</t>
    </r>
  </si>
  <si>
    <t>Conversion coefficient between milligrams and grams</t>
  </si>
  <si>
    <t>mg.g-1</t>
  </si>
  <si>
    <r>
      <t>c</t>
    </r>
    <r>
      <rPr>
        <vertAlign val="subscript"/>
        <sz val="11"/>
        <rFont val="Calibri"/>
        <family val="2"/>
        <scheme val="minor"/>
      </rPr>
      <t>g,kg</t>
    </r>
  </si>
  <si>
    <t>Conversion coefficient between grams and kilograms</t>
  </si>
  <si>
    <t>g.kg-1</t>
  </si>
  <si>
    <r>
      <t>c</t>
    </r>
    <r>
      <rPr>
        <vertAlign val="subscript"/>
        <sz val="11"/>
        <rFont val="Calibri"/>
        <family val="2"/>
        <scheme val="minor"/>
      </rPr>
      <t>L,m3</t>
    </r>
  </si>
  <si>
    <t>Conversion coefficient between liter and cubic meter</t>
  </si>
  <si>
    <t>L.m-3</t>
  </si>
  <si>
    <r>
      <t>c</t>
    </r>
    <r>
      <rPr>
        <vertAlign val="subscript"/>
        <sz val="11"/>
        <rFont val="Calibri"/>
        <family val="2"/>
        <scheme val="minor"/>
      </rPr>
      <t>Pa,Hgmm</t>
    </r>
  </si>
  <si>
    <t>Conversion coefficient between pascals and Hgmm</t>
  </si>
  <si>
    <t>Pa.Hgmm-1</t>
  </si>
  <si>
    <r>
      <t>c</t>
    </r>
    <r>
      <rPr>
        <vertAlign val="subscript"/>
        <sz val="11"/>
        <rFont val="Calibri"/>
        <family val="2"/>
        <scheme val="minor"/>
      </rPr>
      <t>Pa,bar</t>
    </r>
  </si>
  <si>
    <t>Pa.bar-1</t>
  </si>
  <si>
    <r>
      <t>c</t>
    </r>
    <r>
      <rPr>
        <vertAlign val="subscript"/>
        <sz val="11"/>
        <rFont val="Calibri"/>
        <family val="2"/>
        <scheme val="minor"/>
      </rPr>
      <t>cm2,m2</t>
    </r>
  </si>
  <si>
    <t>cm2.m-2</t>
  </si>
  <si>
    <t>Standard enthalpy of formation of species</t>
  </si>
  <si>
    <r>
      <t>H</t>
    </r>
    <r>
      <rPr>
        <vertAlign val="subscript"/>
        <sz val="11"/>
        <rFont val="Calibri"/>
        <family val="2"/>
        <scheme val="minor"/>
      </rPr>
      <t>Hp</t>
    </r>
  </si>
  <si>
    <t>Standard enthalpy of proton</t>
  </si>
  <si>
    <t>kJ.mol-1</t>
  </si>
  <si>
    <t>http://www.riverdell.org/cms/lib05/NJ01001380/Centricity/Domain/68/Thermodynamic_Values.pdf</t>
  </si>
  <si>
    <r>
      <t>H</t>
    </r>
    <r>
      <rPr>
        <vertAlign val="subscript"/>
        <sz val="11"/>
        <rFont val="Calibri"/>
        <family val="2"/>
        <scheme val="minor"/>
      </rPr>
      <t>H3Op</t>
    </r>
  </si>
  <si>
    <t>Standard enthalpy of oxonium ion</t>
  </si>
  <si>
    <t>http://www.vias.org/genchem/standard_enthalpies_table.html</t>
  </si>
  <si>
    <r>
      <t>H</t>
    </r>
    <r>
      <rPr>
        <vertAlign val="subscript"/>
        <sz val="11"/>
        <rFont val="Calibri"/>
        <family val="2"/>
        <scheme val="minor"/>
      </rPr>
      <t>OHm</t>
    </r>
  </si>
  <si>
    <t>Standard enthalpy of hydroxil ion</t>
  </si>
  <si>
    <r>
      <t>H</t>
    </r>
    <r>
      <rPr>
        <vertAlign val="subscript"/>
        <sz val="11"/>
        <rFont val="Calibri"/>
        <family val="2"/>
        <scheme val="minor"/>
      </rPr>
      <t>NH3</t>
    </r>
  </si>
  <si>
    <t>Standard enthalpy of free ammonia</t>
  </si>
  <si>
    <r>
      <t>H</t>
    </r>
    <r>
      <rPr>
        <vertAlign val="subscript"/>
        <sz val="11"/>
        <rFont val="Calibri"/>
        <family val="2"/>
        <scheme val="minor"/>
      </rPr>
      <t>NH4p</t>
    </r>
  </si>
  <si>
    <t>Standard enthalpy of ammonium</t>
  </si>
  <si>
    <r>
      <t>H</t>
    </r>
    <r>
      <rPr>
        <vertAlign val="subscript"/>
        <sz val="11"/>
        <rFont val="Calibri"/>
        <family val="2"/>
        <scheme val="minor"/>
      </rPr>
      <t>HNO2</t>
    </r>
  </si>
  <si>
    <t>Standard enthalpy of nitrous acid</t>
  </si>
  <si>
    <r>
      <t>H</t>
    </r>
    <r>
      <rPr>
        <vertAlign val="subscript"/>
        <sz val="11"/>
        <rFont val="Calibri"/>
        <family val="2"/>
        <scheme val="minor"/>
      </rPr>
      <t>NO2m</t>
    </r>
  </si>
  <si>
    <t>Standard enthalpy of nitrite</t>
  </si>
  <si>
    <r>
      <t>H</t>
    </r>
    <r>
      <rPr>
        <vertAlign val="subscript"/>
        <sz val="11"/>
        <rFont val="Calibri"/>
        <family val="2"/>
        <scheme val="minor"/>
      </rPr>
      <t>NO3m</t>
    </r>
  </si>
  <si>
    <t>Standard enthalpy of nitrate</t>
  </si>
  <si>
    <r>
      <t>H</t>
    </r>
    <r>
      <rPr>
        <vertAlign val="subscript"/>
        <sz val="11"/>
        <rFont val="Calibri"/>
        <family val="2"/>
        <scheme val="minor"/>
      </rPr>
      <t>H2CO3</t>
    </r>
  </si>
  <si>
    <t>Standard enthalpy of carbonic acid</t>
  </si>
  <si>
    <r>
      <t>H</t>
    </r>
    <r>
      <rPr>
        <vertAlign val="subscript"/>
        <sz val="11"/>
        <rFont val="Calibri"/>
        <family val="2"/>
        <scheme val="minor"/>
      </rPr>
      <t>HCO3m</t>
    </r>
  </si>
  <si>
    <t>Standard enthalpy of bicarbonate ion</t>
  </si>
  <si>
    <r>
      <t>H</t>
    </r>
    <r>
      <rPr>
        <vertAlign val="subscript"/>
        <sz val="11"/>
        <rFont val="Calibri"/>
        <family val="2"/>
        <scheme val="minor"/>
      </rPr>
      <t>CO32m</t>
    </r>
  </si>
  <si>
    <t>Standard enthalpy of carbonate ion</t>
  </si>
  <si>
    <r>
      <t>H</t>
    </r>
    <r>
      <rPr>
        <vertAlign val="subscript"/>
        <sz val="11"/>
        <rFont val="Calibri"/>
        <family val="2"/>
        <scheme val="minor"/>
      </rPr>
      <t>H3PO4</t>
    </r>
  </si>
  <si>
    <t>Standard enthalpy of phosphric acid</t>
  </si>
  <si>
    <t>Perry's Chemical Engineering Handbook, Chap. 2</t>
  </si>
  <si>
    <r>
      <t>H</t>
    </r>
    <r>
      <rPr>
        <vertAlign val="subscript"/>
        <sz val="11"/>
        <rFont val="Calibri"/>
        <family val="2"/>
        <scheme val="minor"/>
      </rPr>
      <t>H2PO4m</t>
    </r>
  </si>
  <si>
    <t>Standard enthalpy of dihydrogen phosphate ion</t>
  </si>
  <si>
    <t>http://bluedevilchem.com/honorshome/hch10/hch10docs/files/heatsformation.pdf</t>
  </si>
  <si>
    <r>
      <t>H</t>
    </r>
    <r>
      <rPr>
        <vertAlign val="subscript"/>
        <sz val="11"/>
        <rFont val="Calibri"/>
        <family val="2"/>
        <scheme val="minor"/>
      </rPr>
      <t>HPO42m</t>
    </r>
  </si>
  <si>
    <t>Standard enthalpy of hydrogen phosphate ion</t>
  </si>
  <si>
    <r>
      <t>H</t>
    </r>
    <r>
      <rPr>
        <vertAlign val="subscript"/>
        <sz val="11"/>
        <rFont val="Calibri"/>
        <family val="2"/>
        <scheme val="minor"/>
      </rPr>
      <t>PO43m</t>
    </r>
  </si>
  <si>
    <t>Standard enthalpy of phosphate ion</t>
  </si>
  <si>
    <r>
      <t>H</t>
    </r>
    <r>
      <rPr>
        <vertAlign val="subscript"/>
        <sz val="11"/>
        <rFont val="Calibri"/>
        <family val="2"/>
        <scheme val="minor"/>
      </rPr>
      <t>HAc</t>
    </r>
  </si>
  <si>
    <t>Standard enthalpy of acetic acid</t>
  </si>
  <si>
    <r>
      <t>H</t>
    </r>
    <r>
      <rPr>
        <vertAlign val="subscript"/>
        <sz val="11"/>
        <rFont val="Calibri"/>
        <family val="2"/>
        <scheme val="minor"/>
      </rPr>
      <t>Acm</t>
    </r>
  </si>
  <si>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</si>
  <si>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</si>
  <si>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</si>
  <si>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</si>
  <si>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</si>
  <si>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r>
      <t>i</t>
    </r>
    <r>
      <rPr>
        <i/>
        <vertAlign val="subscript"/>
        <sz val="12"/>
        <rFont val="Arial"/>
        <family val="2"/>
      </rPr>
      <t>NSF</t>
    </r>
  </si>
  <si>
    <r>
      <t>i</t>
    </r>
    <r>
      <rPr>
        <i/>
        <vertAlign val="subscript"/>
        <sz val="12"/>
        <rFont val="Arial"/>
        <family val="2"/>
      </rPr>
      <t>PSF</t>
    </r>
  </si>
  <si>
    <r>
      <t>i</t>
    </r>
    <r>
      <rPr>
        <i/>
        <vertAlign val="subscript"/>
        <sz val="12"/>
        <rFont val="Arial"/>
        <family val="2"/>
      </rPr>
      <t>COD_NO3</t>
    </r>
  </si>
  <si>
    <r>
      <t>i</t>
    </r>
    <r>
      <rPr>
        <i/>
        <vertAlign val="subscript"/>
        <sz val="12"/>
        <rFont val="Arial"/>
        <family val="2"/>
      </rPr>
      <t>NSI</t>
    </r>
  </si>
  <si>
    <r>
      <t>i</t>
    </r>
    <r>
      <rPr>
        <i/>
        <vertAlign val="subscript"/>
        <sz val="12"/>
        <rFont val="Arial"/>
        <family val="2"/>
      </rPr>
      <t>PSI</t>
    </r>
  </si>
  <si>
    <r>
      <t>i</t>
    </r>
    <r>
      <rPr>
        <i/>
        <vertAlign val="subscript"/>
        <sz val="12"/>
        <rFont val="Arial"/>
        <family val="2"/>
      </rPr>
      <t>NXE</t>
    </r>
  </si>
  <si>
    <r>
      <t>i</t>
    </r>
    <r>
      <rPr>
        <i/>
        <vertAlign val="subscript"/>
        <sz val="12"/>
        <rFont val="Arial"/>
        <family val="2"/>
      </rPr>
      <t>PXE</t>
    </r>
  </si>
  <si>
    <r>
      <t>i</t>
    </r>
    <r>
      <rPr>
        <i/>
        <vertAlign val="subscript"/>
        <sz val="12"/>
        <rFont val="Arial"/>
        <family val="2"/>
      </rPr>
      <t>NXI</t>
    </r>
  </si>
  <si>
    <r>
      <t>i</t>
    </r>
    <r>
      <rPr>
        <i/>
        <vertAlign val="subscript"/>
        <sz val="12"/>
        <rFont val="Arial"/>
        <family val="2"/>
      </rPr>
      <t>PXI</t>
    </r>
  </si>
  <si>
    <r>
      <t>i</t>
    </r>
    <r>
      <rPr>
        <i/>
        <vertAlign val="subscript"/>
        <sz val="12"/>
        <rFont val="Arial"/>
        <family val="2"/>
      </rPr>
      <t>NENM</t>
    </r>
  </si>
  <si>
    <r>
      <t>i</t>
    </r>
    <r>
      <rPr>
        <i/>
        <vertAlign val="subscript"/>
        <sz val="12"/>
        <rFont val="Arial"/>
        <family val="2"/>
      </rPr>
      <t>PENM</t>
    </r>
  </si>
  <si>
    <r>
      <t>i</t>
    </r>
    <r>
      <rPr>
        <i/>
        <vertAlign val="subscript"/>
        <sz val="12"/>
        <rFont val="Arial"/>
        <family val="2"/>
      </rPr>
      <t>NBM</t>
    </r>
  </si>
  <si>
    <r>
      <t>i</t>
    </r>
    <r>
      <rPr>
        <i/>
        <vertAlign val="subscript"/>
        <sz val="12"/>
        <rFont val="Arial"/>
        <family val="2"/>
      </rPr>
      <t>PBM</t>
    </r>
  </si>
  <si>
    <r>
      <t>i</t>
    </r>
    <r>
      <rPr>
        <i/>
        <vertAlign val="subscript"/>
        <sz val="12"/>
        <rFont val="Arial"/>
        <family val="2"/>
      </rPr>
      <t>COD_N2</t>
    </r>
  </si>
  <si>
    <r>
      <t>S</t>
    </r>
    <r>
      <rPr>
        <vertAlign val="subscript"/>
        <sz val="11"/>
        <rFont val="Calibri"/>
        <family val="2"/>
        <scheme val="minor"/>
      </rPr>
      <t>A</t>
    </r>
    <r>
      <rPr>
        <sz val="11"/>
        <rFont val="Calibri"/>
        <family val="2"/>
        <scheme val="minor"/>
      </rPr>
      <t xml:space="preserve"> +S</t>
    </r>
    <r>
      <rPr>
        <vertAlign val="subscript"/>
        <sz val="11"/>
        <rFont val="Calibri"/>
        <family val="2"/>
        <scheme val="minor"/>
      </rPr>
      <t>F</t>
    </r>
  </si>
  <si>
    <r>
      <t>S</t>
    </r>
    <r>
      <rPr>
        <vertAlign val="subscript"/>
        <sz val="11"/>
        <rFont val="Calibri"/>
        <family val="2"/>
        <scheme val="minor"/>
      </rPr>
      <t>A</t>
    </r>
    <r>
      <rPr>
        <sz val="11"/>
        <rFont val="Calibri"/>
        <family val="2"/>
        <scheme val="minor"/>
      </rPr>
      <t xml:space="preserve"> +S</t>
    </r>
    <r>
      <rPr>
        <vertAlign val="subscript"/>
        <sz val="11"/>
        <rFont val="Calibri"/>
        <family val="2"/>
        <scheme val="minor"/>
      </rPr>
      <t xml:space="preserve">F </t>
    </r>
    <r>
      <rPr>
        <sz val="11"/>
        <rFont val="Calibri"/>
        <family val="2"/>
        <scheme val="minor"/>
      </rPr>
      <t>+S</t>
    </r>
    <r>
      <rPr>
        <vertAlign val="subscript"/>
        <sz val="11"/>
        <rFont val="Calibri"/>
        <family val="2"/>
        <scheme val="minor"/>
      </rPr>
      <t>I</t>
    </r>
  </si>
  <si>
    <r>
      <t>S</t>
    </r>
    <r>
      <rPr>
        <vertAlign val="subscript"/>
        <sz val="11"/>
        <rFont val="Calibri"/>
        <family val="2"/>
      </rPr>
      <t>COD</t>
    </r>
    <r>
      <rPr>
        <sz val="11"/>
        <rFont val="Calibri"/>
        <family val="2"/>
      </rPr>
      <t xml:space="preserve"> +X</t>
    </r>
    <r>
      <rPr>
        <vertAlign val="subscript"/>
        <sz val="11"/>
        <rFont val="Calibri"/>
        <family val="2"/>
      </rPr>
      <t>COD</t>
    </r>
  </si>
  <si>
    <r>
      <t>T</t>
    </r>
    <r>
      <rPr>
        <vertAlign val="subscript"/>
        <sz val="11"/>
        <rFont val="Calibri"/>
        <family val="2"/>
      </rPr>
      <t>KN</t>
    </r>
    <r>
      <rPr>
        <sz val="11"/>
        <rFont val="Calibri"/>
        <family val="2"/>
      </rPr>
      <t xml:space="preserve"> +S</t>
    </r>
    <r>
      <rPr>
        <vertAlign val="subscript"/>
        <sz val="11"/>
        <rFont val="Calibri"/>
        <family val="2"/>
      </rPr>
      <t>NO3</t>
    </r>
  </si>
  <si>
    <r>
      <t>g O2.m</t>
    </r>
    <r>
      <rPr>
        <vertAlign val="superscript"/>
        <sz val="11"/>
        <rFont val="Calibri"/>
        <family val="2"/>
      </rPr>
      <t>-3</t>
    </r>
    <r>
      <rPr>
        <sz val="11"/>
        <rFont val="Calibri"/>
        <family val="2"/>
      </rPr>
      <t>.d</t>
    </r>
    <r>
      <rPr>
        <vertAlign val="superscript"/>
        <sz val="11"/>
        <rFont val="Calibri"/>
        <family val="2"/>
      </rPr>
      <t>-1</t>
    </r>
  </si>
  <si>
    <r>
      <t>g N.m</t>
    </r>
    <r>
      <rPr>
        <vertAlign val="superscript"/>
        <sz val="11"/>
        <rFont val="Calibri"/>
        <family val="2"/>
      </rPr>
      <t>-3</t>
    </r>
    <r>
      <rPr>
        <sz val="11"/>
        <rFont val="Calibri"/>
        <family val="2"/>
      </rPr>
      <t>.d</t>
    </r>
    <r>
      <rPr>
        <vertAlign val="superscript"/>
        <sz val="11"/>
        <rFont val="Calibri"/>
        <family val="2"/>
      </rPr>
      <t>-1</t>
    </r>
  </si>
  <si>
    <r>
      <t>-(v1_S</t>
    </r>
    <r>
      <rPr>
        <vertAlign val="subscript"/>
        <sz val="11"/>
        <rFont val="Calibri"/>
        <family val="2"/>
      </rPr>
      <t>O2</t>
    </r>
    <r>
      <rPr>
        <sz val="11"/>
        <rFont val="Calibri"/>
        <family val="2"/>
      </rPr>
      <t>*r1+v2_S</t>
    </r>
    <r>
      <rPr>
        <vertAlign val="subscript"/>
        <sz val="11"/>
        <rFont val="Calibri"/>
        <family val="2"/>
      </rPr>
      <t>O2</t>
    </r>
    <r>
      <rPr>
        <sz val="11"/>
        <rFont val="Calibri"/>
        <family val="2"/>
      </rPr>
      <t>*r2+v5_S</t>
    </r>
    <r>
      <rPr>
        <vertAlign val="subscript"/>
        <sz val="11"/>
        <rFont val="Calibri"/>
        <family val="2"/>
      </rPr>
      <t>O2</t>
    </r>
    <r>
      <rPr>
        <sz val="11"/>
        <rFont val="Calibri"/>
        <family val="2"/>
      </rPr>
      <t>*r5+v6_S</t>
    </r>
    <r>
      <rPr>
        <vertAlign val="subscript"/>
        <sz val="11"/>
        <rFont val="Calibri"/>
        <family val="2"/>
      </rPr>
      <t>O2</t>
    </r>
    <r>
      <rPr>
        <sz val="11"/>
        <rFont val="Calibri"/>
        <family val="2"/>
      </rPr>
      <t>*r6+v9_S</t>
    </r>
    <r>
      <rPr>
        <vertAlign val="subscript"/>
        <sz val="11"/>
        <rFont val="Calibri"/>
        <family val="2"/>
      </rPr>
      <t>O2</t>
    </r>
    <r>
      <rPr>
        <sz val="11"/>
        <rFont val="Calibri"/>
        <family val="2"/>
      </rPr>
      <t>*r9+v10_S</t>
    </r>
    <r>
      <rPr>
        <vertAlign val="subscript"/>
        <sz val="11"/>
        <rFont val="Calibri"/>
        <family val="2"/>
      </rPr>
      <t>O2</t>
    </r>
    <r>
      <rPr>
        <sz val="11"/>
        <rFont val="Calibri"/>
        <family val="2"/>
      </rPr>
      <t>*r10+v16_S</t>
    </r>
    <r>
      <rPr>
        <vertAlign val="subscript"/>
        <sz val="11"/>
        <rFont val="Calibri"/>
        <family val="2"/>
      </rPr>
      <t>O2</t>
    </r>
    <r>
      <rPr>
        <sz val="11"/>
        <rFont val="Calibri"/>
        <family val="2"/>
      </rPr>
      <t>*r16+v18_S</t>
    </r>
    <r>
      <rPr>
        <vertAlign val="subscript"/>
        <sz val="11"/>
        <rFont val="Calibri"/>
        <family val="2"/>
      </rPr>
      <t>O2</t>
    </r>
    <r>
      <rPr>
        <sz val="11"/>
        <rFont val="Calibri"/>
        <family val="2"/>
      </rPr>
      <t>*r18+v19_S</t>
    </r>
    <r>
      <rPr>
        <vertAlign val="subscript"/>
        <sz val="11"/>
        <rFont val="Calibri"/>
        <family val="2"/>
      </rPr>
      <t>O2</t>
    </r>
    <r>
      <rPr>
        <sz val="11"/>
        <rFont val="Calibri"/>
        <family val="2"/>
      </rPr>
      <t>*r19+v20_S</t>
    </r>
    <r>
      <rPr>
        <vertAlign val="subscript"/>
        <sz val="11"/>
        <rFont val="Calibri"/>
        <family val="2"/>
      </rPr>
      <t>O2</t>
    </r>
    <r>
      <rPr>
        <sz val="11"/>
        <rFont val="Calibri"/>
        <family val="2"/>
      </rPr>
      <t>*r20+v21_S</t>
    </r>
    <r>
      <rPr>
        <vertAlign val="subscript"/>
        <sz val="11"/>
        <rFont val="Calibri"/>
        <family val="2"/>
      </rPr>
      <t>O2</t>
    </r>
    <r>
      <rPr>
        <sz val="11"/>
        <rFont val="Calibri"/>
        <family val="2"/>
      </rPr>
      <t>*r21+v24_S</t>
    </r>
    <r>
      <rPr>
        <vertAlign val="subscript"/>
        <sz val="11"/>
        <rFont val="Calibri"/>
        <family val="2"/>
      </rPr>
      <t>O2</t>
    </r>
    <r>
      <rPr>
        <sz val="11"/>
        <rFont val="Calibri"/>
        <family val="2"/>
      </rPr>
      <t>*r24)</t>
    </r>
  </si>
  <si>
    <r>
      <t>-(v2_S</t>
    </r>
    <r>
      <rPr>
        <vertAlign val="subscript"/>
        <sz val="11"/>
        <rFont val="Calibri"/>
        <family val="2"/>
      </rPr>
      <t>NO3</t>
    </r>
    <r>
      <rPr>
        <sz val="11"/>
        <rFont val="Calibri"/>
        <family val="2"/>
      </rPr>
      <t>*r2+v3_S</t>
    </r>
    <r>
      <rPr>
        <vertAlign val="subscript"/>
        <sz val="11"/>
        <rFont val="Calibri"/>
        <family val="2"/>
      </rPr>
      <t>NO3</t>
    </r>
    <r>
      <rPr>
        <sz val="11"/>
        <rFont val="Calibri"/>
        <family val="2"/>
      </rPr>
      <t>*r3+v4_S</t>
    </r>
    <r>
      <rPr>
        <vertAlign val="subscript"/>
        <sz val="11"/>
        <rFont val="Calibri"/>
        <family val="2"/>
      </rPr>
      <t>NO3</t>
    </r>
    <r>
      <rPr>
        <sz val="11"/>
        <rFont val="Calibri"/>
        <family val="2"/>
      </rPr>
      <t>*r4+v6_S</t>
    </r>
    <r>
      <rPr>
        <vertAlign val="subscript"/>
        <sz val="11"/>
        <rFont val="Calibri"/>
        <family val="2"/>
      </rPr>
      <t>NO3</t>
    </r>
    <r>
      <rPr>
        <sz val="11"/>
        <rFont val="Calibri"/>
        <family val="2"/>
      </rPr>
      <t>*r6+v7_S</t>
    </r>
    <r>
      <rPr>
        <vertAlign val="subscript"/>
        <sz val="11"/>
        <rFont val="Calibri"/>
        <family val="2"/>
      </rPr>
      <t>NO3</t>
    </r>
    <r>
      <rPr>
        <sz val="11"/>
        <rFont val="Calibri"/>
        <family val="2"/>
      </rPr>
      <t>*r7+v8_S</t>
    </r>
    <r>
      <rPr>
        <vertAlign val="subscript"/>
        <sz val="11"/>
        <rFont val="Calibri"/>
        <family val="2"/>
      </rPr>
      <t>NO3</t>
    </r>
    <r>
      <rPr>
        <sz val="11"/>
        <rFont val="Calibri"/>
        <family val="2"/>
      </rPr>
      <t>*r8+v10_S</t>
    </r>
    <r>
      <rPr>
        <vertAlign val="subscript"/>
        <sz val="11"/>
        <rFont val="Calibri"/>
        <family val="2"/>
      </rPr>
      <t>NO3</t>
    </r>
    <r>
      <rPr>
        <sz val="11"/>
        <rFont val="Calibri"/>
        <family val="2"/>
      </rPr>
      <t>*r10+v11_S</t>
    </r>
    <r>
      <rPr>
        <vertAlign val="subscript"/>
        <sz val="11"/>
        <rFont val="Calibri"/>
        <family val="2"/>
      </rPr>
      <t>NO3</t>
    </r>
    <r>
      <rPr>
        <sz val="11"/>
        <rFont val="Calibri"/>
        <family val="2"/>
      </rPr>
      <t>*r11+v12_S</t>
    </r>
    <r>
      <rPr>
        <vertAlign val="subscript"/>
        <sz val="11"/>
        <rFont val="Calibri"/>
        <family val="2"/>
      </rPr>
      <t>NO3</t>
    </r>
    <r>
      <rPr>
        <sz val="11"/>
        <rFont val="Calibri"/>
        <family val="2"/>
      </rPr>
      <t>*r12+v16_S</t>
    </r>
    <r>
      <rPr>
        <vertAlign val="subscript"/>
        <sz val="11"/>
        <rFont val="Calibri"/>
        <family val="2"/>
      </rPr>
      <t>NO3</t>
    </r>
    <r>
      <rPr>
        <sz val="11"/>
        <rFont val="Calibri"/>
        <family val="2"/>
      </rPr>
      <t>*r16+v19_S</t>
    </r>
    <r>
      <rPr>
        <vertAlign val="subscript"/>
        <sz val="11"/>
        <rFont val="Calibri"/>
        <family val="2"/>
      </rPr>
      <t>NO3</t>
    </r>
    <r>
      <rPr>
        <sz val="11"/>
        <rFont val="Calibri"/>
        <family val="2"/>
      </rPr>
      <t>*r19+v21_S</t>
    </r>
    <r>
      <rPr>
        <vertAlign val="subscript"/>
        <sz val="11"/>
        <rFont val="Calibri"/>
        <family val="2"/>
      </rPr>
      <t>NO3</t>
    </r>
    <r>
      <rPr>
        <sz val="11"/>
        <rFont val="Calibri"/>
        <family val="2"/>
      </rPr>
      <t>*r21+v22_S</t>
    </r>
    <r>
      <rPr>
        <vertAlign val="subscript"/>
        <sz val="11"/>
        <rFont val="Calibri"/>
        <family val="2"/>
      </rPr>
      <t>NO3</t>
    </r>
    <r>
      <rPr>
        <sz val="11"/>
        <rFont val="Calibri"/>
        <family val="2"/>
      </rPr>
      <t>*r22+v23_S</t>
    </r>
    <r>
      <rPr>
        <vertAlign val="subscript"/>
        <sz val="11"/>
        <rFont val="Calibri"/>
        <family val="2"/>
      </rPr>
      <t>NO3</t>
    </r>
    <r>
      <rPr>
        <sz val="11"/>
        <rFont val="Calibri"/>
        <family val="2"/>
      </rPr>
      <t>*r23+v27_S</t>
    </r>
    <r>
      <rPr>
        <vertAlign val="subscript"/>
        <sz val="11"/>
        <rFont val="Calibri"/>
        <family val="2"/>
      </rPr>
      <t>NO3</t>
    </r>
    <r>
      <rPr>
        <sz val="11"/>
        <rFont val="Calibri"/>
        <family val="2"/>
      </rPr>
      <t>*r27)</t>
    </r>
  </si>
  <si>
    <r>
      <t>-(v1_S</t>
    </r>
    <r>
      <rPr>
        <vertAlign val="subscript"/>
        <sz val="11"/>
        <rFont val="Calibri"/>
        <family val="2"/>
      </rPr>
      <t>NH4</t>
    </r>
    <r>
      <rPr>
        <sz val="11"/>
        <rFont val="Calibri"/>
        <family val="2"/>
      </rPr>
      <t>*r1+v3_S</t>
    </r>
    <r>
      <rPr>
        <vertAlign val="subscript"/>
        <sz val="11"/>
        <rFont val="Calibri"/>
        <family val="2"/>
      </rPr>
      <t>NH4</t>
    </r>
    <r>
      <rPr>
        <sz val="11"/>
        <rFont val="Calibri"/>
        <family val="2"/>
      </rPr>
      <t>*r3+v5_S</t>
    </r>
    <r>
      <rPr>
        <vertAlign val="subscript"/>
        <sz val="11"/>
        <rFont val="Calibri"/>
        <family val="2"/>
      </rPr>
      <t>NH4</t>
    </r>
    <r>
      <rPr>
        <sz val="11"/>
        <rFont val="Calibri"/>
        <family val="2"/>
      </rPr>
      <t>*r5+v6_S</t>
    </r>
    <r>
      <rPr>
        <vertAlign val="subscript"/>
        <sz val="11"/>
        <rFont val="Calibri"/>
        <family val="2"/>
      </rPr>
      <t>NH4</t>
    </r>
    <r>
      <rPr>
        <sz val="11"/>
        <rFont val="Calibri"/>
        <family val="2"/>
      </rPr>
      <t>*r6+v7_S</t>
    </r>
    <r>
      <rPr>
        <vertAlign val="subscript"/>
        <sz val="11"/>
        <rFont val="Calibri"/>
        <family val="2"/>
      </rPr>
      <t>NH4</t>
    </r>
    <r>
      <rPr>
        <sz val="11"/>
        <rFont val="Calibri"/>
        <family val="2"/>
      </rPr>
      <t>*r7+v8_S</t>
    </r>
    <r>
      <rPr>
        <vertAlign val="subscript"/>
        <sz val="11"/>
        <rFont val="Calibri"/>
        <family val="2"/>
      </rPr>
      <t>NH4</t>
    </r>
    <r>
      <rPr>
        <sz val="11"/>
        <rFont val="Calibri"/>
        <family val="2"/>
      </rPr>
      <t>*r8+v9_S</t>
    </r>
    <r>
      <rPr>
        <vertAlign val="subscript"/>
        <sz val="11"/>
        <rFont val="Calibri"/>
        <family val="2"/>
      </rPr>
      <t>NH4</t>
    </r>
    <r>
      <rPr>
        <sz val="11"/>
        <rFont val="Calibri"/>
        <family val="2"/>
      </rPr>
      <t>*r9+v10_S</t>
    </r>
    <r>
      <rPr>
        <vertAlign val="subscript"/>
        <sz val="11"/>
        <rFont val="Calibri"/>
        <family val="2"/>
      </rPr>
      <t>NH4</t>
    </r>
    <r>
      <rPr>
        <sz val="11"/>
        <rFont val="Calibri"/>
        <family val="2"/>
      </rPr>
      <t>*r10+v11_S</t>
    </r>
    <r>
      <rPr>
        <vertAlign val="subscript"/>
        <sz val="11"/>
        <rFont val="Calibri"/>
        <family val="2"/>
      </rPr>
      <t>NH4</t>
    </r>
    <r>
      <rPr>
        <sz val="11"/>
        <rFont val="Calibri"/>
        <family val="2"/>
      </rPr>
      <t>*r11+v12_S</t>
    </r>
    <r>
      <rPr>
        <vertAlign val="subscript"/>
        <sz val="11"/>
        <rFont val="Calibri"/>
        <family val="2"/>
      </rPr>
      <t>NH4</t>
    </r>
    <r>
      <rPr>
        <sz val="11"/>
        <rFont val="Calibri"/>
        <family val="2"/>
      </rPr>
      <t>*r12+v14_S</t>
    </r>
    <r>
      <rPr>
        <vertAlign val="subscript"/>
        <sz val="11"/>
        <rFont val="Calibri"/>
        <family val="2"/>
      </rPr>
      <t>NH4</t>
    </r>
    <r>
      <rPr>
        <sz val="11"/>
        <rFont val="Calibri"/>
        <family val="2"/>
      </rPr>
      <t>*r14+v15_S</t>
    </r>
    <r>
      <rPr>
        <vertAlign val="subscript"/>
        <sz val="11"/>
        <rFont val="Calibri"/>
        <family val="2"/>
      </rPr>
      <t>NH4</t>
    </r>
    <r>
      <rPr>
        <sz val="11"/>
        <rFont val="Calibri"/>
        <family val="2"/>
      </rPr>
      <t>*r15+v16_S</t>
    </r>
    <r>
      <rPr>
        <vertAlign val="subscript"/>
        <sz val="11"/>
        <rFont val="Calibri"/>
        <family val="2"/>
      </rPr>
      <t>NH4</t>
    </r>
    <r>
      <rPr>
        <sz val="11"/>
        <rFont val="Calibri"/>
        <family val="2"/>
      </rPr>
      <t>*r16+v17_S</t>
    </r>
    <r>
      <rPr>
        <vertAlign val="subscript"/>
        <sz val="11"/>
        <rFont val="Calibri"/>
        <family val="2"/>
      </rPr>
      <t>NH4</t>
    </r>
    <r>
      <rPr>
        <sz val="11"/>
        <rFont val="Calibri"/>
        <family val="2"/>
      </rPr>
      <t>*r17+v18_S</t>
    </r>
    <r>
      <rPr>
        <vertAlign val="subscript"/>
        <sz val="11"/>
        <rFont val="Calibri"/>
        <family val="2"/>
      </rPr>
      <t>NH4</t>
    </r>
    <r>
      <rPr>
        <sz val="11"/>
        <rFont val="Calibri"/>
        <family val="2"/>
      </rPr>
      <t>*r18+v20_S</t>
    </r>
    <r>
      <rPr>
        <vertAlign val="subscript"/>
        <sz val="11"/>
        <rFont val="Calibri"/>
        <family val="2"/>
      </rPr>
      <t>NH4</t>
    </r>
    <r>
      <rPr>
        <sz val="11"/>
        <rFont val="Calibri"/>
        <family val="2"/>
      </rPr>
      <t>*r20+v22_S</t>
    </r>
    <r>
      <rPr>
        <vertAlign val="subscript"/>
        <sz val="11"/>
        <rFont val="Calibri"/>
        <family val="2"/>
      </rPr>
      <t>NH4</t>
    </r>
    <r>
      <rPr>
        <sz val="11"/>
        <rFont val="Calibri"/>
        <family val="2"/>
      </rPr>
      <t>*r22+v24_S</t>
    </r>
    <r>
      <rPr>
        <vertAlign val="subscript"/>
        <sz val="11"/>
        <rFont val="Calibri"/>
        <family val="2"/>
      </rPr>
      <t>NH4</t>
    </r>
    <r>
      <rPr>
        <sz val="11"/>
        <rFont val="Calibri"/>
        <family val="2"/>
      </rPr>
      <t>*r24+v26_S</t>
    </r>
    <r>
      <rPr>
        <vertAlign val="subscript"/>
        <sz val="11"/>
        <rFont val="Calibri"/>
        <family val="2"/>
      </rPr>
      <t>NH4</t>
    </r>
    <r>
      <rPr>
        <sz val="11"/>
        <rFont val="Calibri"/>
        <family val="2"/>
      </rPr>
      <t>*r26+v27_S</t>
    </r>
    <r>
      <rPr>
        <vertAlign val="subscript"/>
        <sz val="11"/>
        <rFont val="Calibri"/>
        <family val="2"/>
      </rPr>
      <t>NH4</t>
    </r>
    <r>
      <rPr>
        <sz val="11"/>
        <rFont val="Calibri"/>
        <family val="2"/>
      </rPr>
      <t>*r27+v29_S</t>
    </r>
    <r>
      <rPr>
        <vertAlign val="subscript"/>
        <sz val="11"/>
        <rFont val="Calibri"/>
        <family val="2"/>
      </rPr>
      <t>NH4</t>
    </r>
    <r>
      <rPr>
        <sz val="11"/>
        <rFont val="Calibri"/>
        <family val="2"/>
      </rPr>
      <t>*r29+v30_S</t>
    </r>
    <r>
      <rPr>
        <vertAlign val="subscript"/>
        <sz val="11"/>
        <rFont val="Calibri"/>
        <family val="2"/>
      </rPr>
      <t>NH4</t>
    </r>
    <r>
      <rPr>
        <sz val="11"/>
        <rFont val="Calibri"/>
        <family val="2"/>
      </rPr>
      <t>*r30+v32_S</t>
    </r>
    <r>
      <rPr>
        <vertAlign val="subscript"/>
        <sz val="11"/>
        <rFont val="Calibri"/>
        <family val="2"/>
      </rPr>
      <t>NH4</t>
    </r>
    <r>
      <rPr>
        <sz val="11"/>
        <rFont val="Calibri"/>
        <family val="2"/>
      </rPr>
      <t>*r32)</t>
    </r>
  </si>
  <si>
    <t>Biofilm</t>
  </si>
  <si>
    <t>Other system parameters</t>
  </si>
  <si>
    <t>NoName</t>
  </si>
  <si>
    <t>Testing Attributes</t>
  </si>
  <si>
    <t>TestAttribute</t>
  </si>
  <si>
    <t>Input</t>
  </si>
  <si>
    <t>pH</t>
  </si>
  <si>
    <t>NonDetect</t>
  </si>
  <si>
    <t>Rate</t>
  </si>
  <si>
    <r>
      <t>Half-saturation of PO</t>
    </r>
    <r>
      <rPr>
        <vertAlign val="subscript"/>
        <sz val="11"/>
        <color rgb="FF000000"/>
        <rFont val="Calibri"/>
        <family val="2"/>
        <scheme val="minor"/>
      </rPr>
      <t>4</t>
    </r>
    <r>
      <rPr>
        <sz val="11"/>
        <color rgb="FF000000"/>
        <rFont val="Calibri"/>
        <family val="2"/>
        <charset val="238"/>
        <scheme val="minor"/>
      </rPr>
      <t xml:space="preserve"> as nutrient</t>
    </r>
  </si>
  <si>
    <r>
      <t>g P.m</t>
    </r>
    <r>
      <rPr>
        <vertAlign val="superscript"/>
        <sz val="11"/>
        <rFont val="Calibri"/>
        <family val="2"/>
        <scheme val="minor"/>
      </rPr>
      <t>-3</t>
    </r>
  </si>
  <si>
    <r>
      <t>K</t>
    </r>
    <r>
      <rPr>
        <vertAlign val="subscript"/>
        <sz val="11"/>
        <rFont val="Calibri"/>
        <family val="2"/>
        <scheme val="minor"/>
      </rPr>
      <t>ADS</t>
    </r>
  </si>
  <si>
    <r>
      <t>Rate constant for X</t>
    </r>
    <r>
      <rPr>
        <vertAlign val="subscript"/>
        <sz val="11"/>
        <rFont val="Calibri"/>
        <family val="2"/>
        <scheme val="minor"/>
      </rPr>
      <t>Ads</t>
    </r>
    <r>
      <rPr>
        <sz val="11"/>
        <rFont val="Calibri"/>
        <family val="2"/>
        <scheme val="minor"/>
      </rPr>
      <t xml:space="preserve"> adsorption </t>
    </r>
  </si>
  <si>
    <r>
      <t>g COD.g COD</t>
    </r>
    <r>
      <rPr>
        <vertAlign val="superscript"/>
        <sz val="11"/>
        <rFont val="Calibri"/>
        <family val="2"/>
        <scheme val="minor"/>
      </rPr>
      <t>-1</t>
    </r>
    <r>
      <rPr>
        <sz val="11"/>
        <rFont val="Calibri"/>
        <family val="2"/>
        <scheme val="minor"/>
      </rPr>
      <t>.d</t>
    </r>
    <r>
      <rPr>
        <vertAlign val="superscript"/>
        <sz val="11"/>
        <rFont val="Calibri"/>
        <family val="2"/>
        <scheme val="minor"/>
      </rPr>
      <t>-1</t>
    </r>
  </si>
  <si>
    <r>
      <t>μ</t>
    </r>
    <r>
      <rPr>
        <vertAlign val="subscript"/>
        <sz val="11"/>
        <rFont val="Calibri"/>
        <family val="2"/>
        <scheme val="minor"/>
      </rPr>
      <t>H</t>
    </r>
  </si>
  <si>
    <t>Maximum specific growth rate of heterotrophs</t>
  </si>
  <si>
    <r>
      <t>η</t>
    </r>
    <r>
      <rPr>
        <vertAlign val="subscript"/>
        <sz val="11"/>
        <rFont val="Calibri"/>
        <family val="2"/>
        <scheme val="minor"/>
      </rPr>
      <t>H</t>
    </r>
  </si>
  <si>
    <t>Reduction factor for anoxic growth of heterotrophs</t>
  </si>
  <si>
    <r>
      <t>K</t>
    </r>
    <r>
      <rPr>
        <vertAlign val="subscript"/>
        <sz val="11"/>
        <rFont val="Calibri"/>
        <family val="2"/>
        <scheme val="minor"/>
      </rPr>
      <t>MP</t>
    </r>
  </si>
  <si>
    <t>Maximum specific growth rate of XH on XAds (hydrolysis + growth)</t>
  </si>
  <si>
    <r>
      <t>f</t>
    </r>
    <r>
      <rPr>
        <vertAlign val="subscript"/>
        <sz val="11"/>
        <rFont val="Calibri"/>
        <family val="2"/>
        <scheme val="minor"/>
      </rPr>
      <t>MA</t>
    </r>
  </si>
  <si>
    <r>
      <t>Maximum adsorption on X</t>
    </r>
    <r>
      <rPr>
        <vertAlign val="subscript"/>
        <sz val="11"/>
        <rFont val="Calibri"/>
        <family val="2"/>
        <scheme val="minor"/>
      </rPr>
      <t>H</t>
    </r>
    <r>
      <rPr>
        <sz val="11"/>
        <rFont val="Calibri"/>
        <family val="2"/>
        <scheme val="minor"/>
      </rPr>
      <t xml:space="preserve"> (X</t>
    </r>
    <r>
      <rPr>
        <vertAlign val="subscript"/>
        <sz val="11"/>
        <rFont val="Calibri"/>
        <family val="2"/>
        <scheme val="minor"/>
      </rPr>
      <t>Ads</t>
    </r>
    <r>
      <rPr>
        <sz val="11"/>
        <rFont val="Calibri"/>
        <family val="2"/>
        <scheme val="minor"/>
      </rPr>
      <t>/X</t>
    </r>
    <r>
      <rPr>
        <vertAlign val="subscript"/>
        <sz val="11"/>
        <rFont val="Calibri"/>
        <family val="2"/>
        <scheme val="minor"/>
      </rPr>
      <t>H</t>
    </r>
    <r>
      <rPr>
        <sz val="11"/>
        <rFont val="Calibri"/>
        <family val="2"/>
        <scheme val="minor"/>
      </rPr>
      <t xml:space="preserve"> ratio)</t>
    </r>
  </si>
  <si>
    <r>
      <t>g COD.g COD</t>
    </r>
    <r>
      <rPr>
        <vertAlign val="superscript"/>
        <sz val="11"/>
        <rFont val="Calibri"/>
        <family val="2"/>
        <scheme val="minor"/>
      </rPr>
      <t>-1</t>
    </r>
  </si>
  <si>
    <r>
      <t>K</t>
    </r>
    <r>
      <rPr>
        <vertAlign val="subscript"/>
        <sz val="11"/>
        <rFont val="Calibri"/>
        <family val="2"/>
        <scheme val="minor"/>
      </rPr>
      <t>FE</t>
    </r>
  </si>
  <si>
    <t>Half-saturation of SF</t>
  </si>
  <si>
    <r>
      <t>g COD.m</t>
    </r>
    <r>
      <rPr>
        <vertAlign val="superscript"/>
        <sz val="11"/>
        <rFont val="Calibri"/>
        <family val="2"/>
        <scheme val="minor"/>
      </rPr>
      <t>-3</t>
    </r>
  </si>
  <si>
    <t>Half-saturation of VFA</t>
  </si>
  <si>
    <t>Half-saturation of hydrolysis/growth on XAds</t>
  </si>
  <si>
    <r>
      <t>b</t>
    </r>
    <r>
      <rPr>
        <vertAlign val="subscript"/>
        <sz val="11"/>
        <rFont val="Calibri"/>
        <family val="2"/>
        <scheme val="minor"/>
      </rPr>
      <t>H</t>
    </r>
  </si>
  <si>
    <t>Endogenous respiration rate of heterotrophs</t>
  </si>
  <si>
    <t>Half-saturation of oxygen</t>
  </si>
  <si>
    <r>
      <t>g O</t>
    </r>
    <r>
      <rPr>
        <vertAlign val="subscript"/>
        <sz val="11"/>
        <rFont val="Calibri"/>
        <family val="2"/>
        <scheme val="minor"/>
      </rPr>
      <t>2</t>
    </r>
    <r>
      <rPr>
        <sz val="11"/>
        <rFont val="Calibri"/>
        <family val="2"/>
        <scheme val="minor"/>
      </rPr>
      <t>.m</t>
    </r>
    <r>
      <rPr>
        <vertAlign val="superscript"/>
        <sz val="11"/>
        <rFont val="Calibri"/>
        <family val="2"/>
        <scheme val="minor"/>
      </rPr>
      <t>-3</t>
    </r>
  </si>
  <si>
    <t>Half-saturation of nitrate</t>
  </si>
  <si>
    <r>
      <t>g N.m</t>
    </r>
    <r>
      <rPr>
        <vertAlign val="superscript"/>
        <sz val="11"/>
        <rFont val="Calibri"/>
        <family val="2"/>
        <scheme val="minor"/>
      </rPr>
      <t>-3</t>
    </r>
  </si>
  <si>
    <t>Half-saturation of ammonia</t>
  </si>
  <si>
    <r>
      <t>q</t>
    </r>
    <r>
      <rPr>
        <vertAlign val="subscript"/>
        <sz val="11"/>
        <rFont val="Calibri"/>
        <family val="2"/>
        <scheme val="minor"/>
      </rPr>
      <t>PHA</t>
    </r>
  </si>
  <si>
    <r>
      <t>Rate constant for S</t>
    </r>
    <r>
      <rPr>
        <vertAlign val="subscript"/>
        <sz val="11"/>
        <rFont val="Calibri"/>
        <family val="2"/>
        <scheme val="minor"/>
      </rPr>
      <t>A</t>
    </r>
    <r>
      <rPr>
        <sz val="11"/>
        <rFont val="Calibri"/>
        <family val="2"/>
        <scheme val="minor"/>
      </rPr>
      <t xml:space="preserve"> uptake rate (X</t>
    </r>
    <r>
      <rPr>
        <vertAlign val="subscript"/>
        <sz val="11"/>
        <rFont val="Calibri"/>
        <family val="2"/>
        <scheme val="minor"/>
      </rPr>
      <t>PHA</t>
    </r>
    <r>
      <rPr>
        <sz val="11"/>
        <rFont val="Calibri"/>
        <family val="2"/>
        <scheme val="minor"/>
      </rPr>
      <t xml:space="preserve"> storage) </t>
    </r>
  </si>
  <si>
    <r>
      <t>µ</t>
    </r>
    <r>
      <rPr>
        <vertAlign val="subscript"/>
        <sz val="11"/>
        <rFont val="Calibri"/>
        <family val="2"/>
        <scheme val="minor"/>
      </rPr>
      <t>PAO1</t>
    </r>
  </si>
  <si>
    <t>Maximum specific growth rate of PAOs</t>
  </si>
  <si>
    <r>
      <t>µ</t>
    </r>
    <r>
      <rPr>
        <vertAlign val="subscript"/>
        <sz val="11"/>
        <rFont val="Calibri"/>
        <family val="2"/>
        <scheme val="minor"/>
      </rPr>
      <t>PAO2</t>
    </r>
  </si>
  <si>
    <t>Maximum specific growth rate of XPAO (when P is limiting)</t>
  </si>
  <si>
    <r>
      <t>η</t>
    </r>
    <r>
      <rPr>
        <vertAlign val="subscript"/>
        <sz val="11"/>
        <rFont val="Calibri"/>
        <family val="2"/>
        <scheme val="minor"/>
      </rPr>
      <t>PAO</t>
    </r>
  </si>
  <si>
    <t>Reduction factor for anoxic growth of PAOs</t>
  </si>
  <si>
    <r>
      <t>Half-saturation coefficient for X</t>
    </r>
    <r>
      <rPr>
        <vertAlign val="subscript"/>
        <sz val="11"/>
        <rFont val="Calibri"/>
        <family val="2"/>
        <scheme val="minor"/>
      </rPr>
      <t>PHA</t>
    </r>
    <r>
      <rPr>
        <sz val="11"/>
        <rFont val="Calibri"/>
        <family val="2"/>
        <scheme val="minor"/>
      </rPr>
      <t>/X</t>
    </r>
    <r>
      <rPr>
        <vertAlign val="subscript"/>
        <sz val="11"/>
        <rFont val="Calibri"/>
        <family val="2"/>
        <scheme val="minor"/>
      </rPr>
      <t xml:space="preserve">PAO </t>
    </r>
  </si>
  <si>
    <r>
      <t>Half-saturation of X</t>
    </r>
    <r>
      <rPr>
        <vertAlign val="subscript"/>
        <sz val="11"/>
        <color rgb="FF000000"/>
        <rFont val="Calibri"/>
        <family val="2"/>
        <scheme val="minor"/>
      </rPr>
      <t>PHA</t>
    </r>
    <r>
      <rPr>
        <sz val="11"/>
        <color rgb="FF000000"/>
        <rFont val="Calibri"/>
        <family val="2"/>
        <charset val="238"/>
        <scheme val="minor"/>
      </rPr>
      <t>/X</t>
    </r>
    <r>
      <rPr>
        <vertAlign val="subscript"/>
        <sz val="11"/>
        <color rgb="FF000000"/>
        <rFont val="Calibri"/>
        <family val="2"/>
        <scheme val="minor"/>
      </rPr>
      <t>PAO</t>
    </r>
    <r>
      <rPr>
        <sz val="11"/>
        <color rgb="FF000000"/>
        <rFont val="Calibri"/>
        <family val="2"/>
        <charset val="238"/>
        <scheme val="minor"/>
      </rPr>
      <t xml:space="preserve"> (P limit)</t>
    </r>
  </si>
  <si>
    <r>
      <t>b</t>
    </r>
    <r>
      <rPr>
        <vertAlign val="subscript"/>
        <sz val="11"/>
        <rFont val="Calibri"/>
        <family val="2"/>
        <scheme val="minor"/>
      </rPr>
      <t>PAO</t>
    </r>
  </si>
  <si>
    <r>
      <t>Endogenous respiration rate of X</t>
    </r>
    <r>
      <rPr>
        <vertAlign val="subscript"/>
        <sz val="11"/>
        <rFont val="Calibri"/>
        <family val="2"/>
        <scheme val="minor"/>
      </rPr>
      <t>PAO</t>
    </r>
  </si>
  <si>
    <r>
      <t>b</t>
    </r>
    <r>
      <rPr>
        <vertAlign val="subscript"/>
        <sz val="11"/>
        <rFont val="Calibri"/>
        <family val="2"/>
        <scheme val="minor"/>
      </rPr>
      <t>PP</t>
    </r>
  </si>
  <si>
    <t>Rate of PP lysis</t>
  </si>
  <si>
    <r>
      <t>Half-saturation of PO</t>
    </r>
    <r>
      <rPr>
        <vertAlign val="subscript"/>
        <sz val="11"/>
        <color rgb="FF000000"/>
        <rFont val="Calibri"/>
        <family val="2"/>
        <scheme val="minor"/>
      </rPr>
      <t>4</t>
    </r>
    <r>
      <rPr>
        <sz val="11"/>
        <color rgb="FF000000"/>
        <rFont val="Calibri"/>
        <family val="2"/>
        <charset val="238"/>
        <scheme val="minor"/>
      </rPr>
      <t xml:space="preserve"> uptake (PP storage)</t>
    </r>
  </si>
  <si>
    <t>Half-saturation of PHA lysis (phosphorus continuity)</t>
  </si>
  <si>
    <r>
      <t>Half-saturation coefficient for X</t>
    </r>
    <r>
      <rPr>
        <vertAlign val="subscript"/>
        <sz val="11"/>
        <rFont val="Calibri"/>
        <family val="2"/>
        <scheme val="minor"/>
      </rPr>
      <t>PP</t>
    </r>
    <r>
      <rPr>
        <sz val="11"/>
        <rFont val="Calibri"/>
        <family val="2"/>
        <scheme val="minor"/>
      </rPr>
      <t xml:space="preserve"> </t>
    </r>
  </si>
  <si>
    <r>
      <t>μ</t>
    </r>
    <r>
      <rPr>
        <vertAlign val="subscript"/>
        <sz val="11"/>
        <rFont val="Calibri"/>
        <family val="2"/>
        <scheme val="minor"/>
      </rPr>
      <t>NIT</t>
    </r>
  </si>
  <si>
    <t>Maximum specific growth rate of autotrophs</t>
  </si>
  <si>
    <r>
      <t>b</t>
    </r>
    <r>
      <rPr>
        <vertAlign val="subscript"/>
        <sz val="11"/>
        <rFont val="Calibri"/>
        <family val="2"/>
        <scheme val="minor"/>
      </rPr>
      <t>NIT</t>
    </r>
  </si>
  <si>
    <t>Decay rate of autotrophs</t>
  </si>
  <si>
    <r>
      <t>Y</t>
    </r>
    <r>
      <rPr>
        <vertAlign val="subscript"/>
        <sz val="11"/>
        <rFont val="Calibri"/>
        <family val="2"/>
        <scheme val="minor"/>
      </rPr>
      <t>H1</t>
    </r>
  </si>
  <si>
    <r>
      <t>Yield for X</t>
    </r>
    <r>
      <rPr>
        <vertAlign val="subscript"/>
        <sz val="11"/>
        <rFont val="Calibri"/>
        <family val="2"/>
        <scheme val="minor"/>
      </rPr>
      <t>H</t>
    </r>
    <r>
      <rPr>
        <sz val="11"/>
        <rFont val="Calibri"/>
        <family val="2"/>
        <scheme val="minor"/>
      </rPr>
      <t xml:space="preserve"> growth (Aerobic)</t>
    </r>
  </si>
  <si>
    <r>
      <t>Y</t>
    </r>
    <r>
      <rPr>
        <vertAlign val="subscript"/>
        <sz val="11"/>
        <rFont val="Calibri"/>
        <family val="2"/>
        <scheme val="minor"/>
      </rPr>
      <t>H2</t>
    </r>
  </si>
  <si>
    <r>
      <t>Yield for X</t>
    </r>
    <r>
      <rPr>
        <vertAlign val="subscript"/>
        <sz val="11"/>
        <rFont val="Calibri"/>
        <family val="2"/>
        <scheme val="minor"/>
      </rPr>
      <t>H</t>
    </r>
    <r>
      <rPr>
        <sz val="11"/>
        <rFont val="Calibri"/>
        <family val="2"/>
        <scheme val="minor"/>
      </rPr>
      <t xml:space="preserve"> growth (Anoxic)</t>
    </r>
  </si>
  <si>
    <r>
      <t>Y</t>
    </r>
    <r>
      <rPr>
        <vertAlign val="subscript"/>
        <sz val="11"/>
        <rFont val="Calibri"/>
        <family val="2"/>
        <scheme val="minor"/>
      </rPr>
      <t>PAO1</t>
    </r>
  </si>
  <si>
    <r>
      <t>Yield for X</t>
    </r>
    <r>
      <rPr>
        <vertAlign val="subscript"/>
        <sz val="11"/>
        <rFont val="Calibri"/>
        <family val="2"/>
        <scheme val="minor"/>
      </rPr>
      <t>PAO</t>
    </r>
    <r>
      <rPr>
        <sz val="11"/>
        <rFont val="Calibri"/>
        <family val="2"/>
        <scheme val="minor"/>
      </rPr>
      <t xml:space="preserve"> growth per X</t>
    </r>
    <r>
      <rPr>
        <vertAlign val="subscript"/>
        <sz val="11"/>
        <rFont val="Calibri"/>
        <family val="2"/>
        <scheme val="minor"/>
      </rPr>
      <t>PHA</t>
    </r>
    <r>
      <rPr>
        <sz val="11"/>
        <rFont val="Calibri"/>
        <family val="2"/>
        <scheme val="minor"/>
      </rPr>
      <t xml:space="preserve"> (Aerobic)</t>
    </r>
  </si>
  <si>
    <r>
      <t>Y</t>
    </r>
    <r>
      <rPr>
        <vertAlign val="subscript"/>
        <sz val="11"/>
        <rFont val="Calibri"/>
        <family val="2"/>
        <scheme val="minor"/>
      </rPr>
      <t>PAO2</t>
    </r>
  </si>
  <si>
    <r>
      <t>Yield for X</t>
    </r>
    <r>
      <rPr>
        <vertAlign val="subscript"/>
        <sz val="11"/>
        <rFont val="Calibri"/>
        <family val="2"/>
        <scheme val="minor"/>
      </rPr>
      <t>PAO</t>
    </r>
    <r>
      <rPr>
        <sz val="11"/>
        <rFont val="Calibri"/>
        <family val="2"/>
        <scheme val="minor"/>
      </rPr>
      <t xml:space="preserve"> growth per X</t>
    </r>
    <r>
      <rPr>
        <vertAlign val="subscript"/>
        <sz val="11"/>
        <rFont val="Calibri"/>
        <family val="2"/>
        <scheme val="minor"/>
      </rPr>
      <t>PHA</t>
    </r>
    <r>
      <rPr>
        <sz val="11"/>
        <rFont val="Calibri"/>
        <family val="2"/>
        <scheme val="minor"/>
      </rPr>
      <t xml:space="preserve"> (Anoxic)</t>
    </r>
  </si>
  <si>
    <r>
      <t>Y</t>
    </r>
    <r>
      <rPr>
        <vertAlign val="subscript"/>
        <sz val="11"/>
        <rFont val="Calibri"/>
        <family val="2"/>
        <scheme val="minor"/>
      </rPr>
      <t>PP1</t>
    </r>
  </si>
  <si>
    <r>
      <t>Yield for X</t>
    </r>
    <r>
      <rPr>
        <vertAlign val="subscript"/>
        <sz val="11"/>
        <rFont val="Calibri"/>
        <family val="2"/>
        <scheme val="minor"/>
      </rPr>
      <t>PP</t>
    </r>
    <r>
      <rPr>
        <sz val="11"/>
        <rFont val="Calibri"/>
        <family val="2"/>
        <scheme val="minor"/>
      </rPr>
      <t xml:space="preserve"> storage (S</t>
    </r>
    <r>
      <rPr>
        <vertAlign val="subscript"/>
        <sz val="11"/>
        <rFont val="Calibri"/>
        <family val="2"/>
        <scheme val="minor"/>
      </rPr>
      <t>PO4</t>
    </r>
    <r>
      <rPr>
        <sz val="11"/>
        <rFont val="Calibri"/>
        <family val="2"/>
        <scheme val="minor"/>
      </rPr>
      <t xml:space="preserve"> uptake) per X</t>
    </r>
    <r>
      <rPr>
        <vertAlign val="subscript"/>
        <sz val="11"/>
        <rFont val="Calibri"/>
        <family val="2"/>
        <scheme val="minor"/>
      </rPr>
      <t>PHA</t>
    </r>
    <r>
      <rPr>
        <sz val="11"/>
        <rFont val="Calibri"/>
        <family val="2"/>
        <scheme val="minor"/>
      </rPr>
      <t xml:space="preserve"> utilized (Aerobic)</t>
    </r>
  </si>
  <si>
    <r>
      <t>g P.g COD</t>
    </r>
    <r>
      <rPr>
        <vertAlign val="superscript"/>
        <sz val="11"/>
        <rFont val="Calibri"/>
        <family val="2"/>
        <scheme val="minor"/>
      </rPr>
      <t>-1</t>
    </r>
  </si>
  <si>
    <r>
      <t>Y</t>
    </r>
    <r>
      <rPr>
        <vertAlign val="subscript"/>
        <sz val="11"/>
        <rFont val="Calibri"/>
        <family val="2"/>
        <scheme val="minor"/>
      </rPr>
      <t>PP2</t>
    </r>
  </si>
  <si>
    <r>
      <t>Yield for X</t>
    </r>
    <r>
      <rPr>
        <vertAlign val="subscript"/>
        <sz val="11"/>
        <rFont val="Calibri"/>
        <family val="2"/>
        <scheme val="minor"/>
      </rPr>
      <t>PP</t>
    </r>
    <r>
      <rPr>
        <sz val="11"/>
        <rFont val="Calibri"/>
        <family val="2"/>
        <scheme val="minor"/>
      </rPr>
      <t xml:space="preserve"> storage (S</t>
    </r>
    <r>
      <rPr>
        <vertAlign val="subscript"/>
        <sz val="11"/>
        <rFont val="Calibri"/>
        <family val="2"/>
        <scheme val="minor"/>
      </rPr>
      <t>PO4</t>
    </r>
    <r>
      <rPr>
        <sz val="11"/>
        <rFont val="Calibri"/>
        <family val="2"/>
        <scheme val="minor"/>
      </rPr>
      <t xml:space="preserve"> uptake) per X</t>
    </r>
    <r>
      <rPr>
        <vertAlign val="subscript"/>
        <sz val="11"/>
        <rFont val="Calibri"/>
        <family val="2"/>
        <scheme val="minor"/>
      </rPr>
      <t>PHA</t>
    </r>
    <r>
      <rPr>
        <sz val="11"/>
        <rFont val="Calibri"/>
        <family val="2"/>
        <scheme val="minor"/>
      </rPr>
      <t xml:space="preserve"> utilized (Anoxic)</t>
    </r>
  </si>
  <si>
    <r>
      <t>Y</t>
    </r>
    <r>
      <rPr>
        <vertAlign val="subscript"/>
        <sz val="11"/>
        <rFont val="Calibri"/>
        <family val="2"/>
        <scheme val="minor"/>
      </rPr>
      <t>PO4</t>
    </r>
  </si>
  <si>
    <r>
      <t>Yield for X</t>
    </r>
    <r>
      <rPr>
        <vertAlign val="subscript"/>
        <sz val="11"/>
        <rFont val="Calibri"/>
        <family val="2"/>
        <scheme val="minor"/>
      </rPr>
      <t>PP</t>
    </r>
    <r>
      <rPr>
        <sz val="11"/>
        <rFont val="Calibri"/>
        <family val="2"/>
        <scheme val="minor"/>
      </rPr>
      <t xml:space="preserve"> requirement (S</t>
    </r>
    <r>
      <rPr>
        <vertAlign val="subscript"/>
        <sz val="11"/>
        <rFont val="Calibri"/>
        <family val="2"/>
        <scheme val="minor"/>
      </rPr>
      <t>PO4</t>
    </r>
    <r>
      <rPr>
        <sz val="11"/>
        <rFont val="Calibri"/>
        <family val="2"/>
        <scheme val="minor"/>
      </rPr>
      <t xml:space="preserve"> release) per X</t>
    </r>
    <r>
      <rPr>
        <vertAlign val="subscript"/>
        <sz val="11"/>
        <rFont val="Calibri"/>
        <family val="2"/>
        <scheme val="minor"/>
      </rPr>
      <t>PHA</t>
    </r>
    <r>
      <rPr>
        <sz val="11"/>
        <rFont val="Calibri"/>
        <family val="2"/>
        <scheme val="minor"/>
      </rPr>
      <t xml:space="preserve"> stored (S</t>
    </r>
    <r>
      <rPr>
        <vertAlign val="subscript"/>
        <sz val="11"/>
        <rFont val="Calibri"/>
        <family val="2"/>
        <scheme val="minor"/>
      </rPr>
      <t>A</t>
    </r>
    <r>
      <rPr>
        <sz val="11"/>
        <rFont val="Calibri"/>
        <family val="2"/>
        <scheme val="minor"/>
      </rPr>
      <t xml:space="preserve"> utilized) </t>
    </r>
  </si>
  <si>
    <r>
      <t>Y</t>
    </r>
    <r>
      <rPr>
        <vertAlign val="subscript"/>
        <sz val="11"/>
        <rFont val="Calibri"/>
        <family val="2"/>
        <scheme val="minor"/>
      </rPr>
      <t>NIT</t>
    </r>
  </si>
  <si>
    <r>
      <t>Yield of X</t>
    </r>
    <r>
      <rPr>
        <vertAlign val="subscript"/>
        <sz val="11"/>
        <rFont val="Calibri"/>
        <family val="2"/>
        <scheme val="minor"/>
      </rPr>
      <t>NIT</t>
    </r>
    <r>
      <rPr>
        <sz val="11"/>
        <rFont val="Calibri"/>
        <family val="2"/>
        <scheme val="minor"/>
      </rPr>
      <t xml:space="preserve"> growth per S</t>
    </r>
    <r>
      <rPr>
        <vertAlign val="subscript"/>
        <sz val="11"/>
        <rFont val="Calibri"/>
        <family val="2"/>
        <scheme val="minor"/>
      </rPr>
      <t>NO3</t>
    </r>
  </si>
  <si>
    <r>
      <t>g COD.g N</t>
    </r>
    <r>
      <rPr>
        <vertAlign val="superscript"/>
        <sz val="11"/>
        <rFont val="Calibri"/>
        <family val="2"/>
        <scheme val="minor"/>
      </rPr>
      <t>-1</t>
    </r>
  </si>
  <si>
    <r>
      <t>f</t>
    </r>
    <r>
      <rPr>
        <vertAlign val="subscript"/>
        <sz val="11"/>
        <rFont val="Calibri"/>
        <family val="2"/>
        <scheme val="minor"/>
      </rPr>
      <t>XE,</t>
    </r>
    <r>
      <rPr>
        <b/>
        <vertAlign val="subscript"/>
        <sz val="11"/>
        <rFont val="Calibri"/>
        <family val="2"/>
        <scheme val="minor"/>
      </rPr>
      <t>H</t>
    </r>
  </si>
  <si>
    <r>
      <t>Fraction of X</t>
    </r>
    <r>
      <rPr>
        <vertAlign val="subscript"/>
        <sz val="11"/>
        <rFont val="Calibri"/>
        <family val="2"/>
        <scheme val="minor"/>
      </rPr>
      <t>E</t>
    </r>
    <r>
      <rPr>
        <sz val="11"/>
        <rFont val="Calibri"/>
        <family val="2"/>
        <scheme val="minor"/>
      </rPr>
      <t xml:space="preserve"> generated in heterotrophic biomass decay</t>
    </r>
  </si>
  <si>
    <r>
      <t>f</t>
    </r>
    <r>
      <rPr>
        <vertAlign val="subscript"/>
        <sz val="11"/>
        <rFont val="Calibri"/>
        <family val="2"/>
        <scheme val="minor"/>
      </rPr>
      <t>XE,PAO</t>
    </r>
  </si>
  <si>
    <r>
      <t>Fraction of X</t>
    </r>
    <r>
      <rPr>
        <vertAlign val="subscript"/>
        <sz val="11"/>
        <rFont val="Calibri"/>
        <family val="2"/>
        <scheme val="minor"/>
      </rPr>
      <t>E</t>
    </r>
    <r>
      <rPr>
        <sz val="11"/>
        <rFont val="Calibri"/>
        <family val="2"/>
        <scheme val="minor"/>
      </rPr>
      <t xml:space="preserve"> generated in X</t>
    </r>
    <r>
      <rPr>
        <vertAlign val="subscript"/>
        <sz val="11"/>
        <rFont val="Calibri"/>
        <family val="2"/>
        <scheme val="minor"/>
      </rPr>
      <t>PAO</t>
    </r>
    <r>
      <rPr>
        <sz val="11"/>
        <rFont val="Calibri"/>
        <family val="2"/>
        <scheme val="minor"/>
      </rPr>
      <t xml:space="preserve"> decay</t>
    </r>
  </si>
  <si>
    <r>
      <t>f</t>
    </r>
    <r>
      <rPr>
        <vertAlign val="subscript"/>
        <sz val="11"/>
        <rFont val="Calibri"/>
        <family val="2"/>
        <scheme val="minor"/>
      </rPr>
      <t>SI,PAO</t>
    </r>
  </si>
  <si>
    <r>
      <t>Fraction of S</t>
    </r>
    <r>
      <rPr>
        <vertAlign val="subscript"/>
        <sz val="11"/>
        <rFont val="Calibri"/>
        <family val="2"/>
        <scheme val="minor"/>
      </rPr>
      <t>I</t>
    </r>
    <r>
      <rPr>
        <sz val="11"/>
        <rFont val="Calibri"/>
        <family val="2"/>
        <scheme val="minor"/>
      </rPr>
      <t xml:space="preserve"> generated in X</t>
    </r>
    <r>
      <rPr>
        <vertAlign val="subscript"/>
        <sz val="11"/>
        <rFont val="Calibri"/>
        <family val="2"/>
        <scheme val="minor"/>
      </rPr>
      <t>PAO</t>
    </r>
    <r>
      <rPr>
        <sz val="11"/>
        <rFont val="Calibri"/>
        <family val="2"/>
        <scheme val="minor"/>
      </rPr>
      <t xml:space="preserve"> decay</t>
    </r>
  </si>
  <si>
    <r>
      <t>f</t>
    </r>
    <r>
      <rPr>
        <vertAlign val="subscript"/>
        <sz val="11"/>
        <rFont val="Calibri"/>
        <family val="2"/>
        <scheme val="minor"/>
      </rPr>
      <t>XE,NIT</t>
    </r>
  </si>
  <si>
    <r>
      <t>Fraction of X</t>
    </r>
    <r>
      <rPr>
        <vertAlign val="subscript"/>
        <sz val="11"/>
        <rFont val="Calibri"/>
        <family val="2"/>
        <scheme val="minor"/>
      </rPr>
      <t>E</t>
    </r>
    <r>
      <rPr>
        <sz val="11"/>
        <rFont val="Calibri"/>
        <family val="2"/>
        <scheme val="minor"/>
      </rPr>
      <t xml:space="preserve"> generated in X</t>
    </r>
    <r>
      <rPr>
        <vertAlign val="subscript"/>
        <sz val="11"/>
        <rFont val="Calibri"/>
        <family val="2"/>
        <scheme val="minor"/>
      </rPr>
      <t>NIT</t>
    </r>
    <r>
      <rPr>
        <sz val="11"/>
        <rFont val="Calibri"/>
        <family val="2"/>
        <scheme val="minor"/>
      </rPr>
      <t xml:space="preserve"> decay</t>
    </r>
  </si>
  <si>
    <r>
      <t>i</t>
    </r>
    <r>
      <rPr>
        <vertAlign val="subscript"/>
        <sz val="11"/>
        <rFont val="Calibri"/>
        <family val="2"/>
        <scheme val="minor"/>
      </rPr>
      <t>NSF</t>
    </r>
  </si>
  <si>
    <r>
      <t>N content of S</t>
    </r>
    <r>
      <rPr>
        <vertAlign val="subscript"/>
        <sz val="11"/>
        <rFont val="Calibri"/>
        <family val="2"/>
        <scheme val="minor"/>
      </rPr>
      <t>F</t>
    </r>
  </si>
  <si>
    <r>
      <t>g N.g COD</t>
    </r>
    <r>
      <rPr>
        <vertAlign val="superscript"/>
        <sz val="11"/>
        <rFont val="Calibri"/>
        <family val="2"/>
        <scheme val="minor"/>
      </rPr>
      <t>-1</t>
    </r>
  </si>
  <si>
    <r>
      <t>i</t>
    </r>
    <r>
      <rPr>
        <vertAlign val="subscript"/>
        <sz val="11"/>
        <rFont val="Calibri"/>
        <family val="2"/>
        <scheme val="minor"/>
      </rPr>
      <t>NSI</t>
    </r>
  </si>
  <si>
    <r>
      <t>N content of S</t>
    </r>
    <r>
      <rPr>
        <vertAlign val="subscript"/>
        <sz val="11"/>
        <rFont val="Calibri"/>
        <family val="2"/>
        <scheme val="minor"/>
      </rPr>
      <t>I</t>
    </r>
  </si>
  <si>
    <r>
      <t>i</t>
    </r>
    <r>
      <rPr>
        <vertAlign val="subscript"/>
        <sz val="11"/>
        <rFont val="Calibri"/>
        <family val="2"/>
        <scheme val="minor"/>
      </rPr>
      <t>NXI</t>
    </r>
  </si>
  <si>
    <r>
      <t>N content of X</t>
    </r>
    <r>
      <rPr>
        <vertAlign val="subscript"/>
        <sz val="11"/>
        <rFont val="Calibri"/>
        <family val="2"/>
        <scheme val="minor"/>
      </rPr>
      <t>I</t>
    </r>
  </si>
  <si>
    <r>
      <t>i</t>
    </r>
    <r>
      <rPr>
        <vertAlign val="subscript"/>
        <sz val="11"/>
        <rFont val="Calibri"/>
        <family val="2"/>
        <scheme val="minor"/>
      </rPr>
      <t>NENM</t>
    </r>
  </si>
  <si>
    <r>
      <t>N content of X</t>
    </r>
    <r>
      <rPr>
        <vertAlign val="subscript"/>
        <sz val="11"/>
        <rFont val="Calibri"/>
        <family val="2"/>
        <scheme val="minor"/>
      </rPr>
      <t>ENM</t>
    </r>
  </si>
  <si>
    <r>
      <t>i</t>
    </r>
    <r>
      <rPr>
        <vertAlign val="subscript"/>
        <sz val="11"/>
        <rFont val="Calibri"/>
        <family val="2"/>
        <scheme val="minor"/>
      </rPr>
      <t>NBM</t>
    </r>
  </si>
  <si>
    <t>N content of biomasses</t>
  </si>
  <si>
    <r>
      <t>i</t>
    </r>
    <r>
      <rPr>
        <vertAlign val="subscript"/>
        <sz val="11"/>
        <rFont val="Calibri"/>
        <family val="2"/>
        <scheme val="minor"/>
      </rPr>
      <t>NXE</t>
    </r>
  </si>
  <si>
    <r>
      <t>i</t>
    </r>
    <r>
      <rPr>
        <vertAlign val="subscript"/>
        <sz val="11"/>
        <rFont val="Calibri"/>
        <family val="2"/>
        <scheme val="minor"/>
      </rPr>
      <t>PSF</t>
    </r>
  </si>
  <si>
    <r>
      <t>P content of S</t>
    </r>
    <r>
      <rPr>
        <vertAlign val="subscript"/>
        <sz val="11"/>
        <rFont val="Calibri"/>
        <family val="2"/>
        <scheme val="minor"/>
      </rPr>
      <t>F</t>
    </r>
  </si>
  <si>
    <r>
      <t>i</t>
    </r>
    <r>
      <rPr>
        <vertAlign val="subscript"/>
        <sz val="11"/>
        <rFont val="Calibri"/>
        <family val="2"/>
        <scheme val="minor"/>
      </rPr>
      <t>PSI</t>
    </r>
  </si>
  <si>
    <r>
      <t>P content of S</t>
    </r>
    <r>
      <rPr>
        <vertAlign val="subscript"/>
        <sz val="11"/>
        <rFont val="Calibri"/>
        <family val="2"/>
        <scheme val="minor"/>
      </rPr>
      <t>I</t>
    </r>
  </si>
  <si>
    <r>
      <t>i</t>
    </r>
    <r>
      <rPr>
        <vertAlign val="subscript"/>
        <sz val="11"/>
        <rFont val="Calibri"/>
        <family val="2"/>
        <scheme val="minor"/>
      </rPr>
      <t>PXI</t>
    </r>
  </si>
  <si>
    <r>
      <t>P content of X</t>
    </r>
    <r>
      <rPr>
        <vertAlign val="subscript"/>
        <sz val="11"/>
        <rFont val="Calibri"/>
        <family val="2"/>
        <scheme val="minor"/>
      </rPr>
      <t>I</t>
    </r>
  </si>
  <si>
    <r>
      <t>i</t>
    </r>
    <r>
      <rPr>
        <vertAlign val="subscript"/>
        <sz val="11"/>
        <rFont val="Calibri"/>
        <family val="2"/>
        <scheme val="minor"/>
      </rPr>
      <t>PENM</t>
    </r>
  </si>
  <si>
    <r>
      <t>P content of X</t>
    </r>
    <r>
      <rPr>
        <vertAlign val="subscript"/>
        <sz val="11"/>
        <rFont val="Calibri"/>
        <family val="2"/>
        <scheme val="minor"/>
      </rPr>
      <t>ENM</t>
    </r>
  </si>
  <si>
    <r>
      <t>i</t>
    </r>
    <r>
      <rPr>
        <vertAlign val="subscript"/>
        <sz val="11"/>
        <rFont val="Calibri"/>
        <family val="2"/>
        <scheme val="minor"/>
      </rPr>
      <t>PBM</t>
    </r>
  </si>
  <si>
    <t>P content of biomasses</t>
  </si>
  <si>
    <r>
      <t>i</t>
    </r>
    <r>
      <rPr>
        <vertAlign val="subscript"/>
        <sz val="11"/>
        <rFont val="Calibri"/>
        <family val="2"/>
        <scheme val="minor"/>
      </rPr>
      <t>PXE</t>
    </r>
  </si>
  <si>
    <r>
      <t>i</t>
    </r>
    <r>
      <rPr>
        <vertAlign val="subscript"/>
        <sz val="11"/>
        <rFont val="Calibri"/>
        <family val="2"/>
        <scheme val="minor"/>
      </rPr>
      <t>NO3,N2</t>
    </r>
  </si>
  <si>
    <t>Conversion factor for NO3 reduction to N2</t>
  </si>
  <si>
    <r>
      <t>i</t>
    </r>
    <r>
      <rPr>
        <vertAlign val="subscript"/>
        <sz val="11"/>
        <rFont val="Calibri"/>
        <family val="2"/>
        <scheme val="minor"/>
      </rPr>
      <t>COD_NO3</t>
    </r>
  </si>
  <si>
    <t>Conversion factor for NO3 into COD</t>
  </si>
  <si>
    <r>
      <t>i</t>
    </r>
    <r>
      <rPr>
        <vertAlign val="subscript"/>
        <sz val="11"/>
        <rFont val="Calibri"/>
        <family val="2"/>
        <scheme val="minor"/>
      </rPr>
      <t>COD_N2</t>
    </r>
  </si>
  <si>
    <t>Conversion factor for N2 into COD</t>
  </si>
  <si>
    <r>
      <t>i</t>
    </r>
    <r>
      <rPr>
        <i/>
        <vertAlign val="subscript"/>
        <sz val="11"/>
        <rFont val="Calibri"/>
        <family val="2"/>
        <scheme val="minor"/>
      </rPr>
      <t>CV</t>
    </r>
  </si>
  <si>
    <r>
      <t>g COD.g VSS</t>
    </r>
    <r>
      <rPr>
        <vertAlign val="superscript"/>
        <sz val="11"/>
        <rFont val="Calibri"/>
        <family val="2"/>
        <scheme val="minor"/>
      </rPr>
      <t>-1</t>
    </r>
  </si>
  <si>
    <t>Sidestream</t>
  </si>
  <si>
    <t>Advanced</t>
  </si>
  <si>
    <r>
      <t>c</t>
    </r>
    <r>
      <rPr>
        <vertAlign val="subscript"/>
        <sz val="11"/>
        <rFont val="Calibri"/>
        <family val="2"/>
        <scheme val="minor"/>
      </rPr>
      <t>percent,Vconc</t>
    </r>
  </si>
  <si>
    <t>Conversion coefficient between percents and volumetric concentration</t>
  </si>
  <si>
    <t>%.m-3.m3</t>
  </si>
  <si>
    <r>
      <t>c</t>
    </r>
    <r>
      <rPr>
        <vertAlign val="subscript"/>
        <sz val="11"/>
        <rFont val="Calibri"/>
        <family val="2"/>
        <scheme val="minor"/>
      </rPr>
      <t>percent,fraction</t>
    </r>
  </si>
  <si>
    <t>Conversion coefficient between percents and fractions</t>
  </si>
  <si>
    <t>%</t>
  </si>
  <si>
    <r>
      <t>H</t>
    </r>
    <r>
      <rPr>
        <vertAlign val="subscript"/>
        <sz val="11"/>
        <rFont val="Calibri"/>
        <family val="2"/>
        <scheme val="minor"/>
      </rPr>
      <t>null</t>
    </r>
  </si>
  <si>
    <t>Enthalpy of water at 0°C</t>
  </si>
  <si>
    <t>kJ.m-3</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</si>
  <si>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</si>
  <si>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t>Activated sludge</t>
  </si>
  <si>
    <r>
      <t>X</t>
    </r>
    <r>
      <rPr>
        <vertAlign val="subscript"/>
        <sz val="11"/>
        <rFont val="Calibri"/>
        <family val="2"/>
        <scheme val="minor"/>
      </rPr>
      <t>DM</t>
    </r>
  </si>
  <si>
    <t>Dry matter</t>
  </si>
  <si>
    <r>
      <t>X</t>
    </r>
    <r>
      <rPr>
        <vertAlign val="subscript"/>
        <sz val="11"/>
        <rFont val="Calibri"/>
        <family val="2"/>
        <scheme val="minor"/>
      </rPr>
      <t>TSS</t>
    </r>
    <r>
      <rPr>
        <sz val="11"/>
        <rFont val="Calibri"/>
        <family val="2"/>
        <scheme val="minor"/>
      </rPr>
      <t>+S</t>
    </r>
    <r>
      <rPr>
        <vertAlign val="subscript"/>
        <sz val="11"/>
        <rFont val="Calibri"/>
        <family val="2"/>
        <scheme val="minor"/>
      </rPr>
      <t>I</t>
    </r>
    <r>
      <rPr>
        <sz val="11"/>
        <rFont val="Calibri"/>
        <family val="2"/>
        <scheme val="minor"/>
      </rPr>
      <t>/i</t>
    </r>
    <r>
      <rPr>
        <vertAlign val="subscript"/>
        <sz val="11"/>
        <rFont val="Calibri"/>
        <family val="2"/>
        <scheme val="minor"/>
      </rPr>
      <t>CV,SI</t>
    </r>
    <r>
      <rPr>
        <sz val="11"/>
        <rFont val="Calibri"/>
        <family val="2"/>
        <scheme val="minor"/>
      </rPr>
      <t>+S</t>
    </r>
    <r>
      <rPr>
        <vertAlign val="subscript"/>
        <sz val="11"/>
        <rFont val="Calibri"/>
        <family val="2"/>
        <scheme val="minor"/>
      </rPr>
      <t>F</t>
    </r>
    <r>
      <rPr>
        <sz val="11"/>
        <rFont val="Calibri"/>
        <family val="2"/>
        <scheme val="minor"/>
      </rPr>
      <t>/i</t>
    </r>
    <r>
      <rPr>
        <vertAlign val="subscript"/>
        <sz val="11"/>
        <rFont val="Calibri"/>
        <family val="2"/>
        <scheme val="minor"/>
      </rPr>
      <t>CV,SF</t>
    </r>
    <r>
      <rPr>
        <sz val="11"/>
        <rFont val="Calibri"/>
        <family val="2"/>
        <scheme val="minor"/>
      </rPr>
      <t>+S</t>
    </r>
    <r>
      <rPr>
        <vertAlign val="subscript"/>
        <sz val="11"/>
        <rFont val="Calibri"/>
        <family val="2"/>
        <scheme val="minor"/>
      </rPr>
      <t>A</t>
    </r>
    <r>
      <rPr>
        <sz val="11"/>
        <rFont val="Calibri"/>
        <family val="2"/>
        <scheme val="minor"/>
      </rPr>
      <t>/i</t>
    </r>
    <r>
      <rPr>
        <vertAlign val="subscript"/>
        <sz val="11"/>
        <rFont val="Calibri"/>
        <family val="2"/>
        <scheme val="minor"/>
      </rPr>
      <t>CV,SA</t>
    </r>
    <r>
      <rPr>
        <sz val="11"/>
        <rFont val="Calibri"/>
        <family val="2"/>
        <scheme val="minor"/>
      </rPr>
      <t>+S</t>
    </r>
    <r>
      <rPr>
        <vertAlign val="subscript"/>
        <sz val="11"/>
        <rFont val="Calibri"/>
        <family val="2"/>
        <scheme val="minor"/>
      </rPr>
      <t>NH4</t>
    </r>
    <r>
      <rPr>
        <sz val="11"/>
        <rFont val="Calibri"/>
        <family val="2"/>
        <scheme val="minor"/>
      </rPr>
      <t>*MM</t>
    </r>
    <r>
      <rPr>
        <vertAlign val="subscript"/>
        <sz val="11"/>
        <rFont val="Calibri"/>
        <family val="2"/>
        <scheme val="minor"/>
      </rPr>
      <t>NH4</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NO3</t>
    </r>
    <r>
      <rPr>
        <sz val="11"/>
        <rFont val="Calibri"/>
        <family val="2"/>
        <scheme val="minor"/>
      </rPr>
      <t>*MM</t>
    </r>
    <r>
      <rPr>
        <vertAlign val="subscript"/>
        <sz val="11"/>
        <rFont val="Calibri"/>
        <family val="2"/>
        <scheme val="minor"/>
      </rPr>
      <t>NO3</t>
    </r>
    <r>
      <rPr>
        <sz val="11"/>
        <rFont val="Calibri"/>
        <family val="2"/>
        <scheme val="minor"/>
      </rPr>
      <t>/AM</t>
    </r>
    <r>
      <rPr>
        <vertAlign val="subscript"/>
        <sz val="11"/>
        <rFont val="Calibri"/>
        <family val="2"/>
        <scheme val="minor"/>
      </rPr>
      <t>N</t>
    </r>
    <r>
      <rPr>
        <sz val="11"/>
        <rFont val="Calibri"/>
        <family val="2"/>
        <scheme val="minor"/>
      </rPr>
      <t>+S</t>
    </r>
    <r>
      <rPr>
        <vertAlign val="subscript"/>
        <sz val="11"/>
        <rFont val="Calibri"/>
        <family val="2"/>
        <scheme val="minor"/>
      </rPr>
      <t>PO4</t>
    </r>
    <r>
      <rPr>
        <sz val="11"/>
        <rFont val="Calibri"/>
        <family val="2"/>
        <scheme val="minor"/>
      </rPr>
      <t>*MM</t>
    </r>
    <r>
      <rPr>
        <vertAlign val="subscript"/>
        <sz val="11"/>
        <rFont val="Calibri"/>
        <family val="2"/>
        <scheme val="minor"/>
      </rPr>
      <t>PO4</t>
    </r>
    <r>
      <rPr>
        <sz val="11"/>
        <rFont val="Calibri"/>
        <family val="2"/>
        <scheme val="minor"/>
      </rPr>
      <t>/AM</t>
    </r>
    <r>
      <rPr>
        <vertAlign val="subscript"/>
        <sz val="11"/>
        <rFont val="Calibri"/>
        <family val="2"/>
        <scheme val="minor"/>
      </rPr>
      <t>P</t>
    </r>
  </si>
  <si>
    <r>
      <t>g TSS.m</t>
    </r>
    <r>
      <rPr>
        <vertAlign val="superscript"/>
        <sz val="11"/>
        <rFont val="Calibri"/>
        <family val="2"/>
        <scheme val="minor"/>
      </rPr>
      <t>-3</t>
    </r>
  </si>
  <si>
    <r>
      <t>X</t>
    </r>
    <r>
      <rPr>
        <vertAlign val="subscript"/>
        <sz val="11"/>
        <rFont val="Calibri"/>
        <family val="2"/>
        <scheme val="minor"/>
      </rPr>
      <t>ISS</t>
    </r>
  </si>
  <si>
    <r>
      <t>X</t>
    </r>
    <r>
      <rPr>
        <vertAlign val="subscript"/>
        <sz val="11"/>
        <rFont val="Calibri"/>
        <family val="2"/>
      </rPr>
      <t>INORG</t>
    </r>
  </si>
  <si>
    <r>
      <t>X</t>
    </r>
    <r>
      <rPr>
        <vertAlign val="subscript"/>
        <sz val="11"/>
        <rFont val="Calibri"/>
        <family val="2"/>
      </rPr>
      <t>VSS</t>
    </r>
    <r>
      <rPr>
        <sz val="11"/>
        <rFont val="Calibri"/>
        <family val="2"/>
      </rPr>
      <t>+X</t>
    </r>
    <r>
      <rPr>
        <vertAlign val="subscript"/>
        <sz val="11"/>
        <rFont val="Calibri"/>
        <family val="2"/>
      </rPr>
      <t>ISS</t>
    </r>
  </si>
  <si>
    <r>
      <t>i</t>
    </r>
    <r>
      <rPr>
        <vertAlign val="subscript"/>
        <sz val="11"/>
        <rFont val="Calibri"/>
        <family val="2"/>
        <scheme val="minor"/>
      </rPr>
      <t>CV,SF</t>
    </r>
  </si>
  <si>
    <r>
      <t>S</t>
    </r>
    <r>
      <rPr>
        <vertAlign val="subscript"/>
        <sz val="11"/>
        <rFont val="Calibri"/>
        <family val="2"/>
        <scheme val="minor"/>
      </rPr>
      <t>F</t>
    </r>
    <r>
      <rPr>
        <sz val="11"/>
        <rFont val="Calibri"/>
        <family val="2"/>
        <scheme val="minor"/>
      </rPr>
      <t xml:space="preserve"> S</t>
    </r>
    <r>
      <rPr>
        <vertAlign val="subscript"/>
        <sz val="11"/>
        <rFont val="Calibri"/>
        <family val="2"/>
        <scheme val="minor"/>
      </rPr>
      <t>COD</t>
    </r>
    <r>
      <rPr>
        <sz val="11"/>
        <rFont val="Calibri"/>
        <family val="2"/>
        <scheme val="minor"/>
      </rPr>
      <t>/VS ratio</t>
    </r>
  </si>
  <si>
    <r>
      <t>g COD.g VS</t>
    </r>
    <r>
      <rPr>
        <vertAlign val="superscript"/>
        <sz val="11"/>
        <rFont val="Calibri"/>
        <family val="2"/>
        <scheme val="minor"/>
      </rPr>
      <t>-1</t>
    </r>
  </si>
  <si>
    <r>
      <t>i</t>
    </r>
    <r>
      <rPr>
        <vertAlign val="subscript"/>
        <sz val="11"/>
        <rFont val="Calibri"/>
        <family val="2"/>
        <scheme val="minor"/>
      </rPr>
      <t>CV,SA</t>
    </r>
  </si>
  <si>
    <r>
      <t>S</t>
    </r>
    <r>
      <rPr>
        <vertAlign val="subscript"/>
        <sz val="11"/>
        <rFont val="Calibri"/>
        <family val="2"/>
        <scheme val="minor"/>
      </rPr>
      <t>A</t>
    </r>
    <r>
      <rPr>
        <sz val="11"/>
        <rFont val="Calibri"/>
        <family val="2"/>
        <scheme val="minor"/>
      </rPr>
      <t xml:space="preserve"> S</t>
    </r>
    <r>
      <rPr>
        <vertAlign val="subscript"/>
        <sz val="11"/>
        <rFont val="Calibri"/>
        <family val="2"/>
        <scheme val="minor"/>
      </rPr>
      <t>COD</t>
    </r>
    <r>
      <rPr>
        <sz val="11"/>
        <rFont val="Calibri"/>
        <family val="2"/>
        <scheme val="minor"/>
      </rPr>
      <t>/VS ratio</t>
    </r>
  </si>
  <si>
    <r>
      <t>i</t>
    </r>
    <r>
      <rPr>
        <vertAlign val="subscript"/>
        <sz val="11"/>
        <rFont val="Calibri"/>
        <family val="2"/>
        <scheme val="minor"/>
      </rPr>
      <t>CV,SI</t>
    </r>
  </si>
  <si>
    <r>
      <t>S</t>
    </r>
    <r>
      <rPr>
        <vertAlign val="subscript"/>
        <sz val="11"/>
        <rFont val="Calibri"/>
        <family val="2"/>
        <scheme val="minor"/>
      </rPr>
      <t>I</t>
    </r>
    <r>
      <rPr>
        <sz val="11"/>
        <rFont val="Calibri"/>
        <family val="2"/>
        <scheme val="minor"/>
      </rPr>
      <t xml:space="preserve"> S</t>
    </r>
    <r>
      <rPr>
        <vertAlign val="subscript"/>
        <sz val="11"/>
        <rFont val="Calibri"/>
        <family val="2"/>
        <scheme val="minor"/>
      </rPr>
      <t>COD</t>
    </r>
    <r>
      <rPr>
        <sz val="11"/>
        <rFont val="Calibri"/>
        <family val="2"/>
        <scheme val="minor"/>
      </rPr>
      <t>/VS ratio</t>
    </r>
  </si>
  <si>
    <r>
      <t>g.m</t>
    </r>
    <r>
      <rPr>
        <i/>
        <vertAlign val="superscript"/>
        <sz val="12"/>
        <rFont val="Arial"/>
        <family val="2"/>
      </rPr>
      <t>-3</t>
    </r>
    <r>
      <rPr>
        <i/>
        <sz val="12"/>
        <rFont val="Arial"/>
        <family val="2"/>
      </rPr>
      <t>.d</t>
    </r>
    <r>
      <rPr>
        <i/>
        <vertAlign val="superscript"/>
        <sz val="12"/>
        <rFont val="Arial"/>
        <family val="2"/>
      </rPr>
      <t>-1</t>
    </r>
  </si>
  <si>
    <r>
      <t>f</t>
    </r>
    <r>
      <rPr>
        <vertAlign val="subscript"/>
        <sz val="11"/>
        <rFont val="Calibri"/>
        <family val="2"/>
        <scheme val="minor"/>
      </rPr>
      <t>BOD5,BODult</t>
    </r>
  </si>
  <si>
    <r>
      <t>S</t>
    </r>
    <r>
      <rPr>
        <vertAlign val="subscript"/>
        <sz val="11"/>
        <rFont val="Calibri"/>
        <family val="2"/>
        <scheme val="minor"/>
      </rPr>
      <t>BOD,ult</t>
    </r>
  </si>
  <si>
    <r>
      <t>X</t>
    </r>
    <r>
      <rPr>
        <vertAlign val="subscript"/>
        <sz val="11"/>
        <rFont val="Calibri"/>
        <family val="2"/>
        <scheme val="minor"/>
      </rPr>
      <t>BOD,ult</t>
    </r>
  </si>
  <si>
    <r>
      <t>T</t>
    </r>
    <r>
      <rPr>
        <vertAlign val="subscript"/>
        <sz val="11"/>
        <rFont val="Calibri"/>
        <family val="2"/>
        <scheme val="minor"/>
      </rPr>
      <t>BOD,ult</t>
    </r>
  </si>
  <si>
    <r>
      <t>S</t>
    </r>
    <r>
      <rPr>
        <vertAlign val="subscript"/>
        <sz val="11"/>
        <rFont val="Calibri"/>
        <family val="2"/>
      </rPr>
      <t>BOD,ult</t>
    </r>
    <r>
      <rPr>
        <sz val="11"/>
        <rFont val="Calibri"/>
        <family val="2"/>
      </rPr>
      <t xml:space="preserve"> +X</t>
    </r>
    <r>
      <rPr>
        <vertAlign val="subscript"/>
        <sz val="11"/>
        <rFont val="Calibri"/>
        <family val="2"/>
      </rPr>
      <t>BOD,ult</t>
    </r>
  </si>
  <si>
    <r>
      <t>S</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</si>
  <si>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X</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</si>
  <si>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r>
      <t>T</t>
    </r>
    <r>
      <rPr>
        <vertAlign val="subscript"/>
        <sz val="11"/>
        <rFont val="Calibri"/>
        <family val="2"/>
        <scheme val="minor"/>
      </rPr>
      <t>BOD,ult</t>
    </r>
    <r>
      <rPr>
        <sz val="11"/>
        <rFont val="Calibri"/>
        <family val="2"/>
        <scheme val="minor"/>
      </rPr>
      <t>*f</t>
    </r>
    <r>
      <rPr>
        <vertAlign val="subscript"/>
        <sz val="11"/>
        <rFont val="Calibri"/>
        <family val="2"/>
        <scheme val="minor"/>
      </rPr>
      <t>BOD5,BODult</t>
    </r>
  </si>
  <si>
    <t>Balancing</t>
  </si>
  <si>
    <t>Nitrate uptake rate (NUR)</t>
  </si>
  <si>
    <t>Calculated variables</t>
  </si>
  <si>
    <t>Filtered biochemical oxygen demand (5 days)</t>
  </si>
  <si>
    <t>Particulate biochemical oxygen demand (5 days)</t>
  </si>
  <si>
    <t>Total biochemical oxygen demand (5 days)</t>
  </si>
  <si>
    <r>
      <t>μ</t>
    </r>
    <r>
      <rPr>
        <i/>
        <vertAlign val="subscript"/>
        <sz val="12"/>
        <rFont val="Arial"/>
        <family val="2"/>
      </rPr>
      <t>H</t>
    </r>
    <r>
      <rPr>
        <i/>
        <sz val="12"/>
        <rFont val="Arial"/>
        <family val="2"/>
      </rPr>
      <t>*Msat</t>
    </r>
    <r>
      <rPr>
        <i/>
        <vertAlign val="subscript"/>
        <sz val="12"/>
        <rFont val="Arial"/>
        <family val="2"/>
      </rPr>
      <t>SA,KA</t>
    </r>
    <r>
      <rPr>
        <i/>
        <sz val="12"/>
        <rFont val="Arial"/>
        <family val="2"/>
      </rPr>
      <t>*S</t>
    </r>
    <r>
      <rPr>
        <i/>
        <vertAlign val="subscript"/>
        <sz val="12"/>
        <rFont val="Arial"/>
        <family val="2"/>
      </rPr>
      <t>A</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)*Msat</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</si>
  <si>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SA,KA</t>
    </r>
    <r>
      <rPr>
        <i/>
        <sz val="12"/>
        <rFont val="Arial"/>
        <family val="2"/>
      </rPr>
      <t>*S</t>
    </r>
    <r>
      <rPr>
        <i/>
        <vertAlign val="subscript"/>
        <sz val="12"/>
        <rFont val="Arial"/>
        <family val="2"/>
      </rPr>
      <t>A</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)*Msat</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</si>
  <si>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η</t>
    </r>
    <r>
      <rPr>
        <i/>
        <vertAlign val="subscript"/>
        <sz val="12"/>
        <rFont val="Arial"/>
        <family val="2"/>
      </rPr>
      <t>H</t>
    </r>
    <r>
      <rPr>
        <i/>
        <sz val="12"/>
        <rFont val="Arial"/>
        <family val="2"/>
      </rPr>
      <t>*μ</t>
    </r>
    <r>
      <rPr>
        <i/>
        <vertAlign val="subscript"/>
        <sz val="12"/>
        <rFont val="Arial"/>
        <family val="2"/>
      </rPr>
      <t>H</t>
    </r>
    <r>
      <rPr>
        <i/>
        <sz val="12"/>
        <rFont val="Arial"/>
        <family val="2"/>
      </rPr>
      <t>*Msat</t>
    </r>
    <r>
      <rPr>
        <i/>
        <vertAlign val="subscript"/>
        <sz val="12"/>
        <rFont val="Arial"/>
        <family val="2"/>
      </rPr>
      <t>SA,KA</t>
    </r>
    <r>
      <rPr>
        <i/>
        <sz val="12"/>
        <rFont val="Arial"/>
        <family val="2"/>
      </rPr>
      <t>*S</t>
    </r>
    <r>
      <rPr>
        <i/>
        <vertAlign val="subscript"/>
        <sz val="12"/>
        <rFont val="Arial"/>
        <family val="2"/>
      </rPr>
      <t>A</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)*Minh</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</si>
  <si>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η</t>
    </r>
    <r>
      <rPr>
        <i/>
        <vertAlign val="subscript"/>
        <sz val="12"/>
        <rFont val="Arial"/>
        <family val="2"/>
      </rPr>
      <t>H</t>
    </r>
    <r>
      <rPr>
        <i/>
        <sz val="12"/>
        <rFont val="Arial"/>
        <family val="2"/>
      </rPr>
      <t>*μ</t>
    </r>
    <r>
      <rPr>
        <i/>
        <vertAlign val="subscript"/>
        <sz val="12"/>
        <rFont val="Arial"/>
        <family val="2"/>
      </rPr>
      <t>H</t>
    </r>
    <r>
      <rPr>
        <i/>
        <sz val="12"/>
        <rFont val="Arial"/>
        <family val="2"/>
      </rPr>
      <t>*Msat</t>
    </r>
    <r>
      <rPr>
        <i/>
        <vertAlign val="subscript"/>
        <sz val="12"/>
        <rFont val="Arial"/>
        <family val="2"/>
      </rPr>
      <t>SA,KA</t>
    </r>
    <r>
      <rPr>
        <i/>
        <sz val="12"/>
        <rFont val="Arial"/>
        <family val="2"/>
      </rPr>
      <t>*S</t>
    </r>
    <r>
      <rPr>
        <i/>
        <vertAlign val="subscript"/>
        <sz val="12"/>
        <rFont val="Arial"/>
        <family val="2"/>
      </rPr>
      <t>A</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)*Minh</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</si>
  <si>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SF,KF</t>
    </r>
    <r>
      <rPr>
        <i/>
        <sz val="12"/>
        <rFont val="Arial"/>
        <family val="2"/>
      </rPr>
      <t>*S</t>
    </r>
    <r>
      <rPr>
        <i/>
        <vertAlign val="subscript"/>
        <sz val="12"/>
        <rFont val="Arial"/>
        <family val="2"/>
      </rPr>
      <t>F</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)*Msat</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</si>
  <si>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μ</t>
    </r>
    <r>
      <rPr>
        <i/>
        <vertAlign val="subscript"/>
        <sz val="12"/>
        <rFont val="Arial"/>
        <family val="2"/>
      </rPr>
      <t>H</t>
    </r>
    <r>
      <rPr>
        <i/>
        <sz val="12"/>
        <rFont val="Arial"/>
        <family val="2"/>
      </rPr>
      <t>*Msat</t>
    </r>
    <r>
      <rPr>
        <i/>
        <vertAlign val="subscript"/>
        <sz val="12"/>
        <rFont val="Arial"/>
        <family val="2"/>
      </rPr>
      <t>SF,KF</t>
    </r>
    <r>
      <rPr>
        <i/>
        <sz val="12"/>
        <rFont val="Arial"/>
        <family val="2"/>
      </rPr>
      <t>*S</t>
    </r>
    <r>
      <rPr>
        <i/>
        <vertAlign val="subscript"/>
        <sz val="12"/>
        <rFont val="Arial"/>
        <family val="2"/>
      </rPr>
      <t>F</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)*Msat</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</si>
  <si>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η</t>
    </r>
    <r>
      <rPr>
        <i/>
        <vertAlign val="subscript"/>
        <sz val="12"/>
        <rFont val="Arial"/>
        <family val="2"/>
      </rPr>
      <t>H</t>
    </r>
    <r>
      <rPr>
        <i/>
        <sz val="12"/>
        <rFont val="Arial"/>
        <family val="2"/>
      </rPr>
      <t>*μ</t>
    </r>
    <r>
      <rPr>
        <i/>
        <vertAlign val="subscript"/>
        <sz val="12"/>
        <rFont val="Arial"/>
        <family val="2"/>
      </rPr>
      <t>H</t>
    </r>
    <r>
      <rPr>
        <i/>
        <sz val="12"/>
        <rFont val="Arial"/>
        <family val="2"/>
      </rPr>
      <t>*Msat</t>
    </r>
    <r>
      <rPr>
        <i/>
        <vertAlign val="subscript"/>
        <sz val="12"/>
        <rFont val="Arial"/>
        <family val="2"/>
      </rPr>
      <t>SF,KF</t>
    </r>
    <r>
      <rPr>
        <i/>
        <sz val="12"/>
        <rFont val="Arial"/>
        <family val="2"/>
      </rPr>
      <t>*S</t>
    </r>
    <r>
      <rPr>
        <i/>
        <vertAlign val="subscript"/>
        <sz val="12"/>
        <rFont val="Arial"/>
        <family val="2"/>
      </rPr>
      <t>F</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)*Minh</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</si>
  <si>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η</t>
    </r>
    <r>
      <rPr>
        <i/>
        <vertAlign val="subscript"/>
        <sz val="12"/>
        <rFont val="Arial"/>
        <family val="2"/>
      </rPr>
      <t>H</t>
    </r>
    <r>
      <rPr>
        <i/>
        <sz val="12"/>
        <rFont val="Arial"/>
        <family val="2"/>
      </rPr>
      <t>*μ</t>
    </r>
    <r>
      <rPr>
        <i/>
        <vertAlign val="subscript"/>
        <sz val="12"/>
        <rFont val="Arial"/>
        <family val="2"/>
      </rPr>
      <t>H</t>
    </r>
    <r>
      <rPr>
        <i/>
        <sz val="12"/>
        <rFont val="Arial"/>
        <family val="2"/>
      </rPr>
      <t>*Msat</t>
    </r>
    <r>
      <rPr>
        <i/>
        <vertAlign val="subscript"/>
        <sz val="12"/>
        <rFont val="Arial"/>
        <family val="2"/>
      </rPr>
      <t>SF,KF</t>
    </r>
    <r>
      <rPr>
        <i/>
        <sz val="12"/>
        <rFont val="Arial"/>
        <family val="2"/>
      </rPr>
      <t>*S</t>
    </r>
    <r>
      <rPr>
        <i/>
        <vertAlign val="subscript"/>
        <sz val="12"/>
        <rFont val="Arial"/>
        <family val="2"/>
      </rPr>
      <t>F</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)*Minh</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</si>
  <si>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K</t>
    </r>
    <r>
      <rPr>
        <i/>
        <vertAlign val="subscript"/>
        <sz val="12"/>
        <rFont val="Arial"/>
        <family val="2"/>
      </rPr>
      <t>MP</t>
    </r>
    <r>
      <rPr>
        <i/>
        <sz val="12"/>
        <rFont val="Arial"/>
        <family val="2"/>
      </rPr>
      <t>*MRsat</t>
    </r>
    <r>
      <rPr>
        <i/>
        <vertAlign val="subscript"/>
        <sz val="12"/>
        <rFont val="Arial"/>
        <family val="2"/>
      </rPr>
      <t>XADS,XH,KSP</t>
    </r>
    <r>
      <rPr>
        <i/>
        <sz val="12"/>
        <rFont val="Arial"/>
        <family val="2"/>
      </rPr>
      <t>*X</t>
    </r>
    <r>
      <rPr>
        <i/>
        <vertAlign val="subscript"/>
        <sz val="12"/>
        <rFont val="Arial"/>
        <family val="2"/>
      </rPr>
      <t>ADS</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)*Msat</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</si>
  <si>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K</t>
    </r>
    <r>
      <rPr>
        <i/>
        <vertAlign val="subscript"/>
        <sz val="12"/>
        <rFont val="Arial"/>
        <family val="2"/>
      </rPr>
      <t>MP</t>
    </r>
    <r>
      <rPr>
        <i/>
        <sz val="12"/>
        <rFont val="Arial"/>
        <family val="2"/>
      </rPr>
      <t>*MRsat</t>
    </r>
    <r>
      <rPr>
        <i/>
        <vertAlign val="subscript"/>
        <sz val="12"/>
        <rFont val="Arial"/>
        <family val="2"/>
      </rPr>
      <t>XADS,XH,KSP</t>
    </r>
    <r>
      <rPr>
        <i/>
        <sz val="12"/>
        <rFont val="Arial"/>
        <family val="2"/>
      </rPr>
      <t>*X</t>
    </r>
    <r>
      <rPr>
        <i/>
        <vertAlign val="subscript"/>
        <sz val="12"/>
        <rFont val="Arial"/>
        <family val="2"/>
      </rPr>
      <t>ADS</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)*Msat</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</si>
  <si>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η</t>
    </r>
    <r>
      <rPr>
        <i/>
        <vertAlign val="subscript"/>
        <sz val="12"/>
        <rFont val="Arial"/>
        <family val="2"/>
      </rPr>
      <t>H</t>
    </r>
    <r>
      <rPr>
        <i/>
        <sz val="12"/>
        <rFont val="Arial"/>
        <family val="2"/>
      </rPr>
      <t>*K</t>
    </r>
    <r>
      <rPr>
        <i/>
        <vertAlign val="subscript"/>
        <sz val="12"/>
        <rFont val="Arial"/>
        <family val="2"/>
      </rPr>
      <t>MP</t>
    </r>
    <r>
      <rPr>
        <i/>
        <sz val="12"/>
        <rFont val="Arial"/>
        <family val="2"/>
      </rPr>
      <t>*MRsat</t>
    </r>
    <r>
      <rPr>
        <i/>
        <vertAlign val="subscript"/>
        <sz val="12"/>
        <rFont val="Arial"/>
        <family val="2"/>
      </rPr>
      <t>XADS,XH,KSP</t>
    </r>
    <r>
      <rPr>
        <i/>
        <sz val="12"/>
        <rFont val="Arial"/>
        <family val="2"/>
      </rPr>
      <t>*X</t>
    </r>
    <r>
      <rPr>
        <i/>
        <vertAlign val="subscript"/>
        <sz val="12"/>
        <rFont val="Arial"/>
        <family val="2"/>
      </rPr>
      <t>ADS</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)*Minh</t>
    </r>
    <r>
      <rPr>
        <i/>
        <vertAlign val="subscript"/>
        <sz val="12"/>
        <rFont val="Arial"/>
        <family val="2"/>
      </rPr>
      <t>SO2,KOH</t>
    </r>
    <r>
      <rPr>
        <i/>
        <sz val="12"/>
        <rFont val="Arial"/>
        <family val="2"/>
      </rPr>
      <t>*Msat</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</si>
  <si>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η</t>
    </r>
    <r>
      <rPr>
        <i/>
        <vertAlign val="subscript"/>
        <sz val="12"/>
        <rFont val="Arial"/>
        <family val="2"/>
      </rPr>
      <t>H</t>
    </r>
    <r>
      <rPr>
        <i/>
        <sz val="12"/>
        <rFont val="Arial"/>
        <family val="2"/>
      </rPr>
      <t>*K</t>
    </r>
    <r>
      <rPr>
        <i/>
        <vertAlign val="subscript"/>
        <sz val="12"/>
        <rFont val="Arial"/>
        <family val="2"/>
      </rPr>
      <t>MP</t>
    </r>
    <r>
      <rPr>
        <i/>
        <sz val="12"/>
        <rFont val="Arial"/>
        <family val="2"/>
      </rPr>
      <t>*MRsat</t>
    </r>
    <r>
      <rPr>
        <i/>
        <vertAlign val="subscript"/>
        <sz val="12"/>
        <rFont val="Arial"/>
        <family val="2"/>
      </rPr>
      <t>XADS,XH,KSP</t>
    </r>
    <r>
      <rPr>
        <i/>
        <sz val="12"/>
        <rFont val="Arial"/>
        <family val="2"/>
      </rPr>
      <t>*X</t>
    </r>
    <r>
      <rPr>
        <i/>
        <vertAlign val="subscript"/>
        <sz val="12"/>
        <rFont val="Arial"/>
        <family val="2"/>
      </rPr>
      <t>ADS</t>
    </r>
    <r>
      <rPr>
        <i/>
        <sz val="12"/>
        <rFont val="Arial"/>
        <family val="2"/>
      </rPr>
      <t>/(S</t>
    </r>
    <r>
      <rPr>
        <i/>
        <vertAlign val="subscript"/>
        <sz val="12"/>
        <rFont val="Arial"/>
        <family val="2"/>
      </rPr>
      <t>A</t>
    </r>
    <r>
      <rPr>
        <i/>
        <sz val="12"/>
        <rFont val="Arial"/>
        <family val="2"/>
      </rPr>
      <t>+S</t>
    </r>
    <r>
      <rPr>
        <i/>
        <vertAlign val="subscript"/>
        <sz val="12"/>
        <rFont val="Arial"/>
        <family val="2"/>
      </rPr>
      <t>F</t>
    </r>
    <r>
      <rPr>
        <i/>
        <sz val="12"/>
        <rFont val="Arial"/>
        <family val="2"/>
      </rPr>
      <t>+X</t>
    </r>
    <r>
      <rPr>
        <i/>
        <vertAlign val="subscript"/>
        <sz val="12"/>
        <rFont val="Arial"/>
        <family val="2"/>
      </rPr>
      <t>ADS</t>
    </r>
    <r>
      <rPr>
        <i/>
        <sz val="12"/>
        <rFont val="Arial"/>
        <family val="2"/>
      </rPr>
      <t>)*Minh</t>
    </r>
    <r>
      <rPr>
        <i/>
        <vertAlign val="subscript"/>
        <sz val="12"/>
        <rFont val="Arial"/>
        <family val="2"/>
      </rPr>
      <t>SO2,KOH</t>
    </r>
    <r>
      <rPr>
        <i/>
        <sz val="12"/>
        <rFont val="Arial"/>
        <family val="2"/>
      </rPr>
      <t>*Minh</t>
    </r>
    <r>
      <rPr>
        <i/>
        <vertAlign val="subscript"/>
        <sz val="12"/>
        <rFont val="Arial"/>
        <family val="2"/>
      </rPr>
      <t>SNH4,KNH4</t>
    </r>
    <r>
      <rPr>
        <i/>
        <sz val="12"/>
        <rFont val="Arial"/>
        <family val="2"/>
      </rPr>
      <t>*Msat</t>
    </r>
    <r>
      <rPr>
        <i/>
        <vertAlign val="subscript"/>
        <sz val="12"/>
        <rFont val="Arial"/>
        <family val="2"/>
      </rPr>
      <t>SNO3,KNO3</t>
    </r>
    <r>
      <rPr>
        <i/>
        <sz val="12"/>
        <rFont val="Arial"/>
        <family val="2"/>
      </rPr>
      <t>*Msat</t>
    </r>
    <r>
      <rPr>
        <i/>
        <vertAlign val="subscript"/>
        <sz val="12"/>
        <rFont val="Arial"/>
        <family val="2"/>
      </rPr>
      <t>SPO4,KPO4,gro</t>
    </r>
    <r>
      <rPr>
        <i/>
        <sz val="12"/>
        <rFont val="Arial"/>
        <family val="2"/>
      </rPr>
      <t>*X</t>
    </r>
    <r>
      <rPr>
        <i/>
        <vertAlign val="subscript"/>
        <sz val="12"/>
        <rFont val="Arial"/>
        <family val="2"/>
      </rPr>
      <t>H</t>
    </r>
  </si>
  <si>
    <r>
      <t>K</t>
    </r>
    <r>
      <rPr>
        <vertAlign val="subscript"/>
        <sz val="11"/>
        <rFont val="Calibri"/>
        <family val="2"/>
        <scheme val="minor"/>
      </rPr>
      <t>F</t>
    </r>
  </si>
  <si>
    <r>
      <t>K</t>
    </r>
    <r>
      <rPr>
        <vertAlign val="subscript"/>
        <sz val="11"/>
        <rFont val="Calibri"/>
        <family val="2"/>
        <scheme val="minor"/>
      </rPr>
      <t>A</t>
    </r>
  </si>
  <si>
    <r>
      <t>K</t>
    </r>
    <r>
      <rPr>
        <vertAlign val="subscript"/>
        <sz val="11"/>
        <rFont val="Calibri"/>
        <family val="2"/>
        <scheme val="minor"/>
      </rPr>
      <t>SP</t>
    </r>
  </si>
  <si>
    <r>
      <t>K</t>
    </r>
    <r>
      <rPr>
        <vertAlign val="subscript"/>
        <sz val="11"/>
        <rFont val="Calibri"/>
        <family val="2"/>
        <scheme val="minor"/>
      </rPr>
      <t>OH</t>
    </r>
  </si>
  <si>
    <r>
      <t>K</t>
    </r>
    <r>
      <rPr>
        <vertAlign val="subscript"/>
        <sz val="11"/>
        <rFont val="Calibri"/>
        <family val="2"/>
        <scheme val="minor"/>
      </rPr>
      <t>NO3</t>
    </r>
  </si>
  <si>
    <r>
      <t>K</t>
    </r>
    <r>
      <rPr>
        <vertAlign val="subscript"/>
        <sz val="11"/>
        <rFont val="Calibri"/>
        <family val="2"/>
        <scheme val="minor"/>
      </rPr>
      <t>NH4</t>
    </r>
  </si>
  <si>
    <r>
      <t>K</t>
    </r>
    <r>
      <rPr>
        <vertAlign val="subscript"/>
        <sz val="11"/>
        <rFont val="Calibri"/>
        <family val="2"/>
        <scheme val="minor"/>
      </rPr>
      <t>PHA1</t>
    </r>
  </si>
  <si>
    <r>
      <t>K</t>
    </r>
    <r>
      <rPr>
        <vertAlign val="subscript"/>
        <sz val="11"/>
        <rFont val="Calibri"/>
        <family val="2"/>
        <scheme val="minor"/>
      </rPr>
      <t>PHA2</t>
    </r>
  </si>
  <si>
    <r>
      <t>K</t>
    </r>
    <r>
      <rPr>
        <vertAlign val="subscript"/>
        <sz val="11"/>
        <rFont val="Calibri"/>
        <family val="2"/>
        <scheme val="minor"/>
      </rPr>
      <t>AC</t>
    </r>
  </si>
  <si>
    <r>
      <t>K</t>
    </r>
    <r>
      <rPr>
        <vertAlign val="subscript"/>
        <sz val="11"/>
        <rFont val="Calibri"/>
        <family val="2"/>
        <scheme val="minor"/>
      </rPr>
      <t>PO4,up</t>
    </r>
  </si>
  <si>
    <r>
      <t>K</t>
    </r>
    <r>
      <rPr>
        <vertAlign val="subscript"/>
        <sz val="11"/>
        <rFont val="Calibri"/>
        <family val="2"/>
        <scheme val="minor"/>
      </rPr>
      <t>PO4,lys</t>
    </r>
  </si>
  <si>
    <r>
      <t>K</t>
    </r>
    <r>
      <rPr>
        <vertAlign val="subscript"/>
        <sz val="11"/>
        <rFont val="Calibri"/>
        <family val="2"/>
        <scheme val="minor"/>
      </rPr>
      <t>PP</t>
    </r>
  </si>
  <si>
    <r>
      <t>K</t>
    </r>
    <r>
      <rPr>
        <vertAlign val="subscript"/>
        <sz val="11"/>
        <rFont val="Calibri"/>
        <family val="2"/>
        <scheme val="minor"/>
      </rPr>
      <t>ON</t>
    </r>
  </si>
  <si>
    <r>
      <t>K</t>
    </r>
    <r>
      <rPr>
        <vertAlign val="subscript"/>
        <sz val="11"/>
        <rFont val="Calibri"/>
        <family val="2"/>
        <scheme val="minor"/>
      </rPr>
      <t>NH4,NIT</t>
    </r>
  </si>
  <si>
    <r>
      <t>K</t>
    </r>
    <r>
      <rPr>
        <vertAlign val="subscript"/>
        <sz val="11"/>
        <rFont val="Calibri"/>
        <family val="2"/>
        <scheme val="minor"/>
      </rPr>
      <t>PO4,gro</t>
    </r>
  </si>
  <si>
    <t>www.dynamita.com</t>
  </si>
  <si>
    <t>Hu, Z. R., M. C. Wentzel, et al. (2007). A general kinetic model for biological nutrient removal activated sludge systems: Model development. Biotechnology and Bioengineering 98(6): 1242-1258.</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</si>
  <si>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</si>
  <si>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</si>
  <si>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</si>
  <si>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</si>
  <si>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</si>
  <si>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</si>
  <si>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</si>
  <si>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</si>
  <si>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</si>
  <si>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</si>
  <si>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</si>
  <si>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</si>
  <si>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</si>
  <si>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</si>
  <si>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</si>
  <si>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</si>
  <si>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</si>
  <si>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MinStateVar</t>
  </si>
  <si>
    <t>MaxStateVar</t>
  </si>
  <si>
    <t>SV group</t>
  </si>
  <si>
    <t>O2</t>
  </si>
  <si>
    <t>TSS</t>
  </si>
  <si>
    <t>Biomass</t>
  </si>
  <si>
    <t>Saturation term for PHA storage (PAO)</t>
  </si>
  <si>
    <r>
      <t>Inhibition term for ammonia (NH</t>
    </r>
    <r>
      <rPr>
        <vertAlign val="subscript"/>
        <sz val="11"/>
        <rFont val="Calibri"/>
        <family val="2"/>
      </rPr>
      <t>4</t>
    </r>
    <r>
      <rPr>
        <sz val="11"/>
        <rFont val="Calibri"/>
        <family val="2"/>
      </rPr>
      <t>+NH</t>
    </r>
    <r>
      <rPr>
        <vertAlign val="subscript"/>
        <sz val="11"/>
        <rFont val="Calibri"/>
        <family val="2"/>
      </rPr>
      <t>3</t>
    </r>
    <r>
      <rPr>
        <sz val="11"/>
        <rFont val="Calibri"/>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</si>
</sst>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0.000"/>
    <numFmt numFmtId="166" formatCode="0.0000000"/>
    <numFmt numFmtId="167" formatCode="0.0000"/>
    <numFmt numFmtId="168" formatCode="0.0000E+00"/>
  </numFmts>
  <fonts count="86"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9"/>
      <color indexed="81"/>
      <name val="Tahoma"/>
      <family val="2"/>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0"/>
      <name val="Arial"/>
      <family val="2"/>
    </font>
    <font>
      <sz val="11"/>
      <name val="Calibri"/>
      <family val="2"/>
    </font>
    <font>
      <sz val="11"/>
      <color indexed="8"/>
      <name val="Arial"/>
      <family val="2"/>
    </font>
    <font>
      <b/>
      <sz val="11"/>
      <name val="Calibri"/>
      <family val="2"/>
    </font>
    <font>
      <sz val="11"/>
      <name val="Calibri"/>
      <family val="2"/>
      <scheme val="minor"/>
    </font>
    <font>
      <sz val="11"/>
      <color indexed="9"/>
      <name val="Calibri"/>
      <family val="2"/>
      <charset val="238"/>
    </font>
    <font>
      <sz val="11"/>
      <color indexed="62"/>
      <name val="Calibri"/>
      <family val="2"/>
      <charset val="238"/>
    </font>
    <font>
      <b/>
      <sz val="18"/>
      <color indexed="56"/>
      <name val="Cambria"/>
      <family val="2"/>
      <charset val="238"/>
    </font>
    <font>
      <b/>
      <sz val="15"/>
      <color indexed="56"/>
      <name val="Calibri"/>
      <family val="2"/>
      <charset val="238"/>
    </font>
    <font>
      <b/>
      <sz val="13"/>
      <color indexed="56"/>
      <name val="Calibri"/>
      <family val="2"/>
      <charset val="238"/>
    </font>
    <font>
      <b/>
      <sz val="11"/>
      <color indexed="56"/>
      <name val="Calibri"/>
      <family val="2"/>
      <charset val="238"/>
    </font>
    <font>
      <b/>
      <sz val="11"/>
      <color indexed="9"/>
      <name val="Calibri"/>
      <family val="2"/>
      <charset val="238"/>
    </font>
    <font>
      <sz val="11"/>
      <color indexed="10"/>
      <name val="Calibri"/>
      <family val="2"/>
      <charset val="238"/>
    </font>
    <font>
      <sz val="11"/>
      <color indexed="52"/>
      <name val="Calibri"/>
      <family val="2"/>
      <charset val="238"/>
    </font>
    <font>
      <sz val="10"/>
      <name val="Arial"/>
      <family val="2"/>
      <charset val="238"/>
    </font>
    <font>
      <sz val="11"/>
      <color indexed="17"/>
      <name val="Calibri"/>
      <family val="2"/>
      <charset val="238"/>
    </font>
    <font>
      <b/>
      <sz val="11"/>
      <color indexed="63"/>
      <name val="Calibri"/>
      <family val="2"/>
      <charset val="238"/>
    </font>
    <font>
      <i/>
      <sz val="11"/>
      <color indexed="23"/>
      <name val="Calibri"/>
      <family val="2"/>
      <charset val="238"/>
    </font>
    <font>
      <sz val="11"/>
      <color indexed="20"/>
      <name val="Calibri"/>
      <family val="2"/>
      <charset val="238"/>
    </font>
    <font>
      <sz val="11"/>
      <color indexed="60"/>
      <name val="Calibri"/>
      <family val="2"/>
      <charset val="238"/>
    </font>
    <font>
      <b/>
      <sz val="11"/>
      <color indexed="52"/>
      <name val="Calibri"/>
      <family val="2"/>
      <charset val="238"/>
    </font>
    <font>
      <vertAlign val="subscript"/>
      <sz val="12"/>
      <name val="Arial"/>
      <family val="2"/>
    </font>
    <font>
      <b/>
      <vertAlign val="subscript"/>
      <sz val="12"/>
      <name val="Arial"/>
      <family val="2"/>
    </font>
    <font>
      <i/>
      <sz val="12"/>
      <name val="Arial"/>
      <family val="2"/>
    </font>
    <font>
      <sz val="8"/>
      <name val="Arial"/>
      <family val="2"/>
    </font>
    <font>
      <sz val="11"/>
      <name val="Arial"/>
      <family val="2"/>
    </font>
    <font>
      <vertAlign val="superscript"/>
      <sz val="8"/>
      <name val="Arial"/>
      <family val="2"/>
    </font>
    <font>
      <b/>
      <i/>
      <sz val="12"/>
      <name val="Arial"/>
      <family val="2"/>
    </font>
    <font>
      <b/>
      <i/>
      <vertAlign val="subscript"/>
      <sz val="12"/>
      <name val="Arial"/>
      <family val="2"/>
    </font>
    <font>
      <i/>
      <vertAlign val="subscript"/>
      <sz val="12"/>
      <name val="Arial"/>
      <family val="2"/>
    </font>
    <font>
      <i/>
      <sz val="11"/>
      <name val="Calibri"/>
      <family val="2"/>
    </font>
    <font>
      <vertAlign val="subscript"/>
      <sz val="11"/>
      <color indexed="8"/>
      <name val="Calibri"/>
      <family val="2"/>
    </font>
    <font>
      <sz val="12"/>
      <name val="Arial"/>
      <family val="2"/>
    </font>
    <font>
      <b/>
      <sz val="12"/>
      <name val="Arial"/>
      <family val="2"/>
    </font>
    <font>
      <b/>
      <sz val="10"/>
      <name val="Arial"/>
      <family val="2"/>
    </font>
    <font>
      <b/>
      <vertAlign val="subscript"/>
      <sz val="10"/>
      <name val="Arial"/>
      <family val="2"/>
    </font>
    <font>
      <b/>
      <sz val="11"/>
      <name val="Calibri"/>
      <family val="2"/>
      <scheme val="minor"/>
    </font>
    <font>
      <vertAlign val="subscript"/>
      <sz val="11"/>
      <name val="Calibri"/>
      <family val="2"/>
    </font>
    <font>
      <vertAlign val="superscript"/>
      <sz val="11"/>
      <name val="Calibri"/>
      <family val="2"/>
    </font>
    <font>
      <b/>
      <sz val="11"/>
      <color indexed="8"/>
      <name val="Calibri"/>
      <family val="2"/>
      <scheme val="minor"/>
    </font>
    <font>
      <sz val="11"/>
      <color indexed="8"/>
      <name val="Calibri"/>
      <family val="2"/>
      <scheme val="minor"/>
    </font>
    <font>
      <vertAlign val="subscript"/>
      <sz val="11"/>
      <name val="Calibri"/>
      <family val="2"/>
      <scheme val="minor"/>
    </font>
    <font>
      <vertAlign val="superscript"/>
      <sz val="11"/>
      <name val="Calibri"/>
      <family val="2"/>
      <scheme val="minor"/>
    </font>
    <font>
      <b/>
      <i/>
      <sz val="11"/>
      <name val="Calibri"/>
      <family val="2"/>
      <scheme val="minor"/>
    </font>
    <font>
      <u/>
      <sz val="11"/>
      <color theme="10"/>
      <name val="Calibri"/>
      <family val="2"/>
    </font>
    <font>
      <vertAlign val="subscript"/>
      <sz val="11"/>
      <name val="Calibri"/>
      <family val="2"/>
      <charset val="238"/>
    </font>
    <font>
      <vertAlign val="subscript"/>
      <sz val="11"/>
      <name val="Calibri"/>
      <family val="2"/>
      <charset val="238"/>
      <scheme val="minor"/>
    </font>
    <font>
      <sz val="11"/>
      <color indexed="8"/>
      <name val="Cambria"/>
      <family val="1"/>
    </font>
    <font>
      <b/>
      <i/>
      <sz val="11"/>
      <name val="Calibri"/>
      <family val="2"/>
    </font>
    <font>
      <b/>
      <sz val="11"/>
      <name val="Calibri"/>
      <family val="2"/>
      <charset val="238"/>
    </font>
    <font>
      <b/>
      <i/>
      <sz val="11"/>
      <name val="Calibri"/>
      <family val="2"/>
      <charset val="238"/>
    </font>
    <font>
      <u/>
      <sz val="11"/>
      <name val="Calibri"/>
      <family val="2"/>
    </font>
    <font>
      <i/>
      <sz val="11"/>
      <name val="Calibri"/>
      <family val="2"/>
      <scheme val="minor"/>
    </font>
    <font>
      <b/>
      <vertAlign val="subscript"/>
      <sz val="11"/>
      <name val="Calibri"/>
      <family val="2"/>
      <scheme val="minor"/>
    </font>
    <font>
      <i/>
      <vertAlign val="subscript"/>
      <sz val="11"/>
      <name val="Calibri"/>
      <family val="2"/>
      <scheme val="minor"/>
    </font>
    <font>
      <sz val="11"/>
      <color rgb="FF0082C8"/>
      <name val="Calibri"/>
      <family val="2"/>
      <scheme val="minor"/>
    </font>
    <font>
      <i/>
      <vertAlign val="superscript"/>
      <sz val="12"/>
      <name val="Arial"/>
      <family val="2"/>
    </font>
    <font>
      <vertAlign val="subscript"/>
      <sz val="11"/>
      <color rgb="FF000000"/>
      <name val="Calibri"/>
      <family val="2"/>
      <scheme val="minor"/>
    </font>
    <font>
      <sz val="11"/>
      <color rgb="FF000000"/>
      <name val="Calibri"/>
      <family val="2"/>
      <charset val="238"/>
      <scheme val="minor"/>
    </font>
    <font>
      <vertAlign val="superscript"/>
      <sz val="11"/>
      <color rgb="FF000000"/>
      <name val="Calibri"/>
      <family val="2"/>
      <scheme val="minor"/>
    </font>
  </fonts>
  <fills count="34">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55"/>
      </patternFill>
    </fill>
    <fill>
      <patternFill patternType="solid">
        <fgColor indexed="43"/>
      </patternFill>
    </fill>
    <fill>
      <patternFill patternType="solid">
        <fgColor theme="9" tint="0.79995117038483843"/>
        <bgColor indexed="64"/>
      </patternFill>
    </fill>
    <fill>
      <patternFill patternType="solid">
        <fgColor rgb="FFFFFF00"/>
        <bgColor indexed="64"/>
      </patternFill>
    </fill>
    <fill>
      <patternFill patternType="solid">
        <fgColor theme="8" tint="0.39997558519241921"/>
        <bgColor indexed="64"/>
      </patternFill>
    </fill>
    <fill>
      <patternFill patternType="solid">
        <fgColor indexed="11"/>
        <bgColor indexed="64"/>
      </patternFill>
    </fill>
    <fill>
      <patternFill patternType="solid">
        <fgColor rgb="FFFFFFFF"/>
        <bgColor indexed="64"/>
      </patternFill>
    </fill>
  </fills>
  <borders count="95">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ck">
        <color indexed="64"/>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thin">
        <color auto="1"/>
      </top>
      <bottom style="medium">
        <color auto="1"/>
      </bottom>
      <diagonal/>
    </border>
    <border>
      <left style="thin">
        <color indexed="64"/>
      </left>
      <right style="thin">
        <color indexed="64"/>
      </right>
      <top style="thin">
        <color auto="1"/>
      </top>
      <bottom style="medium">
        <color auto="1"/>
      </bottom>
      <diagonal/>
    </border>
    <border>
      <left style="thin">
        <color indexed="64"/>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s>
  <cellStyleXfs count="65">
    <xf numFmtId="0" fontId="0" fillId="0" borderId="0"/>
    <xf numFmtId="0" fontId="8" fillId="0" borderId="0"/>
    <xf numFmtId="0" fontId="24" fillId="0" borderId="0"/>
    <xf numFmtId="0" fontId="26" fillId="0" borderId="0"/>
    <xf numFmtId="0" fontId="19" fillId="7" borderId="0" applyNumberFormat="0" applyBorder="0" applyAlignment="0" applyProtection="0"/>
    <xf numFmtId="0" fontId="19" fillId="8"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5"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6" borderId="0" applyNumberFormat="0" applyBorder="0" applyAlignment="0" applyProtection="0"/>
    <xf numFmtId="0" fontId="31" fillId="17" borderId="0" applyNumberFormat="0" applyBorder="0" applyAlignment="0" applyProtection="0"/>
    <xf numFmtId="0" fontId="31" fillId="14" borderId="0" applyNumberFormat="0" applyBorder="0" applyAlignment="0" applyProtection="0"/>
    <xf numFmtId="0" fontId="31" fillId="15"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0" borderId="0" applyNumberFormat="0" applyBorder="0" applyAlignment="0" applyProtection="0"/>
    <xf numFmtId="0" fontId="32" fillId="12" borderId="39" applyNumberFormat="0" applyAlignment="0" applyProtection="0"/>
    <xf numFmtId="0" fontId="33" fillId="0" borderId="0" applyNumberFormat="0" applyFill="0" applyBorder="0" applyAlignment="0" applyProtection="0"/>
    <xf numFmtId="0" fontId="34" fillId="0" borderId="41" applyNumberFormat="0" applyFill="0" applyAlignment="0" applyProtection="0"/>
    <xf numFmtId="0" fontId="35" fillId="0" borderId="42" applyNumberFormat="0" applyFill="0" applyAlignment="0" applyProtection="0"/>
    <xf numFmtId="0" fontId="36" fillId="0" borderId="43" applyNumberFormat="0" applyFill="0" applyAlignment="0" applyProtection="0"/>
    <xf numFmtId="0" fontId="36" fillId="0" borderId="0" applyNumberFormat="0" applyFill="0" applyBorder="0" applyAlignment="0" applyProtection="0"/>
    <xf numFmtId="0" fontId="37" fillId="27" borderId="45" applyNumberFormat="0" applyAlignment="0" applyProtection="0"/>
    <xf numFmtId="0" fontId="38" fillId="0" borderId="0" applyNumberFormat="0" applyFill="0" applyBorder="0" applyAlignment="0" applyProtection="0"/>
    <xf numFmtId="0" fontId="39" fillId="0" borderId="40" applyNumberFormat="0" applyFill="0" applyAlignment="0" applyProtection="0"/>
    <xf numFmtId="0" fontId="40" fillId="26" borderId="44" applyNumberFormat="0" applyFont="0" applyAlignment="0" applyProtection="0"/>
    <xf numFmtId="0" fontId="31" fillId="21" borderId="0" applyNumberFormat="0" applyBorder="0" applyAlignment="0" applyProtection="0"/>
    <xf numFmtId="0" fontId="31" fillId="22" borderId="0" applyNumberFormat="0" applyBorder="0" applyAlignment="0" applyProtection="0"/>
    <xf numFmtId="0" fontId="31" fillId="23"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31" fillId="24" borderId="0" applyNumberFormat="0" applyBorder="0" applyAlignment="0" applyProtection="0"/>
    <xf numFmtId="0" fontId="41" fillId="9" borderId="0" applyNumberFormat="0" applyBorder="0" applyAlignment="0" applyProtection="0"/>
    <xf numFmtId="0" fontId="42" fillId="25" borderId="46" applyNumberFormat="0" applyAlignment="0" applyProtection="0"/>
    <xf numFmtId="0" fontId="43" fillId="0" borderId="0" applyNumberFormat="0" applyFill="0" applyBorder="0" applyAlignment="0" applyProtection="0"/>
    <xf numFmtId="0" fontId="18" fillId="0" borderId="47" applyNumberFormat="0" applyFill="0" applyAlignment="0" applyProtection="0"/>
    <xf numFmtId="0" fontId="44" fillId="8" borderId="0" applyNumberFormat="0" applyBorder="0" applyAlignment="0" applyProtection="0"/>
    <xf numFmtId="0" fontId="45" fillId="28" borderId="0" applyNumberFormat="0" applyBorder="0" applyAlignment="0" applyProtection="0"/>
    <xf numFmtId="0" fontId="46" fillId="25" borderId="39" applyNumberFormat="0" applyAlignment="0" applyProtection="0"/>
    <xf numFmtId="0" fontId="26" fillId="0" borderId="0"/>
    <xf numFmtId="0" fontId="26" fillId="0" borderId="0"/>
    <xf numFmtId="0" fontId="7" fillId="0" borderId="0"/>
    <xf numFmtId="0" fontId="6" fillId="0" borderId="0"/>
    <xf numFmtId="0" fontId="5" fillId="0" borderId="0"/>
    <xf numFmtId="0" fontId="70" fillId="0" borderId="0" applyNumberFormat="0" applyFill="0" applyBorder="0" applyAlignment="0" applyProtection="0">
      <alignment vertical="top"/>
      <protection locked="0"/>
    </xf>
    <xf numFmtId="0" fontId="5" fillId="0" borderId="0"/>
    <xf numFmtId="0" fontId="24"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3" fillId="0" borderId="0"/>
    <xf numFmtId="0" fontId="3" fillId="0" borderId="0"/>
  </cellStyleXfs>
  <cellXfs count="565">
    <xf numFmtId="0" fontId="0" fillId="0" borderId="0" xfId="0"/>
    <xf numFmtId="0" fontId="10" fillId="0" borderId="0" xfId="0" applyFont="1"/>
    <xf numFmtId="0" fontId="10" fillId="0" borderId="5" xfId="0" applyFont="1" applyBorder="1" applyAlignment="1">
      <alignment vertical="top" wrapText="1"/>
    </xf>
    <xf numFmtId="0" fontId="0" fillId="0" borderId="0" xfId="0" applyAlignment="1">
      <alignment horizontal="center" vertical="center"/>
    </xf>
    <xf numFmtId="0" fontId="0" fillId="0" borderId="0" xfId="0" applyAlignment="1">
      <alignment horizontal="left" vertical="center"/>
    </xf>
    <xf numFmtId="0" fontId="14" fillId="0" borderId="0" xfId="0" applyFont="1" applyAlignment="1">
      <alignment horizontal="center" vertical="center"/>
    </xf>
    <xf numFmtId="0" fontId="0" fillId="0" borderId="7" xfId="0" applyBorder="1"/>
    <xf numFmtId="0" fontId="0" fillId="0" borderId="0" xfId="0" applyAlignment="1">
      <alignment vertical="top"/>
    </xf>
    <xf numFmtId="0" fontId="0" fillId="2" borderId="0" xfId="0" applyFill="1"/>
    <xf numFmtId="0" fontId="15" fillId="3" borderId="20" xfId="0" applyFont="1" applyFill="1" applyBorder="1"/>
    <xf numFmtId="0" fontId="15" fillId="3" borderId="21" xfId="0" applyFont="1" applyFill="1" applyBorder="1"/>
    <xf numFmtId="0" fontId="15" fillId="3" borderId="22" xfId="0" applyFont="1" applyFill="1" applyBorder="1"/>
    <xf numFmtId="0" fontId="16" fillId="0" borderId="0" xfId="0" applyFont="1" applyAlignment="1">
      <alignment horizontal="left" vertical="center"/>
    </xf>
    <xf numFmtId="0" fontId="16" fillId="0" borderId="32" xfId="0" applyFont="1" applyBorder="1" applyAlignment="1">
      <alignment horizontal="left" vertical="center"/>
    </xf>
    <xf numFmtId="0" fontId="16" fillId="0" borderId="4" xfId="0" applyFont="1" applyBorder="1" applyAlignment="1">
      <alignment horizontal="left" vertical="center"/>
    </xf>
    <xf numFmtId="0" fontId="16" fillId="0" borderId="21" xfId="0" applyFont="1" applyBorder="1" applyAlignment="1">
      <alignment horizontal="left" vertical="center"/>
    </xf>
    <xf numFmtId="0" fontId="16" fillId="0" borderId="31" xfId="0" applyFont="1" applyBorder="1" applyAlignment="1">
      <alignment horizontal="left" vertical="center"/>
    </xf>
    <xf numFmtId="0" fontId="16" fillId="0" borderId="30" xfId="0" applyFont="1" applyBorder="1" applyAlignment="1">
      <alignment horizontal="left" vertical="center"/>
    </xf>
    <xf numFmtId="0" fontId="16" fillId="0" borderId="0" xfId="1" applyFont="1"/>
    <xf numFmtId="0" fontId="8" fillId="0" borderId="0" xfId="1"/>
    <xf numFmtId="0" fontId="25" fillId="4" borderId="2" xfId="1" applyFont="1" applyFill="1" applyBorder="1"/>
    <xf numFmtId="0" fontId="16" fillId="4" borderId="16" xfId="1" applyFont="1" applyFill="1" applyBorder="1" applyAlignment="1">
      <alignment horizontal="center" vertical="center"/>
    </xf>
    <xf numFmtId="0" fontId="16" fillId="4" borderId="3" xfId="1" applyFont="1" applyFill="1" applyBorder="1" applyAlignment="1">
      <alignment horizontal="center" vertical="center"/>
    </xf>
    <xf numFmtId="0" fontId="16" fillId="4" borderId="2" xfId="1" applyFont="1" applyFill="1" applyBorder="1"/>
    <xf numFmtId="0" fontId="8" fillId="4" borderId="16" xfId="1" applyFill="1" applyBorder="1" applyAlignment="1">
      <alignment horizontal="center" vertical="center"/>
    </xf>
    <xf numFmtId="0" fontId="8" fillId="4" borderId="3" xfId="1" applyFill="1" applyBorder="1" applyAlignment="1">
      <alignment horizontal="center" vertical="center"/>
    </xf>
    <xf numFmtId="0" fontId="8" fillId="0" borderId="0" xfId="1" applyAlignment="1">
      <alignment horizontal="center" vertical="center"/>
    </xf>
    <xf numFmtId="0" fontId="16" fillId="4" borderId="33" xfId="1" applyFont="1" applyFill="1" applyBorder="1"/>
    <xf numFmtId="0" fontId="8" fillId="4" borderId="0" xfId="1" applyFill="1" applyAlignment="1">
      <alignment horizontal="center" vertical="center"/>
    </xf>
    <xf numFmtId="0" fontId="8" fillId="4" borderId="24" xfId="1" applyFill="1" applyBorder="1" applyAlignment="1">
      <alignment horizontal="center" vertical="center"/>
    </xf>
    <xf numFmtId="0" fontId="16" fillId="4" borderId="34" xfId="1" applyFont="1" applyFill="1" applyBorder="1"/>
    <xf numFmtId="0" fontId="8" fillId="4" borderId="26" xfId="1" applyFill="1" applyBorder="1" applyAlignment="1">
      <alignment horizontal="center" vertical="center"/>
    </xf>
    <xf numFmtId="0" fontId="8" fillId="4" borderId="27" xfId="1" applyFill="1" applyBorder="1" applyAlignment="1">
      <alignment horizontal="center" vertical="center"/>
    </xf>
    <xf numFmtId="0" fontId="8" fillId="4" borderId="4" xfId="1" applyFill="1" applyBorder="1" applyAlignment="1">
      <alignment horizontal="center" vertical="center"/>
    </xf>
    <xf numFmtId="0" fontId="8" fillId="4" borderId="34" xfId="1" applyFill="1" applyBorder="1" applyAlignment="1">
      <alignment horizontal="center" vertical="center"/>
    </xf>
    <xf numFmtId="0" fontId="16" fillId="4" borderId="4" xfId="1" applyFont="1" applyFill="1" applyBorder="1"/>
    <xf numFmtId="0" fontId="8" fillId="4" borderId="30" xfId="1" applyFill="1" applyBorder="1" applyAlignment="1">
      <alignment horizontal="center" vertical="center"/>
    </xf>
    <xf numFmtId="11" fontId="8" fillId="4" borderId="26" xfId="1" applyNumberFormat="1" applyFill="1" applyBorder="1" applyAlignment="1">
      <alignment horizontal="center" vertical="center"/>
    </xf>
    <xf numFmtId="0" fontId="8" fillId="4" borderId="36" xfId="1" applyFill="1" applyBorder="1" applyAlignment="1">
      <alignment horizontal="center" vertical="center"/>
    </xf>
    <xf numFmtId="0" fontId="28" fillId="0" borderId="18" xfId="3" applyFont="1" applyBorder="1" applyAlignment="1">
      <alignment horizontal="left" vertical="center" wrapText="1"/>
    </xf>
    <xf numFmtId="0" fontId="28" fillId="0" borderId="18" xfId="3" applyFont="1" applyBorder="1" applyAlignment="1">
      <alignment horizontal="center" vertical="center" wrapText="1"/>
    </xf>
    <xf numFmtId="0" fontId="0" fillId="0" borderId="18" xfId="0" applyBorder="1" applyAlignment="1">
      <alignment horizontal="center" vertical="center" wrapText="1"/>
    </xf>
    <xf numFmtId="0" fontId="24" fillId="0" borderId="18" xfId="0" applyFont="1" applyBorder="1" applyAlignment="1">
      <alignment horizontal="center" vertical="center"/>
    </xf>
    <xf numFmtId="0" fontId="30" fillId="0" borderId="0" xfId="0" applyFont="1" applyAlignment="1">
      <alignment vertical="center"/>
    </xf>
    <xf numFmtId="0" fontId="30" fillId="0" borderId="0" xfId="0" applyFont="1"/>
    <xf numFmtId="0" fontId="0" fillId="5" borderId="0" xfId="0" applyFill="1"/>
    <xf numFmtId="0" fontId="14" fillId="5" borderId="0" xfId="0" applyFont="1" applyFill="1" applyAlignment="1">
      <alignment horizontal="center" vertical="center" wrapText="1"/>
    </xf>
    <xf numFmtId="0" fontId="20" fillId="5" borderId="0" xfId="0" applyFont="1" applyFill="1" applyAlignment="1">
      <alignment horizontal="center" vertical="center" wrapText="1"/>
    </xf>
    <xf numFmtId="0" fontId="14" fillId="5" borderId="0" xfId="0" applyFont="1" applyFill="1" applyAlignment="1">
      <alignment horizontal="center" vertical="center"/>
    </xf>
    <xf numFmtId="0" fontId="13" fillId="5" borderId="0" xfId="0" applyFont="1" applyFill="1" applyAlignment="1">
      <alignment horizontal="center" vertical="center"/>
    </xf>
    <xf numFmtId="0" fontId="0" fillId="5" borderId="0" xfId="0" applyFill="1" applyAlignment="1">
      <alignment horizontal="left" vertical="top"/>
    </xf>
    <xf numFmtId="0" fontId="21" fillId="6" borderId="0" xfId="0" applyFont="1" applyFill="1"/>
    <xf numFmtId="0" fontId="0" fillId="6" borderId="0" xfId="0" applyFill="1"/>
    <xf numFmtId="0" fontId="10" fillId="6" borderId="1" xfId="0" applyFont="1" applyFill="1" applyBorder="1" applyAlignment="1">
      <alignment horizontal="center" vertical="center" wrapText="1"/>
    </xf>
    <xf numFmtId="0" fontId="10" fillId="6" borderId="4" xfId="0" applyFont="1" applyFill="1" applyBorder="1" applyAlignment="1">
      <alignment horizontal="center" vertical="center"/>
    </xf>
    <xf numFmtId="0" fontId="16" fillId="6" borderId="32" xfId="0" applyFont="1" applyFill="1" applyBorder="1" applyAlignment="1">
      <alignment horizontal="left" vertical="center"/>
    </xf>
    <xf numFmtId="0" fontId="16" fillId="6" borderId="4" xfId="0" applyFont="1" applyFill="1" applyBorder="1" applyAlignment="1">
      <alignment horizontal="left" vertical="center"/>
    </xf>
    <xf numFmtId="0" fontId="16" fillId="6" borderId="21" xfId="0" applyFont="1" applyFill="1" applyBorder="1" applyAlignment="1">
      <alignment horizontal="left" vertical="center"/>
    </xf>
    <xf numFmtId="0" fontId="16" fillId="6" borderId="31" xfId="0" applyFont="1" applyFill="1" applyBorder="1" applyAlignment="1">
      <alignment horizontal="left" vertical="center"/>
    </xf>
    <xf numFmtId="0" fontId="16" fillId="6" borderId="30" xfId="0" applyFont="1" applyFill="1" applyBorder="1" applyAlignment="1">
      <alignment horizontal="left" vertical="center"/>
    </xf>
    <xf numFmtId="0" fontId="16" fillId="6" borderId="28" xfId="0" applyFont="1" applyFill="1" applyBorder="1" applyAlignment="1">
      <alignment horizontal="left" vertical="center" wrapText="1"/>
    </xf>
    <xf numFmtId="0" fontId="16" fillId="6" borderId="0" xfId="0" applyFont="1" applyFill="1" applyAlignment="1">
      <alignment horizontal="left" vertical="center"/>
    </xf>
    <xf numFmtId="0" fontId="10" fillId="6" borderId="5" xfId="0" applyFont="1" applyFill="1" applyBorder="1" applyAlignment="1">
      <alignment vertical="top" wrapText="1"/>
    </xf>
    <xf numFmtId="0" fontId="10" fillId="6" borderId="6" xfId="0" applyFont="1" applyFill="1" applyBorder="1" applyAlignment="1">
      <alignment horizontal="center" vertical="center" wrapText="1"/>
    </xf>
    <xf numFmtId="0" fontId="16" fillId="6" borderId="29" xfId="0" applyFont="1" applyFill="1" applyBorder="1" applyAlignment="1">
      <alignment horizontal="left" vertical="center"/>
    </xf>
    <xf numFmtId="0" fontId="16" fillId="6" borderId="2" xfId="0" applyFont="1" applyFill="1" applyBorder="1" applyAlignment="1">
      <alignment horizontal="left" vertical="center"/>
    </xf>
    <xf numFmtId="0" fontId="16" fillId="6" borderId="3" xfId="0" applyFont="1" applyFill="1" applyBorder="1" applyAlignment="1">
      <alignment horizontal="left" vertical="center"/>
    </xf>
    <xf numFmtId="0" fontId="16" fillId="6" borderId="16" xfId="0" applyFont="1" applyFill="1" applyBorder="1" applyAlignment="1">
      <alignment horizontal="left" vertical="center"/>
    </xf>
    <xf numFmtId="0" fontId="16" fillId="6" borderId="19" xfId="0" applyFont="1" applyFill="1" applyBorder="1" applyAlignment="1">
      <alignment horizontal="left" vertical="center"/>
    </xf>
    <xf numFmtId="0" fontId="0" fillId="0" borderId="0" xfId="0" applyAlignment="1">
      <alignment horizontal="left"/>
    </xf>
    <xf numFmtId="0" fontId="56" fillId="0" borderId="18" xfId="0" applyFont="1" applyBorder="1" applyAlignment="1">
      <alignment horizontal="center" vertical="center" wrapText="1"/>
    </xf>
    <xf numFmtId="0" fontId="56" fillId="0" borderId="7" xfId="0" applyFont="1" applyBorder="1" applyAlignment="1">
      <alignment horizontal="center" vertical="center" wrapText="1"/>
    </xf>
    <xf numFmtId="0" fontId="18" fillId="0" borderId="0" xfId="0" applyFont="1"/>
    <xf numFmtId="0" fontId="51" fillId="0" borderId="18" xfId="0" applyFont="1" applyBorder="1" applyAlignment="1">
      <alignment horizontal="left" vertical="center"/>
    </xf>
    <xf numFmtId="0" fontId="50" fillId="0" borderId="18" xfId="0" quotePrefix="1" applyFont="1" applyBorder="1" applyAlignment="1">
      <alignment horizontal="center" vertical="center"/>
    </xf>
    <xf numFmtId="0" fontId="51" fillId="0" borderId="7" xfId="0" applyFont="1" applyBorder="1" applyAlignment="1">
      <alignment horizontal="left" vertical="center"/>
    </xf>
    <xf numFmtId="0" fontId="50" fillId="0" borderId="7" xfId="0" applyFont="1" applyBorder="1" applyAlignment="1">
      <alignment horizontal="center" vertical="center"/>
    </xf>
    <xf numFmtId="0" fontId="51" fillId="0" borderId="7" xfId="0" applyFont="1" applyBorder="1" applyAlignment="1">
      <alignment vertical="center"/>
    </xf>
    <xf numFmtId="0" fontId="49" fillId="0" borderId="48" xfId="45" applyFont="1" applyBorder="1" applyAlignment="1">
      <alignment horizontal="center" vertical="center" wrapText="1"/>
    </xf>
    <xf numFmtId="0" fontId="27" fillId="0" borderId="18" xfId="0" applyFont="1" applyBorder="1" applyAlignment="1">
      <alignment horizontal="center" vertical="center"/>
    </xf>
    <xf numFmtId="0" fontId="27" fillId="0" borderId="18" xfId="0" applyFont="1" applyBorder="1" applyAlignment="1">
      <alignment horizontal="center" vertical="center" wrapText="1"/>
    </xf>
    <xf numFmtId="0" fontId="27" fillId="0" borderId="49" xfId="0" applyFont="1" applyBorder="1" applyAlignment="1">
      <alignment horizontal="center" vertical="center"/>
    </xf>
    <xf numFmtId="0" fontId="49" fillId="0" borderId="11" xfId="45" applyFont="1" applyBorder="1" applyAlignment="1">
      <alignment horizontal="center" vertical="center" wrapText="1"/>
    </xf>
    <xf numFmtId="0" fontId="27" fillId="0" borderId="7" xfId="0" applyFont="1" applyBorder="1" applyAlignment="1">
      <alignment horizontal="center" vertical="center"/>
    </xf>
    <xf numFmtId="0" fontId="27" fillId="0" borderId="7" xfId="0" applyFont="1" applyBorder="1" applyAlignment="1">
      <alignment horizontal="center" vertical="center" wrapText="1"/>
    </xf>
    <xf numFmtId="0" fontId="27" fillId="0" borderId="12" xfId="0" applyFont="1" applyBorder="1" applyAlignment="1">
      <alignment horizontal="center" vertical="center"/>
    </xf>
    <xf numFmtId="0" fontId="27" fillId="0" borderId="14" xfId="0" applyFont="1" applyBorder="1" applyAlignment="1">
      <alignment horizontal="center" vertical="center"/>
    </xf>
    <xf numFmtId="0" fontId="10" fillId="0" borderId="0" xfId="0" applyFont="1" applyAlignment="1">
      <alignment horizontal="center" vertical="center" wrapText="1"/>
    </xf>
    <xf numFmtId="0" fontId="27" fillId="0" borderId="49" xfId="0" applyFont="1" applyBorder="1"/>
    <xf numFmtId="0" fontId="27" fillId="0" borderId="12" xfId="0" applyFont="1" applyBorder="1"/>
    <xf numFmtId="0" fontId="27" fillId="0" borderId="15" xfId="0" applyFont="1" applyBorder="1"/>
    <xf numFmtId="0" fontId="10" fillId="0" borderId="0" xfId="0" applyFont="1" applyAlignment="1">
      <alignment horizontal="center" vertical="center"/>
    </xf>
    <xf numFmtId="0" fontId="59" fillId="0" borderId="48" xfId="3" applyFont="1" applyBorder="1" applyAlignment="1">
      <alignment horizontal="center" wrapText="1"/>
    </xf>
    <xf numFmtId="0" fontId="58" fillId="0" borderId="18" xfId="3" applyFont="1" applyBorder="1" applyAlignment="1">
      <alignment horizontal="center" wrapText="1"/>
    </xf>
    <xf numFmtId="0" fontId="49" fillId="0" borderId="18" xfId="3" applyFont="1" applyBorder="1" applyAlignment="1">
      <alignment horizontal="center" wrapText="1"/>
    </xf>
    <xf numFmtId="0" fontId="58" fillId="0" borderId="49" xfId="3" applyFont="1" applyBorder="1" applyAlignment="1">
      <alignment horizontal="center" wrapText="1"/>
    </xf>
    <xf numFmtId="0" fontId="59" fillId="0" borderId="13" xfId="3" applyFont="1" applyBorder="1" applyAlignment="1">
      <alignment horizontal="center" wrapText="1"/>
    </xf>
    <xf numFmtId="0" fontId="58" fillId="0" borderId="14" xfId="3" applyFont="1" applyBorder="1" applyAlignment="1">
      <alignment horizontal="center" wrapText="1"/>
    </xf>
    <xf numFmtId="0" fontId="49" fillId="0" borderId="14" xfId="3" applyFont="1" applyBorder="1" applyAlignment="1">
      <alignment horizontal="center" wrapText="1"/>
    </xf>
    <xf numFmtId="0" fontId="58" fillId="0" borderId="15" xfId="3" applyFont="1" applyBorder="1" applyAlignment="1">
      <alignment horizontal="center" wrapText="1"/>
    </xf>
    <xf numFmtId="0" fontId="59" fillId="0" borderId="8" xfId="3" applyFont="1" applyBorder="1" applyAlignment="1">
      <alignment horizontal="center" wrapText="1"/>
    </xf>
    <xf numFmtId="0" fontId="58" fillId="0" borderId="9" xfId="3" applyFont="1" applyBorder="1" applyAlignment="1">
      <alignment horizontal="center" wrapText="1"/>
    </xf>
    <xf numFmtId="0" fontId="49" fillId="0" borderId="9" xfId="3" applyFont="1" applyBorder="1" applyAlignment="1">
      <alignment horizontal="center" wrapText="1"/>
    </xf>
    <xf numFmtId="1" fontId="58" fillId="0" borderId="9" xfId="3" applyNumberFormat="1" applyFont="1" applyBorder="1" applyAlignment="1">
      <alignment horizontal="center" wrapText="1"/>
    </xf>
    <xf numFmtId="0" fontId="49" fillId="0" borderId="10" xfId="3" applyFont="1" applyBorder="1" applyAlignment="1">
      <alignment horizontal="center" wrapText="1"/>
    </xf>
    <xf numFmtId="0" fontId="27" fillId="0" borderId="18" xfId="0" applyFont="1" applyBorder="1" applyAlignment="1">
      <alignment vertical="center"/>
    </xf>
    <xf numFmtId="0" fontId="27" fillId="0" borderId="7" xfId="0" applyFont="1" applyBorder="1" applyAlignment="1">
      <alignment horizontal="left" vertical="center"/>
    </xf>
    <xf numFmtId="0" fontId="27" fillId="0" borderId="18" xfId="0" applyFont="1" applyBorder="1" applyAlignment="1">
      <alignment horizontal="left" vertical="center"/>
    </xf>
    <xf numFmtId="0" fontId="27" fillId="0" borderId="14" xfId="0" applyFont="1" applyBorder="1" applyAlignment="1">
      <alignment horizontal="left" vertical="center"/>
    </xf>
    <xf numFmtId="0" fontId="27" fillId="0" borderId="0" xfId="0" applyFont="1" applyAlignment="1">
      <alignment horizontal="center" vertical="center"/>
    </xf>
    <xf numFmtId="0" fontId="66" fillId="0" borderId="0" xfId="0" applyFont="1" applyAlignment="1">
      <alignment horizontal="left" vertical="center" wrapText="1"/>
    </xf>
    <xf numFmtId="0" fontId="30" fillId="0" borderId="15" xfId="0" applyFont="1" applyBorder="1"/>
    <xf numFmtId="0" fontId="69" fillId="29" borderId="37" xfId="0" applyFont="1" applyFill="1" applyBorder="1" applyAlignment="1">
      <alignment horizontal="center" vertical="center" wrapText="1"/>
    </xf>
    <xf numFmtId="0" fontId="69" fillId="29" borderId="19" xfId="0" applyFont="1" applyFill="1" applyBorder="1" applyAlignment="1">
      <alignment horizontal="center" vertical="center" wrapText="1"/>
    </xf>
    <xf numFmtId="0" fontId="62" fillId="29" borderId="19" xfId="0" applyFont="1" applyFill="1" applyBorder="1" applyAlignment="1">
      <alignment horizontal="center" vertical="center"/>
    </xf>
    <xf numFmtId="0" fontId="69" fillId="29" borderId="38" xfId="0" applyFont="1" applyFill="1" applyBorder="1" applyAlignment="1">
      <alignment horizontal="center" vertical="center" wrapText="1"/>
    </xf>
    <xf numFmtId="164" fontId="27" fillId="0" borderId="18" xfId="0" applyNumberFormat="1" applyFont="1" applyBorder="1" applyAlignment="1">
      <alignment horizontal="center" vertical="center"/>
    </xf>
    <xf numFmtId="164" fontId="27" fillId="0" borderId="7" xfId="0" applyNumberFormat="1" applyFont="1" applyBorder="1" applyAlignment="1">
      <alignment horizontal="center" vertical="center"/>
    </xf>
    <xf numFmtId="164" fontId="27" fillId="0" borderId="14" xfId="0" applyNumberFormat="1" applyFont="1" applyBorder="1" applyAlignment="1">
      <alignment horizontal="center" vertical="center"/>
    </xf>
    <xf numFmtId="0" fontId="27" fillId="0" borderId="0" xfId="0" quotePrefix="1" applyFont="1" applyAlignment="1">
      <alignment horizontal="center" vertical="center"/>
    </xf>
    <xf numFmtId="0" fontId="62" fillId="29" borderId="38" xfId="0" applyFont="1" applyFill="1" applyBorder="1" applyAlignment="1">
      <alignment horizontal="center" vertical="center"/>
    </xf>
    <xf numFmtId="0" fontId="5" fillId="5" borderId="0" xfId="49" applyFill="1"/>
    <xf numFmtId="0" fontId="16" fillId="5" borderId="0" xfId="49" applyFont="1" applyFill="1" applyAlignment="1">
      <alignment horizontal="left" vertical="center"/>
    </xf>
    <xf numFmtId="0" fontId="5" fillId="0" borderId="0" xfId="49"/>
    <xf numFmtId="0" fontId="29" fillId="29" borderId="4" xfId="49" applyFont="1" applyFill="1" applyBorder="1" applyAlignment="1">
      <alignment horizontal="center" vertical="top" wrapText="1"/>
    </xf>
    <xf numFmtId="0" fontId="10" fillId="0" borderId="0" xfId="49" applyFont="1"/>
    <xf numFmtId="0" fontId="16" fillId="0" borderId="0" xfId="49" applyFont="1" applyAlignment="1">
      <alignment horizontal="left" vertical="center"/>
    </xf>
    <xf numFmtId="0" fontId="10" fillId="0" borderId="0" xfId="49" applyFont="1" applyAlignment="1">
      <alignment horizontal="left" vertical="center" wrapText="1"/>
    </xf>
    <xf numFmtId="0" fontId="16" fillId="30" borderId="0" xfId="49" applyFont="1" applyFill="1" applyAlignment="1">
      <alignment horizontal="left" vertical="center"/>
    </xf>
    <xf numFmtId="0" fontId="5" fillId="0" borderId="0" xfId="49" applyAlignment="1">
      <alignment horizontal="left" vertical="center"/>
    </xf>
    <xf numFmtId="0" fontId="5" fillId="0" borderId="0" xfId="49" applyAlignment="1">
      <alignment vertical="center"/>
    </xf>
    <xf numFmtId="0" fontId="16" fillId="0" borderId="0" xfId="49" applyFont="1"/>
    <xf numFmtId="0" fontId="27" fillId="0" borderId="48" xfId="50" applyNumberFormat="1" applyFont="1" applyFill="1" applyBorder="1" applyAlignment="1" applyProtection="1"/>
    <xf numFmtId="0" fontId="27" fillId="0" borderId="11" xfId="50" applyNumberFormat="1" applyFont="1" applyFill="1" applyBorder="1" applyAlignment="1" applyProtection="1"/>
    <xf numFmtId="0" fontId="27" fillId="0" borderId="13" xfId="50" applyNumberFormat="1" applyFont="1" applyFill="1" applyBorder="1" applyAlignment="1" applyProtection="1"/>
    <xf numFmtId="0" fontId="24" fillId="0" borderId="0" xfId="52"/>
    <xf numFmtId="0" fontId="5" fillId="0" borderId="0" xfId="53"/>
    <xf numFmtId="0" fontId="62" fillId="29" borderId="4" xfId="53" applyFont="1" applyFill="1" applyBorder="1"/>
    <xf numFmtId="0" fontId="74" fillId="29" borderId="37" xfId="0" applyFont="1" applyFill="1" applyBorder="1" applyAlignment="1">
      <alignment horizontal="center" vertical="center" wrapText="1"/>
    </xf>
    <xf numFmtId="0" fontId="74" fillId="29" borderId="19" xfId="0" applyFont="1" applyFill="1" applyBorder="1" applyAlignment="1">
      <alignment horizontal="center" vertical="center" wrapText="1"/>
    </xf>
    <xf numFmtId="0" fontId="74" fillId="29" borderId="19" xfId="0" applyFont="1" applyFill="1" applyBorder="1" applyAlignment="1">
      <alignment horizontal="center" vertical="center"/>
    </xf>
    <xf numFmtId="0" fontId="74" fillId="29" borderId="38" xfId="0" applyFont="1" applyFill="1" applyBorder="1" applyAlignment="1">
      <alignment horizontal="center" vertical="center" wrapText="1"/>
    </xf>
    <xf numFmtId="0" fontId="66" fillId="0" borderId="0" xfId="0" applyFont="1" applyAlignment="1">
      <alignment horizontal="center" vertical="center"/>
    </xf>
    <xf numFmtId="0" fontId="65" fillId="6" borderId="4" xfId="0" applyFont="1" applyFill="1" applyBorder="1" applyAlignment="1">
      <alignment horizontal="center" vertical="center" wrapText="1"/>
    </xf>
    <xf numFmtId="0" fontId="66" fillId="0" borderId="0" xfId="0" applyFont="1"/>
    <xf numFmtId="0" fontId="13" fillId="0" borderId="53" xfId="0" applyFont="1" applyBorder="1" applyAlignment="1">
      <alignment horizontal="center" vertical="center"/>
    </xf>
    <xf numFmtId="0" fontId="53" fillId="29" borderId="19" xfId="45" applyFont="1" applyFill="1" applyBorder="1" applyAlignment="1">
      <alignment horizontal="center" vertical="center" wrapText="1"/>
    </xf>
    <xf numFmtId="0" fontId="53" fillId="29" borderId="19" xfId="2" applyFont="1" applyFill="1" applyBorder="1" applyAlignment="1">
      <alignment horizontal="center" vertical="center" wrapText="1"/>
    </xf>
    <xf numFmtId="0" fontId="75" fillId="29" borderId="37" xfId="0" applyFont="1" applyFill="1" applyBorder="1" applyAlignment="1">
      <alignment horizontal="center" vertical="center"/>
    </xf>
    <xf numFmtId="0" fontId="75" fillId="29" borderId="19" xfId="0" applyFont="1" applyFill="1" applyBorder="1" applyAlignment="1">
      <alignment horizontal="center" vertical="center"/>
    </xf>
    <xf numFmtId="0" fontId="76" fillId="29" borderId="19" xfId="0" applyFont="1" applyFill="1" applyBorder="1" applyAlignment="1">
      <alignment horizontal="center" vertical="center" wrapText="1"/>
    </xf>
    <xf numFmtId="0" fontId="75" fillId="29" borderId="38" xfId="0" applyFont="1" applyFill="1" applyBorder="1" applyAlignment="1">
      <alignment horizontal="center" vertical="center"/>
    </xf>
    <xf numFmtId="0" fontId="74" fillId="29" borderId="54" xfId="0" applyFont="1" applyFill="1" applyBorder="1" applyAlignment="1">
      <alignment horizontal="center" vertical="center" wrapText="1"/>
    </xf>
    <xf numFmtId="0" fontId="27" fillId="0" borderId="55" xfId="0" applyFont="1" applyBorder="1" applyAlignment="1">
      <alignment horizontal="center" vertical="center" wrapText="1"/>
    </xf>
    <xf numFmtId="0" fontId="27" fillId="0" borderId="17" xfId="0" applyFont="1" applyBorder="1" applyAlignment="1">
      <alignment horizontal="center" vertical="center" wrapText="1"/>
    </xf>
    <xf numFmtId="0" fontId="62" fillId="29" borderId="37" xfId="0" applyFont="1" applyFill="1" applyBorder="1" applyAlignment="1">
      <alignment horizontal="left" vertical="center"/>
    </xf>
    <xf numFmtId="0" fontId="62" fillId="29" borderId="19" xfId="0" applyFont="1" applyFill="1" applyBorder="1" applyAlignment="1">
      <alignment horizontal="left" vertical="center"/>
    </xf>
    <xf numFmtId="0" fontId="27" fillId="0" borderId="0" xfId="0" applyFont="1"/>
    <xf numFmtId="164" fontId="27" fillId="0" borderId="0" xfId="0" applyNumberFormat="1" applyFont="1" applyAlignment="1">
      <alignment horizontal="center" vertical="center"/>
    </xf>
    <xf numFmtId="0" fontId="16" fillId="0" borderId="0" xfId="0" applyFont="1" applyAlignment="1">
      <alignment horizontal="center" vertical="center"/>
    </xf>
    <xf numFmtId="0" fontId="27" fillId="0" borderId="7" xfId="0" applyFont="1" applyBorder="1" applyAlignment="1">
      <alignment horizontal="center"/>
    </xf>
    <xf numFmtId="0" fontId="27" fillId="0" borderId="12" xfId="0" applyFont="1" applyBorder="1" applyAlignment="1">
      <alignment horizontal="center"/>
    </xf>
    <xf numFmtId="0" fontId="27" fillId="0" borderId="7" xfId="0" applyFont="1" applyBorder="1" applyAlignment="1">
      <alignment horizontal="left"/>
    </xf>
    <xf numFmtId="0" fontId="30" fillId="0" borderId="18" xfId="0" applyFont="1" applyBorder="1"/>
    <xf numFmtId="0" fontId="21" fillId="0" borderId="0" xfId="0" applyFont="1"/>
    <xf numFmtId="0" fontId="0" fillId="0" borderId="0" xfId="0" quotePrefix="1" applyAlignment="1">
      <alignment horizontal="right"/>
    </xf>
    <xf numFmtId="0" fontId="22" fillId="0" borderId="0" xfId="0" quotePrefix="1" applyFont="1"/>
    <xf numFmtId="0" fontId="0" fillId="31" borderId="13" xfId="0" applyFill="1" applyBorder="1"/>
    <xf numFmtId="0" fontId="0" fillId="0" borderId="18" xfId="0" applyBorder="1"/>
    <xf numFmtId="0" fontId="15" fillId="0" borderId="0" xfId="0" applyFont="1"/>
    <xf numFmtId="0" fontId="19" fillId="0" borderId="0" xfId="0" applyFont="1"/>
    <xf numFmtId="0" fontId="29" fillId="6" borderId="56" xfId="0" applyFont="1" applyFill="1" applyBorder="1" applyAlignment="1">
      <alignment horizontal="center" vertical="center"/>
    </xf>
    <xf numFmtId="0" fontId="29" fillId="6" borderId="57" xfId="0" applyFont="1" applyFill="1" applyBorder="1" applyAlignment="1">
      <alignment horizontal="center" vertical="center"/>
    </xf>
    <xf numFmtId="0" fontId="29" fillId="6" borderId="57" xfId="0" applyFont="1" applyFill="1" applyBorder="1" applyAlignment="1">
      <alignment horizontal="center" vertical="center" wrapText="1"/>
    </xf>
    <xf numFmtId="0" fontId="29" fillId="6" borderId="58" xfId="0" applyFont="1" applyFill="1" applyBorder="1" applyAlignment="1">
      <alignment horizontal="center" vertical="center" wrapText="1"/>
    </xf>
    <xf numFmtId="0" fontId="30" fillId="0" borderId="48" xfId="0" applyFont="1" applyBorder="1" applyAlignment="1">
      <alignment vertical="center"/>
    </xf>
    <xf numFmtId="0" fontId="30" fillId="0" borderId="18" xfId="0" applyFont="1" applyBorder="1" applyAlignment="1">
      <alignment wrapText="1"/>
    </xf>
    <xf numFmtId="0" fontId="30" fillId="0" borderId="49" xfId="0" applyFont="1" applyBorder="1"/>
    <xf numFmtId="0" fontId="30" fillId="0" borderId="11" xfId="0" applyFont="1" applyBorder="1" applyAlignment="1">
      <alignment vertical="center"/>
    </xf>
    <xf numFmtId="0" fontId="30" fillId="0" borderId="7" xfId="0" applyFont="1" applyBorder="1" applyAlignment="1">
      <alignment vertical="center"/>
    </xf>
    <xf numFmtId="0" fontId="30" fillId="0" borderId="7" xfId="0" applyFont="1" applyBorder="1" applyAlignment="1">
      <alignment wrapText="1"/>
    </xf>
    <xf numFmtId="0" fontId="30" fillId="0" borderId="12" xfId="0" applyFont="1" applyBorder="1"/>
    <xf numFmtId="0" fontId="30" fillId="0" borderId="7" xfId="0" applyFont="1" applyBorder="1"/>
    <xf numFmtId="0" fontId="30" fillId="0" borderId="11" xfId="61" applyFont="1" applyBorder="1" applyAlignment="1">
      <alignment vertical="center"/>
    </xf>
    <xf numFmtId="0" fontId="30" fillId="0" borderId="7" xfId="61" applyFont="1" applyBorder="1"/>
    <xf numFmtId="0" fontId="30" fillId="0" borderId="12" xfId="61" applyFont="1" applyBorder="1"/>
    <xf numFmtId="0" fontId="30" fillId="0" borderId="7" xfId="0" applyFont="1" applyBorder="1" applyAlignment="1">
      <alignment horizontal="left" vertical="center"/>
    </xf>
    <xf numFmtId="0" fontId="30" fillId="0" borderId="13" xfId="0" applyFont="1" applyBorder="1" applyAlignment="1">
      <alignment vertical="center"/>
    </xf>
    <xf numFmtId="0" fontId="30" fillId="0" borderId="14" xfId="0" applyFont="1" applyBorder="1" applyAlignment="1">
      <alignment horizontal="left" vertical="center"/>
    </xf>
    <xf numFmtId="0" fontId="30" fillId="0" borderId="14" xfId="0" applyFont="1" applyBorder="1" applyAlignment="1">
      <alignment wrapText="1"/>
    </xf>
    <xf numFmtId="0" fontId="30" fillId="0" borderId="14" xfId="0" applyFont="1" applyBorder="1"/>
    <xf numFmtId="0" fontId="29" fillId="6" borderId="4" xfId="0" applyFont="1" applyFill="1" applyBorder="1" applyAlignment="1">
      <alignment horizontal="center" vertical="top" wrapText="1"/>
    </xf>
    <xf numFmtId="0" fontId="30" fillId="0" borderId="11" xfId="0" applyFont="1" applyBorder="1"/>
    <xf numFmtId="0" fontId="30" fillId="0" borderId="7" xfId="0" applyFont="1" applyBorder="1" applyAlignment="1">
      <alignment vertical="center" wrapText="1"/>
    </xf>
    <xf numFmtId="0" fontId="30" fillId="0" borderId="12" xfId="0" applyFont="1" applyBorder="1" applyAlignment="1">
      <alignment vertical="center"/>
    </xf>
    <xf numFmtId="0" fontId="30" fillId="0" borderId="11" xfId="0" applyFont="1" applyBorder="1" applyAlignment="1">
      <alignment vertical="center" wrapText="1"/>
    </xf>
    <xf numFmtId="0" fontId="30" fillId="0" borderId="12" xfId="0" applyFont="1" applyBorder="1" applyAlignment="1">
      <alignment vertical="center" wrapText="1"/>
    </xf>
    <xf numFmtId="0" fontId="30" fillId="0" borderId="13" xfId="0" applyFont="1" applyBorder="1"/>
    <xf numFmtId="0" fontId="0" fillId="0" borderId="0" xfId="0" applyAlignment="1">
      <alignment vertical="center"/>
    </xf>
    <xf numFmtId="0" fontId="29" fillId="0" borderId="18" xfId="0" applyFont="1" applyBorder="1" applyAlignment="1">
      <alignment horizontal="center" vertical="center" wrapText="1"/>
    </xf>
    <xf numFmtId="0" fontId="29" fillId="0" borderId="49" xfId="0" applyFont="1" applyBorder="1" applyAlignment="1">
      <alignment horizontal="center" vertical="center" wrapText="1"/>
    </xf>
    <xf numFmtId="0" fontId="29" fillId="6" borderId="2" xfId="0" applyFont="1" applyFill="1" applyBorder="1" applyAlignment="1">
      <alignment horizontal="center" vertical="top" wrapText="1"/>
    </xf>
    <xf numFmtId="0" fontId="29" fillId="6" borderId="50" xfId="0" applyFont="1" applyFill="1" applyBorder="1" applyAlignment="1">
      <alignment horizontal="center" vertical="center"/>
    </xf>
    <xf numFmtId="0" fontId="62" fillId="6" borderId="58" xfId="0" applyFont="1" applyFill="1" applyBorder="1"/>
    <xf numFmtId="0" fontId="30" fillId="0" borderId="18" xfId="0" applyFont="1" applyBorder="1" applyAlignment="1">
      <alignment horizontal="left"/>
    </xf>
    <xf numFmtId="0" fontId="30" fillId="0" borderId="7" xfId="0" applyFont="1" applyBorder="1" applyAlignment="1">
      <alignment horizontal="left"/>
    </xf>
    <xf numFmtId="0" fontId="30" fillId="0" borderId="14" xfId="0" applyFont="1" applyBorder="1" applyAlignment="1">
      <alignment horizontal="left"/>
    </xf>
    <xf numFmtId="0" fontId="0" fillId="30" borderId="18" xfId="0" applyFill="1" applyBorder="1"/>
    <xf numFmtId="0" fontId="0" fillId="30" borderId="7" xfId="0" applyFill="1" applyBorder="1"/>
    <xf numFmtId="0" fontId="0" fillId="30" borderId="0" xfId="0" applyFill="1"/>
    <xf numFmtId="0" fontId="30" fillId="0" borderId="0" xfId="62" applyFont="1" applyAlignment="1">
      <alignment horizontal="left" vertical="center"/>
    </xf>
    <xf numFmtId="0" fontId="3" fillId="0" borderId="0" xfId="62" applyAlignment="1">
      <alignment horizontal="left" vertical="center"/>
    </xf>
    <xf numFmtId="0" fontId="3" fillId="0" borderId="0" xfId="62" applyAlignment="1">
      <alignment horizontal="center" vertical="center"/>
    </xf>
    <xf numFmtId="0" fontId="3" fillId="0" borderId="0" xfId="62"/>
    <xf numFmtId="0" fontId="62" fillId="6" borderId="4" xfId="62" applyFont="1" applyFill="1" applyBorder="1" applyAlignment="1">
      <alignment horizontal="left" vertical="center"/>
    </xf>
    <xf numFmtId="0" fontId="62" fillId="6" borderId="56" xfId="62" applyFont="1" applyFill="1" applyBorder="1" applyAlignment="1">
      <alignment horizontal="left" vertical="center"/>
    </xf>
    <xf numFmtId="0" fontId="62" fillId="6" borderId="57" xfId="62" applyFont="1" applyFill="1" applyBorder="1" applyAlignment="1">
      <alignment horizontal="left" vertical="center" wrapText="1"/>
    </xf>
    <xf numFmtId="0" fontId="62" fillId="6" borderId="57" xfId="62" applyFont="1" applyFill="1" applyBorder="1" applyAlignment="1">
      <alignment horizontal="center" vertical="center" wrapText="1"/>
    </xf>
    <xf numFmtId="0" fontId="62" fillId="6" borderId="58" xfId="62" applyFont="1" applyFill="1" applyBorder="1" applyAlignment="1">
      <alignment horizontal="left" vertical="center"/>
    </xf>
    <xf numFmtId="0" fontId="30" fillId="0" borderId="48" xfId="62" applyFont="1" applyBorder="1" applyAlignment="1">
      <alignment horizontal="left" vertical="center"/>
    </xf>
    <xf numFmtId="0" fontId="30" fillId="0" borderId="18" xfId="62" applyFont="1" applyBorder="1" applyAlignment="1">
      <alignment horizontal="left" vertical="center"/>
    </xf>
    <xf numFmtId="0" fontId="30" fillId="0" borderId="18" xfId="62" applyFont="1" applyBorder="1" applyAlignment="1">
      <alignment horizontal="center" vertical="center"/>
    </xf>
    <xf numFmtId="0" fontId="77" fillId="0" borderId="49" xfId="50" applyNumberFormat="1" applyFont="1" applyFill="1" applyBorder="1" applyAlignment="1" applyProtection="1">
      <alignment horizontal="left" vertical="center"/>
    </xf>
    <xf numFmtId="0" fontId="30" fillId="0" borderId="11" xfId="62" applyFont="1" applyBorder="1" applyAlignment="1">
      <alignment horizontal="left" vertical="center"/>
    </xf>
    <xf numFmtId="0" fontId="30" fillId="0" borderId="7" xfId="62" applyFont="1" applyBorder="1" applyAlignment="1">
      <alignment horizontal="left" vertical="center"/>
    </xf>
    <xf numFmtId="0" fontId="30" fillId="0" borderId="7" xfId="62" applyFont="1" applyBorder="1" applyAlignment="1">
      <alignment horizontal="center" vertical="center"/>
    </xf>
    <xf numFmtId="0" fontId="77" fillId="0" borderId="12" xfId="50" applyNumberFormat="1" applyFont="1" applyFill="1" applyBorder="1" applyAlignment="1" applyProtection="1">
      <alignment horizontal="left" vertical="center"/>
    </xf>
    <xf numFmtId="0" fontId="30" fillId="0" borderId="13" xfId="62" applyFont="1" applyBorder="1" applyAlignment="1">
      <alignment horizontal="left" vertical="center"/>
    </xf>
    <xf numFmtId="0" fontId="30" fillId="0" borderId="14" xfId="62" applyFont="1" applyBorder="1" applyAlignment="1">
      <alignment horizontal="left" vertical="center"/>
    </xf>
    <xf numFmtId="0" fontId="30" fillId="0" borderId="14" xfId="62" applyFont="1" applyBorder="1" applyAlignment="1">
      <alignment horizontal="center" vertical="center"/>
    </xf>
    <xf numFmtId="0" fontId="77" fillId="0" borderId="15" xfId="50" applyNumberFormat="1" applyFont="1" applyFill="1" applyBorder="1" applyAlignment="1" applyProtection="1">
      <alignment horizontal="left" vertical="center"/>
    </xf>
    <xf numFmtId="0" fontId="30" fillId="0" borderId="18" xfId="62" applyFont="1" applyBorder="1" applyAlignment="1">
      <alignment horizontal="left" vertical="center" wrapText="1"/>
    </xf>
    <xf numFmtId="11" fontId="30" fillId="0" borderId="18" xfId="62" applyNumberFormat="1" applyFont="1" applyBorder="1" applyAlignment="1">
      <alignment horizontal="center" vertical="center"/>
    </xf>
    <xf numFmtId="0" fontId="30" fillId="0" borderId="18" xfId="62" applyFont="1" applyBorder="1" applyAlignment="1">
      <alignment horizontal="center" vertical="center" wrapText="1"/>
    </xf>
    <xf numFmtId="0" fontId="30" fillId="0" borderId="49" xfId="62" applyFont="1" applyBorder="1" applyAlignment="1">
      <alignment horizontal="left" vertical="center"/>
    </xf>
    <xf numFmtId="0" fontId="30" fillId="0" borderId="7" xfId="62" applyFont="1" applyBorder="1" applyAlignment="1">
      <alignment horizontal="left" vertical="center" wrapText="1"/>
    </xf>
    <xf numFmtId="11" fontId="30" fillId="0" borderId="7" xfId="62" applyNumberFormat="1" applyFont="1" applyBorder="1" applyAlignment="1">
      <alignment horizontal="center" vertical="center"/>
    </xf>
    <xf numFmtId="0" fontId="30" fillId="0" borderId="7" xfId="62" applyFont="1" applyBorder="1" applyAlignment="1">
      <alignment horizontal="center" vertical="center" wrapText="1"/>
    </xf>
    <xf numFmtId="0" fontId="30" fillId="0" borderId="12" xfId="62" applyFont="1" applyBorder="1" applyAlignment="1">
      <alignment horizontal="left" vertical="center"/>
    </xf>
    <xf numFmtId="0" fontId="27" fillId="0" borderId="11" xfId="62" applyFont="1" applyBorder="1" applyAlignment="1">
      <alignment horizontal="left" vertical="center"/>
    </xf>
    <xf numFmtId="0" fontId="27" fillId="0" borderId="7" xfId="62" applyFont="1" applyBorder="1" applyAlignment="1">
      <alignment horizontal="left" vertical="center"/>
    </xf>
    <xf numFmtId="0" fontId="27" fillId="0" borderId="7" xfId="62" applyFont="1" applyBorder="1" applyAlignment="1">
      <alignment horizontal="center" vertical="center"/>
    </xf>
    <xf numFmtId="0" fontId="27" fillId="0" borderId="12" xfId="62" applyFont="1" applyBorder="1" applyAlignment="1">
      <alignment horizontal="left" vertical="center"/>
    </xf>
    <xf numFmtId="0" fontId="27" fillId="0" borderId="11" xfId="62" applyFont="1" applyBorder="1" applyAlignment="1">
      <alignment horizontal="left" vertical="center" wrapText="1"/>
    </xf>
    <xf numFmtId="0" fontId="27" fillId="0" borderId="7" xfId="62" applyFont="1" applyBorder="1" applyAlignment="1">
      <alignment horizontal="left" vertical="center" wrapText="1"/>
    </xf>
    <xf numFmtId="166" fontId="27" fillId="0" borderId="7" xfId="62" applyNumberFormat="1" applyFont="1" applyBorder="1" applyAlignment="1">
      <alignment horizontal="center" vertical="center" wrapText="1"/>
    </xf>
    <xf numFmtId="0" fontId="27" fillId="0" borderId="7" xfId="63" applyFont="1" applyBorder="1" applyAlignment="1">
      <alignment horizontal="center" vertical="center"/>
    </xf>
    <xf numFmtId="0" fontId="27" fillId="0" borderId="12" xfId="63" applyFont="1" applyBorder="1" applyAlignment="1">
      <alignment horizontal="left" vertical="center"/>
    </xf>
    <xf numFmtId="0" fontId="3" fillId="0" borderId="0" xfId="63"/>
    <xf numFmtId="0" fontId="27" fillId="0" borderId="13" xfId="62" applyFont="1" applyBorder="1" applyAlignment="1">
      <alignment horizontal="left" vertical="center" wrapText="1"/>
    </xf>
    <xf numFmtId="0" fontId="27" fillId="0" borderId="14" xfId="62" applyFont="1" applyBorder="1" applyAlignment="1">
      <alignment horizontal="left" vertical="center" wrapText="1"/>
    </xf>
    <xf numFmtId="166" fontId="27" fillId="0" borderId="14" xfId="62" applyNumberFormat="1" applyFont="1" applyBorder="1" applyAlignment="1">
      <alignment horizontal="center" vertical="center" wrapText="1"/>
    </xf>
    <xf numFmtId="0" fontId="27" fillId="0" borderId="14" xfId="63" applyFont="1" applyBorder="1" applyAlignment="1">
      <alignment horizontal="center" vertical="center"/>
    </xf>
    <xf numFmtId="0" fontId="27" fillId="0" borderId="15" xfId="63" applyFont="1" applyBorder="1" applyAlignment="1">
      <alignment horizontal="left" vertical="center"/>
    </xf>
    <xf numFmtId="0" fontId="30" fillId="0" borderId="0" xfId="62" applyFont="1" applyAlignment="1">
      <alignment horizontal="center" vertical="center"/>
    </xf>
    <xf numFmtId="0" fontId="27" fillId="0" borderId="18" xfId="62" applyFont="1" applyBorder="1" applyAlignment="1">
      <alignment horizontal="left" vertical="center"/>
    </xf>
    <xf numFmtId="0" fontId="27" fillId="0" borderId="18" xfId="62" applyFont="1" applyBorder="1" applyAlignment="1">
      <alignment horizontal="center" vertical="center"/>
    </xf>
    <xf numFmtId="0" fontId="62" fillId="0" borderId="18" xfId="62" applyFont="1" applyBorder="1" applyAlignment="1">
      <alignment horizontal="center" vertical="center" wrapText="1"/>
    </xf>
    <xf numFmtId="0" fontId="62" fillId="0" borderId="7" xfId="62" applyFont="1" applyBorder="1" applyAlignment="1">
      <alignment horizontal="center" vertical="center" wrapText="1"/>
    </xf>
    <xf numFmtId="0" fontId="27" fillId="0" borderId="14" xfId="62" applyFont="1" applyBorder="1" applyAlignment="1">
      <alignment horizontal="left" vertical="center"/>
    </xf>
    <xf numFmtId="0" fontId="27" fillId="0" borderId="14" xfId="62" applyFont="1" applyBorder="1" applyAlignment="1">
      <alignment horizontal="center" vertical="center"/>
    </xf>
    <xf numFmtId="0" fontId="30" fillId="0" borderId="15" xfId="62" applyFont="1" applyBorder="1" applyAlignment="1">
      <alignment horizontal="left" vertical="center"/>
    </xf>
    <xf numFmtId="0" fontId="27" fillId="0" borderId="48" xfId="62" applyFont="1" applyBorder="1" applyAlignment="1">
      <alignment horizontal="left" vertical="center"/>
    </xf>
    <xf numFmtId="0" fontId="27" fillId="0" borderId="13" xfId="62" applyFont="1" applyBorder="1" applyAlignment="1">
      <alignment horizontal="left" vertical="center"/>
    </xf>
    <xf numFmtId="0" fontId="27" fillId="0" borderId="0" xfId="62" applyFont="1" applyAlignment="1">
      <alignment horizontal="left" vertical="center"/>
    </xf>
    <xf numFmtId="0" fontId="27" fillId="0" borderId="0" xfId="62" applyFont="1" applyAlignment="1">
      <alignment horizontal="center" vertical="center"/>
    </xf>
    <xf numFmtId="0" fontId="30" fillId="0" borderId="51" xfId="62" applyFont="1" applyBorder="1" applyAlignment="1">
      <alignment horizontal="left" vertical="center"/>
    </xf>
    <xf numFmtId="0" fontId="30" fillId="0" borderId="50" xfId="62" applyFont="1" applyBorder="1" applyAlignment="1">
      <alignment horizontal="left" vertical="center"/>
    </xf>
    <xf numFmtId="0" fontId="30" fillId="0" borderId="50" xfId="62" applyFont="1" applyBorder="1" applyAlignment="1">
      <alignment horizontal="center" vertical="center"/>
    </xf>
    <xf numFmtId="0" fontId="30" fillId="0" borderId="52" xfId="62" applyFont="1" applyBorder="1" applyAlignment="1">
      <alignment horizontal="left" vertical="center"/>
    </xf>
    <xf numFmtId="0" fontId="30" fillId="0" borderId="48" xfId="64" applyFont="1" applyBorder="1" applyAlignment="1">
      <alignment horizontal="left" vertical="center"/>
    </xf>
    <xf numFmtId="0" fontId="30" fillId="0" borderId="18" xfId="64" applyFont="1" applyBorder="1" applyAlignment="1">
      <alignment horizontal="left" vertical="center"/>
    </xf>
    <xf numFmtId="0" fontId="30" fillId="0" borderId="18" xfId="64" applyFont="1" applyBorder="1" applyAlignment="1">
      <alignment horizontal="center" vertical="center"/>
    </xf>
    <xf numFmtId="0" fontId="62" fillId="0" borderId="18" xfId="62" applyFont="1" applyBorder="1" applyAlignment="1">
      <alignment horizontal="center" vertical="center"/>
    </xf>
    <xf numFmtId="0" fontId="29" fillId="0" borderId="18" xfId="62" applyFont="1" applyBorder="1" applyAlignment="1">
      <alignment horizontal="center" vertical="center"/>
    </xf>
    <xf numFmtId="0" fontId="29" fillId="0" borderId="49" xfId="62" applyFont="1" applyBorder="1" applyAlignment="1">
      <alignment horizontal="left" vertical="center"/>
    </xf>
    <xf numFmtId="0" fontId="10" fillId="0" borderId="0" xfId="62" applyFont="1" applyAlignment="1">
      <alignment horizontal="center" vertical="center"/>
    </xf>
    <xf numFmtId="0" fontId="30" fillId="0" borderId="11" xfId="64" applyFont="1" applyBorder="1" applyAlignment="1">
      <alignment horizontal="left" vertical="center"/>
    </xf>
    <xf numFmtId="0" fontId="30" fillId="0" borderId="7" xfId="64" applyFont="1" applyBorder="1" applyAlignment="1">
      <alignment horizontal="left" vertical="center"/>
    </xf>
    <xf numFmtId="0" fontId="30" fillId="0" borderId="7" xfId="64" applyFont="1" applyBorder="1" applyAlignment="1">
      <alignment horizontal="center" vertical="center"/>
    </xf>
    <xf numFmtId="0" fontId="62" fillId="0" borderId="7" xfId="62" applyFont="1" applyBorder="1" applyAlignment="1">
      <alignment horizontal="center" vertical="center"/>
    </xf>
    <xf numFmtId="0" fontId="29" fillId="0" borderId="7" xfId="62" applyFont="1" applyBorder="1" applyAlignment="1">
      <alignment horizontal="center" vertical="center"/>
    </xf>
    <xf numFmtId="0" fontId="29" fillId="0" borderId="12" xfId="62" applyFont="1" applyBorder="1" applyAlignment="1">
      <alignment horizontal="left" vertical="center"/>
    </xf>
    <xf numFmtId="167" fontId="30" fillId="0" borderId="7" xfId="62" applyNumberFormat="1" applyFont="1" applyBorder="1" applyAlignment="1">
      <alignment horizontal="center" vertical="center"/>
    </xf>
    <xf numFmtId="164" fontId="30" fillId="0" borderId="7" xfId="62" applyNumberFormat="1" applyFont="1" applyBorder="1" applyAlignment="1">
      <alignment horizontal="center" vertical="center"/>
    </xf>
    <xf numFmtId="0" fontId="67" fillId="0" borderId="11" xfId="62" applyFont="1" applyBorder="1" applyAlignment="1">
      <alignment horizontal="left" vertical="center"/>
    </xf>
    <xf numFmtId="0" fontId="62" fillId="6" borderId="54" xfId="62" applyFont="1" applyFill="1" applyBorder="1" applyAlignment="1">
      <alignment horizontal="center" vertical="center" wrapText="1"/>
    </xf>
    <xf numFmtId="0" fontId="62" fillId="6" borderId="2" xfId="62" applyFont="1" applyFill="1" applyBorder="1" applyAlignment="1">
      <alignment horizontal="left" vertical="center"/>
    </xf>
    <xf numFmtId="0" fontId="30" fillId="0" borderId="14" xfId="62" applyFont="1" applyBorder="1" applyAlignment="1">
      <alignment horizontal="left" vertical="center" wrapText="1"/>
    </xf>
    <xf numFmtId="0" fontId="30" fillId="0" borderId="0" xfId="62" applyFont="1" applyAlignment="1">
      <alignment horizontal="left" vertical="center" wrapText="1"/>
    </xf>
    <xf numFmtId="0" fontId="30" fillId="0" borderId="11" xfId="62" applyFont="1" applyBorder="1" applyAlignment="1">
      <alignment horizontal="left"/>
    </xf>
    <xf numFmtId="0" fontId="30" fillId="0" borderId="7" xfId="62" applyFont="1" applyBorder="1" applyAlignment="1">
      <alignment horizontal="left"/>
    </xf>
    <xf numFmtId="0" fontId="30" fillId="0" borderId="7" xfId="62" applyFont="1" applyBorder="1" applyAlignment="1">
      <alignment horizontal="center"/>
    </xf>
    <xf numFmtId="0" fontId="30" fillId="0" borderId="12" xfId="62" applyFont="1" applyBorder="1" applyAlignment="1">
      <alignment horizontal="left"/>
    </xf>
    <xf numFmtId="0" fontId="62" fillId="6" borderId="59" xfId="62" applyFont="1" applyFill="1" applyBorder="1" applyAlignment="1">
      <alignment horizontal="left" vertical="center"/>
    </xf>
    <xf numFmtId="0" fontId="62" fillId="6" borderId="60" xfId="62" applyFont="1" applyFill="1" applyBorder="1" applyAlignment="1">
      <alignment horizontal="left" vertical="center" wrapText="1"/>
    </xf>
    <xf numFmtId="0" fontId="62" fillId="6" borderId="60" xfId="62" applyFont="1" applyFill="1" applyBorder="1" applyAlignment="1">
      <alignment horizontal="center" vertical="center" wrapText="1"/>
    </xf>
    <xf numFmtId="0" fontId="62" fillId="6" borderId="61" xfId="62" applyFont="1" applyFill="1" applyBorder="1" applyAlignment="1">
      <alignment horizontal="left" vertical="center"/>
    </xf>
    <xf numFmtId="168" fontId="30" fillId="0" borderId="7" xfId="62" applyNumberFormat="1" applyFont="1" applyBorder="1" applyAlignment="1">
      <alignment horizontal="center" vertical="center"/>
    </xf>
    <xf numFmtId="0" fontId="30" fillId="0" borderId="11" xfId="62" applyFont="1" applyBorder="1" applyAlignment="1">
      <alignment horizontal="left" vertical="center" wrapText="1"/>
    </xf>
    <xf numFmtId="168" fontId="30" fillId="0" borderId="14" xfId="62" applyNumberFormat="1" applyFont="1" applyBorder="1" applyAlignment="1">
      <alignment horizontal="center" vertical="center"/>
    </xf>
    <xf numFmtId="0" fontId="73" fillId="0" borderId="0" xfId="62" applyFont="1" applyAlignment="1">
      <alignment horizontal="left" vertical="center"/>
    </xf>
    <xf numFmtId="0" fontId="62" fillId="6" borderId="58" xfId="62" applyFont="1" applyFill="1" applyBorder="1" applyAlignment="1">
      <alignment horizontal="left" vertical="center" wrapText="1"/>
    </xf>
    <xf numFmtId="165" fontId="27" fillId="0" borderId="18" xfId="62" applyNumberFormat="1" applyFont="1" applyBorder="1" applyAlignment="1">
      <alignment horizontal="center" vertical="center"/>
    </xf>
    <xf numFmtId="0" fontId="27" fillId="0" borderId="49" xfId="62" applyFont="1" applyBorder="1" applyAlignment="1">
      <alignment horizontal="left" vertical="center"/>
    </xf>
    <xf numFmtId="165" fontId="27" fillId="0" borderId="7" xfId="62" applyNumberFormat="1" applyFont="1" applyBorder="1" applyAlignment="1">
      <alignment horizontal="center" vertical="center"/>
    </xf>
    <xf numFmtId="0" fontId="30" fillId="0" borderId="13" xfId="62" applyFont="1" applyBorder="1" applyAlignment="1">
      <alignment horizontal="left"/>
    </xf>
    <xf numFmtId="0" fontId="30" fillId="0" borderId="14" xfId="62" applyFont="1" applyBorder="1" applyAlignment="1">
      <alignment horizontal="left"/>
    </xf>
    <xf numFmtId="0" fontId="30" fillId="0" borderId="14" xfId="62" applyFont="1" applyBorder="1" applyAlignment="1">
      <alignment horizontal="center"/>
    </xf>
    <xf numFmtId="0" fontId="30" fillId="0" borderId="15" xfId="62" applyFont="1" applyBorder="1" applyAlignment="1">
      <alignment horizontal="left"/>
    </xf>
    <xf numFmtId="0" fontId="27" fillId="0" borderId="18" xfId="62" applyFont="1" applyBorder="1" applyAlignment="1">
      <alignment horizontal="center" vertical="center" wrapText="1"/>
    </xf>
    <xf numFmtId="0" fontId="30" fillId="0" borderId="49" xfId="62" quotePrefix="1" applyFont="1" applyBorder="1" applyAlignment="1">
      <alignment horizontal="left" vertical="center"/>
    </xf>
    <xf numFmtId="0" fontId="27" fillId="0" borderId="7" xfId="62" quotePrefix="1" applyFont="1" applyBorder="1" applyAlignment="1">
      <alignment horizontal="center" vertical="center" wrapText="1"/>
    </xf>
    <xf numFmtId="0" fontId="30" fillId="0" borderId="12" xfId="62" quotePrefix="1" applyFont="1" applyBorder="1" applyAlignment="1">
      <alignment horizontal="left" vertical="center"/>
    </xf>
    <xf numFmtId="0" fontId="27" fillId="0" borderId="14" xfId="62" quotePrefix="1" applyFont="1" applyBorder="1" applyAlignment="1">
      <alignment horizontal="center" vertical="center" wrapText="1"/>
    </xf>
    <xf numFmtId="0" fontId="30" fillId="0" borderId="15" xfId="62" quotePrefix="1" applyFont="1" applyBorder="1" applyAlignment="1">
      <alignment horizontal="left" vertical="center"/>
    </xf>
    <xf numFmtId="0" fontId="62" fillId="6" borderId="50" xfId="62" applyFont="1" applyFill="1" applyBorder="1" applyAlignment="1">
      <alignment horizontal="left" vertical="center"/>
    </xf>
    <xf numFmtId="0" fontId="62" fillId="6" borderId="57" xfId="62" applyFont="1" applyFill="1" applyBorder="1" applyAlignment="1">
      <alignment horizontal="center" vertical="center"/>
    </xf>
    <xf numFmtId="0" fontId="62" fillId="6" borderId="57" xfId="62" applyFont="1" applyFill="1" applyBorder="1" applyAlignment="1">
      <alignment horizontal="left" vertical="center"/>
    </xf>
    <xf numFmtId="0" fontId="0" fillId="5" borderId="0" xfId="0" applyFill="1" applyAlignment="1">
      <alignment horizontal="left"/>
    </xf>
    <xf numFmtId="0" fontId="10" fillId="6" borderId="35" xfId="0" applyFont="1" applyFill="1" applyBorder="1" applyAlignment="1">
      <alignment horizontal="left" vertical="center" wrapText="1"/>
    </xf>
    <xf numFmtId="0" fontId="27" fillId="0" borderId="48" xfId="0" applyFont="1" applyBorder="1" applyAlignment="1">
      <alignment horizontal="left"/>
    </xf>
    <xf numFmtId="0" fontId="27" fillId="0" borderId="18" xfId="0" applyFont="1" applyBorder="1" applyAlignment="1">
      <alignment horizontal="left"/>
    </xf>
    <xf numFmtId="0" fontId="27" fillId="0" borderId="11" xfId="0" applyFont="1" applyBorder="1" applyAlignment="1">
      <alignment horizontal="left"/>
    </xf>
    <xf numFmtId="0" fontId="27" fillId="0" borderId="13" xfId="0" applyFont="1" applyBorder="1" applyAlignment="1">
      <alignment horizontal="left"/>
    </xf>
    <xf numFmtId="0" fontId="27" fillId="0" borderId="14" xfId="0" applyFont="1" applyBorder="1" applyAlignment="1">
      <alignment horizontal="left"/>
    </xf>
    <xf numFmtId="0" fontId="27" fillId="0" borderId="0" xfId="0" applyFont="1" applyAlignment="1">
      <alignment horizontal="left"/>
    </xf>
    <xf numFmtId="0" fontId="27" fillId="0" borderId="0" xfId="0" quotePrefix="1" applyFont="1" applyAlignment="1">
      <alignment horizontal="left"/>
    </xf>
    <xf numFmtId="0" fontId="27" fillId="0" borderId="7" xfId="0" quotePrefix="1" applyFont="1" applyBorder="1" applyAlignment="1">
      <alignment horizontal="left"/>
    </xf>
    <xf numFmtId="0" fontId="0" fillId="0" borderId="0" xfId="0" quotePrefix="1" applyAlignment="1">
      <alignment horizontal="left" vertical="center"/>
    </xf>
    <xf numFmtId="164" fontId="0" fillId="5" borderId="0" xfId="0" applyNumberFormat="1" applyFill="1" applyAlignment="1">
      <alignment horizontal="center"/>
    </xf>
    <xf numFmtId="0" fontId="0" fillId="5" borderId="0" xfId="0" applyFill="1" applyAlignment="1">
      <alignment horizontal="center"/>
    </xf>
    <xf numFmtId="164" fontId="16" fillId="0" borderId="0" xfId="0" applyNumberFormat="1" applyFont="1" applyAlignment="1">
      <alignment horizontal="center" vertical="center"/>
    </xf>
    <xf numFmtId="164" fontId="0" fillId="0" borderId="0" xfId="0" applyNumberFormat="1" applyAlignment="1">
      <alignment horizontal="center"/>
    </xf>
    <xf numFmtId="0" fontId="0" fillId="0" borderId="0" xfId="0" applyAlignment="1">
      <alignment horizontal="center"/>
    </xf>
    <xf numFmtId="0" fontId="62" fillId="29" borderId="56" xfId="0" applyFont="1" applyFill="1" applyBorder="1" applyAlignment="1">
      <alignment horizontal="left" vertical="center"/>
    </xf>
    <xf numFmtId="0" fontId="62" fillId="29" borderId="57" xfId="0" applyFont="1" applyFill="1" applyBorder="1" applyAlignment="1">
      <alignment horizontal="left" vertical="center"/>
    </xf>
    <xf numFmtId="0" fontId="62" fillId="29" borderId="57" xfId="0" applyFont="1" applyFill="1" applyBorder="1" applyAlignment="1">
      <alignment horizontal="center" vertical="center"/>
    </xf>
    <xf numFmtId="0" fontId="62" fillId="29" borderId="56" xfId="53" applyFont="1" applyFill="1" applyBorder="1" applyAlignment="1">
      <alignment horizontal="center"/>
    </xf>
    <xf numFmtId="0" fontId="62" fillId="29" borderId="57" xfId="53" applyFont="1" applyFill="1" applyBorder="1" applyAlignment="1">
      <alignment horizontal="center" vertical="top" wrapText="1"/>
    </xf>
    <xf numFmtId="0" fontId="62" fillId="29" borderId="57" xfId="53" applyFont="1" applyFill="1" applyBorder="1" applyAlignment="1">
      <alignment horizontal="center" vertical="center" wrapText="1"/>
    </xf>
    <xf numFmtId="0" fontId="62" fillId="29" borderId="58" xfId="53" applyFont="1" applyFill="1" applyBorder="1" applyAlignment="1">
      <alignment horizontal="center" vertical="top" wrapText="1"/>
    </xf>
    <xf numFmtId="0" fontId="30" fillId="0" borderId="0" xfId="0" applyFont="1" applyAlignment="1">
      <alignment horizontal="left" vertical="center"/>
    </xf>
    <xf numFmtId="0" fontId="30" fillId="0" borderId="0" xfId="0" applyFont="1" applyAlignment="1">
      <alignment horizontal="left"/>
    </xf>
    <xf numFmtId="0" fontId="30" fillId="0" borderId="0" xfId="0" applyFont="1" applyAlignment="1">
      <alignment horizontal="center"/>
    </xf>
    <xf numFmtId="0" fontId="30" fillId="0" borderId="0" xfId="0" quotePrefix="1" applyFont="1" applyAlignment="1">
      <alignment horizontal="center"/>
    </xf>
    <xf numFmtId="11" fontId="30" fillId="0" borderId="0" xfId="0" applyNumberFormat="1" applyFont="1" applyAlignment="1">
      <alignment horizontal="center"/>
    </xf>
    <xf numFmtId="0" fontId="27" fillId="0" borderId="0" xfId="48" applyFont="1"/>
    <xf numFmtId="0" fontId="7" fillId="0" borderId="0" xfId="47"/>
    <xf numFmtId="0" fontId="27" fillId="0" borderId="51" xfId="47" applyFont="1" applyBorder="1"/>
    <xf numFmtId="0" fontId="27" fillId="0" borderId="50" xfId="47" applyFont="1" applyBorder="1"/>
    <xf numFmtId="0" fontId="27" fillId="0" borderId="50" xfId="47" applyFont="1" applyBorder="1" applyAlignment="1">
      <alignment horizontal="center"/>
    </xf>
    <xf numFmtId="0" fontId="27" fillId="0" borderId="52" xfId="47" applyFont="1" applyBorder="1"/>
    <xf numFmtId="0" fontId="2" fillId="0" borderId="0" xfId="53" applyFont="1"/>
    <xf numFmtId="0" fontId="27" fillId="0" borderId="48" xfId="47" applyFont="1" applyBorder="1"/>
    <xf numFmtId="0" fontId="27" fillId="0" borderId="18" xfId="47" applyFont="1" applyBorder="1"/>
    <xf numFmtId="0" fontId="27" fillId="0" borderId="49" xfId="47" applyFont="1" applyBorder="1"/>
    <xf numFmtId="0" fontId="27" fillId="0" borderId="11" xfId="47" applyFont="1" applyBorder="1"/>
    <xf numFmtId="0" fontId="27" fillId="0" borderId="7" xfId="47" applyFont="1" applyBorder="1"/>
    <xf numFmtId="0" fontId="27" fillId="0" borderId="12" xfId="47" applyFont="1" applyBorder="1"/>
    <xf numFmtId="0" fontId="27" fillId="0" borderId="13" xfId="47" applyFont="1" applyBorder="1"/>
    <xf numFmtId="0" fontId="27" fillId="0" borderId="14" xfId="47" applyFont="1" applyBorder="1"/>
    <xf numFmtId="0" fontId="27" fillId="0" borderId="15" xfId="47" applyFont="1" applyBorder="1"/>
    <xf numFmtId="164" fontId="62" fillId="29" borderId="57" xfId="0" applyNumberFormat="1" applyFont="1" applyFill="1" applyBorder="1" applyAlignment="1">
      <alignment horizontal="center" vertical="center"/>
    </xf>
    <xf numFmtId="0" fontId="62" fillId="29" borderId="58" xfId="0" applyFont="1" applyFill="1" applyBorder="1" applyAlignment="1">
      <alignment horizontal="left" vertical="center"/>
    </xf>
    <xf numFmtId="0" fontId="66" fillId="5" borderId="0" xfId="0" applyFont="1" applyFill="1" applyAlignment="1">
      <alignment horizontal="left" vertical="center"/>
    </xf>
    <xf numFmtId="0" fontId="30" fillId="0" borderId="18" xfId="0" applyFont="1" applyBorder="1" applyAlignment="1">
      <alignment horizontal="left" vertical="center"/>
    </xf>
    <xf numFmtId="0" fontId="66" fillId="0" borderId="0" xfId="0" applyFont="1" applyAlignment="1">
      <alignment horizontal="left" vertical="center"/>
    </xf>
    <xf numFmtId="0" fontId="65" fillId="5" borderId="0" xfId="0" applyFont="1" applyFill="1" applyAlignment="1">
      <alignment horizontal="left" wrapText="1"/>
    </xf>
    <xf numFmtId="0" fontId="66" fillId="5" borderId="0" xfId="0" applyFont="1" applyFill="1" applyAlignment="1">
      <alignment horizontal="left"/>
    </xf>
    <xf numFmtId="0" fontId="65" fillId="0" borderId="0" xfId="0" applyFont="1" applyAlignment="1">
      <alignment horizontal="left"/>
    </xf>
    <xf numFmtId="0" fontId="65" fillId="6" borderId="35" xfId="0" applyFont="1" applyFill="1" applyBorder="1" applyAlignment="1">
      <alignment horizontal="left" vertical="center" wrapText="1"/>
    </xf>
    <xf numFmtId="0" fontId="66" fillId="0" borderId="0" xfId="0" applyFont="1" applyAlignment="1">
      <alignment horizontal="left"/>
    </xf>
    <xf numFmtId="0" fontId="62" fillId="29" borderId="19" xfId="0" applyFont="1" applyFill="1" applyBorder="1" applyAlignment="1">
      <alignment horizontal="left" vertical="center" wrapText="1"/>
    </xf>
    <xf numFmtId="0" fontId="62" fillId="6" borderId="19" xfId="0" applyFont="1" applyFill="1" applyBorder="1" applyAlignment="1">
      <alignment horizontal="left" vertical="center" wrapText="1"/>
    </xf>
    <xf numFmtId="0" fontId="62" fillId="29" borderId="38" xfId="0" applyFont="1" applyFill="1" applyBorder="1" applyAlignment="1">
      <alignment horizontal="left"/>
    </xf>
    <xf numFmtId="0" fontId="78" fillId="0" borderId="48" xfId="46" applyFont="1" applyBorder="1" applyAlignment="1">
      <alignment horizontal="left" vertical="center"/>
    </xf>
    <xf numFmtId="0" fontId="30" fillId="0" borderId="18" xfId="46" applyFont="1" applyBorder="1" applyAlignment="1">
      <alignment horizontal="left" vertical="center"/>
    </xf>
    <xf numFmtId="0" fontId="62" fillId="0" borderId="18" xfId="0" applyFont="1" applyBorder="1" applyAlignment="1">
      <alignment horizontal="left" vertical="center" wrapText="1"/>
    </xf>
    <xf numFmtId="0" fontId="62" fillId="0" borderId="18" xfId="0" applyFont="1" applyBorder="1" applyAlignment="1">
      <alignment horizontal="left"/>
    </xf>
    <xf numFmtId="0" fontId="62" fillId="0" borderId="49" xfId="0" applyFont="1" applyBorder="1" applyAlignment="1">
      <alignment horizontal="left"/>
    </xf>
    <xf numFmtId="0" fontId="78" fillId="0" borderId="11" xfId="46" applyFont="1" applyBorder="1" applyAlignment="1">
      <alignment horizontal="left" vertical="center"/>
    </xf>
    <xf numFmtId="0" fontId="30" fillId="0" borderId="7" xfId="46" applyFont="1" applyBorder="1" applyAlignment="1">
      <alignment horizontal="left" vertical="center"/>
    </xf>
    <xf numFmtId="0" fontId="62" fillId="0" borderId="7" xfId="0" applyFont="1" applyBorder="1" applyAlignment="1">
      <alignment horizontal="left" vertical="center" wrapText="1"/>
    </xf>
    <xf numFmtId="0" fontId="62" fillId="0" borderId="7" xfId="0" applyFont="1" applyBorder="1" applyAlignment="1">
      <alignment horizontal="left"/>
    </xf>
    <xf numFmtId="0" fontId="62" fillId="0" borderId="12" xfId="0" applyFont="1" applyBorder="1" applyAlignment="1">
      <alignment horizontal="left"/>
    </xf>
    <xf numFmtId="0" fontId="78" fillId="0" borderId="13" xfId="46" applyFont="1" applyBorder="1" applyAlignment="1">
      <alignment horizontal="left" vertical="center"/>
    </xf>
    <xf numFmtId="0" fontId="30" fillId="0" borderId="14" xfId="46" applyFont="1" applyBorder="1" applyAlignment="1">
      <alignment horizontal="left" vertical="center"/>
    </xf>
    <xf numFmtId="0" fontId="62" fillId="0" borderId="14" xfId="0" applyFont="1" applyBorder="1" applyAlignment="1">
      <alignment horizontal="left" vertical="center" wrapText="1"/>
    </xf>
    <xf numFmtId="0" fontId="62" fillId="0" borderId="14" xfId="0" applyFont="1" applyBorder="1" applyAlignment="1">
      <alignment horizontal="left"/>
    </xf>
    <xf numFmtId="0" fontId="62" fillId="0" borderId="15" xfId="0" applyFont="1" applyBorder="1" applyAlignment="1">
      <alignment horizontal="left"/>
    </xf>
    <xf numFmtId="0" fontId="78" fillId="0" borderId="0" xfId="46" applyFont="1" applyAlignment="1">
      <alignment horizontal="left" vertical="center"/>
    </xf>
    <xf numFmtId="0" fontId="30" fillId="0" borderId="0" xfId="46" applyFont="1" applyAlignment="1">
      <alignment horizontal="left" vertical="center"/>
    </xf>
    <xf numFmtId="0" fontId="62" fillId="0" borderId="0" xfId="0" applyFont="1" applyAlignment="1">
      <alignment horizontal="left" vertical="center" wrapText="1"/>
    </xf>
    <xf numFmtId="0" fontId="62" fillId="0" borderId="0" xfId="0" applyFont="1" applyAlignment="1">
      <alignment horizontal="left"/>
    </xf>
    <xf numFmtId="0" fontId="30" fillId="0" borderId="7" xfId="0" applyFont="1" applyBorder="1" applyAlignment="1">
      <alignment horizontal="left" vertical="center" wrapText="1"/>
    </xf>
    <xf numFmtId="165" fontId="30" fillId="0" borderId="18" xfId="46" applyNumberFormat="1" applyFont="1" applyBorder="1" applyAlignment="1">
      <alignment horizontal="left" vertical="center"/>
    </xf>
    <xf numFmtId="165" fontId="30" fillId="0" borderId="7" xfId="46" applyNumberFormat="1" applyFont="1" applyBorder="1" applyAlignment="1">
      <alignment horizontal="left" vertical="center"/>
    </xf>
    <xf numFmtId="165" fontId="30" fillId="0" borderId="14" xfId="46" applyNumberFormat="1" applyFont="1" applyBorder="1" applyAlignment="1">
      <alignment horizontal="left" vertical="center"/>
    </xf>
    <xf numFmtId="0" fontId="78" fillId="0" borderId="48" xfId="0" applyFont="1" applyBorder="1" applyAlignment="1">
      <alignment horizontal="left" vertical="center"/>
    </xf>
    <xf numFmtId="0" fontId="30" fillId="0" borderId="13" xfId="0" applyFont="1" applyBorder="1" applyAlignment="1">
      <alignment horizontal="left" vertical="center"/>
    </xf>
    <xf numFmtId="0" fontId="30" fillId="0" borderId="14" xfId="0" applyFont="1" applyBorder="1" applyAlignment="1">
      <alignment horizontal="left" vertical="center" wrapText="1"/>
    </xf>
    <xf numFmtId="0" fontId="30" fillId="0" borderId="15" xfId="0" applyFont="1" applyBorder="1" applyAlignment="1">
      <alignment horizontal="left"/>
    </xf>
    <xf numFmtId="0" fontId="65" fillId="0" borderId="0" xfId="0" applyFont="1" applyAlignment="1">
      <alignment horizontal="center" vertical="center"/>
    </xf>
    <xf numFmtId="0" fontId="66" fillId="0" borderId="0" xfId="0" applyFont="1" applyAlignment="1">
      <alignment horizontal="center"/>
    </xf>
    <xf numFmtId="164" fontId="66" fillId="0" borderId="0" xfId="0" applyNumberFormat="1" applyFont="1" applyAlignment="1">
      <alignment horizontal="center" vertical="center" wrapText="1"/>
    </xf>
    <xf numFmtId="0" fontId="66" fillId="0" borderId="0" xfId="0" applyFont="1" applyAlignment="1">
      <alignment horizontal="center" vertical="center" wrapText="1"/>
    </xf>
    <xf numFmtId="0" fontId="62" fillId="29" borderId="65" xfId="0" applyFont="1" applyFill="1" applyBorder="1" applyAlignment="1">
      <alignment horizontal="center" vertical="center"/>
    </xf>
    <xf numFmtId="0" fontId="62" fillId="29" borderId="65" xfId="0" applyFont="1" applyFill="1" applyBorder="1" applyAlignment="1">
      <alignment horizontal="center"/>
    </xf>
    <xf numFmtId="0" fontId="30" fillId="29" borderId="65" xfId="0" applyFont="1" applyFill="1" applyBorder="1" applyAlignment="1">
      <alignment horizontal="left" vertical="center" wrapText="1"/>
    </xf>
    <xf numFmtId="164" fontId="30" fillId="29" borderId="65" xfId="0" applyNumberFormat="1" applyFont="1" applyFill="1" applyBorder="1" applyAlignment="1">
      <alignment horizontal="center" vertical="center" wrapText="1"/>
    </xf>
    <xf numFmtId="0" fontId="30" fillId="29" borderId="65" xfId="0" applyFont="1" applyFill="1" applyBorder="1" applyAlignment="1">
      <alignment horizontal="center" vertical="center" wrapText="1"/>
    </xf>
    <xf numFmtId="0" fontId="66" fillId="0" borderId="0" xfId="0" applyFont="1" applyAlignment="1">
      <alignment vertical="center" wrapText="1"/>
    </xf>
    <xf numFmtId="0" fontId="58" fillId="0" borderId="66" xfId="3" applyFont="1" applyBorder="1" applyAlignment="1">
      <alignment horizontal="center" vertical="center" wrapText="1"/>
    </xf>
    <xf numFmtId="2" fontId="58" fillId="0" borderId="66" xfId="3" applyNumberFormat="1" applyFont="1" applyBorder="1" applyAlignment="1">
      <alignment horizontal="center" vertical="center" wrapText="1"/>
    </xf>
    <xf numFmtId="0" fontId="49" fillId="0" borderId="66" xfId="3" applyFont="1" applyBorder="1" applyAlignment="1">
      <alignment horizontal="center" vertical="center" wrapText="1"/>
    </xf>
    <xf numFmtId="0" fontId="27" fillId="0" borderId="66" xfId="0" applyFont="1" applyBorder="1" applyAlignment="1">
      <alignment horizontal="center" vertical="center"/>
    </xf>
    <xf numFmtId="0" fontId="30" fillId="0" borderId="62" xfId="62" applyFont="1" applyBorder="1" applyAlignment="1">
      <alignment horizontal="left" vertical="center"/>
    </xf>
    <xf numFmtId="0" fontId="30" fillId="0" borderId="63" xfId="62" applyFont="1" applyBorder="1" applyAlignment="1">
      <alignment horizontal="left" vertical="center"/>
    </xf>
    <xf numFmtId="0" fontId="30" fillId="0" borderId="63" xfId="62" applyFont="1" applyBorder="1" applyAlignment="1">
      <alignment horizontal="center" vertical="center"/>
    </xf>
    <xf numFmtId="0" fontId="30" fillId="0" borderId="64" xfId="62" applyFont="1" applyBorder="1" applyAlignment="1">
      <alignment horizontal="left" vertical="center" wrapText="1"/>
    </xf>
    <xf numFmtId="0" fontId="0" fillId="32" borderId="66" xfId="0" applyFill="1" applyBorder="1"/>
    <xf numFmtId="0" fontId="30" fillId="0" borderId="67" xfId="0" applyFont="1" applyBorder="1" applyAlignment="1">
      <alignment horizontal="left" vertical="center"/>
    </xf>
    <xf numFmtId="0" fontId="30" fillId="0" borderId="66" xfId="0" applyFont="1" applyBorder="1" applyAlignment="1">
      <alignment horizontal="left" vertical="center"/>
    </xf>
    <xf numFmtId="0" fontId="27" fillId="0" borderId="66" xfId="0" applyFont="1" applyBorder="1" applyAlignment="1">
      <alignment horizontal="left" vertical="center"/>
    </xf>
    <xf numFmtId="164" fontId="27" fillId="0" borderId="66" xfId="0" applyNumberFormat="1" applyFont="1" applyBorder="1" applyAlignment="1">
      <alignment horizontal="center" vertical="center"/>
    </xf>
    <xf numFmtId="0" fontId="27" fillId="0" borderId="66" xfId="0" applyFont="1" applyBorder="1" applyAlignment="1">
      <alignment horizontal="center"/>
    </xf>
    <xf numFmtId="0" fontId="27" fillId="0" borderId="66" xfId="0" applyFont="1" applyBorder="1"/>
    <xf numFmtId="0" fontId="27" fillId="0" borderId="68" xfId="0" applyFont="1" applyBorder="1"/>
    <xf numFmtId="0" fontId="27" fillId="0" borderId="67" xfId="0" applyFont="1" applyBorder="1" applyAlignment="1">
      <alignment horizontal="left"/>
    </xf>
    <xf numFmtId="0" fontId="27" fillId="0" borderId="66" xfId="0" applyFont="1" applyBorder="1" applyAlignment="1">
      <alignment horizontal="left"/>
    </xf>
    <xf numFmtId="0" fontId="65" fillId="0" borderId="0" xfId="0" applyFont="1"/>
    <xf numFmtId="0" fontId="30" fillId="0" borderId="66" xfId="0" applyFont="1" applyBorder="1" applyAlignment="1">
      <alignment horizontal="left" vertical="center" wrapText="1"/>
    </xf>
    <xf numFmtId="0" fontId="30" fillId="0" borderId="69" xfId="0" applyFont="1" applyBorder="1" applyAlignment="1">
      <alignment horizontal="center" vertical="center"/>
    </xf>
    <xf numFmtId="0" fontId="62" fillId="0" borderId="70" xfId="0" applyFont="1" applyBorder="1"/>
    <xf numFmtId="0" fontId="30" fillId="0" borderId="67" xfId="0" applyFont="1" applyBorder="1" applyAlignment="1">
      <alignment horizontal="left" vertical="center" wrapText="1"/>
    </xf>
    <xf numFmtId="2" fontId="30" fillId="0" borderId="66" xfId="0" applyNumberFormat="1" applyFont="1" applyBorder="1" applyAlignment="1">
      <alignment horizontal="left" vertical="center" wrapText="1"/>
    </xf>
    <xf numFmtId="0" fontId="76" fillId="29" borderId="71" xfId="0" applyFont="1" applyFill="1" applyBorder="1" applyAlignment="1">
      <alignment horizontal="center" vertical="center" wrapText="1"/>
    </xf>
    <xf numFmtId="0" fontId="49" fillId="0" borderId="55" xfId="3" applyFont="1" applyBorder="1" applyAlignment="1">
      <alignment horizontal="left" vertical="center" wrapText="1"/>
    </xf>
    <xf numFmtId="0" fontId="59" fillId="0" borderId="72" xfId="3" applyFont="1" applyBorder="1" applyAlignment="1">
      <alignment horizontal="center" vertical="center" wrapText="1"/>
    </xf>
    <xf numFmtId="0" fontId="59" fillId="0" borderId="73" xfId="3" applyFont="1" applyBorder="1" applyAlignment="1">
      <alignment horizontal="center" vertical="center" wrapText="1"/>
    </xf>
    <xf numFmtId="0" fontId="60" fillId="0" borderId="73" xfId="3" applyFont="1" applyBorder="1" applyAlignment="1">
      <alignment horizontal="center" vertical="center" wrapText="1"/>
    </xf>
    <xf numFmtId="2" fontId="58" fillId="0" borderId="73" xfId="3" applyNumberFormat="1" applyFont="1" applyBorder="1" applyAlignment="1">
      <alignment horizontal="center" vertical="center" wrapText="1"/>
    </xf>
    <xf numFmtId="0" fontId="58" fillId="0" borderId="73" xfId="3" applyFont="1" applyBorder="1" applyAlignment="1">
      <alignment horizontal="center" vertical="center" wrapText="1"/>
    </xf>
    <xf numFmtId="0" fontId="49" fillId="0" borderId="73" xfId="3" applyFont="1" applyBorder="1" applyAlignment="1">
      <alignment horizontal="left" vertical="center" wrapText="1"/>
    </xf>
    <xf numFmtId="0" fontId="49" fillId="0" borderId="74" xfId="3" applyFont="1" applyBorder="1" applyAlignment="1">
      <alignment horizontal="left" vertical="center" wrapText="1"/>
    </xf>
    <xf numFmtId="0" fontId="27" fillId="0" borderId="75" xfId="0" applyFont="1" applyBorder="1"/>
    <xf numFmtId="0" fontId="59" fillId="0" borderId="67" xfId="3" applyFont="1" applyBorder="1" applyAlignment="1">
      <alignment horizontal="center" vertical="center" wrapText="1"/>
    </xf>
    <xf numFmtId="0" fontId="59" fillId="0" borderId="66" xfId="3" applyFont="1" applyBorder="1" applyAlignment="1">
      <alignment horizontal="center" vertical="center" wrapText="1"/>
    </xf>
    <xf numFmtId="0" fontId="60" fillId="0" borderId="66" xfId="3" applyFont="1" applyBorder="1" applyAlignment="1">
      <alignment horizontal="center" vertical="center" wrapText="1"/>
    </xf>
    <xf numFmtId="2" fontId="58" fillId="0" borderId="66" xfId="3" quotePrefix="1" applyNumberFormat="1" applyFont="1" applyBorder="1" applyAlignment="1">
      <alignment horizontal="center" vertical="center" wrapText="1"/>
    </xf>
    <xf numFmtId="0" fontId="49" fillId="0" borderId="66" xfId="3" applyFont="1" applyBorder="1" applyAlignment="1">
      <alignment horizontal="left" vertical="center" wrapText="1"/>
    </xf>
    <xf numFmtId="0" fontId="58" fillId="0" borderId="66" xfId="3" quotePrefix="1" applyFont="1" applyBorder="1" applyAlignment="1">
      <alignment horizontal="center" vertical="center" wrapText="1"/>
    </xf>
    <xf numFmtId="1" fontId="58" fillId="0" borderId="66" xfId="3" applyNumberFormat="1" applyFont="1" applyBorder="1" applyAlignment="1">
      <alignment horizontal="center" vertical="center" wrapText="1"/>
    </xf>
    <xf numFmtId="165" fontId="49" fillId="0" borderId="66" xfId="3" applyNumberFormat="1" applyFont="1" applyBorder="1" applyAlignment="1">
      <alignment horizontal="center" vertical="center" wrapText="1"/>
    </xf>
    <xf numFmtId="2" fontId="59" fillId="0" borderId="66" xfId="3" applyNumberFormat="1" applyFont="1" applyBorder="1" applyAlignment="1">
      <alignment horizontal="center" vertical="center" wrapText="1"/>
    </xf>
    <xf numFmtId="2" fontId="49" fillId="0" borderId="66" xfId="3" applyNumberFormat="1" applyFont="1" applyBorder="1" applyAlignment="1">
      <alignment horizontal="center" vertical="center" wrapText="1"/>
    </xf>
    <xf numFmtId="165" fontId="58" fillId="0" borderId="66" xfId="3" applyNumberFormat="1" applyFont="1" applyBorder="1" applyAlignment="1">
      <alignment horizontal="center" vertical="center" wrapText="1"/>
    </xf>
    <xf numFmtId="0" fontId="10" fillId="0" borderId="0" xfId="0" applyFont="1" applyAlignment="1">
      <alignment horizontal="left" vertical="center"/>
    </xf>
    <xf numFmtId="0" fontId="59" fillId="0" borderId="76" xfId="3" applyFont="1" applyBorder="1" applyAlignment="1">
      <alignment horizontal="center" vertical="center" wrapText="1"/>
    </xf>
    <xf numFmtId="0" fontId="59" fillId="0" borderId="77" xfId="3" applyFont="1" applyBorder="1" applyAlignment="1">
      <alignment horizontal="center" vertical="center" wrapText="1"/>
    </xf>
    <xf numFmtId="0" fontId="60" fillId="0" borderId="77" xfId="3" applyFont="1" applyBorder="1" applyAlignment="1">
      <alignment horizontal="center" vertical="center" wrapText="1"/>
    </xf>
    <xf numFmtId="0" fontId="58" fillId="0" borderId="77" xfId="3" applyFont="1" applyBorder="1" applyAlignment="1">
      <alignment horizontal="center" vertical="center" wrapText="1"/>
    </xf>
    <xf numFmtId="0" fontId="49" fillId="0" borderId="77" xfId="3" applyFont="1" applyBorder="1" applyAlignment="1">
      <alignment horizontal="center" vertical="center" wrapText="1"/>
    </xf>
    <xf numFmtId="0" fontId="49" fillId="0" borderId="77" xfId="3" applyFont="1" applyBorder="1" applyAlignment="1">
      <alignment horizontal="left" vertical="center" wrapText="1"/>
    </xf>
    <xf numFmtId="0" fontId="49" fillId="0" borderId="78" xfId="3" applyFont="1" applyBorder="1" applyAlignment="1">
      <alignment horizontal="left" vertical="center" wrapText="1"/>
    </xf>
    <xf numFmtId="0" fontId="27" fillId="0" borderId="79" xfId="0" applyFont="1" applyBorder="1"/>
    <xf numFmtId="0" fontId="49" fillId="0" borderId="76" xfId="2" applyFont="1" applyBorder="1" applyAlignment="1">
      <alignment horizontal="center" vertical="center" wrapText="1"/>
    </xf>
    <xf numFmtId="0" fontId="51" fillId="0" borderId="77" xfId="0" applyFont="1" applyBorder="1" applyAlignment="1">
      <alignment vertical="center"/>
    </xf>
    <xf numFmtId="0" fontId="27" fillId="0" borderId="77" xfId="0" applyFont="1" applyBorder="1" applyAlignment="1">
      <alignment horizontal="center" vertical="center"/>
    </xf>
    <xf numFmtId="0" fontId="50" fillId="0" borderId="77" xfId="0" applyFont="1" applyBorder="1" applyAlignment="1">
      <alignment horizontal="center" vertical="center"/>
    </xf>
    <xf numFmtId="0" fontId="27" fillId="0" borderId="77" xfId="0" applyFont="1" applyBorder="1" applyAlignment="1">
      <alignment horizontal="center" vertical="center" wrapText="1"/>
    </xf>
    <xf numFmtId="0" fontId="27" fillId="0" borderId="78" xfId="0" applyFont="1" applyBorder="1" applyAlignment="1">
      <alignment horizontal="center" vertical="center" wrapText="1"/>
    </xf>
    <xf numFmtId="0" fontId="27" fillId="0" borderId="79" xfId="0" applyFont="1" applyBorder="1" applyAlignment="1">
      <alignment horizontal="center" vertical="center" wrapText="1"/>
    </xf>
    <xf numFmtId="0" fontId="30" fillId="0" borderId="77" xfId="0" applyFont="1" applyBorder="1" applyAlignment="1">
      <alignment horizontal="left" vertical="center"/>
    </xf>
    <xf numFmtId="0" fontId="62" fillId="29" borderId="80" xfId="0" applyFont="1" applyFill="1" applyBorder="1" applyAlignment="1">
      <alignment horizontal="left" vertical="center"/>
    </xf>
    <xf numFmtId="0" fontId="62" fillId="29" borderId="81" xfId="0" applyFont="1" applyFill="1" applyBorder="1" applyAlignment="1">
      <alignment horizontal="left" vertical="center"/>
    </xf>
    <xf numFmtId="0" fontId="62" fillId="29" borderId="81" xfId="0" applyFont="1" applyFill="1" applyBorder="1" applyAlignment="1">
      <alignment horizontal="center" vertical="center"/>
    </xf>
    <xf numFmtId="0" fontId="62" fillId="29" borderId="82" xfId="0" applyFont="1" applyFill="1" applyBorder="1" applyAlignment="1">
      <alignment horizontal="center" vertical="center"/>
    </xf>
    <xf numFmtId="0" fontId="30" fillId="0" borderId="66" xfId="0" applyFont="1" applyBorder="1" applyAlignment="1">
      <alignment horizontal="center" vertical="center"/>
    </xf>
    <xf numFmtId="0" fontId="0" fillId="0" borderId="66" xfId="0" applyBorder="1" applyAlignment="1">
      <alignment horizontal="left"/>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3" xfId="0" applyFont="1" applyBorder="1" applyAlignment="1">
      <alignment horizontal="center" vertical="center"/>
    </xf>
    <xf numFmtId="0" fontId="27" fillId="0" borderId="73" xfId="0" applyFont="1" applyBorder="1" applyAlignment="1">
      <alignment horizontal="center" vertical="center"/>
    </xf>
    <xf numFmtId="0" fontId="30" fillId="0" borderId="75" xfId="0" applyFont="1" applyBorder="1" applyAlignment="1">
      <alignment horizontal="center" vertical="center"/>
    </xf>
    <xf numFmtId="0" fontId="30" fillId="0" borderId="68" xfId="0" applyFont="1" applyBorder="1" applyAlignment="1">
      <alignment horizontal="center" vertical="center"/>
    </xf>
    <xf numFmtId="0" fontId="27" fillId="0" borderId="67" xfId="0" applyFont="1" applyBorder="1" applyAlignment="1">
      <alignment horizontal="left" vertical="center"/>
    </xf>
    <xf numFmtId="0" fontId="27" fillId="0" borderId="68" xfId="0" applyFont="1" applyBorder="1" applyAlignment="1">
      <alignment horizontal="center" vertical="center"/>
    </xf>
    <xf numFmtId="0" fontId="30" fillId="0" borderId="77" xfId="0" applyFont="1" applyBorder="1" applyAlignment="1">
      <alignment horizontal="left" vertical="center" wrapText="1"/>
    </xf>
    <xf numFmtId="164" fontId="30" fillId="0" borderId="77" xfId="0" applyNumberFormat="1" applyFont="1" applyBorder="1" applyAlignment="1">
      <alignment horizontal="center" vertical="center"/>
    </xf>
    <xf numFmtId="0" fontId="30" fillId="0" borderId="77" xfId="0" applyFont="1" applyBorder="1" applyAlignment="1">
      <alignment horizontal="center" vertical="center"/>
    </xf>
    <xf numFmtId="0" fontId="30" fillId="0" borderId="79" xfId="0" applyFont="1" applyBorder="1" applyAlignment="1">
      <alignment horizontal="center" vertical="center"/>
    </xf>
    <xf numFmtId="0" fontId="65" fillId="6" borderId="83" xfId="0" applyFont="1" applyFill="1" applyBorder="1" applyAlignment="1">
      <alignment horizontal="left" vertical="center" wrapText="1"/>
    </xf>
    <xf numFmtId="0" fontId="11" fillId="0" borderId="0" xfId="0" applyFont="1" applyAlignment="1">
      <alignment horizontal="right"/>
    </xf>
    <xf numFmtId="0" fontId="0" fillId="0" borderId="66" xfId="0" applyBorder="1"/>
    <xf numFmtId="0" fontId="0" fillId="0" borderId="84" xfId="0" applyBorder="1"/>
    <xf numFmtId="0" fontId="0" fillId="0" borderId="85" xfId="0" applyBorder="1"/>
    <xf numFmtId="0" fontId="0" fillId="31" borderId="72" xfId="0" applyFill="1" applyBorder="1"/>
    <xf numFmtId="0" fontId="0" fillId="31" borderId="73" xfId="0" applyFill="1" applyBorder="1"/>
    <xf numFmtId="2" fontId="0" fillId="31" borderId="75" xfId="0" applyNumberFormat="1" applyFill="1" applyBorder="1"/>
    <xf numFmtId="0" fontId="0" fillId="0" borderId="86" xfId="0" applyBorder="1"/>
    <xf numFmtId="0" fontId="0" fillId="31" borderId="67" xfId="0" applyFill="1" applyBorder="1"/>
    <xf numFmtId="0" fontId="0" fillId="31" borderId="66" xfId="0" applyFill="1" applyBorder="1"/>
    <xf numFmtId="2" fontId="0" fillId="31" borderId="68" xfId="0" applyNumberFormat="1" applyFill="1" applyBorder="1"/>
    <xf numFmtId="0" fontId="0" fillId="31" borderId="77" xfId="0" applyFill="1" applyBorder="1"/>
    <xf numFmtId="2" fontId="0" fillId="31" borderId="79" xfId="0" applyNumberFormat="1" applyFill="1" applyBorder="1"/>
    <xf numFmtId="0" fontId="62" fillId="6" borderId="56" xfId="0" applyFont="1" applyFill="1" applyBorder="1" applyAlignment="1">
      <alignment horizontal="left" vertical="center"/>
    </xf>
    <xf numFmtId="0" fontId="62" fillId="6" borderId="57" xfId="0" applyFont="1" applyFill="1" applyBorder="1" applyAlignment="1">
      <alignment horizontal="left" vertical="center" wrapText="1"/>
    </xf>
    <xf numFmtId="0" fontId="30" fillId="0" borderId="48" xfId="0" applyFont="1" applyBorder="1" applyAlignment="1">
      <alignment horizontal="left" vertical="center"/>
    </xf>
    <xf numFmtId="0" fontId="62" fillId="6" borderId="80" xfId="0" applyFont="1" applyFill="1" applyBorder="1" applyAlignment="1">
      <alignment horizontal="left" vertical="center"/>
    </xf>
    <xf numFmtId="0" fontId="62" fillId="6" borderId="93" xfId="0" applyFont="1" applyFill="1" applyBorder="1" applyAlignment="1">
      <alignment horizontal="left" vertical="center" wrapText="1"/>
    </xf>
    <xf numFmtId="0" fontId="62" fillId="6" borderId="94" xfId="0" applyFont="1" applyFill="1" applyBorder="1" applyAlignment="1">
      <alignment vertical="center" wrapText="1"/>
    </xf>
    <xf numFmtId="0" fontId="30" fillId="0" borderId="72" xfId="0" applyFont="1" applyBorder="1" applyAlignment="1">
      <alignment vertical="center"/>
    </xf>
    <xf numFmtId="0" fontId="30" fillId="0" borderId="73" xfId="0" applyFont="1" applyBorder="1"/>
    <xf numFmtId="0" fontId="30" fillId="0" borderId="75" xfId="0" applyFont="1" applyBorder="1"/>
    <xf numFmtId="0" fontId="30" fillId="0" borderId="67" xfId="0" applyFont="1" applyBorder="1" applyAlignment="1">
      <alignment vertical="center"/>
    </xf>
    <xf numFmtId="0" fontId="30" fillId="0" borderId="66" xfId="0" applyFont="1" applyBorder="1"/>
    <xf numFmtId="0" fontId="30" fillId="0" borderId="68" xfId="0" applyFont="1" applyBorder="1"/>
    <xf numFmtId="0" fontId="30" fillId="0" borderId="66" xfId="0" applyFont="1" applyBorder="1" applyAlignment="1">
      <alignment vertical="center"/>
    </xf>
    <xf numFmtId="0" fontId="30" fillId="0" borderId="68" xfId="0" applyFont="1" applyBorder="1" applyAlignment="1">
      <alignment vertical="center"/>
    </xf>
    <xf numFmtId="0" fontId="30" fillId="0" borderId="77" xfId="0" applyFont="1" applyBorder="1" applyAlignment="1">
      <alignment vertical="center"/>
    </xf>
    <xf numFmtId="0" fontId="30" fillId="0" borderId="79" xfId="0" applyFont="1" applyBorder="1" applyAlignment="1">
      <alignment vertical="center"/>
    </xf>
    <xf numFmtId="0" fontId="70" fillId="0" borderId="0" xfId="50" applyAlignment="1" applyProtection="1"/>
    <xf numFmtId="0" fontId="27" fillId="0" borderId="18" xfId="0" quotePrefix="1" applyFont="1" applyBorder="1" applyAlignment="1">
      <alignment horizontal="left" wrapText="1"/>
    </xf>
    <xf numFmtId="0" fontId="27" fillId="0" borderId="7" xfId="0" quotePrefix="1" applyFont="1" applyBorder="1" applyAlignment="1">
      <alignment horizontal="left" wrapText="1"/>
    </xf>
    <xf numFmtId="0" fontId="27" fillId="0" borderId="14" xfId="0" quotePrefix="1" applyFont="1" applyBorder="1" applyAlignment="1">
      <alignment horizontal="left" wrapText="1"/>
    </xf>
    <xf numFmtId="0" fontId="0" fillId="0" borderId="0" xfId="0" applyAlignment="1">
      <alignment wrapText="1"/>
    </xf>
    <xf numFmtId="0" fontId="75" fillId="29" borderId="71" xfId="0" applyFont="1" applyFill="1" applyBorder="1" applyAlignment="1">
      <alignment horizontal="center" vertical="center" wrapText="1"/>
    </xf>
    <xf numFmtId="0" fontId="58" fillId="0" borderId="74" xfId="3" applyFont="1" applyBorder="1" applyAlignment="1">
      <alignment horizontal="left" vertical="center" wrapText="1"/>
    </xf>
    <xf numFmtId="0" fontId="58" fillId="0" borderId="55" xfId="3" applyFont="1" applyBorder="1" applyAlignment="1">
      <alignment horizontal="left" vertical="center" wrapText="1"/>
    </xf>
    <xf numFmtId="0" fontId="58" fillId="0" borderId="78" xfId="3" applyFont="1" applyBorder="1" applyAlignment="1">
      <alignment horizontal="left" vertical="center" wrapText="1"/>
    </xf>
    <xf numFmtId="0" fontId="62" fillId="6" borderId="57" xfId="0" applyFont="1" applyFill="1" applyBorder="1" applyAlignment="1">
      <alignment horizontal="center" vertical="center" wrapText="1"/>
    </xf>
    <xf numFmtId="0" fontId="27" fillId="0" borderId="85" xfId="0" applyFont="1" applyBorder="1" applyAlignment="1">
      <alignment horizontal="center" vertical="center" wrapText="1"/>
    </xf>
    <xf numFmtId="0" fontId="58" fillId="0" borderId="73" xfId="3" applyNumberFormat="1" applyFont="1" applyBorder="1" applyAlignment="1">
      <alignment horizontal="center" vertical="center" wrapText="1"/>
    </xf>
    <xf numFmtId="0" fontId="58" fillId="0" borderId="66" xfId="3" quotePrefix="1" applyNumberFormat="1" applyFont="1" applyBorder="1" applyAlignment="1">
      <alignment horizontal="center" vertical="center" wrapText="1"/>
    </xf>
    <xf numFmtId="0" fontId="58" fillId="0" borderId="66" xfId="3" applyNumberFormat="1" applyFont="1" applyBorder="1" applyAlignment="1">
      <alignment horizontal="center" vertical="center" wrapText="1"/>
    </xf>
    <xf numFmtId="0" fontId="58" fillId="0" borderId="77" xfId="3" applyNumberFormat="1" applyFont="1" applyBorder="1" applyAlignment="1">
      <alignment horizontal="center" vertical="center" wrapText="1"/>
    </xf>
    <xf numFmtId="0" fontId="49" fillId="0" borderId="66" xfId="3" applyNumberFormat="1" applyFont="1" applyBorder="1" applyAlignment="1">
      <alignment horizontal="center" vertical="center" wrapText="1"/>
    </xf>
    <xf numFmtId="0" fontId="59" fillId="0" borderId="66" xfId="3" applyNumberFormat="1" applyFont="1" applyBorder="1" applyAlignment="1">
      <alignment horizontal="center" vertical="center" wrapText="1"/>
    </xf>
    <xf numFmtId="0" fontId="49" fillId="0" borderId="77" xfId="3" applyNumberFormat="1" applyFont="1" applyBorder="1" applyAlignment="1">
      <alignment horizontal="center" vertical="center" wrapText="1"/>
    </xf>
    <xf numFmtId="0" fontId="49" fillId="33" borderId="73" xfId="3" quotePrefix="1" applyNumberFormat="1" applyFont="1" applyFill="1" applyBorder="1" applyAlignment="1">
      <alignment horizontal="left" vertical="center" wrapText="1"/>
    </xf>
    <xf numFmtId="0" fontId="49" fillId="33" borderId="66" xfId="3" quotePrefix="1" applyNumberFormat="1" applyFont="1" applyFill="1" applyBorder="1" applyAlignment="1">
      <alignment horizontal="left" vertical="center" wrapText="1"/>
    </xf>
    <xf numFmtId="0" fontId="49" fillId="33" borderId="77" xfId="3" quotePrefix="1" applyNumberFormat="1" applyFont="1" applyFill="1" applyBorder="1" applyAlignment="1">
      <alignment horizontal="left" vertical="center" wrapText="1"/>
    </xf>
    <xf numFmtId="0" fontId="59" fillId="0" borderId="0" xfId="3" applyFont="1" applyBorder="1" applyAlignment="1">
      <alignment horizontal="center" wrapText="1"/>
    </xf>
    <xf numFmtId="0" fontId="30" fillId="0" borderId="78" xfId="0" applyFont="1" applyBorder="1" applyAlignment="1">
      <alignment horizontal="left" vertical="center"/>
    </xf>
    <xf numFmtId="0" fontId="30" fillId="0" borderId="91" xfId="0" applyFont="1" applyBorder="1" applyAlignment="1">
      <alignment horizontal="left" vertical="center"/>
    </xf>
    <xf numFmtId="0" fontId="30" fillId="0" borderId="92" xfId="0" applyFont="1" applyBorder="1" applyAlignment="1">
      <alignment horizontal="left" vertical="center"/>
    </xf>
    <xf numFmtId="0" fontId="30" fillId="0" borderId="85" xfId="0" applyFont="1" applyBorder="1" applyAlignment="1">
      <alignment horizontal="left" vertical="center"/>
    </xf>
    <xf numFmtId="0" fontId="30" fillId="0" borderId="89" xfId="0" applyFont="1" applyBorder="1" applyAlignment="1">
      <alignment horizontal="left" vertical="center"/>
    </xf>
    <xf numFmtId="0" fontId="30" fillId="0" borderId="90" xfId="0" applyFont="1" applyBorder="1" applyAlignment="1">
      <alignment horizontal="left" vertical="center"/>
    </xf>
    <xf numFmtId="0" fontId="62" fillId="6" borderId="71" xfId="0" applyFont="1" applyFill="1" applyBorder="1" applyAlignment="1">
      <alignment horizontal="left" vertical="center" wrapText="1"/>
    </xf>
    <xf numFmtId="0" fontId="62" fillId="6" borderId="65" xfId="0" applyFont="1" applyFill="1" applyBorder="1" applyAlignment="1">
      <alignment horizontal="left" vertical="center" wrapText="1"/>
    </xf>
    <xf numFmtId="0" fontId="62" fillId="6" borderId="3" xfId="0" applyFont="1" applyFill="1" applyBorder="1" applyAlignment="1">
      <alignment horizontal="left" vertical="center" wrapText="1"/>
    </xf>
    <xf numFmtId="0" fontId="30" fillId="0" borderId="74" xfId="0" applyFont="1" applyBorder="1" applyAlignment="1">
      <alignment horizontal="left" vertical="center"/>
    </xf>
    <xf numFmtId="0" fontId="30" fillId="0" borderId="87" xfId="0" applyFont="1" applyBorder="1" applyAlignment="1">
      <alignment horizontal="left" vertical="center"/>
    </xf>
    <xf numFmtId="0" fontId="30" fillId="0" borderId="88" xfId="0" applyFont="1" applyBorder="1" applyAlignment="1">
      <alignment horizontal="left" vertical="center"/>
    </xf>
    <xf numFmtId="0" fontId="0" fillId="0" borderId="0" xfId="0" applyAlignment="1">
      <alignment horizontal="left" wrapText="1"/>
    </xf>
    <xf numFmtId="0" fontId="23" fillId="3" borderId="23" xfId="0" applyFont="1" applyFill="1" applyBorder="1" applyAlignment="1">
      <alignment horizontal="center" vertical="top" wrapText="1"/>
    </xf>
    <xf numFmtId="0" fontId="23" fillId="3" borderId="0" xfId="0" applyFont="1" applyFill="1" applyAlignment="1">
      <alignment horizontal="center" vertical="top" wrapText="1"/>
    </xf>
    <xf numFmtId="0" fontId="23" fillId="3" borderId="24" xfId="0" applyFont="1" applyFill="1" applyBorder="1" applyAlignment="1">
      <alignment horizontal="center" vertical="top" wrapText="1"/>
    </xf>
    <xf numFmtId="0" fontId="23" fillId="3" borderId="25" xfId="0" applyFont="1" applyFill="1" applyBorder="1" applyAlignment="1">
      <alignment wrapText="1"/>
    </xf>
    <xf numFmtId="0" fontId="23" fillId="3" borderId="26" xfId="0" applyFont="1" applyFill="1" applyBorder="1" applyAlignment="1">
      <alignment wrapText="1"/>
    </xf>
    <xf numFmtId="0" fontId="23" fillId="3" borderId="27" xfId="0" applyFont="1" applyFill="1" applyBorder="1" applyAlignment="1">
      <alignment wrapText="1"/>
    </xf>
    <xf numFmtId="0" fontId="0" fillId="2" borderId="0" xfId="0" applyFill="1" applyAlignment="1">
      <alignment wrapText="1"/>
    </xf>
  </cellXfs>
  <cellStyles count="65">
    <cellStyle name="20% - 1. jelölőszín" xfId="4"/>
    <cellStyle name="20% - 2. jelölőszín" xfId="5"/>
    <cellStyle name="20% - 3. jelölőszín" xfId="6"/>
    <cellStyle name="20% - 4. jelölőszín" xfId="7"/>
    <cellStyle name="20% - 5. jelölőszín" xfId="8"/>
    <cellStyle name="20% - 6. jelölőszín" xfId="9"/>
    <cellStyle name="40% - 1. jelölőszín" xfId="10"/>
    <cellStyle name="40% - 2. jelölőszín" xfId="11"/>
    <cellStyle name="40% - 3. jelölőszín" xfId="12"/>
    <cellStyle name="40% - 4. jelölőszín" xfId="13"/>
    <cellStyle name="40% - 5. jelölőszín" xfId="14"/>
    <cellStyle name="40% - 6. jelölőszín" xfId="15"/>
    <cellStyle name="60% - 1. jelölőszín" xfId="16"/>
    <cellStyle name="60% - 2. jelölőszín" xfId="17"/>
    <cellStyle name="60% - 3. jelölőszín" xfId="18"/>
    <cellStyle name="60% - 4. jelölőszín" xfId="19"/>
    <cellStyle name="60% - 5. jelölőszín" xfId="20"/>
    <cellStyle name="60% - 6. jelölőszín" xfId="21"/>
    <cellStyle name="Bevitel" xfId="22"/>
    <cellStyle name="Cím" xfId="23"/>
    <cellStyle name="Címsor 1" xfId="24"/>
    <cellStyle name="Címsor 2" xfId="25"/>
    <cellStyle name="Címsor 3" xfId="26"/>
    <cellStyle name="Címsor 4" xfId="27"/>
    <cellStyle name="Ellenőrzőcella" xfId="28"/>
    <cellStyle name="Figyelmeztetés" xfId="29"/>
    <cellStyle name="Hivatkozás" xfId="50" builtinId="8"/>
    <cellStyle name="Hivatkozott cella" xfId="30"/>
    <cellStyle name="Jegyzet" xfId="31"/>
    <cellStyle name="Jelölőszín (1)" xfId="32"/>
    <cellStyle name="Jelölőszín (2)" xfId="33"/>
    <cellStyle name="Jelölőszín (3)" xfId="34"/>
    <cellStyle name="Jelölőszín (4)" xfId="35"/>
    <cellStyle name="Jelölőszín (5)" xfId="36"/>
    <cellStyle name="Jelölőszín (6)" xfId="37"/>
    <cellStyle name="Jó" xfId="38"/>
    <cellStyle name="Kimenet" xfId="39"/>
    <cellStyle name="Magyarázó szöveg" xfId="40"/>
    <cellStyle name="Normál" xfId="0" builtinId="0"/>
    <cellStyle name="Normal 10" xfId="61"/>
    <cellStyle name="Normal 11 2" xfId="62"/>
    <cellStyle name="Normal 2" xfId="1"/>
    <cellStyle name="Normál 2" xfId="54"/>
    <cellStyle name="Normal 2 2" xfId="47"/>
    <cellStyle name="Normal 2 3" xfId="48"/>
    <cellStyle name="Normal 2 4" xfId="52"/>
    <cellStyle name="Normal 3" xfId="49"/>
    <cellStyle name="Normal 3 2" xfId="55"/>
    <cellStyle name="Normal 3 5" xfId="63"/>
    <cellStyle name="Normal 4" xfId="51"/>
    <cellStyle name="Normal 4 2" xfId="56"/>
    <cellStyle name="Normal 4 3" xfId="57"/>
    <cellStyle name="Normal 4 6" xfId="64"/>
    <cellStyle name="Normal 5" xfId="58"/>
    <cellStyle name="Normal 6" xfId="59"/>
    <cellStyle name="Normal 7" xfId="60"/>
    <cellStyle name="Normal 8" xfId="53"/>
    <cellStyle name="Normal_ASM1" xfId="2"/>
    <cellStyle name="Normal_Kinetic matrix" xfId="3"/>
    <cellStyle name="Normal_Parameters" xfId="46"/>
    <cellStyle name="Normal_States_1" xfId="45"/>
    <cellStyle name="Összesen" xfId="41"/>
    <cellStyle name="Rossz" xfId="42"/>
    <cellStyle name="Semleges" xfId="43"/>
    <cellStyle name="Számítás" xfId="44"/>
  </cellStyles>
  <dxfs count="2">
    <dxf>
      <fill>
        <patternFill>
          <bgColor indexed="10"/>
        </patternFill>
      </fill>
    </dxf>
    <dxf>
      <fill>
        <patternFill>
          <bgColor indexed="10"/>
        </patternFill>
      </fill>
    </dxf>
  </dxfs>
  <tableStyles count="0" defaultTableStyle="TableStyleMedium9" defaultPivotStyle="PivotStyleLight16"/>
  <colors>
    <mruColors>
      <color rgb="FF498787"/>
      <color rgb="FF499687"/>
      <color rgb="FF498F87"/>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66675</xdr:colOff>
      <xdr:row>0</xdr:row>
      <xdr:rowOff>114300</xdr:rowOff>
    </xdr:from>
    <xdr:to>
      <xdr:col>4</xdr:col>
      <xdr:colOff>1066800</xdr:colOff>
      <xdr:row>0</xdr:row>
      <xdr:rowOff>514350</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19300" y="114300"/>
          <a:ext cx="1609725" cy="400050"/>
        </a:xfrm>
        <a:prstGeom prst="roundRect">
          <a:avLst/>
        </a:prstGeom>
        <a:solidFill>
          <a:srgbClr val="00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235</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231</xdr:row>
      <xdr:rowOff>80341</xdr:rowOff>
    </xdr:from>
    <xdr:ext cx="3455193" cy="622300"/>
    <xdr:pic>
      <xdr:nvPicPr>
        <xdr:cNvPr id="14" name="Picture 2">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143</xdr:row>
      <xdr:rowOff>114300</xdr:rowOff>
    </xdr:from>
    <xdr:to>
      <xdr:col>5</xdr:col>
      <xdr:colOff>476251</xdr:colOff>
      <xdr:row>146</xdr:row>
      <xdr:rowOff>133350</xdr:rowOff>
    </xdr:to>
    <xdr:sp macro="" textlink="">
      <xdr:nvSpPr>
        <xdr:cNvPr id="15" name="Curved Up Arrow 3">
          <a:extLst>
            <a:ext uri="{FF2B5EF4-FFF2-40B4-BE49-F238E27FC236}">
              <a16:creationId xmlns:a16="http://schemas.microsoft.com/office/drawing/2014/main" id="{00000000-0008-0000-00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327670</xdr:colOff>
      <xdr:row>10</xdr:row>
      <xdr:rowOff>30483</xdr:rowOff>
    </xdr:to>
    <xdr:pic>
      <xdr:nvPicPr>
        <xdr:cNvPr id="4" name="Kép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000875"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83344</xdr:colOff>
      <xdr:row>0</xdr:row>
      <xdr:rowOff>59531</xdr:rowOff>
    </xdr:from>
    <xdr:to>
      <xdr:col>2</xdr:col>
      <xdr:colOff>346869</xdr:colOff>
      <xdr:row>0</xdr:row>
      <xdr:rowOff>591344</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654844" y="59531"/>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377296</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119063</xdr:colOff>
      <xdr:row>0</xdr:row>
      <xdr:rowOff>71438</xdr:rowOff>
    </xdr:from>
    <xdr:to>
      <xdr:col>3</xdr:col>
      <xdr:colOff>1556545</xdr:colOff>
      <xdr:row>0</xdr:row>
      <xdr:rowOff>603251</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2012157" y="71438"/>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2</xdr:col>
      <xdr:colOff>295275</xdr:colOff>
      <xdr:row>0</xdr:row>
      <xdr:rowOff>466725</xdr:rowOff>
    </xdr:to>
    <xdr:sp macro="[0]!bt_pewpph" textlink="">
      <xdr:nvSpPr>
        <xdr:cNvPr id="2" name="bt_prepph">
          <a:extLst>
            <a:ext uri="{FF2B5EF4-FFF2-40B4-BE49-F238E27FC236}">
              <a16:creationId xmlns:a16="http://schemas.microsoft.com/office/drawing/2014/main" id="{00000000-0008-0000-03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1</xdr:col>
      <xdr:colOff>328345</xdr:colOff>
      <xdr:row>0</xdr:row>
      <xdr:rowOff>523875</xdr:rowOff>
    </xdr:to>
    <xdr:sp macro="[0]!bt_crkinma_click" textlink="">
      <xdr:nvSpPr>
        <xdr:cNvPr id="2" name="bt_crkinma">
          <a:extLst>
            <a:ext uri="{FF2B5EF4-FFF2-40B4-BE49-F238E27FC236}">
              <a16:creationId xmlns:a16="http://schemas.microsoft.com/office/drawing/2014/main" id="{00000000-0008-0000-05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1</xdr:col>
      <xdr:colOff>513708</xdr:colOff>
      <xdr:row>0</xdr:row>
      <xdr:rowOff>95250</xdr:rowOff>
    </xdr:from>
    <xdr:to>
      <xdr:col>2</xdr:col>
      <xdr:colOff>1354049</xdr:colOff>
      <xdr:row>0</xdr:row>
      <xdr:rowOff>523875</xdr:rowOff>
    </xdr:to>
    <xdr:sp macro="[0]!bt_chkst_click" textlink="">
      <xdr:nvSpPr>
        <xdr:cNvPr id="3" name="bt_chkst">
          <a:extLst>
            <a:ext uri="{FF2B5EF4-FFF2-40B4-BE49-F238E27FC236}">
              <a16:creationId xmlns:a16="http://schemas.microsoft.com/office/drawing/2014/main" id="{00000000-0008-0000-05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6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8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213163</xdr:colOff>
      <xdr:row>0</xdr:row>
      <xdr:rowOff>552450</xdr:rowOff>
    </xdr:to>
    <xdr:sp macro="[0]!bt_calcvar" textlink="">
      <xdr:nvSpPr>
        <xdr:cNvPr id="2" name="bt_calc">
          <a:extLst>
            <a:ext uri="{FF2B5EF4-FFF2-40B4-BE49-F238E27FC236}">
              <a16:creationId xmlns:a16="http://schemas.microsoft.com/office/drawing/2014/main" id="{00000000-0008-0000-09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A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E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600075</xdr:colOff>
      <xdr:row>0</xdr:row>
      <xdr:rowOff>0</xdr:rowOff>
    </xdr:from>
    <xdr:to>
      <xdr:col>2</xdr:col>
      <xdr:colOff>1238250</xdr:colOff>
      <xdr:row>0</xdr:row>
      <xdr:rowOff>428625</xdr:rowOff>
    </xdr:to>
    <xdr:sp macro="[0]!bt_creqma_click" textlink="">
      <xdr:nvSpPr>
        <xdr:cNvPr id="2" name="bt_creqma">
          <a:extLst>
            <a:ext uri="{FF2B5EF4-FFF2-40B4-BE49-F238E27FC236}">
              <a16:creationId xmlns:a16="http://schemas.microsoft.com/office/drawing/2014/main" id="{00000000-0008-0000-1000-000002000000}"/>
            </a:ext>
          </a:extLst>
        </xdr:cNvPr>
        <xdr:cNvSpPr/>
      </xdr:nvSpPr>
      <xdr:spPr>
        <a:xfrm>
          <a:off x="600075"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385602</xdr:colOff>
      <xdr:row>0</xdr:row>
      <xdr:rowOff>400050</xdr:rowOff>
    </xdr:to>
    <xdr:sp macro="[0]!bt_chksp_click" textlink="">
      <xdr:nvSpPr>
        <xdr:cNvPr id="3" name="bt_chksp">
          <a:extLst>
            <a:ext uri="{FF2B5EF4-FFF2-40B4-BE49-F238E27FC236}">
              <a16:creationId xmlns:a16="http://schemas.microsoft.com/office/drawing/2014/main" id="{00000000-0008-0000-1000-000003000000}"/>
            </a:ext>
          </a:extLst>
        </xdr:cNvPr>
        <xdr:cNvSpPr/>
      </xdr:nvSpPr>
      <xdr:spPr>
        <a:xfrm>
          <a:off x="2905125" y="0"/>
          <a:ext cx="1604802"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8.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9.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55"/>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140625" customWidth="1"/>
    <col min="6" max="6" width="28.140625" customWidth="1"/>
    <col min="7" max="7" width="13.28515625" customWidth="1"/>
    <col min="14" max="14" width="5.140625" customWidth="1"/>
  </cols>
  <sheetData>
    <row r="1" spans="1:10" s="45" customFormat="1" ht="47.25" customHeight="1" x14ac:dyDescent="0.25"/>
    <row r="3" spans="1:10" ht="15" customHeight="1" x14ac:dyDescent="0.25">
      <c r="B3" s="51" t="s">
        <v>151</v>
      </c>
      <c r="C3" t="s">
        <v>212</v>
      </c>
      <c r="D3" s="557" t="s">
        <v>1595</v>
      </c>
      <c r="E3" s="557"/>
      <c r="F3" s="557"/>
      <c r="G3" s="527"/>
      <c r="H3" s="527"/>
    </row>
    <row r="4" spans="1:10" x14ac:dyDescent="0.25">
      <c r="D4" s="557"/>
      <c r="E4" s="557"/>
      <c r="F4" s="557"/>
      <c r="G4" s="527"/>
      <c r="H4" s="527"/>
    </row>
    <row r="5" spans="1:10" x14ac:dyDescent="0.25">
      <c r="D5" s="557"/>
      <c r="E5" s="557"/>
      <c r="F5" s="557"/>
      <c r="I5" s="69"/>
    </row>
    <row r="11" spans="1:10" x14ac:dyDescent="0.25">
      <c r="H11" s="523" t="s">
        <v>1594</v>
      </c>
    </row>
    <row r="12" spans="1:10" x14ac:dyDescent="0.25">
      <c r="H12" s="523"/>
    </row>
    <row r="14" spans="1:10" x14ac:dyDescent="0.25">
      <c r="B14" s="51" t="s">
        <v>25</v>
      </c>
      <c r="C14" s="52"/>
      <c r="H14" s="51" t="s">
        <v>210</v>
      </c>
      <c r="I14" s="52"/>
      <c r="J14" s="52"/>
    </row>
    <row r="15" spans="1:10" x14ac:dyDescent="0.25">
      <c r="A15" s="164" t="s">
        <v>1110</v>
      </c>
      <c r="H15">
        <v>1</v>
      </c>
      <c r="I15" t="s">
        <v>211</v>
      </c>
    </row>
    <row r="16" spans="1:10" x14ac:dyDescent="0.25">
      <c r="A16">
        <v>1</v>
      </c>
      <c r="B16" t="s">
        <v>1111</v>
      </c>
      <c r="H16">
        <v>2</v>
      </c>
      <c r="I16" t="s">
        <v>1596</v>
      </c>
    </row>
    <row r="17" spans="1:5" x14ac:dyDescent="0.25">
      <c r="A17">
        <v>2</v>
      </c>
      <c r="B17" t="s">
        <v>1112</v>
      </c>
    </row>
    <row r="18" spans="1:5" x14ac:dyDescent="0.25">
      <c r="B18">
        <v>1</v>
      </c>
      <c r="C18" t="s">
        <v>1113</v>
      </c>
    </row>
    <row r="19" spans="1:5" x14ac:dyDescent="0.25">
      <c r="B19">
        <v>2</v>
      </c>
      <c r="C19" t="s">
        <v>1114</v>
      </c>
    </row>
    <row r="20" spans="1:5" x14ac:dyDescent="0.25">
      <c r="B20">
        <v>3</v>
      </c>
      <c r="C20" t="s">
        <v>1115</v>
      </c>
    </row>
    <row r="21" spans="1:5" x14ac:dyDescent="0.25">
      <c r="B21">
        <v>4</v>
      </c>
      <c r="C21" t="s">
        <v>1116</v>
      </c>
    </row>
    <row r="22" spans="1:5" x14ac:dyDescent="0.25">
      <c r="B22">
        <v>5</v>
      </c>
      <c r="C22" t="s">
        <v>1117</v>
      </c>
    </row>
    <row r="23" spans="1:5" x14ac:dyDescent="0.25">
      <c r="A23">
        <v>3</v>
      </c>
      <c r="B23" t="s">
        <v>1118</v>
      </c>
    </row>
    <row r="24" spans="1:5" x14ac:dyDescent="0.25">
      <c r="C24" t="s">
        <v>1119</v>
      </c>
    </row>
    <row r="26" spans="1:5" x14ac:dyDescent="0.25">
      <c r="A26" s="1" t="s">
        <v>26</v>
      </c>
      <c r="B26" s="1" t="s">
        <v>27</v>
      </c>
    </row>
    <row r="27" spans="1:5" x14ac:dyDescent="0.25">
      <c r="B27">
        <v>1</v>
      </c>
      <c r="C27" t="s">
        <v>1014</v>
      </c>
    </row>
    <row r="28" spans="1:5" x14ac:dyDescent="0.25">
      <c r="D28" t="s">
        <v>28</v>
      </c>
    </row>
    <row r="29" spans="1:5" x14ac:dyDescent="0.25">
      <c r="D29">
        <v>1</v>
      </c>
      <c r="E29" t="s">
        <v>29</v>
      </c>
    </row>
    <row r="30" spans="1:5" x14ac:dyDescent="0.25">
      <c r="D30">
        <v>2</v>
      </c>
      <c r="E30" t="s">
        <v>99</v>
      </c>
    </row>
    <row r="31" spans="1:5" x14ac:dyDescent="0.25">
      <c r="D31">
        <v>3</v>
      </c>
      <c r="E31" t="s">
        <v>152</v>
      </c>
    </row>
    <row r="32" spans="1:5" x14ac:dyDescent="0.25">
      <c r="D32">
        <v>4</v>
      </c>
      <c r="E32" t="s">
        <v>31</v>
      </c>
    </row>
    <row r="33" spans="2:5" x14ac:dyDescent="0.25">
      <c r="B33">
        <v>2</v>
      </c>
      <c r="C33" t="s">
        <v>1015</v>
      </c>
    </row>
    <row r="34" spans="2:5" x14ac:dyDescent="0.25">
      <c r="D34">
        <v>1</v>
      </c>
      <c r="E34" t="s">
        <v>32</v>
      </c>
    </row>
    <row r="35" spans="2:5" x14ac:dyDescent="0.25">
      <c r="D35">
        <v>2</v>
      </c>
      <c r="E35" t="s">
        <v>153</v>
      </c>
    </row>
    <row r="36" spans="2:5" x14ac:dyDescent="0.25">
      <c r="D36">
        <v>3</v>
      </c>
      <c r="E36" t="s">
        <v>154</v>
      </c>
    </row>
    <row r="37" spans="2:5" x14ac:dyDescent="0.25">
      <c r="D37">
        <v>3</v>
      </c>
      <c r="E37" t="s">
        <v>155</v>
      </c>
    </row>
    <row r="38" spans="2:5" x14ac:dyDescent="0.25">
      <c r="D38">
        <v>4</v>
      </c>
      <c r="E38" t="s">
        <v>156</v>
      </c>
    </row>
    <row r="39" spans="2:5" x14ac:dyDescent="0.25">
      <c r="D39" s="165" t="s">
        <v>157</v>
      </c>
      <c r="E39" t="s">
        <v>34</v>
      </c>
    </row>
    <row r="40" spans="2:5" x14ac:dyDescent="0.25">
      <c r="D40">
        <v>6</v>
      </c>
      <c r="E40" t="s">
        <v>35</v>
      </c>
    </row>
    <row r="41" spans="2:5" x14ac:dyDescent="0.25">
      <c r="B41">
        <v>3</v>
      </c>
      <c r="C41" t="s">
        <v>36</v>
      </c>
    </row>
    <row r="42" spans="2:5" x14ac:dyDescent="0.25">
      <c r="D42">
        <v>1</v>
      </c>
      <c r="E42" t="s">
        <v>37</v>
      </c>
    </row>
    <row r="43" spans="2:5" x14ac:dyDescent="0.25">
      <c r="D43">
        <v>2</v>
      </c>
      <c r="E43" t="s">
        <v>38</v>
      </c>
    </row>
    <row r="44" spans="2:5" x14ac:dyDescent="0.25">
      <c r="D44">
        <v>3</v>
      </c>
      <c r="E44" t="s">
        <v>39</v>
      </c>
    </row>
    <row r="45" spans="2:5" x14ac:dyDescent="0.25">
      <c r="B45">
        <v>4</v>
      </c>
      <c r="C45" t="s">
        <v>158</v>
      </c>
    </row>
    <row r="46" spans="2:5" x14ac:dyDescent="0.25">
      <c r="D46">
        <v>1</v>
      </c>
      <c r="E46" t="s">
        <v>159</v>
      </c>
    </row>
    <row r="47" spans="2:5" x14ac:dyDescent="0.25">
      <c r="B47">
        <v>5</v>
      </c>
      <c r="C47" t="s">
        <v>1015</v>
      </c>
    </row>
    <row r="48" spans="2:5" x14ac:dyDescent="0.25">
      <c r="D48">
        <v>1</v>
      </c>
      <c r="E48" t="s">
        <v>40</v>
      </c>
    </row>
    <row r="49" spans="2:10" x14ac:dyDescent="0.25">
      <c r="D49">
        <v>2</v>
      </c>
      <c r="E49" t="s">
        <v>97</v>
      </c>
    </row>
    <row r="50" spans="2:10" x14ac:dyDescent="0.25">
      <c r="D50">
        <v>3</v>
      </c>
      <c r="E50" t="s">
        <v>41</v>
      </c>
    </row>
    <row r="51" spans="2:10" x14ac:dyDescent="0.25">
      <c r="B51">
        <v>6</v>
      </c>
      <c r="C51" t="s">
        <v>1597</v>
      </c>
      <c r="J51" s="166"/>
    </row>
    <row r="52" spans="2:10" x14ac:dyDescent="0.25">
      <c r="D52">
        <v>1</v>
      </c>
      <c r="E52" t="s">
        <v>1598</v>
      </c>
    </row>
    <row r="53" spans="2:10" x14ac:dyDescent="0.25">
      <c r="D53">
        <v>2</v>
      </c>
      <c r="E53" t="s">
        <v>1599</v>
      </c>
    </row>
    <row r="54" spans="2:10" x14ac:dyDescent="0.25">
      <c r="D54">
        <v>3</v>
      </c>
      <c r="E54" t="s">
        <v>1600</v>
      </c>
    </row>
    <row r="55" spans="2:10" x14ac:dyDescent="0.25">
      <c r="D55">
        <v>4</v>
      </c>
      <c r="E55" t="s">
        <v>1601</v>
      </c>
    </row>
    <row r="57" spans="2:10" x14ac:dyDescent="0.25">
      <c r="B57" s="1" t="s">
        <v>1016</v>
      </c>
    </row>
    <row r="58" spans="2:10" x14ac:dyDescent="0.25">
      <c r="B58">
        <v>1</v>
      </c>
      <c r="C58" t="s">
        <v>1017</v>
      </c>
    </row>
    <row r="59" spans="2:10" x14ac:dyDescent="0.25">
      <c r="D59" t="s">
        <v>42</v>
      </c>
    </row>
    <row r="60" spans="2:10" x14ac:dyDescent="0.25">
      <c r="D60">
        <v>1</v>
      </c>
      <c r="E60" t="s">
        <v>43</v>
      </c>
    </row>
    <row r="61" spans="2:10" x14ac:dyDescent="0.25">
      <c r="D61">
        <v>2</v>
      </c>
      <c r="E61" t="s">
        <v>44</v>
      </c>
    </row>
    <row r="62" spans="2:10" x14ac:dyDescent="0.25">
      <c r="D62">
        <v>3</v>
      </c>
      <c r="E62" t="s">
        <v>117</v>
      </c>
    </row>
    <row r="63" spans="2:10" x14ac:dyDescent="0.25">
      <c r="D63">
        <v>4</v>
      </c>
      <c r="E63" t="s">
        <v>1602</v>
      </c>
    </row>
    <row r="64" spans="2:10" x14ac:dyDescent="0.25">
      <c r="B64">
        <v>2</v>
      </c>
      <c r="C64" t="s">
        <v>1018</v>
      </c>
    </row>
    <row r="65" spans="1:5" x14ac:dyDescent="0.25">
      <c r="D65">
        <v>1</v>
      </c>
      <c r="E65" t="s">
        <v>160</v>
      </c>
    </row>
    <row r="66" spans="1:5" x14ac:dyDescent="0.25">
      <c r="D66">
        <v>2</v>
      </c>
      <c r="E66" t="s">
        <v>161</v>
      </c>
    </row>
    <row r="67" spans="1:5" x14ac:dyDescent="0.25">
      <c r="B67">
        <v>3</v>
      </c>
      <c r="C67" t="s">
        <v>1603</v>
      </c>
    </row>
    <row r="68" spans="1:5" x14ac:dyDescent="0.25">
      <c r="D68">
        <v>1</v>
      </c>
      <c r="E68" t="s">
        <v>1604</v>
      </c>
    </row>
    <row r="69" spans="1:5" x14ac:dyDescent="0.25">
      <c r="B69">
        <v>4</v>
      </c>
      <c r="C69" t="s">
        <v>1605</v>
      </c>
    </row>
    <row r="70" spans="1:5" x14ac:dyDescent="0.25">
      <c r="D70">
        <v>1</v>
      </c>
      <c r="E70" t="s">
        <v>1606</v>
      </c>
    </row>
    <row r="71" spans="1:5" x14ac:dyDescent="0.25">
      <c r="D71">
        <v>2</v>
      </c>
      <c r="E71" t="s">
        <v>1607</v>
      </c>
    </row>
    <row r="72" spans="1:5" x14ac:dyDescent="0.25">
      <c r="D72">
        <v>3</v>
      </c>
      <c r="E72" t="s">
        <v>1608</v>
      </c>
    </row>
    <row r="74" spans="1:5" x14ac:dyDescent="0.25">
      <c r="B74">
        <v>5</v>
      </c>
      <c r="C74" t="s">
        <v>1018</v>
      </c>
    </row>
    <row r="75" spans="1:5" x14ac:dyDescent="0.25">
      <c r="D75">
        <v>1</v>
      </c>
      <c r="E75" t="s">
        <v>45</v>
      </c>
    </row>
    <row r="76" spans="1:5" x14ac:dyDescent="0.25">
      <c r="D76">
        <v>2</v>
      </c>
      <c r="E76" t="s">
        <v>162</v>
      </c>
    </row>
    <row r="78" spans="1:5" x14ac:dyDescent="0.25">
      <c r="A78" s="1" t="s">
        <v>46</v>
      </c>
      <c r="B78" s="1" t="s">
        <v>47</v>
      </c>
    </row>
    <row r="79" spans="1:5" x14ac:dyDescent="0.25">
      <c r="B79">
        <v>1</v>
      </c>
      <c r="C79" t="s">
        <v>1014</v>
      </c>
    </row>
    <row r="80" spans="1:5" x14ac:dyDescent="0.25">
      <c r="D80" t="s">
        <v>28</v>
      </c>
    </row>
    <row r="81" spans="2:6" x14ac:dyDescent="0.25">
      <c r="D81">
        <v>1</v>
      </c>
      <c r="E81" t="s">
        <v>48</v>
      </c>
    </row>
    <row r="82" spans="2:6" x14ac:dyDescent="0.25">
      <c r="D82">
        <v>2</v>
      </c>
      <c r="E82" t="s">
        <v>100</v>
      </c>
    </row>
    <row r="83" spans="2:6" x14ac:dyDescent="0.25">
      <c r="D83">
        <v>3</v>
      </c>
      <c r="E83" t="s">
        <v>30</v>
      </c>
    </row>
    <row r="84" spans="2:6" x14ac:dyDescent="0.25">
      <c r="E84" s="494" t="s">
        <v>49</v>
      </c>
      <c r="F84" t="s">
        <v>50</v>
      </c>
    </row>
    <row r="85" spans="2:6" x14ac:dyDescent="0.25">
      <c r="E85" s="494" t="s">
        <v>51</v>
      </c>
      <c r="F85" t="s">
        <v>1609</v>
      </c>
    </row>
    <row r="86" spans="2:6" x14ac:dyDescent="0.25">
      <c r="F86" t="s">
        <v>52</v>
      </c>
    </row>
    <row r="87" spans="2:6" x14ac:dyDescent="0.25">
      <c r="B87">
        <v>2</v>
      </c>
      <c r="C87" t="s">
        <v>1015</v>
      </c>
    </row>
    <row r="88" spans="2:6" x14ac:dyDescent="0.25">
      <c r="D88">
        <v>1</v>
      </c>
      <c r="E88" t="s">
        <v>53</v>
      </c>
    </row>
    <row r="89" spans="2:6" x14ac:dyDescent="0.25">
      <c r="D89">
        <v>2</v>
      </c>
      <c r="E89" t="s">
        <v>153</v>
      </c>
    </row>
    <row r="90" spans="2:6" x14ac:dyDescent="0.25">
      <c r="D90" s="165" t="s">
        <v>33</v>
      </c>
      <c r="E90" t="s">
        <v>34</v>
      </c>
    </row>
    <row r="91" spans="2:6" x14ac:dyDescent="0.25">
      <c r="D91">
        <v>4</v>
      </c>
      <c r="E91" t="s">
        <v>54</v>
      </c>
    </row>
    <row r="92" spans="2:6" x14ac:dyDescent="0.25">
      <c r="B92">
        <v>3</v>
      </c>
      <c r="C92" t="s">
        <v>36</v>
      </c>
    </row>
    <row r="93" spans="2:6" x14ac:dyDescent="0.25">
      <c r="D93">
        <v>1</v>
      </c>
      <c r="E93" t="s">
        <v>55</v>
      </c>
    </row>
    <row r="94" spans="2:6" x14ac:dyDescent="0.25">
      <c r="D94">
        <v>2</v>
      </c>
      <c r="E94" t="s">
        <v>38</v>
      </c>
    </row>
    <row r="95" spans="2:6" x14ac:dyDescent="0.25">
      <c r="D95">
        <v>3</v>
      </c>
      <c r="E95" t="s">
        <v>39</v>
      </c>
    </row>
    <row r="96" spans="2:6" x14ac:dyDescent="0.25">
      <c r="B96">
        <v>4</v>
      </c>
      <c r="C96" t="s">
        <v>158</v>
      </c>
    </row>
    <row r="97" spans="2:10" x14ac:dyDescent="0.25">
      <c r="D97">
        <v>1</v>
      </c>
      <c r="E97" t="s">
        <v>159</v>
      </c>
    </row>
    <row r="98" spans="2:10" x14ac:dyDescent="0.25">
      <c r="B98">
        <v>5</v>
      </c>
      <c r="C98" t="s">
        <v>1015</v>
      </c>
    </row>
    <row r="99" spans="2:10" x14ac:dyDescent="0.25">
      <c r="D99">
        <v>1</v>
      </c>
      <c r="E99" t="s">
        <v>40</v>
      </c>
    </row>
    <row r="100" spans="2:10" x14ac:dyDescent="0.25">
      <c r="D100">
        <v>2</v>
      </c>
      <c r="E100" t="s">
        <v>97</v>
      </c>
    </row>
    <row r="101" spans="2:10" x14ac:dyDescent="0.25">
      <c r="D101">
        <v>3</v>
      </c>
      <c r="E101" t="s">
        <v>41</v>
      </c>
      <c r="J101" s="166"/>
    </row>
    <row r="102" spans="2:10" x14ac:dyDescent="0.25">
      <c r="B102">
        <v>6</v>
      </c>
      <c r="C102" t="s">
        <v>1597</v>
      </c>
    </row>
    <row r="103" spans="2:10" x14ac:dyDescent="0.25">
      <c r="D103">
        <v>1</v>
      </c>
      <c r="E103" t="s">
        <v>1598</v>
      </c>
    </row>
    <row r="104" spans="2:10" x14ac:dyDescent="0.25">
      <c r="D104">
        <v>2</v>
      </c>
      <c r="E104" t="s">
        <v>1599</v>
      </c>
    </row>
    <row r="105" spans="2:10" x14ac:dyDescent="0.25">
      <c r="D105">
        <v>3</v>
      </c>
      <c r="E105" t="s">
        <v>1600</v>
      </c>
    </row>
    <row r="106" spans="2:10" x14ac:dyDescent="0.25">
      <c r="D106">
        <v>4</v>
      </c>
      <c r="E106" t="s">
        <v>1601</v>
      </c>
    </row>
    <row r="107" spans="2:10" x14ac:dyDescent="0.25">
      <c r="B107" s="1" t="s">
        <v>56</v>
      </c>
    </row>
    <row r="108" spans="2:10" x14ac:dyDescent="0.25">
      <c r="B108">
        <v>1</v>
      </c>
      <c r="C108" t="s">
        <v>1017</v>
      </c>
    </row>
    <row r="109" spans="2:10" x14ac:dyDescent="0.25">
      <c r="D109" t="s">
        <v>42</v>
      </c>
    </row>
    <row r="110" spans="2:10" x14ac:dyDescent="0.25">
      <c r="D110">
        <v>1</v>
      </c>
      <c r="E110" t="s">
        <v>57</v>
      </c>
    </row>
    <row r="111" spans="2:10" x14ac:dyDescent="0.25">
      <c r="D111">
        <v>2</v>
      </c>
      <c r="E111" t="s">
        <v>44</v>
      </c>
    </row>
    <row r="112" spans="2:10" x14ac:dyDescent="0.25">
      <c r="E112" s="494" t="s">
        <v>49</v>
      </c>
      <c r="F112" t="s">
        <v>58</v>
      </c>
    </row>
    <row r="113" spans="2:6" x14ac:dyDescent="0.25">
      <c r="E113" s="494" t="s">
        <v>51</v>
      </c>
      <c r="F113" t="s">
        <v>59</v>
      </c>
    </row>
    <row r="114" spans="2:6" x14ac:dyDescent="0.25">
      <c r="F114" t="s">
        <v>60</v>
      </c>
    </row>
    <row r="115" spans="2:6" x14ac:dyDescent="0.25">
      <c r="D115">
        <v>3</v>
      </c>
      <c r="E115" t="s">
        <v>1602</v>
      </c>
    </row>
    <row r="116" spans="2:6" x14ac:dyDescent="0.25">
      <c r="B116">
        <v>2</v>
      </c>
      <c r="C116" t="s">
        <v>1018</v>
      </c>
    </row>
    <row r="117" spans="2:6" x14ac:dyDescent="0.25">
      <c r="D117">
        <v>1</v>
      </c>
      <c r="E117" t="s">
        <v>61</v>
      </c>
    </row>
    <row r="118" spans="2:6" x14ac:dyDescent="0.25">
      <c r="D118">
        <v>2</v>
      </c>
      <c r="E118" t="s">
        <v>161</v>
      </c>
    </row>
    <row r="119" spans="2:6" x14ac:dyDescent="0.25">
      <c r="E119" t="s">
        <v>1610</v>
      </c>
    </row>
    <row r="120" spans="2:6" x14ac:dyDescent="0.25">
      <c r="B120">
        <v>3</v>
      </c>
      <c r="C120" t="s">
        <v>1603</v>
      </c>
    </row>
    <row r="121" spans="2:6" x14ac:dyDescent="0.25">
      <c r="D121">
        <v>1</v>
      </c>
      <c r="E121" t="s">
        <v>1604</v>
      </c>
    </row>
    <row r="122" spans="2:6" x14ac:dyDescent="0.25">
      <c r="B122">
        <v>4</v>
      </c>
      <c r="C122" t="s">
        <v>1605</v>
      </c>
    </row>
    <row r="123" spans="2:6" x14ac:dyDescent="0.25">
      <c r="D123">
        <v>1</v>
      </c>
      <c r="E123" t="s">
        <v>1606</v>
      </c>
    </row>
    <row r="124" spans="2:6" x14ac:dyDescent="0.25">
      <c r="D124">
        <v>2</v>
      </c>
      <c r="E124" t="s">
        <v>1607</v>
      </c>
    </row>
    <row r="125" spans="2:6" x14ac:dyDescent="0.25">
      <c r="D125">
        <v>3</v>
      </c>
      <c r="E125" t="s">
        <v>1611</v>
      </c>
    </row>
    <row r="126" spans="2:6" x14ac:dyDescent="0.25">
      <c r="D126">
        <v>4</v>
      </c>
      <c r="E126" t="s">
        <v>1608</v>
      </c>
    </row>
    <row r="127" spans="2:6" x14ac:dyDescent="0.25">
      <c r="B127">
        <v>5</v>
      </c>
      <c r="C127" t="s">
        <v>1018</v>
      </c>
    </row>
    <row r="128" spans="2:6" x14ac:dyDescent="0.25">
      <c r="D128">
        <v>1</v>
      </c>
      <c r="E128" t="s">
        <v>45</v>
      </c>
    </row>
    <row r="133" spans="2:7" x14ac:dyDescent="0.25">
      <c r="B133" s="51" t="s">
        <v>62</v>
      </c>
      <c r="C133" s="51"/>
      <c r="D133" s="51"/>
    </row>
    <row r="135" spans="2:7" x14ac:dyDescent="0.25">
      <c r="B135" s="1" t="s">
        <v>63</v>
      </c>
      <c r="C135" t="s">
        <v>64</v>
      </c>
    </row>
    <row r="136" spans="2:7" x14ac:dyDescent="0.25">
      <c r="C136" t="s">
        <v>65</v>
      </c>
    </row>
    <row r="137" spans="2:7" x14ac:dyDescent="0.25">
      <c r="C137" t="s">
        <v>123</v>
      </c>
    </row>
    <row r="138" spans="2:7" ht="15.75" thickBot="1" x14ac:dyDescent="0.3">
      <c r="C138" s="495"/>
      <c r="D138" s="496"/>
      <c r="E138" s="496"/>
      <c r="F138" s="496"/>
      <c r="G138" s="495"/>
    </row>
    <row r="139" spans="2:7" x14ac:dyDescent="0.25">
      <c r="C139" s="497"/>
      <c r="D139" s="498" t="s">
        <v>24</v>
      </c>
      <c r="E139" s="499"/>
      <c r="F139" s="500">
        <v>3.52</v>
      </c>
      <c r="G139" s="501"/>
    </row>
    <row r="140" spans="2:7" x14ac:dyDescent="0.25">
      <c r="C140" s="497"/>
      <c r="D140" s="502" t="s">
        <v>66</v>
      </c>
      <c r="E140" s="503"/>
      <c r="F140" s="504">
        <v>1.23</v>
      </c>
      <c r="G140" s="501"/>
    </row>
    <row r="141" spans="2:7" x14ac:dyDescent="0.25">
      <c r="C141" s="497"/>
      <c r="D141" s="502" t="s">
        <v>67</v>
      </c>
      <c r="E141" s="503"/>
      <c r="F141" s="504">
        <v>0.02</v>
      </c>
      <c r="G141" s="501"/>
    </row>
    <row r="142" spans="2:7" ht="15.75" thickBot="1" x14ac:dyDescent="0.3">
      <c r="C142" s="497"/>
      <c r="D142" s="167" t="s">
        <v>68</v>
      </c>
      <c r="E142" s="505"/>
      <c r="F142" s="506">
        <v>4.21</v>
      </c>
      <c r="G142" s="501"/>
    </row>
    <row r="143" spans="2:7" x14ac:dyDescent="0.25">
      <c r="C143" s="495"/>
      <c r="D143" s="168"/>
      <c r="E143" s="168"/>
      <c r="F143" s="168"/>
      <c r="G143" s="495"/>
    </row>
    <row r="151" spans="2:4" x14ac:dyDescent="0.25">
      <c r="B151" s="1" t="s">
        <v>1014</v>
      </c>
    </row>
    <row r="152" spans="2:4" x14ac:dyDescent="0.25">
      <c r="C152" s="72" t="s">
        <v>69</v>
      </c>
    </row>
    <row r="153" spans="2:4" x14ac:dyDescent="0.25">
      <c r="C153" t="s">
        <v>70</v>
      </c>
    </row>
    <row r="154" spans="2:4" x14ac:dyDescent="0.25">
      <c r="C154" t="s">
        <v>71</v>
      </c>
    </row>
    <row r="155" spans="2:4" x14ac:dyDescent="0.25">
      <c r="C155" t="s">
        <v>72</v>
      </c>
    </row>
    <row r="157" spans="2:4" x14ac:dyDescent="0.25">
      <c r="C157" s="72" t="s">
        <v>73</v>
      </c>
    </row>
    <row r="158" spans="2:4" x14ac:dyDescent="0.25">
      <c r="C158" t="s">
        <v>74</v>
      </c>
    </row>
    <row r="159" spans="2:4" x14ac:dyDescent="0.25">
      <c r="D159" t="s">
        <v>14</v>
      </c>
    </row>
    <row r="160" spans="2:4" x14ac:dyDescent="0.25">
      <c r="C160" t="s">
        <v>101</v>
      </c>
    </row>
    <row r="162" spans="2:5" x14ac:dyDescent="0.25">
      <c r="B162" s="1" t="s">
        <v>1017</v>
      </c>
    </row>
    <row r="163" spans="2:5" x14ac:dyDescent="0.25">
      <c r="C163" s="72" t="s">
        <v>75</v>
      </c>
    </row>
    <row r="164" spans="2:5" x14ac:dyDescent="0.25">
      <c r="C164" t="s">
        <v>76</v>
      </c>
    </row>
    <row r="165" spans="2:5" x14ac:dyDescent="0.25">
      <c r="C165" t="s">
        <v>71</v>
      </c>
    </row>
    <row r="167" spans="2:5" x14ac:dyDescent="0.25">
      <c r="C167" s="72" t="s">
        <v>77</v>
      </c>
    </row>
    <row r="168" spans="2:5" x14ac:dyDescent="0.25">
      <c r="C168" s="170" t="s">
        <v>15</v>
      </c>
    </row>
    <row r="169" spans="2:5" x14ac:dyDescent="0.25">
      <c r="C169" s="170"/>
      <c r="D169" t="s">
        <v>14</v>
      </c>
    </row>
    <row r="170" spans="2:5" x14ac:dyDescent="0.25">
      <c r="C170" s="170"/>
    </row>
    <row r="171" spans="2:5" x14ac:dyDescent="0.25">
      <c r="B171" s="1" t="s">
        <v>1015</v>
      </c>
      <c r="C171" s="170"/>
    </row>
    <row r="172" spans="2:5" x14ac:dyDescent="0.25">
      <c r="C172" s="72" t="s">
        <v>102</v>
      </c>
    </row>
    <row r="173" spans="2:5" x14ac:dyDescent="0.25">
      <c r="C173" t="s">
        <v>103</v>
      </c>
    </row>
    <row r="174" spans="2:5" x14ac:dyDescent="0.25">
      <c r="D174" t="s">
        <v>78</v>
      </c>
    </row>
    <row r="175" spans="2:5" x14ac:dyDescent="0.25">
      <c r="E175" t="s">
        <v>79</v>
      </c>
    </row>
    <row r="176" spans="2:5" x14ac:dyDescent="0.25">
      <c r="E176" t="s">
        <v>80</v>
      </c>
    </row>
    <row r="177" spans="3:12" x14ac:dyDescent="0.25">
      <c r="D177" t="s">
        <v>16</v>
      </c>
    </row>
    <row r="178" spans="3:12" x14ac:dyDescent="0.25">
      <c r="E178" t="s">
        <v>17</v>
      </c>
    </row>
    <row r="179" spans="3:12" x14ac:dyDescent="0.25">
      <c r="E179" t="s">
        <v>10</v>
      </c>
    </row>
    <row r="180" spans="3:12" x14ac:dyDescent="0.25">
      <c r="E180" t="s">
        <v>81</v>
      </c>
    </row>
    <row r="181" spans="3:12" x14ac:dyDescent="0.25">
      <c r="D181" t="s">
        <v>82</v>
      </c>
    </row>
    <row r="182" spans="3:12" x14ac:dyDescent="0.25">
      <c r="D182" t="s">
        <v>98</v>
      </c>
    </row>
    <row r="183" spans="3:12" x14ac:dyDescent="0.25">
      <c r="D183" t="s">
        <v>18</v>
      </c>
    </row>
    <row r="184" spans="3:12" x14ac:dyDescent="0.25">
      <c r="C184" t="s">
        <v>104</v>
      </c>
    </row>
    <row r="186" spans="3:12" x14ac:dyDescent="0.25">
      <c r="D186" t="s">
        <v>1019</v>
      </c>
    </row>
    <row r="187" spans="3:12" ht="15.75" thickBot="1" x14ac:dyDescent="0.3"/>
    <row r="188" spans="3:12" ht="15.75" thickBot="1" x14ac:dyDescent="0.3">
      <c r="E188" s="507" t="s">
        <v>0</v>
      </c>
      <c r="F188" s="508" t="s">
        <v>1</v>
      </c>
      <c r="G188" s="551" t="s">
        <v>4</v>
      </c>
      <c r="H188" s="552"/>
      <c r="I188" s="552"/>
      <c r="J188" s="552"/>
      <c r="K188" s="552"/>
      <c r="L188" s="553"/>
    </row>
    <row r="189" spans="3:12" x14ac:dyDescent="0.25">
      <c r="E189" s="509" t="s">
        <v>163</v>
      </c>
      <c r="F189" s="366" t="s">
        <v>164</v>
      </c>
      <c r="G189" s="554" t="s">
        <v>165</v>
      </c>
      <c r="H189" s="555"/>
      <c r="I189" s="555"/>
      <c r="J189" s="555"/>
      <c r="K189" s="555"/>
      <c r="L189" s="556"/>
    </row>
    <row r="190" spans="3:12" x14ac:dyDescent="0.25">
      <c r="E190" s="422" t="s">
        <v>166</v>
      </c>
      <c r="F190" s="423" t="s">
        <v>167</v>
      </c>
      <c r="G190" s="548" t="s">
        <v>168</v>
      </c>
      <c r="H190" s="549"/>
      <c r="I190" s="549"/>
      <c r="J190" s="549"/>
      <c r="K190" s="549"/>
      <c r="L190" s="550"/>
    </row>
    <row r="191" spans="3:12" x14ac:dyDescent="0.25">
      <c r="E191" s="422" t="s">
        <v>169</v>
      </c>
      <c r="F191" s="423" t="s">
        <v>170</v>
      </c>
      <c r="G191" s="548" t="s">
        <v>171</v>
      </c>
      <c r="H191" s="549"/>
      <c r="I191" s="549"/>
      <c r="J191" s="549"/>
      <c r="K191" s="549"/>
      <c r="L191" s="550"/>
    </row>
    <row r="192" spans="3:12" x14ac:dyDescent="0.25">
      <c r="E192" s="422" t="s">
        <v>172</v>
      </c>
      <c r="F192" s="423" t="s">
        <v>173</v>
      </c>
      <c r="G192" s="548" t="s">
        <v>174</v>
      </c>
      <c r="H192" s="549"/>
      <c r="I192" s="549"/>
      <c r="J192" s="549"/>
      <c r="K192" s="549"/>
      <c r="L192" s="550"/>
    </row>
    <row r="193" spans="4:12" x14ac:dyDescent="0.25">
      <c r="E193" s="422" t="s">
        <v>175</v>
      </c>
      <c r="F193" s="423" t="s">
        <v>176</v>
      </c>
      <c r="G193" s="548" t="s">
        <v>177</v>
      </c>
      <c r="H193" s="549"/>
      <c r="I193" s="549"/>
      <c r="J193" s="549"/>
      <c r="K193" s="549"/>
      <c r="L193" s="550"/>
    </row>
    <row r="194" spans="4:12" x14ac:dyDescent="0.25">
      <c r="E194" s="422" t="s">
        <v>178</v>
      </c>
      <c r="F194" s="423" t="s">
        <v>179</v>
      </c>
      <c r="G194" s="548" t="s">
        <v>180</v>
      </c>
      <c r="H194" s="549"/>
      <c r="I194" s="549"/>
      <c r="J194" s="549"/>
      <c r="K194" s="549"/>
      <c r="L194" s="550"/>
    </row>
    <row r="195" spans="4:12" x14ac:dyDescent="0.25">
      <c r="E195" s="422" t="s">
        <v>181</v>
      </c>
      <c r="F195" s="423" t="s">
        <v>182</v>
      </c>
      <c r="G195" s="548" t="s">
        <v>183</v>
      </c>
      <c r="H195" s="549"/>
      <c r="I195" s="549"/>
      <c r="J195" s="549"/>
      <c r="K195" s="549"/>
      <c r="L195" s="550"/>
    </row>
    <row r="196" spans="4:12" x14ac:dyDescent="0.25">
      <c r="E196" s="422" t="s">
        <v>149</v>
      </c>
      <c r="F196" s="423" t="s">
        <v>147</v>
      </c>
      <c r="G196" s="548" t="s">
        <v>148</v>
      </c>
      <c r="H196" s="549"/>
      <c r="I196" s="549"/>
      <c r="J196" s="549"/>
      <c r="K196" s="549"/>
      <c r="L196" s="550"/>
    </row>
    <row r="197" spans="4:12" ht="15.75" thickBot="1" x14ac:dyDescent="0.3">
      <c r="E197" s="400" t="s">
        <v>184</v>
      </c>
      <c r="F197" s="474" t="s">
        <v>185</v>
      </c>
      <c r="G197" s="545" t="s">
        <v>186</v>
      </c>
      <c r="H197" s="546"/>
      <c r="I197" s="546"/>
      <c r="J197" s="546"/>
      <c r="K197" s="546"/>
      <c r="L197" s="547"/>
    </row>
    <row r="198" spans="4:12" x14ac:dyDescent="0.25">
      <c r="E198" s="43"/>
      <c r="F198" s="44"/>
      <c r="G198" s="44"/>
    </row>
    <row r="199" spans="4:12" ht="15.75" thickBot="1" x14ac:dyDescent="0.3">
      <c r="D199" t="s">
        <v>187</v>
      </c>
    </row>
    <row r="200" spans="4:12" ht="15.75" thickBot="1" x14ac:dyDescent="0.3">
      <c r="E200" s="510" t="s">
        <v>0</v>
      </c>
      <c r="F200" s="511" t="s">
        <v>1</v>
      </c>
      <c r="G200" s="512" t="s">
        <v>4</v>
      </c>
    </row>
    <row r="201" spans="4:12" x14ac:dyDescent="0.25">
      <c r="E201" s="513" t="s">
        <v>188</v>
      </c>
      <c r="F201" s="514" t="s">
        <v>189</v>
      </c>
      <c r="G201" s="515" t="s">
        <v>190</v>
      </c>
    </row>
    <row r="202" spans="4:12" x14ac:dyDescent="0.25">
      <c r="E202" s="516" t="s">
        <v>191</v>
      </c>
      <c r="F202" s="517" t="s">
        <v>192</v>
      </c>
      <c r="G202" s="518" t="s">
        <v>193</v>
      </c>
    </row>
    <row r="203" spans="4:12" x14ac:dyDescent="0.25">
      <c r="E203" s="516" t="s">
        <v>194</v>
      </c>
      <c r="F203" s="519" t="s">
        <v>195</v>
      </c>
      <c r="G203" s="520" t="s">
        <v>196</v>
      </c>
    </row>
    <row r="204" spans="4:12" x14ac:dyDescent="0.25">
      <c r="E204" s="516" t="s">
        <v>197</v>
      </c>
      <c r="F204" s="519" t="s">
        <v>198</v>
      </c>
      <c r="G204" s="520" t="s">
        <v>199</v>
      </c>
    </row>
    <row r="205" spans="4:12" x14ac:dyDescent="0.25">
      <c r="E205" s="516" t="s">
        <v>200</v>
      </c>
      <c r="F205" s="519" t="s">
        <v>201</v>
      </c>
      <c r="G205" s="520" t="s">
        <v>202</v>
      </c>
    </row>
    <row r="206" spans="4:12" ht="15.75" thickBot="1" x14ac:dyDescent="0.3">
      <c r="E206" s="187" t="s">
        <v>203</v>
      </c>
      <c r="F206" s="521" t="s">
        <v>204</v>
      </c>
      <c r="G206" s="522" t="s">
        <v>205</v>
      </c>
    </row>
    <row r="208" spans="4:12" x14ac:dyDescent="0.25">
      <c r="D208" t="s">
        <v>206</v>
      </c>
    </row>
    <row r="210" spans="2:7" x14ac:dyDescent="0.25">
      <c r="C210" t="s">
        <v>1612</v>
      </c>
    </row>
    <row r="211" spans="2:7" x14ac:dyDescent="0.25">
      <c r="C211" t="s">
        <v>109</v>
      </c>
    </row>
    <row r="212" spans="2:7" x14ac:dyDescent="0.25">
      <c r="D212" t="s">
        <v>112</v>
      </c>
    </row>
    <row r="213" spans="2:7" x14ac:dyDescent="0.25">
      <c r="C213" t="s">
        <v>110</v>
      </c>
    </row>
    <row r="214" spans="2:7" x14ac:dyDescent="0.25">
      <c r="C214" t="s">
        <v>207</v>
      </c>
    </row>
    <row r="217" spans="2:7" x14ac:dyDescent="0.25">
      <c r="B217" s="1" t="s">
        <v>1018</v>
      </c>
    </row>
    <row r="218" spans="2:7" x14ac:dyDescent="0.25">
      <c r="C218" s="72" t="s">
        <v>83</v>
      </c>
    </row>
    <row r="219" spans="2:7" x14ac:dyDescent="0.25">
      <c r="C219" t="s">
        <v>84</v>
      </c>
    </row>
    <row r="220" spans="2:7" x14ac:dyDescent="0.25">
      <c r="D220" t="s">
        <v>85</v>
      </c>
      <c r="F220" s="169"/>
      <c r="G220" s="169"/>
    </row>
    <row r="221" spans="2:7" x14ac:dyDescent="0.25">
      <c r="E221" t="s">
        <v>19</v>
      </c>
    </row>
    <row r="222" spans="2:7" x14ac:dyDescent="0.25">
      <c r="E222" t="s">
        <v>20</v>
      </c>
    </row>
    <row r="223" spans="2:7" x14ac:dyDescent="0.25">
      <c r="D223" t="s">
        <v>86</v>
      </c>
    </row>
    <row r="224" spans="2:7" ht="18" x14ac:dyDescent="0.35">
      <c r="E224" t="s">
        <v>21</v>
      </c>
    </row>
    <row r="225" spans="3:5" ht="18" x14ac:dyDescent="0.35">
      <c r="E225" t="s">
        <v>87</v>
      </c>
    </row>
    <row r="226" spans="3:5" x14ac:dyDescent="0.25">
      <c r="D226" t="s">
        <v>23</v>
      </c>
    </row>
    <row r="227" spans="3:5" x14ac:dyDescent="0.25">
      <c r="D227" t="s">
        <v>22</v>
      </c>
    </row>
    <row r="228" spans="3:5" x14ac:dyDescent="0.25">
      <c r="D228" t="s">
        <v>88</v>
      </c>
    </row>
    <row r="230" spans="3:5" x14ac:dyDescent="0.25">
      <c r="C230" s="72"/>
    </row>
    <row r="234" spans="3:5" x14ac:dyDescent="0.25">
      <c r="D234" t="s">
        <v>89</v>
      </c>
    </row>
    <row r="238" spans="3:5" x14ac:dyDescent="0.25">
      <c r="D238" t="s">
        <v>90</v>
      </c>
    </row>
    <row r="241" spans="2:4" x14ac:dyDescent="0.25">
      <c r="B241" s="72" t="s">
        <v>119</v>
      </c>
    </row>
    <row r="242" spans="2:4" x14ac:dyDescent="0.25">
      <c r="B242" s="72"/>
      <c r="C242" s="72" t="s">
        <v>120</v>
      </c>
    </row>
    <row r="243" spans="2:4" x14ac:dyDescent="0.25">
      <c r="B243" s="72"/>
      <c r="C243" t="s">
        <v>121</v>
      </c>
    </row>
    <row r="244" spans="2:4" x14ac:dyDescent="0.25">
      <c r="B244" s="72"/>
      <c r="D244" t="s">
        <v>122</v>
      </c>
    </row>
    <row r="245" spans="2:4" x14ac:dyDescent="0.25">
      <c r="B245" s="72"/>
    </row>
    <row r="246" spans="2:4" x14ac:dyDescent="0.25">
      <c r="B246" s="72" t="s">
        <v>158</v>
      </c>
    </row>
    <row r="247" spans="2:4" x14ac:dyDescent="0.25">
      <c r="B247" s="72"/>
      <c r="C247" s="72" t="s">
        <v>208</v>
      </c>
    </row>
    <row r="248" spans="2:4" x14ac:dyDescent="0.25">
      <c r="B248" s="72"/>
      <c r="C248" t="s">
        <v>209</v>
      </c>
    </row>
    <row r="249" spans="2:4" x14ac:dyDescent="0.25">
      <c r="B249" s="72"/>
    </row>
    <row r="250" spans="2:4" x14ac:dyDescent="0.25">
      <c r="B250" s="72" t="s">
        <v>92</v>
      </c>
    </row>
    <row r="251" spans="2:4" x14ac:dyDescent="0.25">
      <c r="C251" t="s">
        <v>1020</v>
      </c>
    </row>
    <row r="252" spans="2:4" x14ac:dyDescent="0.25">
      <c r="C252" s="72" t="s">
        <v>96</v>
      </c>
    </row>
    <row r="253" spans="2:4" x14ac:dyDescent="0.25">
      <c r="D253" t="s">
        <v>93</v>
      </c>
    </row>
    <row r="254" spans="2:4" x14ac:dyDescent="0.25">
      <c r="D254" t="s">
        <v>94</v>
      </c>
    </row>
    <row r="255" spans="2:4" x14ac:dyDescent="0.25">
      <c r="D255" t="s">
        <v>95</v>
      </c>
    </row>
  </sheetData>
  <mergeCells count="11">
    <mergeCell ref="G188:L188"/>
    <mergeCell ref="G189:L189"/>
    <mergeCell ref="G190:L190"/>
    <mergeCell ref="G191:L191"/>
    <mergeCell ref="D3:F5"/>
    <mergeCell ref="G197:L197"/>
    <mergeCell ref="G192:L192"/>
    <mergeCell ref="G193:L193"/>
    <mergeCell ref="G194:L194"/>
    <mergeCell ref="G195:L195"/>
    <mergeCell ref="G196:L196"/>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89"/>
  <sheetViews>
    <sheetView showGridLines="0" zoomScaleNormal="100" workbookViewId="0">
      <selection activeCell="B89" sqref="B89:D89"/>
    </sheetView>
  </sheetViews>
  <sheetFormatPr defaultColWidth="9.140625" defaultRowHeight="15" x14ac:dyDescent="0.25"/>
  <cols>
    <col min="1" max="1" width="8.5703125" style="372" customWidth="1"/>
    <col min="2" max="2" width="17.42578125" style="367" customWidth="1"/>
    <col min="3" max="3" width="69.5703125" style="367" customWidth="1"/>
    <col min="4" max="4" width="14.42578125" style="372" customWidth="1"/>
    <col min="5" max="6" width="13.28515625" style="372" customWidth="1"/>
    <col min="7" max="7" width="22.7109375" style="372" bestFit="1" customWidth="1"/>
    <col min="8" max="9" width="18.5703125" style="372" customWidth="1"/>
    <col min="10" max="10" width="18.42578125" style="372" bestFit="1" customWidth="1"/>
    <col min="11" max="11" width="9.85546875" style="372" customWidth="1"/>
    <col min="12" max="12" width="16" style="372" customWidth="1"/>
    <col min="13" max="13" width="14.85546875" style="372" customWidth="1"/>
    <col min="14" max="14" width="47" style="372" customWidth="1"/>
    <col min="15" max="15" width="9.140625" style="372" customWidth="1"/>
    <col min="16" max="16" width="12" style="372" bestFit="1" customWidth="1"/>
    <col min="17" max="16384" width="9.140625" style="372"/>
  </cols>
  <sheetData>
    <row r="1" spans="1:10" s="369" customFormat="1" ht="53.65" customHeight="1" x14ac:dyDescent="0.25">
      <c r="A1" s="368"/>
      <c r="B1" s="365"/>
      <c r="C1" s="365"/>
    </row>
    <row r="2" spans="1:10" s="403" customFormat="1" ht="15.75" thickBot="1" x14ac:dyDescent="0.3">
      <c r="B2" s="404"/>
      <c r="C2" s="110"/>
      <c r="D2" s="405"/>
      <c r="E2" s="406"/>
      <c r="F2" s="406"/>
      <c r="G2" s="406"/>
      <c r="H2" s="406"/>
      <c r="I2" s="406"/>
      <c r="J2" s="406"/>
    </row>
    <row r="3" spans="1:10" s="407" customFormat="1" ht="15.75" thickBot="1" x14ac:dyDescent="0.3">
      <c r="A3" s="408" t="s">
        <v>1526</v>
      </c>
      <c r="B3" s="408"/>
      <c r="C3" s="409"/>
      <c r="D3" s="410"/>
      <c r="E3" s="411"/>
      <c r="F3" s="411"/>
      <c r="G3" s="411"/>
      <c r="H3" s="411"/>
      <c r="I3" s="411"/>
      <c r="J3" s="411"/>
    </row>
    <row r="4" spans="1:10" s="403" customFormat="1" ht="15.75" thickBot="1" x14ac:dyDescent="0.3">
      <c r="B4" s="142"/>
      <c r="C4" s="412"/>
      <c r="D4" s="406"/>
      <c r="E4" s="406"/>
      <c r="F4" s="406"/>
      <c r="G4" s="406"/>
      <c r="H4" s="406"/>
      <c r="I4" s="406"/>
    </row>
    <row r="5" spans="1:10" ht="15.75" thickBot="1" x14ac:dyDescent="0.3">
      <c r="A5" s="370"/>
      <c r="C5" s="371" t="s">
        <v>432</v>
      </c>
      <c r="D5" s="367" t="s">
        <v>431</v>
      </c>
      <c r="E5" s="367"/>
      <c r="F5" s="367"/>
      <c r="G5" s="367"/>
      <c r="H5" s="367"/>
      <c r="I5" s="367"/>
    </row>
    <row r="6" spans="1:10" s="370" customFormat="1" ht="15.75" thickBot="1" x14ac:dyDescent="0.3">
      <c r="B6" s="155" t="s">
        <v>0</v>
      </c>
      <c r="C6" s="373" t="s">
        <v>1</v>
      </c>
      <c r="D6" s="374" t="s">
        <v>1022</v>
      </c>
      <c r="E6" s="374" t="s">
        <v>622</v>
      </c>
      <c r="F6" s="374" t="s">
        <v>623</v>
      </c>
      <c r="G6" s="373" t="s">
        <v>2</v>
      </c>
      <c r="H6" s="373" t="s">
        <v>430</v>
      </c>
      <c r="I6" s="373" t="s">
        <v>114</v>
      </c>
      <c r="J6" s="375" t="s">
        <v>115</v>
      </c>
    </row>
    <row r="7" spans="1:10" s="370" customFormat="1" ht="18" x14ac:dyDescent="0.25">
      <c r="B7" s="376" t="s">
        <v>1593</v>
      </c>
      <c r="C7" s="366" t="s">
        <v>1421</v>
      </c>
      <c r="D7" s="377">
        <v>0.1</v>
      </c>
      <c r="E7" s="378"/>
      <c r="F7" s="379"/>
      <c r="G7" s="366" t="s">
        <v>1422</v>
      </c>
      <c r="H7" s="366"/>
      <c r="I7" s="379"/>
      <c r="J7" s="380"/>
    </row>
    <row r="8" spans="1:10" s="370" customFormat="1" ht="18" x14ac:dyDescent="0.25">
      <c r="B8" s="381" t="s">
        <v>1423</v>
      </c>
      <c r="C8" s="186" t="s">
        <v>1424</v>
      </c>
      <c r="D8" s="382">
        <v>0.17</v>
      </c>
      <c r="E8" s="383"/>
      <c r="F8" s="384"/>
      <c r="G8" s="186" t="s">
        <v>1425</v>
      </c>
      <c r="H8" s="186"/>
      <c r="I8" s="384"/>
      <c r="J8" s="385"/>
    </row>
    <row r="9" spans="1:10" s="370" customFormat="1" ht="18" x14ac:dyDescent="0.25">
      <c r="B9" s="381" t="s">
        <v>1426</v>
      </c>
      <c r="C9" s="186" t="s">
        <v>1427</v>
      </c>
      <c r="D9" s="382">
        <v>3.2</v>
      </c>
      <c r="E9" s="383"/>
      <c r="F9" s="384"/>
      <c r="G9" s="186" t="s">
        <v>1023</v>
      </c>
      <c r="H9" s="186"/>
      <c r="I9" s="384"/>
      <c r="J9" s="385"/>
    </row>
    <row r="10" spans="1:10" s="370" customFormat="1" ht="18" x14ac:dyDescent="0.25">
      <c r="B10" s="381" t="s">
        <v>1428</v>
      </c>
      <c r="C10" s="186" t="s">
        <v>1429</v>
      </c>
      <c r="D10" s="382">
        <v>0.3</v>
      </c>
      <c r="E10" s="383"/>
      <c r="F10" s="384"/>
      <c r="G10" s="186" t="s">
        <v>213</v>
      </c>
      <c r="H10" s="186"/>
      <c r="I10" s="384"/>
      <c r="J10" s="385"/>
    </row>
    <row r="11" spans="1:10" s="370" customFormat="1" ht="18" x14ac:dyDescent="0.25">
      <c r="B11" s="381" t="s">
        <v>1430</v>
      </c>
      <c r="C11" s="186" t="s">
        <v>1431</v>
      </c>
      <c r="D11" s="382">
        <v>1.35</v>
      </c>
      <c r="E11" s="383"/>
      <c r="F11" s="384"/>
      <c r="G11" s="186" t="s">
        <v>1023</v>
      </c>
      <c r="H11" s="186"/>
      <c r="I11" s="384"/>
      <c r="J11" s="385"/>
    </row>
    <row r="12" spans="1:10" s="370" customFormat="1" ht="18" x14ac:dyDescent="0.25">
      <c r="B12" s="381" t="s">
        <v>1432</v>
      </c>
      <c r="C12" s="186" t="s">
        <v>1433</v>
      </c>
      <c r="D12" s="382">
        <v>1</v>
      </c>
      <c r="E12" s="383"/>
      <c r="F12" s="384"/>
      <c r="G12" s="186" t="s">
        <v>1434</v>
      </c>
      <c r="H12" s="186"/>
      <c r="I12" s="384"/>
      <c r="J12" s="385"/>
    </row>
    <row r="13" spans="1:10" s="370" customFormat="1" ht="18" x14ac:dyDescent="0.25">
      <c r="B13" s="381" t="s">
        <v>1435</v>
      </c>
      <c r="C13" s="186" t="s">
        <v>214</v>
      </c>
      <c r="D13" s="382">
        <v>0.04</v>
      </c>
      <c r="E13" s="383"/>
      <c r="F13" s="384"/>
      <c r="G13" s="186" t="s">
        <v>1425</v>
      </c>
      <c r="H13" s="186"/>
      <c r="I13" s="384"/>
      <c r="J13" s="385"/>
    </row>
    <row r="14" spans="1:10" s="370" customFormat="1" ht="18" x14ac:dyDescent="0.25">
      <c r="B14" s="381" t="s">
        <v>1579</v>
      </c>
      <c r="C14" s="186" t="s">
        <v>1436</v>
      </c>
      <c r="D14" s="382">
        <v>5</v>
      </c>
      <c r="E14" s="383"/>
      <c r="F14" s="384"/>
      <c r="G14" s="186" t="s">
        <v>1437</v>
      </c>
      <c r="H14" s="186"/>
      <c r="I14" s="384"/>
      <c r="J14" s="385"/>
    </row>
    <row r="15" spans="1:10" s="370" customFormat="1" ht="18" x14ac:dyDescent="0.25">
      <c r="B15" s="381" t="s">
        <v>1580</v>
      </c>
      <c r="C15" s="186" t="s">
        <v>1438</v>
      </c>
      <c r="D15" s="382">
        <v>5</v>
      </c>
      <c r="E15" s="383"/>
      <c r="F15" s="384"/>
      <c r="G15" s="186" t="s">
        <v>1437</v>
      </c>
      <c r="H15" s="186"/>
      <c r="I15" s="384"/>
      <c r="J15" s="385"/>
    </row>
    <row r="16" spans="1:10" s="370" customFormat="1" ht="18" x14ac:dyDescent="0.25">
      <c r="B16" s="381" t="s">
        <v>1581</v>
      </c>
      <c r="C16" s="186" t="s">
        <v>1439</v>
      </c>
      <c r="D16" s="382">
        <v>2.7E-2</v>
      </c>
      <c r="E16" s="383"/>
      <c r="F16" s="384"/>
      <c r="G16" s="186" t="s">
        <v>1434</v>
      </c>
      <c r="H16" s="186"/>
      <c r="I16" s="384"/>
      <c r="J16" s="385"/>
    </row>
    <row r="17" spans="1:10" s="370" customFormat="1" ht="18" x14ac:dyDescent="0.25">
      <c r="B17" s="381" t="s">
        <v>1440</v>
      </c>
      <c r="C17" s="186" t="s">
        <v>1441</v>
      </c>
      <c r="D17" s="382">
        <v>0.62</v>
      </c>
      <c r="E17" s="383"/>
      <c r="F17" s="384"/>
      <c r="G17" s="186" t="s">
        <v>1023</v>
      </c>
      <c r="H17" s="186"/>
      <c r="I17" s="384"/>
      <c r="J17" s="385"/>
    </row>
    <row r="18" spans="1:10" s="370" customFormat="1" ht="18" x14ac:dyDescent="0.25">
      <c r="B18" s="381" t="s">
        <v>1582</v>
      </c>
      <c r="C18" s="186" t="s">
        <v>1442</v>
      </c>
      <c r="D18" s="382">
        <v>2E-3</v>
      </c>
      <c r="E18" s="383"/>
      <c r="F18" s="384"/>
      <c r="G18" s="186" t="s">
        <v>1443</v>
      </c>
      <c r="H18" s="186"/>
      <c r="I18" s="384"/>
      <c r="J18" s="385"/>
    </row>
    <row r="19" spans="1:10" s="370" customFormat="1" ht="18" x14ac:dyDescent="0.25">
      <c r="B19" s="381" t="s">
        <v>1583</v>
      </c>
      <c r="C19" s="186" t="s">
        <v>1444</v>
      </c>
      <c r="D19" s="382">
        <v>0.2</v>
      </c>
      <c r="E19" s="383"/>
      <c r="F19" s="384"/>
      <c r="G19" s="186" t="s">
        <v>1445</v>
      </c>
      <c r="H19" s="186"/>
      <c r="I19" s="384"/>
      <c r="J19" s="385"/>
    </row>
    <row r="20" spans="1:10" s="370" customFormat="1" ht="18.75" thickBot="1" x14ac:dyDescent="0.3">
      <c r="B20" s="386" t="s">
        <v>1584</v>
      </c>
      <c r="C20" s="188" t="s">
        <v>1446</v>
      </c>
      <c r="D20" s="387">
        <v>0.01</v>
      </c>
      <c r="E20" s="388"/>
      <c r="F20" s="389"/>
      <c r="G20" s="188" t="s">
        <v>1445</v>
      </c>
      <c r="H20" s="188"/>
      <c r="I20" s="389"/>
      <c r="J20" s="390"/>
    </row>
    <row r="21" spans="1:10" s="370" customFormat="1" ht="15.75" thickBot="1" x14ac:dyDescent="0.3">
      <c r="B21" s="391"/>
      <c r="C21" s="342"/>
      <c r="D21" s="392"/>
      <c r="E21" s="393"/>
      <c r="F21" s="394"/>
      <c r="G21" s="342"/>
      <c r="H21" s="342"/>
      <c r="I21" s="394"/>
      <c r="J21" s="394"/>
    </row>
    <row r="22" spans="1:10" ht="15.75" thickBot="1" x14ac:dyDescent="0.3">
      <c r="A22" s="370"/>
      <c r="C22" s="371" t="s">
        <v>433</v>
      </c>
      <c r="D22" s="367" t="s">
        <v>431</v>
      </c>
      <c r="E22" s="367"/>
      <c r="F22" s="367"/>
      <c r="G22" s="367"/>
      <c r="H22" s="367"/>
      <c r="I22" s="367"/>
    </row>
    <row r="23" spans="1:10" s="370" customFormat="1" ht="15.75" thickBot="1" x14ac:dyDescent="0.3">
      <c r="B23" s="155" t="s">
        <v>0</v>
      </c>
      <c r="C23" s="373" t="s">
        <v>1</v>
      </c>
      <c r="D23" s="374" t="s">
        <v>1022</v>
      </c>
      <c r="E23" s="374" t="s">
        <v>622</v>
      </c>
      <c r="F23" s="374" t="s">
        <v>623</v>
      </c>
      <c r="G23" s="373" t="s">
        <v>2</v>
      </c>
      <c r="H23" s="373" t="s">
        <v>430</v>
      </c>
      <c r="I23" s="373" t="s">
        <v>114</v>
      </c>
      <c r="J23" s="375" t="s">
        <v>115</v>
      </c>
    </row>
    <row r="24" spans="1:10" s="370" customFormat="1" ht="18" x14ac:dyDescent="0.25">
      <c r="B24" s="376" t="s">
        <v>1447</v>
      </c>
      <c r="C24" s="366" t="s">
        <v>1448</v>
      </c>
      <c r="D24" s="377">
        <v>6</v>
      </c>
      <c r="E24" s="378"/>
      <c r="F24" s="379"/>
      <c r="G24" s="366" t="s">
        <v>1425</v>
      </c>
      <c r="H24" s="366"/>
      <c r="I24" s="379"/>
      <c r="J24" s="380"/>
    </row>
    <row r="25" spans="1:10" s="370" customFormat="1" ht="18" x14ac:dyDescent="0.25">
      <c r="B25" s="381" t="s">
        <v>1449</v>
      </c>
      <c r="C25" s="186" t="s">
        <v>1450</v>
      </c>
      <c r="D25" s="382">
        <v>1.2</v>
      </c>
      <c r="E25" s="383"/>
      <c r="F25" s="384"/>
      <c r="G25" s="186" t="s">
        <v>1023</v>
      </c>
      <c r="H25" s="186"/>
      <c r="I25" s="384"/>
      <c r="J25" s="385"/>
    </row>
    <row r="26" spans="1:10" s="370" customFormat="1" ht="18" x14ac:dyDescent="0.25">
      <c r="B26" s="381" t="s">
        <v>1451</v>
      </c>
      <c r="C26" s="186" t="s">
        <v>1452</v>
      </c>
      <c r="D26" s="382">
        <v>0.42</v>
      </c>
      <c r="E26" s="383"/>
      <c r="F26" s="384"/>
      <c r="G26" s="186" t="s">
        <v>1023</v>
      </c>
      <c r="H26" s="186"/>
      <c r="I26" s="384"/>
      <c r="J26" s="385"/>
    </row>
    <row r="27" spans="1:10" s="370" customFormat="1" ht="18" x14ac:dyDescent="0.25">
      <c r="B27" s="381" t="s">
        <v>1453</v>
      </c>
      <c r="C27" s="186" t="s">
        <v>1454</v>
      </c>
      <c r="D27" s="382">
        <v>0.35</v>
      </c>
      <c r="E27" s="383"/>
      <c r="F27" s="384"/>
      <c r="G27" s="186" t="s">
        <v>213</v>
      </c>
      <c r="H27" s="186"/>
      <c r="I27" s="384"/>
      <c r="J27" s="385"/>
    </row>
    <row r="28" spans="1:10" s="370" customFormat="1" ht="18" x14ac:dyDescent="0.25">
      <c r="B28" s="381" t="s">
        <v>1585</v>
      </c>
      <c r="C28" s="186" t="s">
        <v>1455</v>
      </c>
      <c r="D28" s="382">
        <v>0.18</v>
      </c>
      <c r="E28" s="383"/>
      <c r="F28" s="384"/>
      <c r="G28" s="186" t="s">
        <v>1434</v>
      </c>
      <c r="H28" s="186"/>
      <c r="I28" s="384"/>
      <c r="J28" s="385"/>
    </row>
    <row r="29" spans="1:10" s="370" customFormat="1" ht="18" x14ac:dyDescent="0.25">
      <c r="B29" s="381" t="s">
        <v>1586</v>
      </c>
      <c r="C29" s="186" t="s">
        <v>1456</v>
      </c>
      <c r="D29" s="382">
        <v>0.18</v>
      </c>
      <c r="E29" s="383"/>
      <c r="F29" s="384"/>
      <c r="G29" s="186" t="s">
        <v>1434</v>
      </c>
      <c r="H29" s="186"/>
      <c r="I29" s="384"/>
      <c r="J29" s="385"/>
    </row>
    <row r="30" spans="1:10" s="370" customFormat="1" ht="18" x14ac:dyDescent="0.25">
      <c r="B30" s="381" t="s">
        <v>1457</v>
      </c>
      <c r="C30" s="186" t="s">
        <v>1458</v>
      </c>
      <c r="D30" s="382">
        <v>0.04</v>
      </c>
      <c r="E30" s="383"/>
      <c r="F30" s="384"/>
      <c r="G30" s="186" t="s">
        <v>1023</v>
      </c>
      <c r="H30" s="186"/>
      <c r="I30" s="384"/>
      <c r="J30" s="385"/>
    </row>
    <row r="31" spans="1:10" s="370" customFormat="1" ht="18" x14ac:dyDescent="0.25">
      <c r="B31" s="381" t="s">
        <v>1459</v>
      </c>
      <c r="C31" s="186" t="s">
        <v>1460</v>
      </c>
      <c r="D31" s="382">
        <v>0.03</v>
      </c>
      <c r="E31" s="383"/>
      <c r="F31" s="384"/>
      <c r="G31" s="186" t="s">
        <v>1023</v>
      </c>
      <c r="H31" s="186"/>
      <c r="I31" s="384"/>
      <c r="J31" s="385"/>
    </row>
    <row r="32" spans="1:10" s="370" customFormat="1" ht="18" x14ac:dyDescent="0.25">
      <c r="B32" s="381" t="s">
        <v>1587</v>
      </c>
      <c r="C32" s="186" t="s">
        <v>1438</v>
      </c>
      <c r="D32" s="382">
        <v>1</v>
      </c>
      <c r="E32" s="383"/>
      <c r="F32" s="384"/>
      <c r="G32" s="186" t="s">
        <v>1437</v>
      </c>
      <c r="H32" s="186"/>
      <c r="I32" s="384"/>
      <c r="J32" s="385"/>
    </row>
    <row r="33" spans="1:10" s="370" customFormat="1" ht="18" x14ac:dyDescent="0.25">
      <c r="B33" s="381" t="s">
        <v>1588</v>
      </c>
      <c r="C33" s="186" t="s">
        <v>1461</v>
      </c>
      <c r="D33" s="382">
        <v>0.25</v>
      </c>
      <c r="E33" s="383"/>
      <c r="F33" s="384"/>
      <c r="G33" s="186" t="s">
        <v>1422</v>
      </c>
      <c r="H33" s="186"/>
      <c r="I33" s="384"/>
      <c r="J33" s="385"/>
    </row>
    <row r="34" spans="1:10" s="370" customFormat="1" ht="18" x14ac:dyDescent="0.25">
      <c r="B34" s="381" t="s">
        <v>1589</v>
      </c>
      <c r="C34" s="186" t="s">
        <v>1462</v>
      </c>
      <c r="D34" s="382">
        <v>0.1</v>
      </c>
      <c r="E34" s="395"/>
      <c r="F34" s="205"/>
      <c r="G34" s="186" t="s">
        <v>1422</v>
      </c>
      <c r="H34" s="186"/>
      <c r="I34" s="205"/>
      <c r="J34" s="385"/>
    </row>
    <row r="35" spans="1:10" s="370" customFormat="1" ht="18.75" thickBot="1" x14ac:dyDescent="0.3">
      <c r="B35" s="386" t="s">
        <v>1590</v>
      </c>
      <c r="C35" s="188" t="s">
        <v>1463</v>
      </c>
      <c r="D35" s="387">
        <v>1</v>
      </c>
      <c r="E35" s="388"/>
      <c r="F35" s="389"/>
      <c r="G35" s="474" t="s">
        <v>1422</v>
      </c>
      <c r="H35" s="188"/>
      <c r="I35" s="389"/>
      <c r="J35" s="390"/>
    </row>
    <row r="36" spans="1:10" s="370" customFormat="1" ht="15.75" thickBot="1" x14ac:dyDescent="0.3">
      <c r="B36" s="391"/>
      <c r="C36" s="342"/>
      <c r="D36" s="392"/>
      <c r="E36" s="393"/>
      <c r="F36" s="394"/>
      <c r="G36" s="342"/>
      <c r="H36" s="342"/>
      <c r="I36" s="394"/>
      <c r="J36" s="394"/>
    </row>
    <row r="37" spans="1:10" ht="15.75" thickBot="1" x14ac:dyDescent="0.3">
      <c r="A37" s="370"/>
      <c r="C37" s="371" t="s">
        <v>434</v>
      </c>
      <c r="D37" s="367" t="s">
        <v>431</v>
      </c>
      <c r="E37" s="367"/>
      <c r="F37" s="367"/>
      <c r="G37" s="367"/>
      <c r="H37" s="367"/>
      <c r="I37" s="367"/>
    </row>
    <row r="38" spans="1:10" s="370" customFormat="1" ht="15.75" thickBot="1" x14ac:dyDescent="0.3">
      <c r="B38" s="155" t="s">
        <v>0</v>
      </c>
      <c r="C38" s="373" t="s">
        <v>1</v>
      </c>
      <c r="D38" s="374" t="s">
        <v>1022</v>
      </c>
      <c r="E38" s="374" t="s">
        <v>622</v>
      </c>
      <c r="F38" s="374" t="s">
        <v>623</v>
      </c>
      <c r="G38" s="373" t="s">
        <v>2</v>
      </c>
      <c r="H38" s="373" t="s">
        <v>430</v>
      </c>
      <c r="I38" s="373" t="s">
        <v>114</v>
      </c>
      <c r="J38" s="375" t="s">
        <v>115</v>
      </c>
    </row>
    <row r="39" spans="1:10" s="370" customFormat="1" ht="18" x14ac:dyDescent="0.25">
      <c r="B39" s="381" t="s">
        <v>1464</v>
      </c>
      <c r="C39" s="186" t="s">
        <v>1465</v>
      </c>
      <c r="D39" s="382">
        <v>0.7</v>
      </c>
      <c r="E39" s="383"/>
      <c r="F39" s="384"/>
      <c r="G39" s="186" t="s">
        <v>1023</v>
      </c>
      <c r="H39" s="186"/>
      <c r="I39" s="384"/>
      <c r="J39" s="385"/>
    </row>
    <row r="40" spans="1:10" s="370" customFormat="1" ht="18" x14ac:dyDescent="0.25">
      <c r="B40" s="381" t="s">
        <v>1466</v>
      </c>
      <c r="C40" s="186" t="s">
        <v>1467</v>
      </c>
      <c r="D40" s="382">
        <v>0.04</v>
      </c>
      <c r="E40" s="383"/>
      <c r="F40" s="384"/>
      <c r="G40" s="186" t="s">
        <v>1023</v>
      </c>
      <c r="H40" s="186"/>
      <c r="I40" s="384"/>
      <c r="J40" s="385"/>
    </row>
    <row r="41" spans="1:10" s="370" customFormat="1" ht="18" x14ac:dyDescent="0.25">
      <c r="B41" s="381" t="s">
        <v>1591</v>
      </c>
      <c r="C41" s="186" t="s">
        <v>1442</v>
      </c>
      <c r="D41" s="382">
        <v>2E-3</v>
      </c>
      <c r="E41" s="383"/>
      <c r="F41" s="384"/>
      <c r="G41" s="186" t="s">
        <v>1443</v>
      </c>
      <c r="H41" s="186"/>
      <c r="I41" s="384"/>
      <c r="J41" s="385"/>
    </row>
    <row r="42" spans="1:10" s="370" customFormat="1" ht="18.75" thickBot="1" x14ac:dyDescent="0.3">
      <c r="B42" s="386" t="s">
        <v>1592</v>
      </c>
      <c r="C42" s="188" t="s">
        <v>1446</v>
      </c>
      <c r="D42" s="387">
        <v>1</v>
      </c>
      <c r="E42" s="388"/>
      <c r="F42" s="389"/>
      <c r="G42" s="188" t="s">
        <v>1445</v>
      </c>
      <c r="H42" s="188"/>
      <c r="I42" s="389"/>
      <c r="J42" s="390"/>
    </row>
    <row r="43" spans="1:10" s="370" customFormat="1" ht="15.75" thickBot="1" x14ac:dyDescent="0.3">
      <c r="B43" s="367"/>
      <c r="C43" s="110"/>
      <c r="D43" s="110"/>
      <c r="E43" s="110"/>
      <c r="F43" s="110"/>
      <c r="G43" s="110"/>
      <c r="H43" s="110"/>
      <c r="I43" s="110"/>
    </row>
    <row r="44" spans="1:10" s="370" customFormat="1" ht="15.75" thickBot="1" x14ac:dyDescent="0.3">
      <c r="B44" s="367"/>
      <c r="C44" s="371" t="s">
        <v>435</v>
      </c>
      <c r="D44" s="367" t="s">
        <v>436</v>
      </c>
      <c r="E44" s="367"/>
      <c r="F44" s="367"/>
      <c r="G44" s="367"/>
      <c r="H44" s="367"/>
      <c r="I44" s="367"/>
    </row>
    <row r="45" spans="1:10" s="370" customFormat="1" ht="15.75" thickBot="1" x14ac:dyDescent="0.3">
      <c r="B45" s="155" t="s">
        <v>0</v>
      </c>
      <c r="C45" s="373" t="s">
        <v>1</v>
      </c>
      <c r="D45" s="374" t="s">
        <v>1022</v>
      </c>
      <c r="E45" s="374" t="s">
        <v>622</v>
      </c>
      <c r="F45" s="374" t="s">
        <v>623</v>
      </c>
      <c r="G45" s="373" t="s">
        <v>2</v>
      </c>
      <c r="H45" s="373" t="s">
        <v>430</v>
      </c>
      <c r="I45" s="373" t="s">
        <v>114</v>
      </c>
      <c r="J45" s="375" t="s">
        <v>115</v>
      </c>
    </row>
    <row r="46" spans="1:10" s="370" customFormat="1" ht="18" x14ac:dyDescent="0.25">
      <c r="B46" s="376" t="s">
        <v>1468</v>
      </c>
      <c r="C46" s="366" t="s">
        <v>1469</v>
      </c>
      <c r="D46" s="377">
        <v>0.66600000000000004</v>
      </c>
      <c r="E46" s="378"/>
      <c r="F46" s="204"/>
      <c r="G46" s="366" t="s">
        <v>1434</v>
      </c>
      <c r="H46" s="366"/>
      <c r="I46" s="204"/>
      <c r="J46" s="380"/>
    </row>
    <row r="47" spans="1:10" s="370" customFormat="1" ht="18" x14ac:dyDescent="0.25">
      <c r="B47" s="381" t="s">
        <v>1470</v>
      </c>
      <c r="C47" s="186" t="s">
        <v>1471</v>
      </c>
      <c r="D47" s="382">
        <v>0.54</v>
      </c>
      <c r="E47" s="383"/>
      <c r="F47" s="205"/>
      <c r="G47" s="366" t="s">
        <v>1434</v>
      </c>
      <c r="H47" s="186"/>
      <c r="I47" s="205"/>
      <c r="J47" s="385"/>
    </row>
    <row r="48" spans="1:10" s="370" customFormat="1" ht="18" x14ac:dyDescent="0.25">
      <c r="B48" s="381" t="s">
        <v>1472</v>
      </c>
      <c r="C48" s="186" t="s">
        <v>1473</v>
      </c>
      <c r="D48" s="382">
        <v>0.66600000000000004</v>
      </c>
      <c r="E48" s="383"/>
      <c r="F48" s="205"/>
      <c r="G48" s="366" t="s">
        <v>1434</v>
      </c>
      <c r="H48" s="186"/>
      <c r="I48" s="205"/>
      <c r="J48" s="385"/>
    </row>
    <row r="49" spans="2:10" s="370" customFormat="1" ht="18" x14ac:dyDescent="0.25">
      <c r="B49" s="381" t="s">
        <v>1474</v>
      </c>
      <c r="C49" s="186" t="s">
        <v>1475</v>
      </c>
      <c r="D49" s="382">
        <v>0.54</v>
      </c>
      <c r="E49" s="383"/>
      <c r="F49" s="205"/>
      <c r="G49" s="366" t="s">
        <v>1434</v>
      </c>
      <c r="H49" s="186"/>
      <c r="I49" s="205"/>
      <c r="J49" s="385"/>
    </row>
    <row r="50" spans="2:10" s="370" customFormat="1" ht="18" x14ac:dyDescent="0.25">
      <c r="B50" s="381" t="s">
        <v>1476</v>
      </c>
      <c r="C50" s="186" t="s">
        <v>1477</v>
      </c>
      <c r="D50" s="382">
        <v>0.75</v>
      </c>
      <c r="E50" s="383"/>
      <c r="F50" s="205"/>
      <c r="G50" s="186" t="s">
        <v>1478</v>
      </c>
      <c r="H50" s="186"/>
      <c r="I50" s="205"/>
      <c r="J50" s="385"/>
    </row>
    <row r="51" spans="2:10" s="370" customFormat="1" ht="18" x14ac:dyDescent="0.25">
      <c r="B51" s="381" t="s">
        <v>1479</v>
      </c>
      <c r="C51" s="186" t="s">
        <v>1480</v>
      </c>
      <c r="D51" s="382">
        <v>0.61</v>
      </c>
      <c r="E51" s="383"/>
      <c r="F51" s="205"/>
      <c r="G51" s="186" t="s">
        <v>1478</v>
      </c>
      <c r="H51" s="186"/>
      <c r="I51" s="205"/>
      <c r="J51" s="385"/>
    </row>
    <row r="52" spans="2:10" s="370" customFormat="1" ht="18" x14ac:dyDescent="0.25">
      <c r="B52" s="381" t="s">
        <v>1481</v>
      </c>
      <c r="C52" s="186" t="s">
        <v>1482</v>
      </c>
      <c r="D52" s="382">
        <v>0.5</v>
      </c>
      <c r="E52" s="383"/>
      <c r="F52" s="205"/>
      <c r="G52" s="186" t="s">
        <v>1478</v>
      </c>
      <c r="H52" s="186"/>
      <c r="I52" s="205"/>
      <c r="J52" s="385"/>
    </row>
    <row r="53" spans="2:10" s="370" customFormat="1" ht="18.75" thickBot="1" x14ac:dyDescent="0.3">
      <c r="B53" s="386" t="s">
        <v>1483</v>
      </c>
      <c r="C53" s="188" t="s">
        <v>1484</v>
      </c>
      <c r="D53" s="387">
        <v>0.15</v>
      </c>
      <c r="E53" s="388"/>
      <c r="F53" s="206"/>
      <c r="G53" s="188" t="s">
        <v>1485</v>
      </c>
      <c r="H53" s="188"/>
      <c r="I53" s="206"/>
      <c r="J53" s="390"/>
    </row>
    <row r="54" spans="2:10" s="370" customFormat="1" ht="15.75" thickBot="1" x14ac:dyDescent="0.3">
      <c r="B54" s="367"/>
      <c r="C54" s="110"/>
      <c r="D54" s="110"/>
      <c r="E54" s="110"/>
      <c r="F54" s="110"/>
      <c r="G54" s="110"/>
      <c r="H54" s="110"/>
      <c r="I54" s="110"/>
    </row>
    <row r="55" spans="2:10" s="370" customFormat="1" ht="15.75" thickBot="1" x14ac:dyDescent="0.3">
      <c r="B55" s="367"/>
      <c r="C55" s="371" t="s">
        <v>437</v>
      </c>
      <c r="D55" s="367" t="s">
        <v>436</v>
      </c>
      <c r="E55" s="367"/>
      <c r="F55" s="367"/>
      <c r="G55" s="367"/>
      <c r="H55" s="367"/>
      <c r="I55" s="367"/>
    </row>
    <row r="56" spans="2:10" s="370" customFormat="1" ht="15.75" thickBot="1" x14ac:dyDescent="0.3">
      <c r="B56" s="155" t="s">
        <v>0</v>
      </c>
      <c r="C56" s="373" t="s">
        <v>1</v>
      </c>
      <c r="D56" s="374" t="s">
        <v>1022</v>
      </c>
      <c r="E56" s="374" t="s">
        <v>622</v>
      </c>
      <c r="F56" s="374" t="s">
        <v>623</v>
      </c>
      <c r="G56" s="373" t="s">
        <v>2</v>
      </c>
      <c r="H56" s="373" t="s">
        <v>430</v>
      </c>
      <c r="I56" s="373" t="s">
        <v>114</v>
      </c>
      <c r="J56" s="375" t="s">
        <v>115</v>
      </c>
    </row>
    <row r="57" spans="2:10" s="370" customFormat="1" ht="18" x14ac:dyDescent="0.25">
      <c r="B57" s="376" t="s">
        <v>1486</v>
      </c>
      <c r="C57" s="366" t="s">
        <v>1487</v>
      </c>
      <c r="D57" s="377">
        <v>0.08</v>
      </c>
      <c r="E57" s="378"/>
      <c r="F57" s="204"/>
      <c r="G57" s="366" t="s">
        <v>1434</v>
      </c>
      <c r="H57" s="366"/>
      <c r="I57" s="204"/>
      <c r="J57" s="380"/>
    </row>
    <row r="58" spans="2:10" s="370" customFormat="1" ht="18" x14ac:dyDescent="0.25">
      <c r="B58" s="381" t="s">
        <v>1488</v>
      </c>
      <c r="C58" s="186" t="s">
        <v>1489</v>
      </c>
      <c r="D58" s="382">
        <v>0.25</v>
      </c>
      <c r="E58" s="383"/>
      <c r="F58" s="205"/>
      <c r="G58" s="366" t="s">
        <v>1434</v>
      </c>
      <c r="H58" s="186"/>
      <c r="I58" s="205"/>
      <c r="J58" s="385"/>
    </row>
    <row r="59" spans="2:10" s="370" customFormat="1" ht="18" x14ac:dyDescent="0.25">
      <c r="B59" s="381" t="s">
        <v>1490</v>
      </c>
      <c r="C59" s="186" t="s">
        <v>1491</v>
      </c>
      <c r="D59" s="382">
        <v>0.2</v>
      </c>
      <c r="E59" s="383"/>
      <c r="F59" s="205"/>
      <c r="G59" s="366" t="s">
        <v>1434</v>
      </c>
      <c r="H59" s="186"/>
      <c r="I59" s="205"/>
      <c r="J59" s="385"/>
    </row>
    <row r="60" spans="2:10" s="370" customFormat="1" ht="18.75" thickBot="1" x14ac:dyDescent="0.3">
      <c r="B60" s="386" t="s">
        <v>1492</v>
      </c>
      <c r="C60" s="188" t="s">
        <v>1493</v>
      </c>
      <c r="D60" s="387">
        <v>0.08</v>
      </c>
      <c r="E60" s="388"/>
      <c r="F60" s="206"/>
      <c r="G60" s="474" t="s">
        <v>1434</v>
      </c>
      <c r="H60" s="188"/>
      <c r="I60" s="206"/>
      <c r="J60" s="390"/>
    </row>
    <row r="61" spans="2:10" s="370" customFormat="1" ht="15.75" thickBot="1" x14ac:dyDescent="0.3">
      <c r="B61" s="367"/>
      <c r="C61" s="110"/>
      <c r="D61" s="110"/>
      <c r="E61" s="110"/>
      <c r="F61" s="110"/>
      <c r="G61" s="110"/>
      <c r="H61" s="110"/>
      <c r="I61" s="110"/>
    </row>
    <row r="62" spans="2:10" s="370" customFormat="1" ht="15.75" thickBot="1" x14ac:dyDescent="0.3">
      <c r="B62" s="367"/>
      <c r="C62" s="371" t="s">
        <v>438</v>
      </c>
      <c r="D62" s="367" t="s">
        <v>436</v>
      </c>
      <c r="E62" s="367"/>
      <c r="F62" s="367"/>
      <c r="G62" s="367"/>
      <c r="H62" s="367"/>
      <c r="I62" s="367"/>
    </row>
    <row r="63" spans="2:10" s="370" customFormat="1" ht="15.75" thickBot="1" x14ac:dyDescent="0.3">
      <c r="B63" s="155" t="s">
        <v>0</v>
      </c>
      <c r="C63" s="373" t="s">
        <v>1</v>
      </c>
      <c r="D63" s="374" t="s">
        <v>1022</v>
      </c>
      <c r="E63" s="374" t="s">
        <v>622</v>
      </c>
      <c r="F63" s="374" t="s">
        <v>623</v>
      </c>
      <c r="G63" s="373" t="s">
        <v>2</v>
      </c>
      <c r="H63" s="373" t="s">
        <v>430</v>
      </c>
      <c r="I63" s="373" t="s">
        <v>114</v>
      </c>
      <c r="J63" s="375" t="s">
        <v>115</v>
      </c>
    </row>
    <row r="64" spans="2:10" s="370" customFormat="1" ht="18" x14ac:dyDescent="0.25">
      <c r="B64" s="376" t="s">
        <v>1494</v>
      </c>
      <c r="C64" s="366" t="s">
        <v>1495</v>
      </c>
      <c r="D64" s="377">
        <v>1.0999999999999999E-2</v>
      </c>
      <c r="E64" s="378"/>
      <c r="F64" s="204"/>
      <c r="G64" s="366" t="s">
        <v>1496</v>
      </c>
      <c r="H64" s="366"/>
      <c r="I64" s="204"/>
      <c r="J64" s="380"/>
    </row>
    <row r="65" spans="2:10" s="370" customFormat="1" ht="18" x14ac:dyDescent="0.25">
      <c r="B65" s="381" t="s">
        <v>1497</v>
      </c>
      <c r="C65" s="186" t="s">
        <v>1498</v>
      </c>
      <c r="D65" s="382">
        <v>3.5000000000000003E-2</v>
      </c>
      <c r="E65" s="383"/>
      <c r="F65" s="205"/>
      <c r="G65" s="366" t="s">
        <v>1496</v>
      </c>
      <c r="H65" s="186"/>
      <c r="I65" s="205"/>
      <c r="J65" s="385"/>
    </row>
    <row r="66" spans="2:10" s="370" customFormat="1" ht="18" x14ac:dyDescent="0.25">
      <c r="B66" s="381" t="s">
        <v>1499</v>
      </c>
      <c r="C66" s="186" t="s">
        <v>1500</v>
      </c>
      <c r="D66" s="382">
        <v>6.8000000000000005E-2</v>
      </c>
      <c r="E66" s="383"/>
      <c r="F66" s="205"/>
      <c r="G66" s="366" t="s">
        <v>1496</v>
      </c>
      <c r="H66" s="186"/>
      <c r="I66" s="205"/>
      <c r="J66" s="385"/>
    </row>
    <row r="67" spans="2:10" s="370" customFormat="1" ht="18" x14ac:dyDescent="0.25">
      <c r="B67" s="381" t="s">
        <v>1501</v>
      </c>
      <c r="C67" s="186" t="s">
        <v>1502</v>
      </c>
      <c r="D67" s="382">
        <v>0.05</v>
      </c>
      <c r="E67" s="383"/>
      <c r="F67" s="205"/>
      <c r="G67" s="366" t="s">
        <v>1496</v>
      </c>
      <c r="H67" s="186"/>
      <c r="I67" s="205"/>
      <c r="J67" s="385"/>
    </row>
    <row r="68" spans="2:10" s="370" customFormat="1" ht="18" x14ac:dyDescent="0.25">
      <c r="B68" s="381" t="s">
        <v>1503</v>
      </c>
      <c r="C68" s="186" t="s">
        <v>1504</v>
      </c>
      <c r="D68" s="382">
        <v>6.8000000000000005E-2</v>
      </c>
      <c r="E68" s="383"/>
      <c r="F68" s="205"/>
      <c r="G68" s="366" t="s">
        <v>1496</v>
      </c>
      <c r="H68" s="186"/>
      <c r="I68" s="205"/>
      <c r="J68" s="385"/>
    </row>
    <row r="69" spans="2:10" s="370" customFormat="1" ht="18" x14ac:dyDescent="0.25">
      <c r="B69" s="381" t="s">
        <v>1505</v>
      </c>
      <c r="C69" s="186" t="s">
        <v>220</v>
      </c>
      <c r="D69" s="382">
        <v>6.8000000000000005E-2</v>
      </c>
      <c r="E69" s="383"/>
      <c r="F69" s="205"/>
      <c r="G69" s="366" t="s">
        <v>1496</v>
      </c>
      <c r="H69" s="186"/>
      <c r="I69" s="205"/>
      <c r="J69" s="385"/>
    </row>
    <row r="70" spans="2:10" s="370" customFormat="1" ht="18" x14ac:dyDescent="0.25">
      <c r="B70" s="381" t="s">
        <v>1506</v>
      </c>
      <c r="C70" s="186" t="s">
        <v>1507</v>
      </c>
      <c r="D70" s="382">
        <v>0</v>
      </c>
      <c r="E70" s="383"/>
      <c r="F70" s="205"/>
      <c r="G70" s="186" t="s">
        <v>1478</v>
      </c>
      <c r="H70" s="186"/>
      <c r="I70" s="205"/>
      <c r="J70" s="385"/>
    </row>
    <row r="71" spans="2:10" s="370" customFormat="1" ht="18" x14ac:dyDescent="0.25">
      <c r="B71" s="381" t="s">
        <v>1508</v>
      </c>
      <c r="C71" s="186" t="s">
        <v>1509</v>
      </c>
      <c r="D71" s="382">
        <v>0</v>
      </c>
      <c r="E71" s="383"/>
      <c r="F71" s="205"/>
      <c r="G71" s="186" t="s">
        <v>1478</v>
      </c>
      <c r="H71" s="186"/>
      <c r="I71" s="205"/>
      <c r="J71" s="385"/>
    </row>
    <row r="72" spans="2:10" s="370" customFormat="1" ht="18" x14ac:dyDescent="0.25">
      <c r="B72" s="381" t="s">
        <v>1510</v>
      </c>
      <c r="C72" s="186" t="s">
        <v>1511</v>
      </c>
      <c r="D72" s="382">
        <v>2.1000000000000001E-2</v>
      </c>
      <c r="E72" s="383"/>
      <c r="F72" s="205"/>
      <c r="G72" s="186" t="s">
        <v>1478</v>
      </c>
      <c r="H72" s="186"/>
      <c r="I72" s="205"/>
      <c r="J72" s="385"/>
    </row>
    <row r="73" spans="2:10" s="370" customFormat="1" ht="18" x14ac:dyDescent="0.25">
      <c r="B73" s="381" t="s">
        <v>1512</v>
      </c>
      <c r="C73" s="186" t="s">
        <v>1513</v>
      </c>
      <c r="D73" s="382">
        <v>0</v>
      </c>
      <c r="E73" s="383"/>
      <c r="F73" s="205"/>
      <c r="G73" s="186" t="s">
        <v>1478</v>
      </c>
      <c r="H73" s="186"/>
      <c r="I73" s="205"/>
      <c r="J73" s="385"/>
    </row>
    <row r="74" spans="2:10" s="370" customFormat="1" ht="18" x14ac:dyDescent="0.25">
      <c r="B74" s="381" t="s">
        <v>1514</v>
      </c>
      <c r="C74" s="186" t="s">
        <v>1515</v>
      </c>
      <c r="D74" s="382">
        <v>2.1000000000000001E-2</v>
      </c>
      <c r="E74" s="383"/>
      <c r="F74" s="205"/>
      <c r="G74" s="186" t="s">
        <v>1478</v>
      </c>
      <c r="H74" s="186"/>
      <c r="I74" s="205"/>
      <c r="J74" s="385"/>
    </row>
    <row r="75" spans="2:10" s="370" customFormat="1" ht="18.75" thickBot="1" x14ac:dyDescent="0.3">
      <c r="B75" s="386" t="s">
        <v>1516</v>
      </c>
      <c r="C75" s="188" t="s">
        <v>222</v>
      </c>
      <c r="D75" s="387">
        <v>2.1000000000000001E-2</v>
      </c>
      <c r="E75" s="388"/>
      <c r="F75" s="206"/>
      <c r="G75" s="474" t="s">
        <v>1478</v>
      </c>
      <c r="H75" s="188"/>
      <c r="I75" s="206"/>
      <c r="J75" s="390"/>
    </row>
    <row r="76" spans="2:10" s="370" customFormat="1" ht="15.75" thickBot="1" x14ac:dyDescent="0.3">
      <c r="B76" s="367"/>
      <c r="C76" s="110"/>
      <c r="D76" s="110"/>
      <c r="E76" s="110"/>
      <c r="F76" s="110"/>
      <c r="G76" s="110"/>
      <c r="H76" s="110"/>
      <c r="I76" s="110"/>
    </row>
    <row r="77" spans="2:10" s="370" customFormat="1" ht="15.75" thickBot="1" x14ac:dyDescent="0.3">
      <c r="B77" s="367"/>
      <c r="C77" s="371" t="s">
        <v>439</v>
      </c>
      <c r="D77" s="367" t="s">
        <v>436</v>
      </c>
      <c r="E77" s="367"/>
      <c r="F77" s="367"/>
      <c r="G77" s="367"/>
      <c r="H77" s="367"/>
      <c r="I77" s="367"/>
    </row>
    <row r="78" spans="2:10" s="370" customFormat="1" ht="15.75" thickBot="1" x14ac:dyDescent="0.3">
      <c r="B78" s="155" t="s">
        <v>0</v>
      </c>
      <c r="C78" s="373" t="s">
        <v>1</v>
      </c>
      <c r="D78" s="374" t="s">
        <v>1022</v>
      </c>
      <c r="E78" s="374" t="s">
        <v>622</v>
      </c>
      <c r="F78" s="374" t="s">
        <v>623</v>
      </c>
      <c r="G78" s="373" t="s">
        <v>2</v>
      </c>
      <c r="H78" s="373" t="s">
        <v>430</v>
      </c>
      <c r="I78" s="373" t="s">
        <v>114</v>
      </c>
      <c r="J78" s="375" t="s">
        <v>115</v>
      </c>
    </row>
    <row r="79" spans="2:10" s="370" customFormat="1" ht="18" x14ac:dyDescent="0.25">
      <c r="B79" s="376" t="s">
        <v>1517</v>
      </c>
      <c r="C79" s="366" t="s">
        <v>1518</v>
      </c>
      <c r="D79" s="396">
        <v>2.8571428571428572</v>
      </c>
      <c r="E79" s="378"/>
      <c r="F79" s="204"/>
      <c r="G79" s="366" t="s">
        <v>1485</v>
      </c>
      <c r="H79" s="366"/>
      <c r="I79" s="204"/>
      <c r="J79" s="380"/>
    </row>
    <row r="80" spans="2:10" s="370" customFormat="1" ht="18" x14ac:dyDescent="0.25">
      <c r="B80" s="381" t="s">
        <v>1519</v>
      </c>
      <c r="C80" s="186" t="s">
        <v>1520</v>
      </c>
      <c r="D80" s="397">
        <v>-4.5714285714285712</v>
      </c>
      <c r="E80" s="383"/>
      <c r="F80" s="205"/>
      <c r="G80" s="186" t="s">
        <v>1485</v>
      </c>
      <c r="H80" s="186"/>
      <c r="I80" s="205"/>
      <c r="J80" s="385"/>
    </row>
    <row r="81" spans="2:10" s="370" customFormat="1" ht="18.75" thickBot="1" x14ac:dyDescent="0.3">
      <c r="B81" s="386" t="s">
        <v>1521</v>
      </c>
      <c r="C81" s="188" t="s">
        <v>1522</v>
      </c>
      <c r="D81" s="398">
        <v>-1.7142857142857142</v>
      </c>
      <c r="E81" s="388"/>
      <c r="F81" s="206"/>
      <c r="G81" s="188" t="s">
        <v>1485</v>
      </c>
      <c r="H81" s="188"/>
      <c r="I81" s="206"/>
      <c r="J81" s="390"/>
    </row>
    <row r="82" spans="2:10" s="370" customFormat="1" ht="15.75" thickBot="1" x14ac:dyDescent="0.3">
      <c r="B82" s="367"/>
      <c r="C82" s="110"/>
      <c r="D82" s="110"/>
      <c r="E82" s="110"/>
      <c r="F82" s="110"/>
      <c r="G82" s="110"/>
      <c r="H82" s="110"/>
      <c r="I82" s="110"/>
    </row>
    <row r="83" spans="2:10" s="370" customFormat="1" ht="15.75" thickBot="1" x14ac:dyDescent="0.3">
      <c r="B83" s="367"/>
      <c r="C83" s="371" t="s">
        <v>440</v>
      </c>
      <c r="D83" s="367" t="s">
        <v>436</v>
      </c>
      <c r="E83" s="367"/>
      <c r="F83" s="367"/>
      <c r="G83" s="367"/>
      <c r="H83" s="367"/>
      <c r="I83" s="367"/>
    </row>
    <row r="84" spans="2:10" s="370" customFormat="1" ht="15.75" thickBot="1" x14ac:dyDescent="0.3">
      <c r="B84" s="155" t="s">
        <v>0</v>
      </c>
      <c r="C84" s="373" t="s">
        <v>1</v>
      </c>
      <c r="D84" s="374" t="s">
        <v>1022</v>
      </c>
      <c r="E84" s="374" t="s">
        <v>622</v>
      </c>
      <c r="F84" s="374" t="s">
        <v>623</v>
      </c>
      <c r="G84" s="373" t="s">
        <v>2</v>
      </c>
      <c r="H84" s="373" t="s">
        <v>430</v>
      </c>
      <c r="I84" s="373" t="s">
        <v>114</v>
      </c>
      <c r="J84" s="375" t="s">
        <v>115</v>
      </c>
    </row>
    <row r="85" spans="2:10" s="370" customFormat="1" ht="18" x14ac:dyDescent="0.25">
      <c r="B85" s="399" t="s">
        <v>1523</v>
      </c>
      <c r="C85" s="366" t="s">
        <v>223</v>
      </c>
      <c r="D85" s="366">
        <v>1.48</v>
      </c>
      <c r="E85" s="366"/>
      <c r="F85" s="366"/>
      <c r="G85" s="366" t="s">
        <v>1524</v>
      </c>
      <c r="H85" s="366"/>
      <c r="I85" s="366"/>
      <c r="J85" s="380"/>
    </row>
    <row r="86" spans="2:10" s="431" customFormat="1" ht="18" x14ac:dyDescent="0.25">
      <c r="B86" s="435" t="s">
        <v>1545</v>
      </c>
      <c r="C86" s="432" t="s">
        <v>1546</v>
      </c>
      <c r="D86" s="436">
        <v>1.0660000000000001</v>
      </c>
      <c r="E86" s="432">
        <v>0</v>
      </c>
      <c r="F86" s="432">
        <v>5</v>
      </c>
      <c r="G86" s="432" t="s">
        <v>1547</v>
      </c>
      <c r="H86" s="432">
        <v>2</v>
      </c>
      <c r="I86" s="433"/>
      <c r="J86" s="434"/>
    </row>
    <row r="87" spans="2:10" s="431" customFormat="1" ht="18" x14ac:dyDescent="0.25">
      <c r="B87" s="435" t="s">
        <v>1548</v>
      </c>
      <c r="C87" s="432" t="s">
        <v>1549</v>
      </c>
      <c r="D87" s="436">
        <v>1.0660000000000001</v>
      </c>
      <c r="E87" s="432">
        <v>0</v>
      </c>
      <c r="F87" s="432">
        <v>5</v>
      </c>
      <c r="G87" s="432" t="s">
        <v>1547</v>
      </c>
      <c r="H87" s="432">
        <v>2</v>
      </c>
      <c r="I87" s="433"/>
      <c r="J87" s="434"/>
    </row>
    <row r="88" spans="2:10" s="431" customFormat="1" ht="18" x14ac:dyDescent="0.25">
      <c r="B88" s="435" t="s">
        <v>1550</v>
      </c>
      <c r="C88" s="432" t="s">
        <v>1551</v>
      </c>
      <c r="D88" s="436">
        <v>0.92600000000000005</v>
      </c>
      <c r="E88" s="432">
        <v>0</v>
      </c>
      <c r="F88" s="432">
        <v>5</v>
      </c>
      <c r="G88" s="432" t="s">
        <v>1547</v>
      </c>
      <c r="H88" s="432">
        <v>2</v>
      </c>
      <c r="I88" s="433"/>
      <c r="J88" s="434"/>
    </row>
    <row r="89" spans="2:10" ht="18.75" thickBot="1" x14ac:dyDescent="0.3">
      <c r="B89" s="400" t="s">
        <v>1553</v>
      </c>
      <c r="C89" s="401" t="s">
        <v>441</v>
      </c>
      <c r="D89" s="401">
        <v>0.65</v>
      </c>
      <c r="E89" s="401"/>
      <c r="F89" s="401"/>
      <c r="G89" s="401" t="s">
        <v>442</v>
      </c>
      <c r="H89" s="401">
        <v>2</v>
      </c>
      <c r="I89" s="401"/>
      <c r="J89" s="402"/>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unka3"/>
  <dimension ref="A1:AA90"/>
  <sheetViews>
    <sheetView showGridLines="0" zoomScaleNormal="100" workbookViewId="0">
      <pane xSplit="4" ySplit="3" topLeftCell="E4" activePane="bottomRight" state="frozen"/>
      <selection pane="topRight" activeCell="E1" sqref="E1"/>
      <selection pane="bottomLeft" activeCell="A4" sqref="A4"/>
      <selection pane="bottomRight" activeCell="A2" sqref="A2"/>
    </sheetView>
  </sheetViews>
  <sheetFormatPr defaultColWidth="9.140625" defaultRowHeight="15" x14ac:dyDescent="0.25"/>
  <cols>
    <col min="1" max="1" width="17.140625" customWidth="1"/>
    <col min="2" max="2" width="3.7109375" customWidth="1"/>
    <col min="3" max="3" width="7.5703125" bestFit="1" customWidth="1"/>
    <col min="4" max="4" width="54.42578125" bestFit="1" customWidth="1"/>
    <col min="5" max="5" width="34.42578125" bestFit="1" customWidth="1"/>
    <col min="6" max="7" width="24.28515625" bestFit="1" customWidth="1"/>
    <col min="8" max="8" width="67.42578125" bestFit="1" customWidth="1"/>
    <col min="9" max="9" width="34.140625" bestFit="1" customWidth="1"/>
    <col min="10" max="10" width="66.42578125" bestFit="1" customWidth="1"/>
    <col min="11" max="11" width="8.140625" bestFit="1" customWidth="1"/>
    <col min="12" max="12" width="8.5703125" bestFit="1" customWidth="1"/>
    <col min="13" max="13" width="9" customWidth="1"/>
    <col min="14" max="14" width="24.28515625" bestFit="1" customWidth="1"/>
    <col min="15" max="15" width="28.85546875" bestFit="1" customWidth="1"/>
    <col min="16" max="16" width="7.85546875" bestFit="1" customWidth="1"/>
    <col min="17" max="17" width="7" bestFit="1" customWidth="1"/>
    <col min="18" max="18" width="15.7109375" bestFit="1" customWidth="1"/>
    <col min="19" max="19" width="26.42578125" bestFit="1" customWidth="1"/>
    <col min="20" max="20" width="8" bestFit="1" customWidth="1"/>
    <col min="21" max="21" width="34.140625" bestFit="1" customWidth="1"/>
    <col min="22" max="22" width="9.28515625" bestFit="1" customWidth="1"/>
    <col min="23" max="23" width="149.7109375" customWidth="1"/>
    <col min="24" max="24" width="11.7109375" bestFit="1" customWidth="1"/>
    <col min="25" max="25" width="8.85546875" bestFit="1" customWidth="1"/>
  </cols>
  <sheetData>
    <row r="1" spans="1:26" s="45" customFormat="1" ht="54" customHeight="1" thickBot="1" x14ac:dyDescent="0.3">
      <c r="A1" s="46"/>
    </row>
    <row r="2" spans="1:26" ht="18.75" customHeight="1" thickBot="1" x14ac:dyDescent="0.3">
      <c r="C2" s="145"/>
      <c r="D2" s="53" t="s">
        <v>126</v>
      </c>
      <c r="E2" s="87"/>
      <c r="F2" s="87"/>
      <c r="G2" s="87"/>
      <c r="H2" s="87"/>
      <c r="I2" s="87"/>
      <c r="J2" s="87"/>
      <c r="K2" s="87"/>
      <c r="L2" s="87"/>
      <c r="M2" s="87"/>
      <c r="N2" s="87"/>
      <c r="O2" s="87"/>
      <c r="P2" s="87"/>
      <c r="Q2" s="87"/>
      <c r="R2" s="87"/>
      <c r="S2" s="87"/>
      <c r="T2" s="87"/>
      <c r="U2" s="87"/>
      <c r="V2" s="87"/>
      <c r="W2" s="87"/>
      <c r="X2" s="87"/>
    </row>
    <row r="3" spans="1:26" s="72" customFormat="1" ht="19.5" thickBot="1" x14ac:dyDescent="0.3">
      <c r="B3" s="148" t="s">
        <v>91</v>
      </c>
      <c r="C3" s="149" t="s">
        <v>0</v>
      </c>
      <c r="D3" s="149" t="s">
        <v>1</v>
      </c>
      <c r="E3" s="146" t="s">
        <v>268</v>
      </c>
      <c r="F3" s="146" t="s">
        <v>269</v>
      </c>
      <c r="G3" s="146" t="s">
        <v>270</v>
      </c>
      <c r="H3" s="146" t="s">
        <v>271</v>
      </c>
      <c r="I3" s="146" t="s">
        <v>272</v>
      </c>
      <c r="J3" s="146" t="s">
        <v>273</v>
      </c>
      <c r="K3" s="146" t="s">
        <v>274</v>
      </c>
      <c r="L3" s="146" t="s">
        <v>275</v>
      </c>
      <c r="M3" s="146" t="s">
        <v>276</v>
      </c>
      <c r="N3" s="146" t="s">
        <v>277</v>
      </c>
      <c r="O3" s="146" t="s">
        <v>278</v>
      </c>
      <c r="P3" s="146" t="s">
        <v>279</v>
      </c>
      <c r="Q3" s="146" t="s">
        <v>280</v>
      </c>
      <c r="R3" s="146" t="s">
        <v>281</v>
      </c>
      <c r="S3" s="146" t="s">
        <v>282</v>
      </c>
      <c r="T3" s="146" t="s">
        <v>283</v>
      </c>
      <c r="U3" s="146" t="s">
        <v>284</v>
      </c>
      <c r="V3" s="147" t="s">
        <v>285</v>
      </c>
      <c r="W3" s="150" t="s">
        <v>1420</v>
      </c>
      <c r="X3" s="437" t="s">
        <v>2</v>
      </c>
      <c r="Y3" s="528" t="s">
        <v>9</v>
      </c>
      <c r="Z3" s="151" t="s">
        <v>114</v>
      </c>
    </row>
    <row r="4" spans="1:26" ht="21.75" customHeight="1" x14ac:dyDescent="0.25">
      <c r="B4" s="439">
        <v>1</v>
      </c>
      <c r="C4" s="440" t="s">
        <v>286</v>
      </c>
      <c r="D4" s="441" t="s">
        <v>287</v>
      </c>
      <c r="E4" s="442" t="s">
        <v>288</v>
      </c>
      <c r="F4" s="442" t="s">
        <v>289</v>
      </c>
      <c r="G4" s="442"/>
      <c r="H4" s="443" t="s">
        <v>290</v>
      </c>
      <c r="I4" s="442"/>
      <c r="J4" s="443" t="s">
        <v>291</v>
      </c>
      <c r="K4" s="443"/>
      <c r="L4" s="443"/>
      <c r="M4" s="443"/>
      <c r="N4" s="443"/>
      <c r="O4" s="443"/>
      <c r="P4" s="443" t="s">
        <v>292</v>
      </c>
      <c r="Q4" s="443"/>
      <c r="R4" s="443"/>
      <c r="S4" s="443"/>
      <c r="T4" s="443"/>
      <c r="U4" s="443"/>
      <c r="V4" s="443"/>
      <c r="W4" s="444" t="s">
        <v>1567</v>
      </c>
      <c r="X4" s="445" t="s">
        <v>1552</v>
      </c>
      <c r="Y4" s="529"/>
      <c r="Z4" s="446"/>
    </row>
    <row r="5" spans="1:26" ht="21.75" customHeight="1" x14ac:dyDescent="0.25">
      <c r="B5" s="447">
        <v>2</v>
      </c>
      <c r="C5" s="448" t="s">
        <v>293</v>
      </c>
      <c r="D5" s="449" t="s">
        <v>294</v>
      </c>
      <c r="E5" s="450" t="s">
        <v>295</v>
      </c>
      <c r="F5" s="414" t="s">
        <v>289</v>
      </c>
      <c r="G5" s="414"/>
      <c r="H5" s="413"/>
      <c r="I5" s="413" t="s">
        <v>290</v>
      </c>
      <c r="J5" s="413" t="s">
        <v>291</v>
      </c>
      <c r="K5" s="413"/>
      <c r="L5" s="413"/>
      <c r="M5" s="413"/>
      <c r="N5" s="413"/>
      <c r="O5" s="413"/>
      <c r="P5" s="413" t="s">
        <v>292</v>
      </c>
      <c r="Q5" s="413"/>
      <c r="R5" s="413"/>
      <c r="S5" s="413"/>
      <c r="T5" s="413"/>
      <c r="U5" s="413"/>
      <c r="V5" s="413"/>
      <c r="W5" s="451" t="s">
        <v>1568</v>
      </c>
      <c r="X5" s="438" t="s">
        <v>1552</v>
      </c>
      <c r="Y5" s="530"/>
      <c r="Z5" s="428"/>
    </row>
    <row r="6" spans="1:26" ht="21.75" customHeight="1" x14ac:dyDescent="0.25">
      <c r="B6" s="447">
        <v>3</v>
      </c>
      <c r="C6" s="448" t="s">
        <v>296</v>
      </c>
      <c r="D6" s="449" t="s">
        <v>297</v>
      </c>
      <c r="E6" s="414"/>
      <c r="F6" s="414" t="s">
        <v>298</v>
      </c>
      <c r="G6" s="414"/>
      <c r="H6" s="413" t="s">
        <v>290</v>
      </c>
      <c r="I6" s="450" t="s">
        <v>299</v>
      </c>
      <c r="J6" s="413" t="s">
        <v>291</v>
      </c>
      <c r="K6" s="413"/>
      <c r="L6" s="413"/>
      <c r="M6" s="413"/>
      <c r="N6" s="413"/>
      <c r="O6" s="413"/>
      <c r="P6" s="413">
        <v>1</v>
      </c>
      <c r="Q6" s="413"/>
      <c r="R6" s="413"/>
      <c r="S6" s="413"/>
      <c r="T6" s="413"/>
      <c r="U6" s="413" t="s">
        <v>300</v>
      </c>
      <c r="V6" s="413"/>
      <c r="W6" s="451" t="s">
        <v>1569</v>
      </c>
      <c r="X6" s="438" t="s">
        <v>1552</v>
      </c>
      <c r="Y6" s="530"/>
      <c r="Z6" s="428"/>
    </row>
    <row r="7" spans="1:26" ht="21.75" customHeight="1" x14ac:dyDescent="0.25">
      <c r="B7" s="447">
        <v>4</v>
      </c>
      <c r="C7" s="448" t="s">
        <v>301</v>
      </c>
      <c r="D7" s="449" t="s">
        <v>302</v>
      </c>
      <c r="E7" s="413"/>
      <c r="F7" s="450" t="s">
        <v>303</v>
      </c>
      <c r="G7" s="414"/>
      <c r="H7" s="413"/>
      <c r="I7" s="450" t="s">
        <v>304</v>
      </c>
      <c r="J7" s="413" t="s">
        <v>291</v>
      </c>
      <c r="K7" s="413"/>
      <c r="L7" s="413"/>
      <c r="M7" s="413"/>
      <c r="N7" s="413"/>
      <c r="O7" s="413"/>
      <c r="P7" s="413">
        <v>1</v>
      </c>
      <c r="Q7" s="413"/>
      <c r="R7" s="413"/>
      <c r="S7" s="413"/>
      <c r="T7" s="413"/>
      <c r="U7" s="413" t="s">
        <v>300</v>
      </c>
      <c r="V7" s="413"/>
      <c r="W7" s="451" t="s">
        <v>1570</v>
      </c>
      <c r="X7" s="438" t="s">
        <v>1552</v>
      </c>
      <c r="Y7" s="530"/>
      <c r="Z7" s="428"/>
    </row>
    <row r="8" spans="1:26" ht="21.75" customHeight="1" x14ac:dyDescent="0.25">
      <c r="B8" s="447">
        <v>5</v>
      </c>
      <c r="C8" s="448" t="s">
        <v>305</v>
      </c>
      <c r="D8" s="449" t="s">
        <v>306</v>
      </c>
      <c r="E8" s="414" t="s">
        <v>288</v>
      </c>
      <c r="F8" s="414"/>
      <c r="G8" s="414" t="s">
        <v>289</v>
      </c>
      <c r="H8" s="413" t="s">
        <v>307</v>
      </c>
      <c r="I8" s="413"/>
      <c r="J8" s="413" t="s">
        <v>308</v>
      </c>
      <c r="K8" s="413"/>
      <c r="L8" s="413"/>
      <c r="M8" s="413"/>
      <c r="N8" s="413"/>
      <c r="O8" s="413"/>
      <c r="P8" s="413">
        <v>1</v>
      </c>
      <c r="Q8" s="413"/>
      <c r="R8" s="413"/>
      <c r="S8" s="413"/>
      <c r="T8" s="413"/>
      <c r="U8" s="413"/>
      <c r="V8" s="413"/>
      <c r="W8" s="451" t="s">
        <v>1571</v>
      </c>
      <c r="X8" s="438" t="s">
        <v>1552</v>
      </c>
      <c r="Y8" s="530"/>
      <c r="Z8" s="428"/>
    </row>
    <row r="9" spans="1:26" ht="21.75" customHeight="1" x14ac:dyDescent="0.25">
      <c r="B9" s="447">
        <v>6</v>
      </c>
      <c r="C9" s="448" t="s">
        <v>309</v>
      </c>
      <c r="D9" s="449" t="s">
        <v>310</v>
      </c>
      <c r="E9" s="450" t="s">
        <v>295</v>
      </c>
      <c r="F9" s="414"/>
      <c r="G9" s="414" t="s">
        <v>289</v>
      </c>
      <c r="H9" s="415" t="s">
        <v>311</v>
      </c>
      <c r="I9" s="413" t="s">
        <v>290</v>
      </c>
      <c r="J9" s="413" t="s">
        <v>308</v>
      </c>
      <c r="K9" s="413"/>
      <c r="L9" s="413"/>
      <c r="M9" s="413"/>
      <c r="N9" s="413"/>
      <c r="O9" s="413"/>
      <c r="P9" s="413" t="s">
        <v>292</v>
      </c>
      <c r="Q9" s="413"/>
      <c r="R9" s="413"/>
      <c r="S9" s="413"/>
      <c r="T9" s="413"/>
      <c r="U9" s="413"/>
      <c r="V9" s="413"/>
      <c r="W9" s="451" t="s">
        <v>1572</v>
      </c>
      <c r="X9" s="438" t="s">
        <v>1552</v>
      </c>
      <c r="Y9" s="530"/>
      <c r="Z9" s="428"/>
    </row>
    <row r="10" spans="1:26" ht="21.75" customHeight="1" x14ac:dyDescent="0.25">
      <c r="B10" s="447">
        <v>7</v>
      </c>
      <c r="C10" s="448" t="s">
        <v>312</v>
      </c>
      <c r="D10" s="449" t="s">
        <v>313</v>
      </c>
      <c r="E10" s="414"/>
      <c r="F10" s="414"/>
      <c r="G10" s="414" t="s">
        <v>298</v>
      </c>
      <c r="H10" s="413" t="s">
        <v>314</v>
      </c>
      <c r="I10" s="450" t="s">
        <v>299</v>
      </c>
      <c r="J10" s="413" t="s">
        <v>315</v>
      </c>
      <c r="K10" s="413"/>
      <c r="L10" s="413"/>
      <c r="M10" s="413"/>
      <c r="N10" s="413"/>
      <c r="O10" s="413"/>
      <c r="P10" s="413">
        <v>1</v>
      </c>
      <c r="Q10" s="413"/>
      <c r="R10" s="413"/>
      <c r="S10" s="413"/>
      <c r="T10" s="413"/>
      <c r="U10" s="413" t="s">
        <v>300</v>
      </c>
      <c r="V10" s="413"/>
      <c r="W10" s="451" t="s">
        <v>1573</v>
      </c>
      <c r="X10" s="438" t="s">
        <v>1552</v>
      </c>
      <c r="Y10" s="530"/>
      <c r="Z10" s="428"/>
    </row>
    <row r="11" spans="1:26" ht="21.75" customHeight="1" x14ac:dyDescent="0.25">
      <c r="B11" s="447">
        <v>8</v>
      </c>
      <c r="C11" s="448" t="s">
        <v>316</v>
      </c>
      <c r="D11" s="449" t="s">
        <v>317</v>
      </c>
      <c r="E11" s="414"/>
      <c r="F11" s="414"/>
      <c r="G11" s="450" t="s">
        <v>303</v>
      </c>
      <c r="H11" s="415" t="s">
        <v>318</v>
      </c>
      <c r="I11" s="450" t="s">
        <v>304</v>
      </c>
      <c r="J11" s="452" t="s">
        <v>319</v>
      </c>
      <c r="K11" s="413"/>
      <c r="L11" s="413"/>
      <c r="M11" s="413"/>
      <c r="N11" s="413"/>
      <c r="O11" s="413"/>
      <c r="P11" s="413">
        <v>1</v>
      </c>
      <c r="Q11" s="413"/>
      <c r="R11" s="413"/>
      <c r="S11" s="413"/>
      <c r="T11" s="413"/>
      <c r="U11" s="413" t="s">
        <v>300</v>
      </c>
      <c r="V11" s="413"/>
      <c r="W11" s="451" t="s">
        <v>1574</v>
      </c>
      <c r="X11" s="438" t="s">
        <v>1552</v>
      </c>
      <c r="Y11" s="530"/>
      <c r="Z11" s="428"/>
    </row>
    <row r="12" spans="1:26" ht="21.75" customHeight="1" x14ac:dyDescent="0.25">
      <c r="B12" s="447">
        <v>9</v>
      </c>
      <c r="C12" s="448" t="s">
        <v>320</v>
      </c>
      <c r="D12" s="449" t="s">
        <v>321</v>
      </c>
      <c r="E12" s="414" t="s">
        <v>288</v>
      </c>
      <c r="F12" s="414"/>
      <c r="G12" s="414"/>
      <c r="H12" s="413" t="s">
        <v>322</v>
      </c>
      <c r="I12" s="413"/>
      <c r="J12" s="413" t="s">
        <v>323</v>
      </c>
      <c r="K12" s="413"/>
      <c r="L12" s="413"/>
      <c r="M12" s="413"/>
      <c r="N12" s="414" t="s">
        <v>289</v>
      </c>
      <c r="O12" s="413"/>
      <c r="P12" s="413">
        <v>1</v>
      </c>
      <c r="Q12" s="413"/>
      <c r="R12" s="413"/>
      <c r="S12" s="413"/>
      <c r="T12" s="413"/>
      <c r="U12" s="413"/>
      <c r="V12" s="413"/>
      <c r="W12" s="451" t="s">
        <v>1575</v>
      </c>
      <c r="X12" s="438" t="s">
        <v>1552</v>
      </c>
      <c r="Y12" s="530"/>
      <c r="Z12" s="428"/>
    </row>
    <row r="13" spans="1:26" ht="21.75" customHeight="1" x14ac:dyDescent="0.25">
      <c r="B13" s="447">
        <v>10</v>
      </c>
      <c r="C13" s="448" t="s">
        <v>324</v>
      </c>
      <c r="D13" s="449" t="s">
        <v>325</v>
      </c>
      <c r="E13" s="450" t="s">
        <v>295</v>
      </c>
      <c r="F13" s="414"/>
      <c r="G13" s="414"/>
      <c r="H13" s="415" t="s">
        <v>326</v>
      </c>
      <c r="I13" s="413" t="s">
        <v>290</v>
      </c>
      <c r="J13" s="413" t="s">
        <v>323</v>
      </c>
      <c r="K13" s="413"/>
      <c r="L13" s="413"/>
      <c r="M13" s="413"/>
      <c r="N13" s="414" t="s">
        <v>289</v>
      </c>
      <c r="O13" s="413"/>
      <c r="P13" s="413" t="s">
        <v>292</v>
      </c>
      <c r="Q13" s="413"/>
      <c r="R13" s="413"/>
      <c r="S13" s="413"/>
      <c r="T13" s="413"/>
      <c r="U13" s="413"/>
      <c r="V13" s="413"/>
      <c r="W13" s="451" t="s">
        <v>1576</v>
      </c>
      <c r="X13" s="438" t="s">
        <v>1552</v>
      </c>
      <c r="Y13" s="530"/>
      <c r="Z13" s="428"/>
    </row>
    <row r="14" spans="1:26" ht="21.75" customHeight="1" x14ac:dyDescent="0.25">
      <c r="B14" s="447">
        <v>11</v>
      </c>
      <c r="C14" s="448" t="s">
        <v>327</v>
      </c>
      <c r="D14" s="449" t="s">
        <v>328</v>
      </c>
      <c r="E14" s="414"/>
      <c r="F14" s="414"/>
      <c r="G14" s="414"/>
      <c r="H14" s="413" t="s">
        <v>329</v>
      </c>
      <c r="I14" s="450" t="s">
        <v>299</v>
      </c>
      <c r="J14" s="413" t="s">
        <v>330</v>
      </c>
      <c r="K14" s="413"/>
      <c r="L14" s="413"/>
      <c r="M14" s="413"/>
      <c r="N14" s="414" t="s">
        <v>298</v>
      </c>
      <c r="O14" s="413"/>
      <c r="P14" s="413">
        <v>1</v>
      </c>
      <c r="Q14" s="413"/>
      <c r="R14" s="413"/>
      <c r="S14" s="413"/>
      <c r="T14" s="413"/>
      <c r="U14" s="413" t="s">
        <v>300</v>
      </c>
      <c r="V14" s="413"/>
      <c r="W14" s="451" t="s">
        <v>1577</v>
      </c>
      <c r="X14" s="438" t="s">
        <v>1552</v>
      </c>
      <c r="Y14" s="530"/>
      <c r="Z14" s="428"/>
    </row>
    <row r="15" spans="1:26" ht="21.75" customHeight="1" x14ac:dyDescent="0.25">
      <c r="B15" s="447">
        <v>12</v>
      </c>
      <c r="C15" s="448" t="s">
        <v>331</v>
      </c>
      <c r="D15" s="449" t="s">
        <v>332</v>
      </c>
      <c r="E15" s="414"/>
      <c r="F15" s="414"/>
      <c r="G15" s="414"/>
      <c r="H15" s="415" t="s">
        <v>333</v>
      </c>
      <c r="I15" s="450" t="s">
        <v>304</v>
      </c>
      <c r="J15" s="452" t="s">
        <v>334</v>
      </c>
      <c r="K15" s="413"/>
      <c r="L15" s="413"/>
      <c r="M15" s="413"/>
      <c r="N15" s="450" t="s">
        <v>303</v>
      </c>
      <c r="O15" s="413"/>
      <c r="P15" s="413">
        <v>1</v>
      </c>
      <c r="Q15" s="413"/>
      <c r="R15" s="413"/>
      <c r="S15" s="413"/>
      <c r="T15" s="413"/>
      <c r="U15" s="413" t="s">
        <v>300</v>
      </c>
      <c r="V15" s="413"/>
      <c r="W15" s="451" t="s">
        <v>1578</v>
      </c>
      <c r="X15" s="438" t="s">
        <v>1552</v>
      </c>
      <c r="Y15" s="530"/>
      <c r="Z15" s="428"/>
    </row>
    <row r="16" spans="1:26" ht="21.75" customHeight="1" x14ac:dyDescent="0.25">
      <c r="B16" s="447">
        <v>13</v>
      </c>
      <c r="C16" s="448" t="s">
        <v>335</v>
      </c>
      <c r="D16" s="449" t="s">
        <v>336</v>
      </c>
      <c r="E16" s="413"/>
      <c r="F16" s="413"/>
      <c r="G16" s="413"/>
      <c r="H16" s="413"/>
      <c r="I16" s="413"/>
      <c r="J16" s="414"/>
      <c r="K16" s="413"/>
      <c r="L16" s="413"/>
      <c r="M16" s="413"/>
      <c r="N16" s="413">
        <v>1</v>
      </c>
      <c r="O16" s="453">
        <v>-1</v>
      </c>
      <c r="P16" s="414"/>
      <c r="Q16" s="413"/>
      <c r="R16" s="413"/>
      <c r="S16" s="414"/>
      <c r="T16" s="413"/>
      <c r="U16" s="414"/>
      <c r="V16" s="414"/>
      <c r="W16" s="451" t="s">
        <v>422</v>
      </c>
      <c r="X16" s="438" t="s">
        <v>1552</v>
      </c>
      <c r="Y16" s="530"/>
      <c r="Z16" s="428"/>
    </row>
    <row r="17" spans="2:26" ht="21.75" customHeight="1" x14ac:dyDescent="0.25">
      <c r="B17" s="447">
        <v>14</v>
      </c>
      <c r="C17" s="448" t="s">
        <v>337</v>
      </c>
      <c r="D17" s="449" t="s">
        <v>338</v>
      </c>
      <c r="E17" s="413"/>
      <c r="F17" s="413"/>
      <c r="G17" s="413"/>
      <c r="H17" s="415" t="s">
        <v>339</v>
      </c>
      <c r="I17" s="413"/>
      <c r="J17" s="454" t="s">
        <v>340</v>
      </c>
      <c r="K17" s="413"/>
      <c r="L17" s="415" t="s">
        <v>341</v>
      </c>
      <c r="M17" s="413"/>
      <c r="N17" s="413"/>
      <c r="O17" s="413" t="s">
        <v>342</v>
      </c>
      <c r="P17" s="413" t="s">
        <v>343</v>
      </c>
      <c r="Q17" s="413"/>
      <c r="R17" s="413"/>
      <c r="S17" s="413"/>
      <c r="T17" s="413"/>
      <c r="U17" s="413"/>
      <c r="V17" s="413"/>
      <c r="W17" s="451" t="s">
        <v>344</v>
      </c>
      <c r="X17" s="438" t="s">
        <v>1552</v>
      </c>
      <c r="Y17" s="530"/>
      <c r="Z17" s="428"/>
    </row>
    <row r="18" spans="2:26" ht="21.75" customHeight="1" x14ac:dyDescent="0.25">
      <c r="B18" s="447">
        <v>15</v>
      </c>
      <c r="C18" s="448" t="s">
        <v>345</v>
      </c>
      <c r="D18" s="449" t="s">
        <v>346</v>
      </c>
      <c r="E18" s="413"/>
      <c r="F18" s="413">
        <v>1</v>
      </c>
      <c r="G18" s="413" t="s">
        <v>343</v>
      </c>
      <c r="H18" s="415" t="s">
        <v>219</v>
      </c>
      <c r="I18" s="413"/>
      <c r="J18" s="415" t="s">
        <v>221</v>
      </c>
      <c r="K18" s="413"/>
      <c r="L18" s="413"/>
      <c r="M18" s="413"/>
      <c r="N18" s="413"/>
      <c r="O18" s="413"/>
      <c r="P18" s="413"/>
      <c r="Q18" s="413"/>
      <c r="R18" s="413"/>
      <c r="S18" s="413"/>
      <c r="T18" s="413"/>
      <c r="U18" s="413"/>
      <c r="V18" s="413"/>
      <c r="W18" s="451" t="s">
        <v>1050</v>
      </c>
      <c r="X18" s="438" t="s">
        <v>1552</v>
      </c>
      <c r="Y18" s="530"/>
      <c r="Z18" s="428"/>
    </row>
    <row r="19" spans="2:26" ht="21.75" customHeight="1" x14ac:dyDescent="0.25">
      <c r="B19" s="447">
        <v>16</v>
      </c>
      <c r="C19" s="448" t="s">
        <v>347</v>
      </c>
      <c r="D19" s="449" t="s">
        <v>348</v>
      </c>
      <c r="E19" s="450" t="s">
        <v>349</v>
      </c>
      <c r="F19" s="413"/>
      <c r="G19" s="413"/>
      <c r="H19" s="414" t="s">
        <v>350</v>
      </c>
      <c r="I19" s="414" t="s">
        <v>351</v>
      </c>
      <c r="J19" s="413" t="s">
        <v>291</v>
      </c>
      <c r="K19" s="413"/>
      <c r="L19" s="413"/>
      <c r="M19" s="413"/>
      <c r="N19" s="413"/>
      <c r="O19" s="413"/>
      <c r="P19" s="413"/>
      <c r="Q19" s="413"/>
      <c r="R19" s="413"/>
      <c r="S19" s="413"/>
      <c r="T19" s="413" t="s">
        <v>292</v>
      </c>
      <c r="U19" s="413"/>
      <c r="V19" s="413"/>
      <c r="W19" s="451" t="s">
        <v>1108</v>
      </c>
      <c r="X19" s="438" t="s">
        <v>1552</v>
      </c>
      <c r="Y19" s="530"/>
      <c r="Z19" s="428"/>
    </row>
    <row r="20" spans="2:26" ht="21.75" customHeight="1" x14ac:dyDescent="0.25">
      <c r="B20" s="447">
        <v>17</v>
      </c>
      <c r="C20" s="448" t="s">
        <v>352</v>
      </c>
      <c r="D20" s="449" t="s">
        <v>353</v>
      </c>
      <c r="E20" s="413"/>
      <c r="F20" s="413"/>
      <c r="G20" s="413"/>
      <c r="H20" s="415" t="s">
        <v>354</v>
      </c>
      <c r="I20" s="413"/>
      <c r="J20" s="415" t="s">
        <v>355</v>
      </c>
      <c r="K20" s="413"/>
      <c r="L20" s="415" t="s">
        <v>218</v>
      </c>
      <c r="M20" s="413"/>
      <c r="N20" s="413"/>
      <c r="O20" s="413" t="s">
        <v>356</v>
      </c>
      <c r="P20" s="413"/>
      <c r="Q20" s="413"/>
      <c r="R20" s="413"/>
      <c r="S20" s="413"/>
      <c r="T20" s="413">
        <v>-1</v>
      </c>
      <c r="U20" s="413"/>
      <c r="V20" s="413"/>
      <c r="W20" s="451" t="s">
        <v>357</v>
      </c>
      <c r="X20" s="438" t="s">
        <v>1552</v>
      </c>
      <c r="Y20" s="530"/>
      <c r="Z20" s="428"/>
    </row>
    <row r="21" spans="2:26" ht="21.75" customHeight="1" x14ac:dyDescent="0.25">
      <c r="B21" s="447">
        <v>18</v>
      </c>
      <c r="C21" s="448" t="s">
        <v>358</v>
      </c>
      <c r="D21" s="449" t="s">
        <v>359</v>
      </c>
      <c r="E21" s="414" t="s">
        <v>360</v>
      </c>
      <c r="F21" s="413"/>
      <c r="G21" s="413"/>
      <c r="H21" s="413" t="s">
        <v>290</v>
      </c>
      <c r="I21" s="413"/>
      <c r="J21" s="455" t="s">
        <v>361</v>
      </c>
      <c r="K21" s="413"/>
      <c r="L21" s="413"/>
      <c r="M21" s="413"/>
      <c r="N21" s="413"/>
      <c r="O21" s="413"/>
      <c r="P21" s="413"/>
      <c r="Q21" s="413">
        <v>1</v>
      </c>
      <c r="R21" s="456" t="s">
        <v>362</v>
      </c>
      <c r="S21" s="414" t="s">
        <v>363</v>
      </c>
      <c r="T21" s="413"/>
      <c r="U21" s="414"/>
      <c r="V21" s="414"/>
      <c r="W21" s="451" t="s">
        <v>1076</v>
      </c>
      <c r="X21" s="438" t="s">
        <v>1552</v>
      </c>
      <c r="Y21" s="530"/>
      <c r="Z21" s="428"/>
    </row>
    <row r="22" spans="2:26" ht="21.75" customHeight="1" x14ac:dyDescent="0.25">
      <c r="B22" s="447">
        <v>19</v>
      </c>
      <c r="C22" s="448" t="s">
        <v>364</v>
      </c>
      <c r="D22" s="449" t="s">
        <v>365</v>
      </c>
      <c r="E22" s="450" t="s">
        <v>366</v>
      </c>
      <c r="F22" s="413"/>
      <c r="G22" s="413"/>
      <c r="H22" s="413"/>
      <c r="I22" s="413" t="s">
        <v>290</v>
      </c>
      <c r="J22" s="414" t="s">
        <v>361</v>
      </c>
      <c r="K22" s="413"/>
      <c r="L22" s="413"/>
      <c r="M22" s="413"/>
      <c r="N22" s="413"/>
      <c r="O22" s="413"/>
      <c r="P22" s="413"/>
      <c r="Q22" s="413" t="s">
        <v>292</v>
      </c>
      <c r="R22" s="456" t="s">
        <v>362</v>
      </c>
      <c r="S22" s="414" t="s">
        <v>363</v>
      </c>
      <c r="T22" s="413"/>
      <c r="U22" s="414"/>
      <c r="V22" s="414"/>
      <c r="W22" s="451" t="s">
        <v>1077</v>
      </c>
      <c r="X22" s="438" t="s">
        <v>1552</v>
      </c>
      <c r="Y22" s="530"/>
      <c r="Z22" s="428"/>
    </row>
    <row r="23" spans="2:26" ht="21.75" customHeight="1" x14ac:dyDescent="0.25">
      <c r="B23" s="447">
        <v>20</v>
      </c>
      <c r="C23" s="448" t="s">
        <v>367</v>
      </c>
      <c r="D23" s="449" t="s">
        <v>368</v>
      </c>
      <c r="E23" s="414" t="s">
        <v>360</v>
      </c>
      <c r="F23" s="413"/>
      <c r="G23" s="413"/>
      <c r="H23" s="413" t="s">
        <v>290</v>
      </c>
      <c r="I23" s="413"/>
      <c r="J23" s="413"/>
      <c r="K23" s="413"/>
      <c r="L23" s="413"/>
      <c r="M23" s="413"/>
      <c r="N23" s="413"/>
      <c r="O23" s="413"/>
      <c r="P23" s="413"/>
      <c r="Q23" s="413" t="s">
        <v>292</v>
      </c>
      <c r="R23" s="413" t="s">
        <v>291</v>
      </c>
      <c r="S23" s="414" t="s">
        <v>363</v>
      </c>
      <c r="T23" s="413"/>
      <c r="U23" s="414"/>
      <c r="V23" s="414"/>
      <c r="W23" s="451" t="s">
        <v>1097</v>
      </c>
      <c r="X23" s="438" t="s">
        <v>1552</v>
      </c>
      <c r="Y23" s="530"/>
      <c r="Z23" s="428"/>
    </row>
    <row r="24" spans="2:26" ht="21.75" customHeight="1" x14ac:dyDescent="0.25">
      <c r="B24" s="447">
        <v>21</v>
      </c>
      <c r="C24" s="448" t="s">
        <v>369</v>
      </c>
      <c r="D24" s="449" t="s">
        <v>370</v>
      </c>
      <c r="E24" s="450" t="s">
        <v>366</v>
      </c>
      <c r="F24" s="413"/>
      <c r="G24" s="413"/>
      <c r="H24" s="413"/>
      <c r="I24" s="413" t="s">
        <v>290</v>
      </c>
      <c r="J24" s="413"/>
      <c r="K24" s="413"/>
      <c r="L24" s="413"/>
      <c r="M24" s="413"/>
      <c r="N24" s="413"/>
      <c r="O24" s="413"/>
      <c r="P24" s="413"/>
      <c r="Q24" s="413" t="s">
        <v>292</v>
      </c>
      <c r="R24" s="413" t="s">
        <v>291</v>
      </c>
      <c r="S24" s="414" t="s">
        <v>363</v>
      </c>
      <c r="T24" s="413"/>
      <c r="U24" s="414"/>
      <c r="V24" s="414"/>
      <c r="W24" s="451" t="s">
        <v>1096</v>
      </c>
      <c r="X24" s="438" t="s">
        <v>1552</v>
      </c>
      <c r="Y24" s="530"/>
      <c r="Z24" s="428"/>
    </row>
    <row r="25" spans="2:26" ht="21.75" customHeight="1" x14ac:dyDescent="0.25">
      <c r="B25" s="447">
        <v>22</v>
      </c>
      <c r="C25" s="448" t="s">
        <v>371</v>
      </c>
      <c r="D25" s="449" t="s">
        <v>372</v>
      </c>
      <c r="E25" s="413"/>
      <c r="F25" s="413"/>
      <c r="G25" s="413"/>
      <c r="H25" s="413" t="s">
        <v>290</v>
      </c>
      <c r="I25" s="450" t="s">
        <v>373</v>
      </c>
      <c r="J25" s="414" t="s">
        <v>374</v>
      </c>
      <c r="K25" s="413"/>
      <c r="L25" s="413"/>
      <c r="M25" s="413"/>
      <c r="N25" s="413"/>
      <c r="O25" s="413"/>
      <c r="P25" s="413"/>
      <c r="Q25" s="413" t="s">
        <v>292</v>
      </c>
      <c r="R25" s="456" t="s">
        <v>375</v>
      </c>
      <c r="S25" s="414" t="s">
        <v>376</v>
      </c>
      <c r="T25" s="413"/>
      <c r="U25" s="414" t="s">
        <v>377</v>
      </c>
      <c r="V25" s="414"/>
      <c r="W25" s="451" t="s">
        <v>1078</v>
      </c>
      <c r="X25" s="438" t="s">
        <v>1552</v>
      </c>
      <c r="Y25" s="530"/>
      <c r="Z25" s="428"/>
    </row>
    <row r="26" spans="2:26" ht="21.75" customHeight="1" x14ac:dyDescent="0.25">
      <c r="B26" s="447">
        <v>23</v>
      </c>
      <c r="C26" s="448" t="s">
        <v>378</v>
      </c>
      <c r="D26" s="449" t="s">
        <v>379</v>
      </c>
      <c r="E26" s="413"/>
      <c r="F26" s="413"/>
      <c r="G26" s="413"/>
      <c r="H26" s="413"/>
      <c r="I26" s="450" t="s">
        <v>380</v>
      </c>
      <c r="J26" s="414" t="s">
        <v>374</v>
      </c>
      <c r="K26" s="413"/>
      <c r="L26" s="413"/>
      <c r="M26" s="413"/>
      <c r="N26" s="413"/>
      <c r="O26" s="413"/>
      <c r="P26" s="413"/>
      <c r="Q26" s="413" t="s">
        <v>292</v>
      </c>
      <c r="R26" s="456" t="s">
        <v>375</v>
      </c>
      <c r="S26" s="450" t="s">
        <v>381</v>
      </c>
      <c r="T26" s="413"/>
      <c r="U26" s="414" t="s">
        <v>377</v>
      </c>
      <c r="V26" s="414"/>
      <c r="W26" s="451" t="s">
        <v>1079</v>
      </c>
      <c r="X26" s="438" t="s">
        <v>1552</v>
      </c>
      <c r="Y26" s="530"/>
      <c r="Z26" s="428"/>
    </row>
    <row r="27" spans="2:26" ht="21.75" customHeight="1" x14ac:dyDescent="0.25">
      <c r="B27" s="447">
        <v>24</v>
      </c>
      <c r="C27" s="448" t="s">
        <v>382</v>
      </c>
      <c r="D27" s="449" t="s">
        <v>383</v>
      </c>
      <c r="E27" s="413" t="s">
        <v>384</v>
      </c>
      <c r="F27" s="413"/>
      <c r="G27" s="413"/>
      <c r="H27" s="454" t="s">
        <v>385</v>
      </c>
      <c r="I27" s="414"/>
      <c r="J27" s="454" t="s">
        <v>386</v>
      </c>
      <c r="K27" s="415" t="s">
        <v>217</v>
      </c>
      <c r="L27" s="415" t="s">
        <v>216</v>
      </c>
      <c r="M27" s="413"/>
      <c r="N27" s="413"/>
      <c r="O27" s="413"/>
      <c r="P27" s="413"/>
      <c r="Q27" s="413" t="s">
        <v>343</v>
      </c>
      <c r="R27" s="413"/>
      <c r="S27" s="413"/>
      <c r="T27" s="413"/>
      <c r="U27" s="413"/>
      <c r="V27" s="413"/>
      <c r="W27" s="451" t="s">
        <v>1051</v>
      </c>
      <c r="X27" s="438" t="s">
        <v>1552</v>
      </c>
      <c r="Y27" s="530"/>
      <c r="Z27" s="428"/>
    </row>
    <row r="28" spans="2:26" ht="21.75" customHeight="1" x14ac:dyDescent="0.25">
      <c r="B28" s="447">
        <v>25</v>
      </c>
      <c r="C28" s="448" t="s">
        <v>387</v>
      </c>
      <c r="D28" s="449" t="s">
        <v>388</v>
      </c>
      <c r="E28" s="413"/>
      <c r="F28" s="413"/>
      <c r="G28" s="413"/>
      <c r="H28" s="457"/>
      <c r="I28" s="414"/>
      <c r="J28" s="413" t="s">
        <v>292</v>
      </c>
      <c r="K28" s="413"/>
      <c r="L28" s="413"/>
      <c r="M28" s="413"/>
      <c r="N28" s="413"/>
      <c r="O28" s="413"/>
      <c r="P28" s="413"/>
      <c r="Q28" s="413"/>
      <c r="R28" s="413" t="s">
        <v>343</v>
      </c>
      <c r="S28" s="413"/>
      <c r="T28" s="413"/>
      <c r="U28" s="413"/>
      <c r="V28" s="413"/>
      <c r="W28" s="451" t="s">
        <v>1052</v>
      </c>
      <c r="X28" s="438" t="s">
        <v>1552</v>
      </c>
      <c r="Y28" s="530"/>
      <c r="Z28" s="428"/>
    </row>
    <row r="29" spans="2:26" ht="21.75" customHeight="1" x14ac:dyDescent="0.25">
      <c r="B29" s="447">
        <v>26</v>
      </c>
      <c r="C29" s="448" t="s">
        <v>389</v>
      </c>
      <c r="D29" s="449" t="s">
        <v>390</v>
      </c>
      <c r="E29" s="413"/>
      <c r="F29" s="413"/>
      <c r="G29" s="413"/>
      <c r="H29" s="457" t="s">
        <v>391</v>
      </c>
      <c r="I29" s="414"/>
      <c r="J29" s="448" t="s">
        <v>392</v>
      </c>
      <c r="K29" s="413"/>
      <c r="L29" s="413"/>
      <c r="M29" s="413"/>
      <c r="N29" s="413"/>
      <c r="O29" s="413">
        <v>1</v>
      </c>
      <c r="P29" s="413"/>
      <c r="Q29" s="413"/>
      <c r="R29" s="413"/>
      <c r="S29" s="413" t="s">
        <v>343</v>
      </c>
      <c r="T29" s="413"/>
      <c r="U29" s="413"/>
      <c r="V29" s="413"/>
      <c r="W29" s="451" t="s">
        <v>1053</v>
      </c>
      <c r="X29" s="438" t="s">
        <v>1552</v>
      </c>
      <c r="Y29" s="530"/>
      <c r="Z29" s="428"/>
    </row>
    <row r="30" spans="2:26" ht="21.75" customHeight="1" x14ac:dyDescent="0.25">
      <c r="B30" s="447">
        <v>27</v>
      </c>
      <c r="C30" s="448" t="s">
        <v>393</v>
      </c>
      <c r="D30" s="449" t="s">
        <v>394</v>
      </c>
      <c r="E30" s="413"/>
      <c r="F30" s="413"/>
      <c r="G30" s="413"/>
      <c r="H30" s="454" t="s">
        <v>395</v>
      </c>
      <c r="I30" s="450" t="s">
        <v>396</v>
      </c>
      <c r="J30" s="454" t="s">
        <v>397</v>
      </c>
      <c r="K30" s="415" t="s">
        <v>217</v>
      </c>
      <c r="L30" s="415" t="s">
        <v>216</v>
      </c>
      <c r="M30" s="413"/>
      <c r="N30" s="413"/>
      <c r="O30" s="413" t="s">
        <v>398</v>
      </c>
      <c r="P30" s="413"/>
      <c r="Q30" s="413" t="s">
        <v>343</v>
      </c>
      <c r="R30" s="413"/>
      <c r="S30" s="413"/>
      <c r="T30" s="413"/>
      <c r="U30" s="415" t="s">
        <v>399</v>
      </c>
      <c r="V30" s="415"/>
      <c r="W30" s="451" t="s">
        <v>1054</v>
      </c>
      <c r="X30" s="438" t="s">
        <v>1552</v>
      </c>
      <c r="Y30" s="530"/>
      <c r="Z30" s="428"/>
    </row>
    <row r="31" spans="2:26" ht="21.75" customHeight="1" x14ac:dyDescent="0.25">
      <c r="B31" s="447">
        <v>28</v>
      </c>
      <c r="C31" s="448" t="s">
        <v>400</v>
      </c>
      <c r="D31" s="449" t="s">
        <v>401</v>
      </c>
      <c r="E31" s="413"/>
      <c r="F31" s="413"/>
      <c r="G31" s="413"/>
      <c r="H31" s="413"/>
      <c r="I31" s="413"/>
      <c r="J31" s="413" t="s">
        <v>292</v>
      </c>
      <c r="K31" s="413"/>
      <c r="L31" s="413"/>
      <c r="M31" s="413"/>
      <c r="N31" s="413"/>
      <c r="O31" s="413"/>
      <c r="P31" s="413"/>
      <c r="Q31" s="413"/>
      <c r="R31" s="413" t="s">
        <v>343</v>
      </c>
      <c r="S31" s="413"/>
      <c r="T31" s="413"/>
      <c r="U31" s="413"/>
      <c r="V31" s="413"/>
      <c r="W31" s="451" t="s">
        <v>1055</v>
      </c>
      <c r="X31" s="438" t="s">
        <v>1552</v>
      </c>
      <c r="Y31" s="530"/>
      <c r="Z31" s="428"/>
    </row>
    <row r="32" spans="2:26" ht="21.75" customHeight="1" x14ac:dyDescent="0.25">
      <c r="B32" s="447">
        <v>29</v>
      </c>
      <c r="C32" s="448" t="s">
        <v>402</v>
      </c>
      <c r="D32" s="449" t="s">
        <v>403</v>
      </c>
      <c r="E32" s="413"/>
      <c r="F32" s="413"/>
      <c r="G32" s="413"/>
      <c r="H32" s="457" t="s">
        <v>391</v>
      </c>
      <c r="I32" s="414"/>
      <c r="J32" s="448" t="s">
        <v>392</v>
      </c>
      <c r="K32" s="413"/>
      <c r="L32" s="413"/>
      <c r="M32" s="413"/>
      <c r="N32" s="413"/>
      <c r="O32" s="413">
        <v>1</v>
      </c>
      <c r="P32" s="413"/>
      <c r="Q32" s="413"/>
      <c r="R32" s="413"/>
      <c r="S32" s="413" t="s">
        <v>343</v>
      </c>
      <c r="T32" s="413"/>
      <c r="U32" s="413"/>
      <c r="V32" s="413"/>
      <c r="W32" s="451" t="s">
        <v>1109</v>
      </c>
      <c r="X32" s="438" t="s">
        <v>1552</v>
      </c>
      <c r="Y32" s="530"/>
      <c r="Z32" s="428"/>
    </row>
    <row r="33" spans="2:26" ht="21.75" customHeight="1" x14ac:dyDescent="0.25">
      <c r="B33" s="447">
        <v>30</v>
      </c>
      <c r="C33" s="448" t="s">
        <v>404</v>
      </c>
      <c r="D33" s="449" t="s">
        <v>405</v>
      </c>
      <c r="E33" s="413"/>
      <c r="F33" s="413"/>
      <c r="G33" s="413"/>
      <c r="H33" s="454" t="s">
        <v>406</v>
      </c>
      <c r="I33" s="413"/>
      <c r="J33" s="454" t="s">
        <v>407</v>
      </c>
      <c r="K33" s="415" t="s">
        <v>217</v>
      </c>
      <c r="L33" s="415" t="s">
        <v>216</v>
      </c>
      <c r="M33" s="413"/>
      <c r="N33" s="413"/>
      <c r="O33" s="413" t="s">
        <v>408</v>
      </c>
      <c r="P33" s="413"/>
      <c r="Q33" s="413" t="s">
        <v>343</v>
      </c>
      <c r="R33" s="413"/>
      <c r="S33" s="413"/>
      <c r="T33" s="413"/>
      <c r="U33" s="413"/>
      <c r="V33" s="413"/>
      <c r="W33" s="451" t="s">
        <v>1056</v>
      </c>
      <c r="X33" s="438" t="s">
        <v>1552</v>
      </c>
      <c r="Y33" s="530"/>
      <c r="Z33" s="428"/>
    </row>
    <row r="34" spans="2:26" ht="21.75" customHeight="1" x14ac:dyDescent="0.25">
      <c r="B34" s="447">
        <v>31</v>
      </c>
      <c r="C34" s="448" t="s">
        <v>409</v>
      </c>
      <c r="D34" s="449" t="s">
        <v>410</v>
      </c>
      <c r="E34" s="413"/>
      <c r="F34" s="413"/>
      <c r="G34" s="413"/>
      <c r="H34" s="413"/>
      <c r="I34" s="413"/>
      <c r="J34" s="413" t="s">
        <v>292</v>
      </c>
      <c r="K34" s="413"/>
      <c r="L34" s="413"/>
      <c r="M34" s="413"/>
      <c r="N34" s="413"/>
      <c r="O34" s="413"/>
      <c r="P34" s="413"/>
      <c r="Q34" s="413"/>
      <c r="R34" s="413" t="s">
        <v>343</v>
      </c>
      <c r="S34" s="413"/>
      <c r="T34" s="413"/>
      <c r="U34" s="413"/>
      <c r="V34" s="413"/>
      <c r="W34" s="451" t="s">
        <v>1057</v>
      </c>
      <c r="X34" s="438" t="s">
        <v>1552</v>
      </c>
      <c r="Y34" s="530"/>
      <c r="Z34" s="428"/>
    </row>
    <row r="35" spans="2:26" ht="21.75" customHeight="1" x14ac:dyDescent="0.25">
      <c r="B35" s="447">
        <v>32</v>
      </c>
      <c r="C35" s="448" t="s">
        <v>411</v>
      </c>
      <c r="D35" s="449" t="s">
        <v>412</v>
      </c>
      <c r="E35" s="413"/>
      <c r="F35" s="413"/>
      <c r="G35" s="413"/>
      <c r="H35" s="457" t="s">
        <v>391</v>
      </c>
      <c r="I35" s="414"/>
      <c r="J35" s="448" t="s">
        <v>392</v>
      </c>
      <c r="K35" s="413"/>
      <c r="L35" s="413"/>
      <c r="M35" s="413"/>
      <c r="N35" s="413"/>
      <c r="O35" s="413">
        <v>1</v>
      </c>
      <c r="P35" s="413"/>
      <c r="Q35" s="413"/>
      <c r="R35" s="413"/>
      <c r="S35" s="413" t="s">
        <v>343</v>
      </c>
      <c r="T35" s="413"/>
      <c r="U35" s="413"/>
      <c r="V35" s="413"/>
      <c r="W35" s="451" t="s">
        <v>1058</v>
      </c>
      <c r="X35" s="438" t="s">
        <v>1552</v>
      </c>
      <c r="Y35" s="530"/>
      <c r="Z35" s="428"/>
    </row>
    <row r="36" spans="2:26" ht="21.75" customHeight="1" x14ac:dyDescent="0.25">
      <c r="B36" s="447">
        <v>33</v>
      </c>
      <c r="C36" s="448" t="s">
        <v>413</v>
      </c>
      <c r="D36" s="449" t="s">
        <v>414</v>
      </c>
      <c r="E36" s="413"/>
      <c r="F36" s="413"/>
      <c r="G36" s="413"/>
      <c r="H36" s="413"/>
      <c r="I36" s="413"/>
      <c r="J36" s="413" t="s">
        <v>292</v>
      </c>
      <c r="K36" s="413"/>
      <c r="L36" s="413"/>
      <c r="M36" s="413"/>
      <c r="N36" s="413"/>
      <c r="O36" s="413"/>
      <c r="P36" s="413"/>
      <c r="Q36" s="413"/>
      <c r="R36" s="413" t="s">
        <v>343</v>
      </c>
      <c r="S36" s="413"/>
      <c r="T36" s="413"/>
      <c r="U36" s="413"/>
      <c r="V36" s="413"/>
      <c r="W36" s="451" t="s">
        <v>1095</v>
      </c>
      <c r="X36" s="438" t="s">
        <v>1552</v>
      </c>
      <c r="Y36" s="530"/>
      <c r="Z36" s="428"/>
    </row>
    <row r="37" spans="2:26" ht="21.75" customHeight="1" x14ac:dyDescent="0.25">
      <c r="B37" s="447">
        <v>34</v>
      </c>
      <c r="C37" s="448" t="s">
        <v>415</v>
      </c>
      <c r="D37" s="449" t="s">
        <v>416</v>
      </c>
      <c r="E37" s="413"/>
      <c r="F37" s="413"/>
      <c r="G37" s="413"/>
      <c r="H37" s="413"/>
      <c r="I37" s="413"/>
      <c r="J37" s="413" t="s">
        <v>292</v>
      </c>
      <c r="K37" s="413"/>
      <c r="L37" s="413"/>
      <c r="M37" s="413"/>
      <c r="N37" s="413"/>
      <c r="O37" s="413"/>
      <c r="P37" s="413"/>
      <c r="Q37" s="413"/>
      <c r="R37" s="413" t="s">
        <v>343</v>
      </c>
      <c r="S37" s="413"/>
      <c r="T37" s="413"/>
      <c r="U37" s="413"/>
      <c r="V37" s="413"/>
      <c r="W37" s="451" t="s">
        <v>1094</v>
      </c>
      <c r="X37" s="438" t="s">
        <v>1552</v>
      </c>
      <c r="Y37" s="530"/>
      <c r="Z37" s="428"/>
    </row>
    <row r="38" spans="2:26" ht="21.75" customHeight="1" thickBot="1" x14ac:dyDescent="0.3">
      <c r="B38" s="459">
        <v>35</v>
      </c>
      <c r="C38" s="460" t="s">
        <v>417</v>
      </c>
      <c r="D38" s="461" t="s">
        <v>418</v>
      </c>
      <c r="E38" s="462"/>
      <c r="F38" s="462" t="s">
        <v>343</v>
      </c>
      <c r="G38" s="462"/>
      <c r="H38" s="462"/>
      <c r="I38" s="462"/>
      <c r="J38" s="463" t="s">
        <v>215</v>
      </c>
      <c r="K38" s="462"/>
      <c r="L38" s="462"/>
      <c r="M38" s="462"/>
      <c r="N38" s="462"/>
      <c r="O38" s="462"/>
      <c r="P38" s="462"/>
      <c r="Q38" s="462"/>
      <c r="R38" s="462" t="s">
        <v>419</v>
      </c>
      <c r="S38" s="462">
        <v>1</v>
      </c>
      <c r="T38" s="462"/>
      <c r="U38" s="462"/>
      <c r="V38" s="462"/>
      <c r="W38" s="464" t="s">
        <v>1101</v>
      </c>
      <c r="X38" s="465" t="s">
        <v>1552</v>
      </c>
      <c r="Y38" s="531"/>
      <c r="Z38" s="466"/>
    </row>
    <row r="39" spans="2:26" ht="15.75" thickBot="1" x14ac:dyDescent="0.3"/>
    <row r="40" spans="2:26" ht="15.75" thickBot="1" x14ac:dyDescent="0.3">
      <c r="D40" s="54" t="s">
        <v>5</v>
      </c>
      <c r="E40" s="91"/>
      <c r="F40" s="91"/>
      <c r="G40" s="91"/>
      <c r="H40" s="91"/>
      <c r="I40" s="91"/>
      <c r="J40" s="91"/>
      <c r="K40" s="91"/>
      <c r="L40" s="91"/>
      <c r="M40" s="91"/>
      <c r="N40" s="91"/>
      <c r="O40" s="91"/>
      <c r="P40" s="91"/>
      <c r="Q40" s="91"/>
      <c r="R40" s="91"/>
      <c r="S40" s="91"/>
      <c r="T40" s="91"/>
      <c r="U40" s="91"/>
      <c r="V40" s="91"/>
    </row>
    <row r="41" spans="2:26" ht="19.5" x14ac:dyDescent="0.35">
      <c r="D41" s="100" t="s">
        <v>146</v>
      </c>
      <c r="E41" s="101">
        <v>-1</v>
      </c>
      <c r="F41" s="101">
        <v>1</v>
      </c>
      <c r="G41" s="101">
        <v>1</v>
      </c>
      <c r="H41" s="101"/>
      <c r="I41" s="102" t="s">
        <v>1391</v>
      </c>
      <c r="J41" s="101"/>
      <c r="K41" s="101">
        <v>1</v>
      </c>
      <c r="L41" s="101">
        <v>1</v>
      </c>
      <c r="M41" s="101">
        <v>1</v>
      </c>
      <c r="N41" s="101">
        <v>1</v>
      </c>
      <c r="O41" s="101">
        <v>1</v>
      </c>
      <c r="P41" s="101">
        <v>1</v>
      </c>
      <c r="Q41" s="101">
        <v>1</v>
      </c>
      <c r="R41" s="101"/>
      <c r="S41" s="101">
        <v>1</v>
      </c>
      <c r="T41" s="103">
        <v>1</v>
      </c>
      <c r="U41" s="102" t="s">
        <v>1402</v>
      </c>
      <c r="V41" s="104"/>
    </row>
    <row r="42" spans="2:26" ht="19.5" customHeight="1" x14ac:dyDescent="0.35">
      <c r="D42" s="92" t="s">
        <v>420</v>
      </c>
      <c r="E42" s="93"/>
      <c r="F42" s="93"/>
      <c r="G42" s="94" t="s">
        <v>1389</v>
      </c>
      <c r="H42" s="93">
        <v>1</v>
      </c>
      <c r="I42" s="93">
        <v>1</v>
      </c>
      <c r="J42" s="93"/>
      <c r="K42" s="94" t="s">
        <v>1392</v>
      </c>
      <c r="L42" s="94" t="s">
        <v>1394</v>
      </c>
      <c r="M42" s="94" t="s">
        <v>1396</v>
      </c>
      <c r="N42" s="94" t="s">
        <v>1398</v>
      </c>
      <c r="O42" s="94" t="s">
        <v>1398</v>
      </c>
      <c r="P42" s="94" t="s">
        <v>1400</v>
      </c>
      <c r="Q42" s="94" t="s">
        <v>1400</v>
      </c>
      <c r="R42" s="93"/>
      <c r="S42" s="93"/>
      <c r="T42" s="94" t="s">
        <v>1400</v>
      </c>
      <c r="U42" s="93">
        <v>1</v>
      </c>
      <c r="V42" s="95"/>
    </row>
    <row r="43" spans="2:26" ht="21" customHeight="1" thickBot="1" x14ac:dyDescent="0.4">
      <c r="D43" s="96" t="s">
        <v>421</v>
      </c>
      <c r="E43" s="97"/>
      <c r="F43" s="97"/>
      <c r="G43" s="98" t="s">
        <v>1390</v>
      </c>
      <c r="H43" s="97"/>
      <c r="I43" s="97"/>
      <c r="J43" s="97">
        <v>1</v>
      </c>
      <c r="K43" s="98" t="s">
        <v>1393</v>
      </c>
      <c r="L43" s="98" t="s">
        <v>1395</v>
      </c>
      <c r="M43" s="98" t="s">
        <v>1397</v>
      </c>
      <c r="N43" s="98" t="s">
        <v>1399</v>
      </c>
      <c r="O43" s="98" t="s">
        <v>1399</v>
      </c>
      <c r="P43" s="98" t="s">
        <v>1401</v>
      </c>
      <c r="Q43" s="98" t="s">
        <v>1401</v>
      </c>
      <c r="R43" s="97">
        <v>1</v>
      </c>
      <c r="S43" s="97"/>
      <c r="T43" s="98" t="s">
        <v>1401</v>
      </c>
      <c r="U43" s="97"/>
      <c r="V43" s="99"/>
    </row>
    <row r="46" spans="2:26" x14ac:dyDescent="0.25">
      <c r="Z46" t="s">
        <v>423</v>
      </c>
    </row>
    <row r="48" spans="2:26" ht="15.75" thickBot="1" x14ac:dyDescent="0.3">
      <c r="Y48" t="s">
        <v>423</v>
      </c>
    </row>
    <row r="49" spans="2:27" ht="19.5" thickBot="1" x14ac:dyDescent="0.3">
      <c r="B49" s="148" t="s">
        <v>91</v>
      </c>
      <c r="C49" s="149"/>
      <c r="D49" s="149" t="s">
        <v>1</v>
      </c>
      <c r="E49" s="146" t="s">
        <v>268</v>
      </c>
      <c r="F49" s="146" t="s">
        <v>269</v>
      </c>
      <c r="G49" s="146" t="s">
        <v>270</v>
      </c>
      <c r="H49" s="146" t="s">
        <v>271</v>
      </c>
      <c r="I49" s="146" t="s">
        <v>272</v>
      </c>
      <c r="J49" s="146" t="s">
        <v>273</v>
      </c>
      <c r="K49" s="146" t="s">
        <v>274</v>
      </c>
      <c r="L49" s="146" t="s">
        <v>275</v>
      </c>
      <c r="M49" s="146" t="s">
        <v>276</v>
      </c>
      <c r="N49" s="146" t="s">
        <v>277</v>
      </c>
      <c r="O49" s="146" t="s">
        <v>278</v>
      </c>
      <c r="P49" s="146" t="s">
        <v>279</v>
      </c>
      <c r="Q49" s="146" t="s">
        <v>280</v>
      </c>
      <c r="R49" s="146" t="s">
        <v>281</v>
      </c>
      <c r="S49" s="146" t="s">
        <v>282</v>
      </c>
      <c r="T49" s="146" t="s">
        <v>283</v>
      </c>
      <c r="U49" s="146" t="s">
        <v>284</v>
      </c>
      <c r="V49" s="147" t="s">
        <v>285</v>
      </c>
      <c r="W49" s="150" t="s">
        <v>1420</v>
      </c>
      <c r="Y49" s="544" t="s">
        <v>146</v>
      </c>
      <c r="Z49" s="544" t="s">
        <v>420</v>
      </c>
      <c r="AA49" s="544" t="s">
        <v>421</v>
      </c>
    </row>
    <row r="50" spans="2:27" ht="15.75" x14ac:dyDescent="0.25">
      <c r="B50" s="439">
        <v>1</v>
      </c>
      <c r="C50" s="440" t="s">
        <v>286</v>
      </c>
      <c r="D50" s="441" t="s">
        <v>287</v>
      </c>
      <c r="E50" s="534">
        <f>-(1-Y_H1)/Y_H1</f>
        <v>-0.50150150150150141</v>
      </c>
      <c r="F50" s="534">
        <f>-1/Y_H1</f>
        <v>-1.5015015015015014</v>
      </c>
      <c r="G50" s="534">
        <f>0</f>
        <v>0</v>
      </c>
      <c r="H50" s="534">
        <f>-i_NBM</f>
        <v>-6.8000000000000005E-2</v>
      </c>
      <c r="I50" s="534">
        <f>0</f>
        <v>0</v>
      </c>
      <c r="J50" s="534">
        <f>-i_PBM</f>
        <v>-2.1000000000000001E-2</v>
      </c>
      <c r="K50" s="534">
        <f>0</f>
        <v>0</v>
      </c>
      <c r="L50" s="534">
        <f>0</f>
        <v>0</v>
      </c>
      <c r="M50" s="534">
        <f>0</f>
        <v>0</v>
      </c>
      <c r="N50" s="534">
        <f>0</f>
        <v>0</v>
      </c>
      <c r="O50" s="534">
        <f>0</f>
        <v>0</v>
      </c>
      <c r="P50" s="534">
        <f>1</f>
        <v>1</v>
      </c>
      <c r="Q50" s="534">
        <f>0</f>
        <v>0</v>
      </c>
      <c r="R50" s="534">
        <f>0</f>
        <v>0</v>
      </c>
      <c r="S50" s="534">
        <f>0</f>
        <v>0</v>
      </c>
      <c r="T50" s="534">
        <f>0</f>
        <v>0</v>
      </c>
      <c r="U50" s="534">
        <f>0</f>
        <v>0</v>
      </c>
      <c r="V50" s="534">
        <f>0</f>
        <v>0</v>
      </c>
      <c r="W50" s="541">
        <f>μ_H*M_satSA_KA*S_A/(S_A+S_F+X_ADS)*M_satSO2_KOH*M_satSNH4_KNH4*M_satSPO4_KPO4_gro*X_H</f>
        <v>6.9778476190545984</v>
      </c>
      <c r="Y50" s="421">
        <f>E88*E50+F88*F50+G88*G50+H88*H50+I88*I50+J88*J50+K88*K50+L88*L50+M88*M50+N88*N50+O88*O50+P88*P50+Q88*Q50+R88*R50+S88*S50+T88*T50+U88*U50+V88*V50</f>
        <v>0</v>
      </c>
      <c r="Z50" s="421">
        <f>E89*E50+F89*F50+G89*G50+H89*H50+I89*I50+J89*J50+K89*K50+L89*L50+M89*M50+N89*N50+O89*O50+P89*P50+Q89*Q50+R89*R50+S89*S50+T89*T50+U89*U50+V89*V50</f>
        <v>0</v>
      </c>
      <c r="AA50" s="421">
        <f>E90*E50+F90*F50+G90*G50+H90*H50+I90*I50+J90*J50+K90*K50+L90*L50+M90*M50+N90*N50+O90*O50+P90*P50+Q90*Q50+R90*R50+S90*S50+T90*T50+U90*U50+V90*V50</f>
        <v>0</v>
      </c>
    </row>
    <row r="51" spans="2:27" ht="15.75" x14ac:dyDescent="0.25">
      <c r="B51" s="447">
        <v>2</v>
      </c>
      <c r="C51" s="448" t="s">
        <v>293</v>
      </c>
      <c r="D51" s="449" t="s">
        <v>294</v>
      </c>
      <c r="E51" s="535">
        <f>-(1-Y_H1)/Y_H1-i_COD_NO3*i_NBM</f>
        <v>-0.19064435864435852</v>
      </c>
      <c r="F51" s="536">
        <f>-1/Y_H1</f>
        <v>-1.5015015015015014</v>
      </c>
      <c r="G51" s="536">
        <f>0</f>
        <v>0</v>
      </c>
      <c r="H51" s="536">
        <f>0</f>
        <v>0</v>
      </c>
      <c r="I51" s="536">
        <f>-i_NBM</f>
        <v>-6.8000000000000005E-2</v>
      </c>
      <c r="J51" s="536">
        <f>-i_PBM</f>
        <v>-2.1000000000000001E-2</v>
      </c>
      <c r="K51" s="536">
        <f>0</f>
        <v>0</v>
      </c>
      <c r="L51" s="536">
        <f>0</f>
        <v>0</v>
      </c>
      <c r="M51" s="536">
        <f>0</f>
        <v>0</v>
      </c>
      <c r="N51" s="536">
        <f>0</f>
        <v>0</v>
      </c>
      <c r="O51" s="536">
        <f>0</f>
        <v>0</v>
      </c>
      <c r="P51" s="536">
        <f>1</f>
        <v>1</v>
      </c>
      <c r="Q51" s="536">
        <f>0</f>
        <v>0</v>
      </c>
      <c r="R51" s="536">
        <f>0</f>
        <v>0</v>
      </c>
      <c r="S51" s="536">
        <f>0</f>
        <v>0</v>
      </c>
      <c r="T51" s="536">
        <f>0</f>
        <v>0</v>
      </c>
      <c r="U51" s="536">
        <f>0</f>
        <v>0</v>
      </c>
      <c r="V51" s="536">
        <f>0</f>
        <v>0</v>
      </c>
      <c r="W51" s="542">
        <f>μ_H*M_satSA_KA*S_A/(S_A+S_F+X_ADS)*M_satSO2_KOH*M_inhSNH4_KNH4*M_satSNO3_KNO3*M_satSPO4_KPO4_gro*X_H</f>
        <v>6.9087600188659379E-2</v>
      </c>
      <c r="Y51" s="421">
        <f>E88*E51+F88*F51+G88*G51+H88*H51+I88*I51+J88*J51+K88*K51+L88*L51+M88*M51+N88*N51+O88*O51+P88*P51+Q88*Q51+R88*R51+S88*S51+T88*T51+U88*U51+V88*V51</f>
        <v>0</v>
      </c>
      <c r="Z51" s="421">
        <f>E89*E51+F89*F51+G89*G51+H89*H51+I89*I51+J89*J51+K89*K51+L89*L51+M89*M51+N89*N51+O89*O51+P89*P51+Q89*Q51+R89*R51+S89*S51+T89*T51+U89*U51+V89*V51</f>
        <v>0</v>
      </c>
      <c r="AA51" s="421">
        <f>E90*E51+F90*F51+G90*G51+H90*H51+I90*I51+J90*J51+K90*K51+L90*L51+M90*M51+N90*N51+O90*O51+P90*P51+Q90*Q51+R90*R51+S90*S51+T90*T51+U90*U51+V90*V51</f>
        <v>0</v>
      </c>
    </row>
    <row r="52" spans="2:27" ht="15.75" x14ac:dyDescent="0.25">
      <c r="B52" s="447">
        <v>3</v>
      </c>
      <c r="C52" s="448" t="s">
        <v>296</v>
      </c>
      <c r="D52" s="449" t="s">
        <v>297</v>
      </c>
      <c r="E52" s="536">
        <f>0</f>
        <v>0</v>
      </c>
      <c r="F52" s="536">
        <f>-1/Y_H2</f>
        <v>-1.8518518518518516</v>
      </c>
      <c r="G52" s="536">
        <f>0</f>
        <v>0</v>
      </c>
      <c r="H52" s="536">
        <f>-i_NBM</f>
        <v>-6.8000000000000005E-2</v>
      </c>
      <c r="I52" s="535">
        <f>-(1-Y_H2)/(i_NO3_N2*Y_H2)</f>
        <v>-0.29814814814814811</v>
      </c>
      <c r="J52" s="536">
        <f>-i_PBM</f>
        <v>-2.1000000000000001E-2</v>
      </c>
      <c r="K52" s="536">
        <f>0</f>
        <v>0</v>
      </c>
      <c r="L52" s="536">
        <f>0</f>
        <v>0</v>
      </c>
      <c r="M52" s="536">
        <f>0</f>
        <v>0</v>
      </c>
      <c r="N52" s="536">
        <f>0</f>
        <v>0</v>
      </c>
      <c r="O52" s="536">
        <f>0</f>
        <v>0</v>
      </c>
      <c r="P52" s="536">
        <f>1</f>
        <v>1</v>
      </c>
      <c r="Q52" s="536">
        <f>0</f>
        <v>0</v>
      </c>
      <c r="R52" s="536">
        <f>0</f>
        <v>0</v>
      </c>
      <c r="S52" s="536">
        <f>0</f>
        <v>0</v>
      </c>
      <c r="T52" s="536">
        <f>0</f>
        <v>0</v>
      </c>
      <c r="U52" s="536">
        <f>(1-Y_H2)/(i_NO3_N2*Y_H2)</f>
        <v>0.29814814814814811</v>
      </c>
      <c r="V52" s="536">
        <f>0</f>
        <v>0</v>
      </c>
      <c r="W52" s="542">
        <f>η_H*μ_H*M_satSA_KA*S_A/(S_A+S_F+X_ADS)*M_inhSO2_KOH*M_satSNH4_KNH4*M_satSNO3_KNO3*M_satSPO4_KPO4_gro*X_H</f>
        <v>2.0726280056597812E-3</v>
      </c>
      <c r="Y52" s="421">
        <f>E88*E52+F88*F52+G88*G52+H88*H52+I88*I52+J88*J52+K88*K52+L88*L52+M88*M52+N88*N52+O88*O52+P88*P52+Q88*Q52+R88*R52+S88*S52+T88*T52+U88*U52+V88*V52</f>
        <v>1.1102230246251565E-16</v>
      </c>
      <c r="Z52" s="421">
        <f>E89*E52+F89*F52+G89*G52+H89*H52+I89*I52+J89*J52+K89*K52+L89*L52+M89*M52+N89*N52+O89*O52+P89*P52+Q89*Q52+R89*R52+S89*S52+T89*T52+U89*U52+V89*V52</f>
        <v>0</v>
      </c>
      <c r="AA52" s="421">
        <f>E90*E52+F90*F52+G90*G52+H90*H52+I90*I52+J90*J52+K90*K52+L90*L52+M90*M52+N90*N52+O90*O52+P90*P52+Q90*Q52+R90*R52+S90*S52+T90*T52+U90*U52+V90*V52</f>
        <v>0</v>
      </c>
    </row>
    <row r="53" spans="2:27" ht="15.75" x14ac:dyDescent="0.25">
      <c r="B53" s="447">
        <v>4</v>
      </c>
      <c r="C53" s="448" t="s">
        <v>301</v>
      </c>
      <c r="D53" s="449" t="s">
        <v>302</v>
      </c>
      <c r="E53" s="536">
        <f>0</f>
        <v>0</v>
      </c>
      <c r="F53" s="535">
        <f>-1/Y_H2+i_COD_NO3*i_NBM</f>
        <v>-2.1627089947089946</v>
      </c>
      <c r="G53" s="536">
        <f>0</f>
        <v>0</v>
      </c>
      <c r="H53" s="536">
        <f>0</f>
        <v>0</v>
      </c>
      <c r="I53" s="535">
        <f>-i_NBM-(1-Y_H2)/(i_NO3_N2*Y_H2)</f>
        <v>-0.36614814814814811</v>
      </c>
      <c r="J53" s="536">
        <f>-i_PBM</f>
        <v>-2.1000000000000001E-2</v>
      </c>
      <c r="K53" s="536">
        <f>0</f>
        <v>0</v>
      </c>
      <c r="L53" s="536">
        <f>0</f>
        <v>0</v>
      </c>
      <c r="M53" s="536">
        <f>0</f>
        <v>0</v>
      </c>
      <c r="N53" s="536">
        <f>0</f>
        <v>0</v>
      </c>
      <c r="O53" s="536">
        <f>0</f>
        <v>0</v>
      </c>
      <c r="P53" s="536">
        <f>1</f>
        <v>1</v>
      </c>
      <c r="Q53" s="536">
        <f>0</f>
        <v>0</v>
      </c>
      <c r="R53" s="536">
        <f>0</f>
        <v>0</v>
      </c>
      <c r="S53" s="536">
        <f>0</f>
        <v>0</v>
      </c>
      <c r="T53" s="536">
        <f>0</f>
        <v>0</v>
      </c>
      <c r="U53" s="536">
        <f>(1-Y_H2)/(i_NO3_N2*Y_H2)</f>
        <v>0.29814814814814811</v>
      </c>
      <c r="V53" s="536">
        <f>0</f>
        <v>0</v>
      </c>
      <c r="W53" s="542">
        <f>η_H*μ_H*M_satSA_KA*S_A/(S_A+S_F+X_ADS)*M_inhSO2_KOH*M_inhSNH4_KNH4*M_satSNO3_KNO3*M_satSPO4_KPO4_gro*X_H</f>
        <v>2.072628005659781E-5</v>
      </c>
      <c r="Y53" s="421">
        <f>E88*E53+F88*F53+G88*G53+H88*H53+I88*I53+J88*J53+K88*K53+L88*L53+M88*M53+N88*N53+O88*O53+P88*P53+Q88*Q53+R88*R53+S88*S53+T88*T53+U88*U53+V88*V53</f>
        <v>1.1102230246251565E-16</v>
      </c>
      <c r="Z53" s="421">
        <f>E89*E53+F89*F53+G89*G53+H89*H53+I89*I53+J89*J53+K89*K53+L89*L53+M89*M53+N89*N53+O89*O53+P89*P53+Q89*Q53+R89*R53+S89*S53+T89*T53+U89*U53+V89*V53</f>
        <v>0</v>
      </c>
      <c r="AA53" s="421">
        <f>E90*E53+F90*F53+G90*G53+H90*H53+I90*I53+J90*J53+K90*K53+L90*L53+M90*M53+N90*N53+O90*O53+P90*P53+Q90*Q53+R90*R53+S90*S53+T90*T53+U90*U53+V90*V53</f>
        <v>0</v>
      </c>
    </row>
    <row r="54" spans="2:27" ht="15.75" x14ac:dyDescent="0.25">
      <c r="B54" s="447">
        <v>5</v>
      </c>
      <c r="C54" s="448" t="s">
        <v>305</v>
      </c>
      <c r="D54" s="449" t="s">
        <v>306</v>
      </c>
      <c r="E54" s="536">
        <f>-(1-Y_H1)/Y_H1</f>
        <v>-0.50150150150150141</v>
      </c>
      <c r="F54" s="536">
        <f>0</f>
        <v>0</v>
      </c>
      <c r="G54" s="536">
        <f>-1/Y_H1</f>
        <v>-1.5015015015015014</v>
      </c>
      <c r="H54" s="536">
        <f>-i_NBM+i_NSF/Y_H1</f>
        <v>-5.1483483483483486E-2</v>
      </c>
      <c r="I54" s="536">
        <f>0</f>
        <v>0</v>
      </c>
      <c r="J54" s="536">
        <f>-i_PBM+i_PSF/Y_H1</f>
        <v>-2.1000000000000001E-2</v>
      </c>
      <c r="K54" s="536">
        <f>0</f>
        <v>0</v>
      </c>
      <c r="L54" s="536">
        <f>0</f>
        <v>0</v>
      </c>
      <c r="M54" s="536">
        <f>0</f>
        <v>0</v>
      </c>
      <c r="N54" s="536">
        <f>0</f>
        <v>0</v>
      </c>
      <c r="O54" s="536">
        <f>0</f>
        <v>0</v>
      </c>
      <c r="P54" s="536">
        <f>1</f>
        <v>1</v>
      </c>
      <c r="Q54" s="536">
        <f>0</f>
        <v>0</v>
      </c>
      <c r="R54" s="536">
        <f>0</f>
        <v>0</v>
      </c>
      <c r="S54" s="536">
        <f>0</f>
        <v>0</v>
      </c>
      <c r="T54" s="536">
        <f>0</f>
        <v>0</v>
      </c>
      <c r="U54" s="536">
        <f>0</f>
        <v>0</v>
      </c>
      <c r="V54" s="536">
        <f>0</f>
        <v>0</v>
      </c>
      <c r="W54" s="542">
        <f>μ_H*M_satSF_KF*S_F/(S_A+S_F+X_ADS)*M_satSO2_KOH*M_satSNH4_KNH4*M_satSPO4_KPO4_gro*X_H</f>
        <v>104.66771428581896</v>
      </c>
      <c r="Y54" s="421">
        <f>E88*E54+F88*F54+G88*G54+H88*H54+I88*I54+J88*J54+K88*K54+L88*L54+M88*M54+N88*N54+O88*O54+P88*P54+Q88*Q54+R88*R54+S88*S54+T88*T54+U88*U54+V88*V54</f>
        <v>0</v>
      </c>
      <c r="Z54" s="421">
        <f>E89*E54+F89*F54+G89*G54+H89*H54+I89*I54+J89*J54+K89*K54+L89*L54+M89*M54+N89*N54+O89*O54+P89*P54+Q89*Q54+R89*R54+S89*S54+T89*T54+U89*U54+V89*V54</f>
        <v>0</v>
      </c>
      <c r="AA54" s="421">
        <f>E90*E54+F90*F54+G90*G54+H90*H54+I90*I54+J90*J54+K90*K54+L90*L54+M90*M54+N90*N54+O90*O54+P90*P54+Q90*Q54+R90*R54+S90*S54+T90*T54+U90*U54+V90*V54</f>
        <v>0</v>
      </c>
    </row>
    <row r="55" spans="2:27" ht="15.75" x14ac:dyDescent="0.25">
      <c r="B55" s="447">
        <v>6</v>
      </c>
      <c r="C55" s="448" t="s">
        <v>309</v>
      </c>
      <c r="D55" s="449" t="s">
        <v>310</v>
      </c>
      <c r="E55" s="535">
        <f>-(1-Y_H1)/Y_H1-i_COD_NO3*i_NBM</f>
        <v>-0.19064435864435852</v>
      </c>
      <c r="F55" s="536">
        <f>0</f>
        <v>0</v>
      </c>
      <c r="G55" s="536">
        <f>-1/Y_H1</f>
        <v>-1.5015015015015014</v>
      </c>
      <c r="H55" s="538">
        <f>i_NSF/Y_H1</f>
        <v>1.6516516516516516E-2</v>
      </c>
      <c r="I55" s="536">
        <f>-i_NBM</f>
        <v>-6.8000000000000005E-2</v>
      </c>
      <c r="J55" s="536">
        <f>-i_PBM+i_PSF/Y_H1</f>
        <v>-2.1000000000000001E-2</v>
      </c>
      <c r="K55" s="536">
        <f>0</f>
        <v>0</v>
      </c>
      <c r="L55" s="536">
        <f>0</f>
        <v>0</v>
      </c>
      <c r="M55" s="536">
        <f>0</f>
        <v>0</v>
      </c>
      <c r="N55" s="536">
        <f>0</f>
        <v>0</v>
      </c>
      <c r="O55" s="536">
        <f>0</f>
        <v>0</v>
      </c>
      <c r="P55" s="536">
        <f>1</f>
        <v>1</v>
      </c>
      <c r="Q55" s="536">
        <f>0</f>
        <v>0</v>
      </c>
      <c r="R55" s="536">
        <f>0</f>
        <v>0</v>
      </c>
      <c r="S55" s="536">
        <f>0</f>
        <v>0</v>
      </c>
      <c r="T55" s="536">
        <f>0</f>
        <v>0</v>
      </c>
      <c r="U55" s="536">
        <f>0</f>
        <v>0</v>
      </c>
      <c r="V55" s="536">
        <f>0</f>
        <v>0</v>
      </c>
      <c r="W55" s="542">
        <f>μ_H*M_satSF_KF*S_F/(S_A+S_F+X_ADS)*M_satSO2_KOH*M_inhSNH4_KNH4*M_satSNO3_KNO3*M_satSPO4_KPO4_gro*X_H</f>
        <v>1.0363140028298905</v>
      </c>
      <c r="Y55" s="421">
        <f>E88*E55+F88*F55+G88*G55+H88*H55+I88*I55+J88*J55+K88*K55+L88*L55+M88*M55+N88*N55+O88*O55+P88*P55+Q88*Q55+R88*R55+S88*S55+T88*T55+U88*U55+V88*V55</f>
        <v>0</v>
      </c>
      <c r="Z55" s="421">
        <f>E89*E55+F89*F55+G89*G55+H89*H55+I89*I55+J89*J55+K89*K55+L89*L55+M89*M55+N89*N55+O89*O55+P89*P55+Q89*Q55+R89*R55+S89*S55+T89*T55+U89*U55+V89*V55</f>
        <v>0</v>
      </c>
      <c r="AA55" s="421">
        <f>E90*E55+F90*F55+G90*G55+H90*H55+I90*I55+J90*J55+K90*K55+L90*L55+M90*M55+N90*N55+O90*O55+P90*P55+Q90*Q55+R90*R55+S90*S55+T90*T55+U90*U55+V90*V55</f>
        <v>0</v>
      </c>
    </row>
    <row r="56" spans="2:27" ht="15.75" x14ac:dyDescent="0.25">
      <c r="B56" s="447">
        <v>7</v>
      </c>
      <c r="C56" s="448" t="s">
        <v>312</v>
      </c>
      <c r="D56" s="449" t="s">
        <v>313</v>
      </c>
      <c r="E56" s="536">
        <f>0</f>
        <v>0</v>
      </c>
      <c r="F56" s="536">
        <f>0</f>
        <v>0</v>
      </c>
      <c r="G56" s="536">
        <f>-1/Y_H2</f>
        <v>-1.8518518518518516</v>
      </c>
      <c r="H56" s="536">
        <f>-i_NBM+i_NSF/Y_H2</f>
        <v>-4.7629629629629633E-2</v>
      </c>
      <c r="I56" s="535">
        <f>-(1-Y_H2)/(i_NO3_N2*Y_H2)</f>
        <v>-0.29814814814814811</v>
      </c>
      <c r="J56" s="536">
        <f>-i_PBM+i_PSF/Y_H2</f>
        <v>-2.1000000000000001E-2</v>
      </c>
      <c r="K56" s="536">
        <f>0</f>
        <v>0</v>
      </c>
      <c r="L56" s="536">
        <f>0</f>
        <v>0</v>
      </c>
      <c r="M56" s="536">
        <f>0</f>
        <v>0</v>
      </c>
      <c r="N56" s="536">
        <f>0</f>
        <v>0</v>
      </c>
      <c r="O56" s="536">
        <f>0</f>
        <v>0</v>
      </c>
      <c r="P56" s="536">
        <f>1</f>
        <v>1</v>
      </c>
      <c r="Q56" s="536">
        <f>0</f>
        <v>0</v>
      </c>
      <c r="R56" s="536">
        <f>0</f>
        <v>0</v>
      </c>
      <c r="S56" s="536">
        <f>0</f>
        <v>0</v>
      </c>
      <c r="T56" s="536">
        <f>0</f>
        <v>0</v>
      </c>
      <c r="U56" s="536">
        <f>(1-Y_H2)/(i_NO3_N2*Y_H2)</f>
        <v>0.29814814814814811</v>
      </c>
      <c r="V56" s="536">
        <f>0</f>
        <v>0</v>
      </c>
      <c r="W56" s="542">
        <f>η_H*μ_H*M_satSF_KF*S_F/(S_A+S_F+X_ADS)*M_inhSO2_KOH*M_satSNH4_KNH4*M_satSNO3_KNO3*M_satSPO4_KPO4_gro*X_H</f>
        <v>3.1089420084896725E-2</v>
      </c>
      <c r="Y56" s="421">
        <f>E88*E56+F88*F56+G88*G56+H88*H56+I88*I56+J88*J56+K88*K56+L88*L56+M88*M56+N88*N56+O88*O56+P88*P56+Q88*Q56+R88*R56+S88*S56+T88*T56+U88*U56+V88*V56</f>
        <v>1.1102230246251565E-16</v>
      </c>
      <c r="Z56" s="421">
        <f>E89*E56+F89*F56+G89*G56+H89*H56+I89*I56+J89*J56+K89*K56+L89*L56+M89*M56+N89*N56+O89*O56+P89*P56+Q89*Q56+R89*R56+S89*S56+T89*T56+U89*U56+V89*V56</f>
        <v>0</v>
      </c>
      <c r="AA56" s="421">
        <f>E90*E56+F90*F56+G90*G56+H90*H56+I90*I56+J90*J56+K90*K56+L90*L56+M90*M56+N90*N56+O90*O56+P90*P56+Q90*Q56+R90*R56+S90*S56+T90*T56+U90*U56+V90*V56</f>
        <v>0</v>
      </c>
    </row>
    <row r="57" spans="2:27" ht="15.75" x14ac:dyDescent="0.25">
      <c r="B57" s="447">
        <v>8</v>
      </c>
      <c r="C57" s="448" t="s">
        <v>316</v>
      </c>
      <c r="D57" s="449" t="s">
        <v>317</v>
      </c>
      <c r="E57" s="536">
        <f>0</f>
        <v>0</v>
      </c>
      <c r="F57" s="536">
        <f>0</f>
        <v>0</v>
      </c>
      <c r="G57" s="535">
        <f>-1/Y_H2+i_COD_NO3*i_NBM</f>
        <v>-2.1627089947089946</v>
      </c>
      <c r="H57" s="538">
        <f>i_NSF/Y_H2-i_COD_NO3*i_NBM*i_NSF</f>
        <v>2.3789798941798938E-2</v>
      </c>
      <c r="I57" s="535">
        <f>-i_NBM-(1-Y_H2)/(i_NO3_N2*Y_H2)</f>
        <v>-0.36614814814814811</v>
      </c>
      <c r="J57" s="535">
        <f>-i_PBM+i_PSF/Y_H2-i_COD_NO3*i_NBM*i_PSF</f>
        <v>-2.1000000000000001E-2</v>
      </c>
      <c r="K57" s="536">
        <f>0</f>
        <v>0</v>
      </c>
      <c r="L57" s="536">
        <f>0</f>
        <v>0</v>
      </c>
      <c r="M57" s="536">
        <f>0</f>
        <v>0</v>
      </c>
      <c r="N57" s="536">
        <f>0</f>
        <v>0</v>
      </c>
      <c r="O57" s="536">
        <f>0</f>
        <v>0</v>
      </c>
      <c r="P57" s="536">
        <f>1</f>
        <v>1</v>
      </c>
      <c r="Q57" s="536">
        <f>0</f>
        <v>0</v>
      </c>
      <c r="R57" s="536">
        <f>0</f>
        <v>0</v>
      </c>
      <c r="S57" s="536">
        <f>0</f>
        <v>0</v>
      </c>
      <c r="T57" s="536">
        <f>0</f>
        <v>0</v>
      </c>
      <c r="U57" s="536">
        <f>(1-Y_H2)/(i_NO3_N2*Y_H2)</f>
        <v>0.29814814814814811</v>
      </c>
      <c r="V57" s="536">
        <f>0</f>
        <v>0</v>
      </c>
      <c r="W57" s="542">
        <f>η_H*μ_H*M_satSF_KF*S_F/(S_A+S_F+X_ADS)*M_inhSO2_KOH*M_inhSNH4_KNH4*M_satSNO3_KNO3*M_satSPO4_KPO4_gro*X_H</f>
        <v>3.1089420084896721E-4</v>
      </c>
      <c r="Y57" s="421">
        <f>E88*E57+F88*F57+G88*G57+H88*H57+I88*I57+J88*J57+K88*K57+L88*L57+M88*M57+N88*N57+O88*O57+P88*P57+Q88*Q57+R88*R57+S88*S57+T88*T57+U88*U57+V88*V57</f>
        <v>1.1102230246251565E-16</v>
      </c>
      <c r="Z57" s="421">
        <f>E89*E57+F89*F57+G89*G57+H89*H57+I89*I57+J89*J57+K89*K57+L89*L57+M89*M57+N89*N57+O89*O57+P89*P57+Q89*Q57+R89*R57+S89*S57+T89*T57+U89*U57+V89*V57</f>
        <v>0</v>
      </c>
      <c r="AA57" s="421">
        <f>E90*E57+F90*F57+G90*G57+H90*H57+I90*I57+J90*J57+K90*K57+L90*L57+M90*M57+N90*N57+O90*O57+P90*P57+Q90*Q57+R90*R57+S90*S57+T90*T57+U90*U57+V90*V57</f>
        <v>0</v>
      </c>
    </row>
    <row r="58" spans="2:27" ht="15.75" x14ac:dyDescent="0.25">
      <c r="B58" s="447">
        <v>9</v>
      </c>
      <c r="C58" s="448" t="s">
        <v>320</v>
      </c>
      <c r="D58" s="449" t="s">
        <v>321</v>
      </c>
      <c r="E58" s="536">
        <f>-(1-Y_H1)/Y_H1</f>
        <v>-0.50150150150150141</v>
      </c>
      <c r="F58" s="536">
        <f>0</f>
        <v>0</v>
      </c>
      <c r="G58" s="536">
        <f>0</f>
        <v>0</v>
      </c>
      <c r="H58" s="536">
        <f>-i_NBM+i_NENM/Y_H1</f>
        <v>7.0750750750750713E-3</v>
      </c>
      <c r="I58" s="536">
        <f>0</f>
        <v>0</v>
      </c>
      <c r="J58" s="536">
        <f>-i_PBM+i_PENM/Y_H1</f>
        <v>-2.1000000000000001E-2</v>
      </c>
      <c r="K58" s="536">
        <f>0</f>
        <v>0</v>
      </c>
      <c r="L58" s="536">
        <f>0</f>
        <v>0</v>
      </c>
      <c r="M58" s="536">
        <f>0</f>
        <v>0</v>
      </c>
      <c r="N58" s="536">
        <f>-1/Y_H1</f>
        <v>-1.5015015015015014</v>
      </c>
      <c r="O58" s="536">
        <f>0</f>
        <v>0</v>
      </c>
      <c r="P58" s="536">
        <f>1</f>
        <v>1</v>
      </c>
      <c r="Q58" s="536">
        <f>0</f>
        <v>0</v>
      </c>
      <c r="R58" s="536">
        <f>0</f>
        <v>0</v>
      </c>
      <c r="S58" s="536">
        <f>0</f>
        <v>0</v>
      </c>
      <c r="T58" s="536">
        <f>0</f>
        <v>0</v>
      </c>
      <c r="U58" s="536">
        <f>0</f>
        <v>0</v>
      </c>
      <c r="V58" s="536">
        <f>0</f>
        <v>0</v>
      </c>
      <c r="W58" s="542">
        <f>K_MP*M_RsatXADS_XH_KSP*X_ADS/(S_A+S_F+X_ADS)*M_satSO2_KOH*M_satSNH4_KNH4*M_satSPO4_KPO4_gro*X_H</f>
        <v>365.43469211859207</v>
      </c>
      <c r="Y58" s="421">
        <f>E88*E58+F88*F58+G88*G58+H88*H58+I88*I58+J88*J58+K88*K58+L88*L58+M88*M58+N88*N58+O88*O58+P88*P58+Q88*Q58+R88*R58+S88*S58+T88*T58+U88*U58+V88*V58</f>
        <v>0</v>
      </c>
      <c r="Z58" s="421">
        <f>E89*E58+F89*F58+G89*G58+H89*H58+I89*I58+J89*J58+K89*K58+L89*L58+M89*M58+N89*N58+O89*O58+P89*P58+Q89*Q58+R89*R58+S89*S58+T89*T58+U89*U58+V89*V58</f>
        <v>0</v>
      </c>
      <c r="AA58" s="421">
        <f>E90*E58+F90*F58+G90*G58+H90*H58+I90*I58+J90*J58+K90*K58+L90*L58+M90*M58+N90*N58+O90*O58+P90*P58+Q90*Q58+R90*R58+S90*S58+T90*T58+U90*U58+V90*V58</f>
        <v>0</v>
      </c>
    </row>
    <row r="59" spans="2:27" ht="15.75" x14ac:dyDescent="0.25">
      <c r="B59" s="447">
        <v>10</v>
      </c>
      <c r="C59" s="448" t="s">
        <v>324</v>
      </c>
      <c r="D59" s="449" t="s">
        <v>325</v>
      </c>
      <c r="E59" s="535">
        <f>-(1-Y_H1)/Y_H1-i_COD_NO3*i_NBM</f>
        <v>-0.19064435864435852</v>
      </c>
      <c r="F59" s="536">
        <f>0</f>
        <v>0</v>
      </c>
      <c r="G59" s="536">
        <f>0</f>
        <v>0</v>
      </c>
      <c r="H59" s="538">
        <f>i_NENM/Y_H1</f>
        <v>7.5075075075075076E-2</v>
      </c>
      <c r="I59" s="536">
        <f>-i_NBM</f>
        <v>-6.8000000000000005E-2</v>
      </c>
      <c r="J59" s="536">
        <f>-i_PBM+i_PENM/Y_H1</f>
        <v>-2.1000000000000001E-2</v>
      </c>
      <c r="K59" s="536">
        <f>0</f>
        <v>0</v>
      </c>
      <c r="L59" s="536">
        <f>0</f>
        <v>0</v>
      </c>
      <c r="M59" s="536">
        <f>0</f>
        <v>0</v>
      </c>
      <c r="N59" s="536">
        <f>-1/Y_H1</f>
        <v>-1.5015015015015014</v>
      </c>
      <c r="O59" s="536">
        <f>0</f>
        <v>0</v>
      </c>
      <c r="P59" s="536">
        <f>1</f>
        <v>1</v>
      </c>
      <c r="Q59" s="536">
        <f>0</f>
        <v>0</v>
      </c>
      <c r="R59" s="536">
        <f>0</f>
        <v>0</v>
      </c>
      <c r="S59" s="536">
        <f>0</f>
        <v>0</v>
      </c>
      <c r="T59" s="536">
        <f>0</f>
        <v>0</v>
      </c>
      <c r="U59" s="536">
        <f>0</f>
        <v>0</v>
      </c>
      <c r="V59" s="536">
        <f>0</f>
        <v>0</v>
      </c>
      <c r="W59" s="542">
        <f>K_MP*M_RsatXADS_XH_KSP*X_ADS/(S_A+S_F+X_ADS)*M_satSO2_KOH*M_inhSNH4_KNH4*M_satSNO3_KNO3*M_satSPO4_KPO4_gro*X_H</f>
        <v>3.6181652685009116</v>
      </c>
      <c r="Y59" s="421">
        <f>E88*E59+F88*F59+G88*G59+H88*H59+I88*I59+J88*J59+K88*K59+L88*L59+M88*M59+N88*N59+O88*O59+P88*P59+Q88*Q59+R88*R59+S88*S59+T88*T59+U88*U59+V88*V59</f>
        <v>0</v>
      </c>
      <c r="Z59" s="421">
        <f>E89*E59+F89*F59+G89*G59+H89*H59+I89*I59+J89*J59+K89*K59+L89*L59+M89*M59+N89*N59+O89*O59+P89*P59+Q89*Q59+R89*R59+S89*S59+T89*T59+U89*U59+V89*V59</f>
        <v>0</v>
      </c>
      <c r="AA59" s="421">
        <f>E90*E59+F90*F59+G90*G59+H90*H59+I90*I59+J90*J59+K90*K59+L90*L59+M90*M59+N90*N59+O90*O59+P90*P59+Q90*Q59+R90*R59+S90*S59+T90*T59+U90*U59+V90*V59</f>
        <v>0</v>
      </c>
    </row>
    <row r="60" spans="2:27" ht="15.75" x14ac:dyDescent="0.25">
      <c r="B60" s="447">
        <v>11</v>
      </c>
      <c r="C60" s="448" t="s">
        <v>327</v>
      </c>
      <c r="D60" s="449" t="s">
        <v>328</v>
      </c>
      <c r="E60" s="536">
        <f>0</f>
        <v>0</v>
      </c>
      <c r="F60" s="536">
        <f>0</f>
        <v>0</v>
      </c>
      <c r="G60" s="536">
        <f>0</f>
        <v>0</v>
      </c>
      <c r="H60" s="536">
        <f>-i_NBM+i_NENM/Y_H2</f>
        <v>2.4592592592592583E-2</v>
      </c>
      <c r="I60" s="535">
        <f>-(1-Y_H2)/(i_NO3_N2*Y_H2)</f>
        <v>-0.29814814814814811</v>
      </c>
      <c r="J60" s="536">
        <f>-i_PBM+i_PENM*Y_H2</f>
        <v>-2.1000000000000001E-2</v>
      </c>
      <c r="K60" s="536">
        <f>0</f>
        <v>0</v>
      </c>
      <c r="L60" s="536">
        <f>0</f>
        <v>0</v>
      </c>
      <c r="M60" s="536">
        <f>0</f>
        <v>0</v>
      </c>
      <c r="N60" s="536">
        <f>-1/Y_H2</f>
        <v>-1.8518518518518516</v>
      </c>
      <c r="O60" s="536">
        <f>0</f>
        <v>0</v>
      </c>
      <c r="P60" s="536">
        <f>1</f>
        <v>1</v>
      </c>
      <c r="Q60" s="536">
        <f>0</f>
        <v>0</v>
      </c>
      <c r="R60" s="536">
        <f>0</f>
        <v>0</v>
      </c>
      <c r="S60" s="536">
        <f>0</f>
        <v>0</v>
      </c>
      <c r="T60" s="536">
        <f>0</f>
        <v>0</v>
      </c>
      <c r="U60" s="536">
        <f>(1-Y_H2)/(i_NO3_N2*Y_H2)</f>
        <v>0.29814814814814811</v>
      </c>
      <c r="V60" s="536">
        <f>0</f>
        <v>0</v>
      </c>
      <c r="W60" s="542">
        <f>η_H*K_MP*M_RsatXADS_XH_KSP*X_ADS/(S_A+S_F+X_ADS)*M_inhSO2_KOH*M_satSNH4_KNH4*M_satSNO3_KNO3*M_satSPO4_KPO4_gro*X_H</f>
        <v>0.10854495805502737</v>
      </c>
      <c r="Y60" s="421">
        <f>E88*E60+F88*F60+G88*G60+H88*H60+I88*I60+J88*J60+K88*K60+L88*L60+M88*M60+N88*N60+O88*O60+P88*P60+Q88*Q60+R88*R60+S88*S60+T88*T60+U88*U60+V88*V60</f>
        <v>1.1102230246251565E-16</v>
      </c>
      <c r="Z60" s="421">
        <f>E89*E60+F89*F60+G89*G60+H89*H60+I89*I60+J89*J60+K89*K60+L89*L60+M89*M60+N89*N60+O89*O60+P89*P60+Q89*Q60+R89*R60+S89*S60+T89*T60+U89*U60+V89*V60</f>
        <v>0</v>
      </c>
      <c r="AA60" s="421">
        <f>E90*E60+F90*F60+G90*G60+H90*H60+I90*I60+J90*J60+K90*K60+L90*L60+M90*M60+N90*N60+O90*O60+P90*P60+Q90*Q60+R90*R60+S90*S60+T90*T60+U90*U60+V90*V60</f>
        <v>0</v>
      </c>
    </row>
    <row r="61" spans="2:27" ht="15.75" x14ac:dyDescent="0.25">
      <c r="B61" s="447">
        <v>12</v>
      </c>
      <c r="C61" s="448" t="s">
        <v>331</v>
      </c>
      <c r="D61" s="449" t="s">
        <v>332</v>
      </c>
      <c r="E61" s="536">
        <f>0</f>
        <v>0</v>
      </c>
      <c r="F61" s="536">
        <f>0</f>
        <v>0</v>
      </c>
      <c r="G61" s="536">
        <f>0</f>
        <v>0</v>
      </c>
      <c r="H61" s="538">
        <f>i_NENM/Y_H2-i_COD_NO3*i_NBM*i_NENM</f>
        <v>0.10813544973544974</v>
      </c>
      <c r="I61" s="535">
        <f>-i_NBM-(1-Y_H2)/(i_NO3_N2*Y_H2)</f>
        <v>-0.36614814814814811</v>
      </c>
      <c r="J61" s="535">
        <f>-i_PBM+i_PENM/Y_H2-i_COD_NO3*i_NBM*i_PENM</f>
        <v>-2.1000000000000001E-2</v>
      </c>
      <c r="K61" s="536">
        <f>0</f>
        <v>0</v>
      </c>
      <c r="L61" s="536">
        <f>0</f>
        <v>0</v>
      </c>
      <c r="M61" s="536">
        <f>0</f>
        <v>0</v>
      </c>
      <c r="N61" s="535">
        <f>-1/Y_H2+i_COD_NO3*i_NBM</f>
        <v>-2.1627089947089946</v>
      </c>
      <c r="O61" s="536">
        <f>0</f>
        <v>0</v>
      </c>
      <c r="P61" s="536">
        <f>1</f>
        <v>1</v>
      </c>
      <c r="Q61" s="536">
        <f>0</f>
        <v>0</v>
      </c>
      <c r="R61" s="536">
        <f>0</f>
        <v>0</v>
      </c>
      <c r="S61" s="536">
        <f>0</f>
        <v>0</v>
      </c>
      <c r="T61" s="536">
        <f>0</f>
        <v>0</v>
      </c>
      <c r="U61" s="536">
        <f>(1-Y_H2)/(i_NO3_N2*Y_H2)</f>
        <v>0.29814814814814811</v>
      </c>
      <c r="V61" s="536">
        <f>0</f>
        <v>0</v>
      </c>
      <c r="W61" s="542">
        <f>η_H*K_MP*M_RsatXADS_XH_KSP*X_ADS/(S_A+S_F+X_ADS)*M_inhSO2_KOH*M_inhSNH4_KNH4*M_satSNO3_KNO3*M_satSPO4_KPO4_gro*X_H</f>
        <v>1.0854495805502735E-3</v>
      </c>
      <c r="Y61" s="421">
        <f>E88*E61+F88*F61+G88*G61+H88*H61+I88*I61+J88*J61+K88*K61+L88*L61+M88*M61+N88*N61+O88*O61+P88*P61+Q88*Q61+R88*R61+S88*S61+T88*T61+U88*U61+V88*V61</f>
        <v>1.1102230246251565E-16</v>
      </c>
      <c r="Z61" s="421">
        <f>E89*E61+F89*F61+G89*G61+H89*H61+I89*I61+J89*J61+K89*K61+L89*L61+M89*M61+N89*N61+O89*O61+P89*P61+Q89*Q61+R89*R61+S89*S61+T89*T61+U89*U61+V89*V61</f>
        <v>0</v>
      </c>
      <c r="AA61" s="421">
        <f>E90*E61+F90*F61+G90*G61+H90*H61+I90*I61+J90*J61+K90*K61+L90*L61+M90*M61+N90*N61+O90*O61+P90*P61+Q90*Q61+R90*R61+S90*S61+T90*T61+U90*U61+V90*V61</f>
        <v>0</v>
      </c>
    </row>
    <row r="62" spans="2:27" ht="15.75" x14ac:dyDescent="0.25">
      <c r="B62" s="447">
        <v>13</v>
      </c>
      <c r="C62" s="448" t="s">
        <v>335</v>
      </c>
      <c r="D62" s="449" t="s">
        <v>336</v>
      </c>
      <c r="E62" s="536">
        <f>0</f>
        <v>0</v>
      </c>
      <c r="F62" s="536">
        <f>0</f>
        <v>0</v>
      </c>
      <c r="G62" s="536">
        <f>0</f>
        <v>0</v>
      </c>
      <c r="H62" s="536">
        <f>0</f>
        <v>0</v>
      </c>
      <c r="I62" s="536">
        <f>0</f>
        <v>0</v>
      </c>
      <c r="J62" s="536">
        <f>0</f>
        <v>0</v>
      </c>
      <c r="K62" s="536">
        <f>0</f>
        <v>0</v>
      </c>
      <c r="L62" s="536">
        <f>0</f>
        <v>0</v>
      </c>
      <c r="M62" s="536">
        <f>0</f>
        <v>0</v>
      </c>
      <c r="N62" s="536">
        <f>1</f>
        <v>1</v>
      </c>
      <c r="O62" s="536">
        <f>-1</f>
        <v>-1</v>
      </c>
      <c r="P62" s="536">
        <f>0</f>
        <v>0</v>
      </c>
      <c r="Q62" s="536">
        <f>0</f>
        <v>0</v>
      </c>
      <c r="R62" s="536">
        <f>0</f>
        <v>0</v>
      </c>
      <c r="S62" s="536">
        <f>0</f>
        <v>0</v>
      </c>
      <c r="T62" s="536">
        <f>0</f>
        <v>0</v>
      </c>
      <c r="U62" s="536">
        <f>0</f>
        <v>0</v>
      </c>
      <c r="V62" s="536">
        <f>0</f>
        <v>0</v>
      </c>
      <c r="W62" s="542">
        <f>K_ADS*X_ENM*(f_MA-X_ADS/X_H)*X_H</f>
        <v>1598</v>
      </c>
      <c r="Y62" s="421">
        <f>E88*E62+F88*F62+G88*G62+H88*H62+I88*I62+J88*J62+K88*K62+L88*L62+M88*M62+N88*N62+O88*O62+P88*P62+Q88*Q62+R88*R62+S88*S62+T88*T62+U88*U62+V88*V62</f>
        <v>0</v>
      </c>
      <c r="Z62" s="421">
        <f>E89*E62+F89*F62+G89*G62+H89*H62+I89*I62+J89*J62+K89*K62+L89*L62+M89*M62+N89*N62+O89*O62+P89*P62+Q89*Q62+R89*R62+S89*S62+T89*T62+U89*U62+V89*V62</f>
        <v>0</v>
      </c>
      <c r="AA62" s="421">
        <f>E90*E62+F90*F62+G90*G62+H90*H62+I90*I62+J90*J62+K90*K62+L90*L62+M90*M62+N90*N62+O90*O62+P90*P62+Q90*Q62+R90*R62+S90*S62+T90*T62+U90*U62+V90*V62</f>
        <v>0</v>
      </c>
    </row>
    <row r="63" spans="2:27" ht="15.75" x14ac:dyDescent="0.25">
      <c r="B63" s="447">
        <v>14</v>
      </c>
      <c r="C63" s="448" t="s">
        <v>337</v>
      </c>
      <c r="D63" s="449" t="s">
        <v>338</v>
      </c>
      <c r="E63" s="536">
        <f>0</f>
        <v>0</v>
      </c>
      <c r="F63" s="536">
        <f>0</f>
        <v>0</v>
      </c>
      <c r="G63" s="536">
        <f>0</f>
        <v>0</v>
      </c>
      <c r="H63" s="538">
        <f>i_NBM-(1-f_XE_H)*i_NENM-f_XE_H*i_NXE</f>
        <v>1.6559999999999998E-2</v>
      </c>
      <c r="I63" s="536">
        <f>0</f>
        <v>0</v>
      </c>
      <c r="J63" s="538">
        <f>i_PBM-f_XE_H*i_PXE-(1-f_XE_H)*i_PENM</f>
        <v>1.932E-2</v>
      </c>
      <c r="K63" s="536">
        <f>0</f>
        <v>0</v>
      </c>
      <c r="L63" s="538">
        <f>f_XE_H</f>
        <v>0.08</v>
      </c>
      <c r="M63" s="536">
        <f>0</f>
        <v>0</v>
      </c>
      <c r="N63" s="536">
        <f>0</f>
        <v>0</v>
      </c>
      <c r="O63" s="536">
        <f>1-f_XE_H</f>
        <v>0.92</v>
      </c>
      <c r="P63" s="536">
        <f>-1</f>
        <v>-1</v>
      </c>
      <c r="Q63" s="536">
        <f>0</f>
        <v>0</v>
      </c>
      <c r="R63" s="536">
        <f>0</f>
        <v>0</v>
      </c>
      <c r="S63" s="536">
        <f>0</f>
        <v>0</v>
      </c>
      <c r="T63" s="536">
        <f>0</f>
        <v>0</v>
      </c>
      <c r="U63" s="536">
        <f>0</f>
        <v>0</v>
      </c>
      <c r="V63" s="536">
        <f>0</f>
        <v>0</v>
      </c>
      <c r="W63" s="542">
        <f>b_H*X_H</f>
        <v>310</v>
      </c>
      <c r="Y63" s="421">
        <f>E88*E63+F88*F63+G88*G63+H88*H63+I88*I63+J88*J63+K88*K63+L88*L63+M88*M63+N88*N63+O88*O63+P88*P63+Q88*Q63+R88*R63+S88*S63+T88*T63+U88*U63+V88*V63</f>
        <v>0</v>
      </c>
      <c r="Z63" s="421">
        <f>E89*E63+F89*F63+G89*G63+H89*H63+I89*I63+J89*J63+K89*K63+L89*L63+M89*M63+N89*N63+O89*O63+P89*P63+Q89*Q63+R89*R63+S89*S63+T89*T63+U89*U63+V89*V63</f>
        <v>0</v>
      </c>
      <c r="AA63" s="421">
        <f>E90*E63+F90*F63+G90*G63+H90*H63+I90*I63+J90*J63+K90*K63+L90*L63+M90*M63+N90*N63+O90*O63+P90*P63+Q90*Q63+R90*R63+S90*S63+T90*T63+U90*U63+V90*V63</f>
        <v>0</v>
      </c>
    </row>
    <row r="64" spans="2:27" ht="15.75" x14ac:dyDescent="0.25">
      <c r="B64" s="447">
        <v>15</v>
      </c>
      <c r="C64" s="448" t="s">
        <v>345</v>
      </c>
      <c r="D64" s="449" t="s">
        <v>346</v>
      </c>
      <c r="E64" s="536">
        <f>0</f>
        <v>0</v>
      </c>
      <c r="F64" s="536">
        <f>1</f>
        <v>1</v>
      </c>
      <c r="G64" s="536">
        <f>-1</f>
        <v>-1</v>
      </c>
      <c r="H64" s="538">
        <f>i_NSF</f>
        <v>1.0999999999999999E-2</v>
      </c>
      <c r="I64" s="536">
        <f>0</f>
        <v>0</v>
      </c>
      <c r="J64" s="538">
        <f>i_PSF</f>
        <v>0</v>
      </c>
      <c r="K64" s="536">
        <f>0</f>
        <v>0</v>
      </c>
      <c r="L64" s="536">
        <f>0</f>
        <v>0</v>
      </c>
      <c r="M64" s="536">
        <f>0</f>
        <v>0</v>
      </c>
      <c r="N64" s="536">
        <f>0</f>
        <v>0</v>
      </c>
      <c r="O64" s="536">
        <f>0</f>
        <v>0</v>
      </c>
      <c r="P64" s="536">
        <f>0</f>
        <v>0</v>
      </c>
      <c r="Q64" s="536">
        <f>0</f>
        <v>0</v>
      </c>
      <c r="R64" s="536">
        <f>0</f>
        <v>0</v>
      </c>
      <c r="S64" s="536">
        <f>0</f>
        <v>0</v>
      </c>
      <c r="T64" s="536">
        <f>0</f>
        <v>0</v>
      </c>
      <c r="U64" s="536">
        <f>0</f>
        <v>0</v>
      </c>
      <c r="V64" s="536">
        <f>0</f>
        <v>0</v>
      </c>
      <c r="W64" s="542">
        <f>K_FE*S_F*M_inhSO2_KOH*M_inhSNO3_KNO3*X_H</f>
        <v>9.8910990000098948E-4</v>
      </c>
      <c r="Y64" s="421">
        <f>E88*E64+F88*F64+G88*G64+H88*H64+I88*I64+J88*J64+K88*K64+L88*L64+M88*M64+N88*N64+O88*O64+P88*P64+Q88*Q64+R88*R64+S88*S64+T88*T64+U88*U64+V88*V64</f>
        <v>0</v>
      </c>
      <c r="Z64" s="421">
        <f>E89*E64+F89*F64+G89*G64+H89*H64+I89*I64+J89*J64+K89*K64+L89*L64+M89*M64+N89*N64+O89*O64+P89*P64+Q89*Q64+R89*R64+S89*S64+T89*T64+U89*U64+V89*V64</f>
        <v>0</v>
      </c>
      <c r="AA64" s="421">
        <f>E90*E64+F90*F64+G90*G64+H90*H64+I90*I64+J90*J64+K90*K64+L90*L64+M90*M64+N90*N64+O90*O64+P90*P64+Q90*Q64+R90*R64+S90*S64+T90*T64+U90*U64+V90*V64</f>
        <v>0</v>
      </c>
    </row>
    <row r="65" spans="2:27" ht="15.75" x14ac:dyDescent="0.25">
      <c r="B65" s="447">
        <v>16</v>
      </c>
      <c r="C65" s="448" t="s">
        <v>347</v>
      </c>
      <c r="D65" s="449" t="s">
        <v>348</v>
      </c>
      <c r="E65" s="535">
        <f>-(-i_COD_NO3-Y_NIT)/Y_NIT</f>
        <v>-29.476190476190474</v>
      </c>
      <c r="F65" s="536">
        <f>0</f>
        <v>0</v>
      </c>
      <c r="G65" s="536">
        <f>0</f>
        <v>0</v>
      </c>
      <c r="H65" s="536">
        <f>-i_NBM-1/Y_NIT</f>
        <v>-6.7346666666666666</v>
      </c>
      <c r="I65" s="536">
        <f>1/Y_NIT</f>
        <v>6.666666666666667</v>
      </c>
      <c r="J65" s="536">
        <f>-i_PBM</f>
        <v>-2.1000000000000001E-2</v>
      </c>
      <c r="K65" s="536">
        <f>0</f>
        <v>0</v>
      </c>
      <c r="L65" s="536">
        <f>0</f>
        <v>0</v>
      </c>
      <c r="M65" s="536">
        <f>0</f>
        <v>0</v>
      </c>
      <c r="N65" s="536">
        <f>0</f>
        <v>0</v>
      </c>
      <c r="O65" s="536">
        <f>0</f>
        <v>0</v>
      </c>
      <c r="P65" s="536">
        <f>0</f>
        <v>0</v>
      </c>
      <c r="Q65" s="536">
        <f>0</f>
        <v>0</v>
      </c>
      <c r="R65" s="536">
        <f>0</f>
        <v>0</v>
      </c>
      <c r="S65" s="536">
        <f>0</f>
        <v>0</v>
      </c>
      <c r="T65" s="536">
        <f>1</f>
        <v>1</v>
      </c>
      <c r="U65" s="536">
        <f>0</f>
        <v>0</v>
      </c>
      <c r="V65" s="536">
        <f>0</f>
        <v>0</v>
      </c>
      <c r="W65" s="542">
        <f>μ_NIT*M_satSO2_KON*M_satSNH4_KNH4_NIT*M_satSPO4_KPO4_gro*X_NIT</f>
        <v>16.650016650016649</v>
      </c>
      <c r="Y65" s="421">
        <f>E88*E65+F88*F65+G88*G65+H88*H65+I88*I65+J88*J65+K88*K65+L88*L65+M88*M65+N88*N65+O88*O65+P88*P65+Q88*Q65+R88*R65+S88*S65+T88*T65+U88*U65+V88*V65</f>
        <v>0</v>
      </c>
      <c r="Z65" s="421">
        <f>E89*E65+F89*F65+G89*G65+H89*H65+I89*I65+J89*J65+K89*K65+L89*L65+M89*M65+N89*N65+O89*O65+P89*P65+Q89*Q65+R89*R65+S89*S65+T89*T65+U89*U65+V89*V65</f>
        <v>3.8857805861880479E-16</v>
      </c>
      <c r="AA65" s="421">
        <f>E90*E65+F90*F65+G90*G65+H90*H65+I90*I65+J90*J65+K90*K65+L90*L65+M90*M65+N90*N65+O90*O65+P90*P65+Q90*Q65+R90*R65+S90*S65+T90*T65+U90*U65+V90*V65</f>
        <v>0</v>
      </c>
    </row>
    <row r="66" spans="2:27" ht="15.75" x14ac:dyDescent="0.25">
      <c r="B66" s="447">
        <v>17</v>
      </c>
      <c r="C66" s="448" t="s">
        <v>352</v>
      </c>
      <c r="D66" s="449" t="s">
        <v>353</v>
      </c>
      <c r="E66" s="536">
        <f>0</f>
        <v>0</v>
      </c>
      <c r="F66" s="536">
        <f>0</f>
        <v>0</v>
      </c>
      <c r="G66" s="536">
        <f>0</f>
        <v>0</v>
      </c>
      <c r="H66" s="538">
        <f>i_NBM-(1-f_XE_NIT)*i_NENM-f_XE_NIT*i_NXE</f>
        <v>1.6559999999999998E-2</v>
      </c>
      <c r="I66" s="536">
        <f>0</f>
        <v>0</v>
      </c>
      <c r="J66" s="538">
        <f>i_PBM-f_XE_NIT*i_PXE-(1-f_XE_NIT)*i_PENM</f>
        <v>1.932E-2</v>
      </c>
      <c r="K66" s="536">
        <f>0</f>
        <v>0</v>
      </c>
      <c r="L66" s="538">
        <f>f_XE_NIT</f>
        <v>0.08</v>
      </c>
      <c r="M66" s="536">
        <f>0</f>
        <v>0</v>
      </c>
      <c r="N66" s="536">
        <f>0</f>
        <v>0</v>
      </c>
      <c r="O66" s="536">
        <f>1-f_XE_NIT</f>
        <v>0.92</v>
      </c>
      <c r="P66" s="536">
        <f>0</f>
        <v>0</v>
      </c>
      <c r="Q66" s="536">
        <f>0</f>
        <v>0</v>
      </c>
      <c r="R66" s="536">
        <f>0</f>
        <v>0</v>
      </c>
      <c r="S66" s="536">
        <f>0</f>
        <v>0</v>
      </c>
      <c r="T66" s="536">
        <f>-1</f>
        <v>-1</v>
      </c>
      <c r="U66" s="536">
        <f>0</f>
        <v>0</v>
      </c>
      <c r="V66" s="536">
        <f>0</f>
        <v>0</v>
      </c>
      <c r="W66" s="542">
        <f>b_NIT*X_NIT</f>
        <v>2</v>
      </c>
      <c r="Y66" s="421">
        <f>E88*E66+F88*F66+G88*G66+H88*H66+I88*I66+J88*J66+K88*K66+L88*L66+M88*M66+N88*N66+O88*O66+P88*P66+Q88*Q66+R88*R66+S88*S66+T88*T66+U88*U66+V88*V66</f>
        <v>0</v>
      </c>
      <c r="Z66" s="421">
        <f>E89*E66+F89*F66+G89*G66+H89*H66+I89*I66+J89*J66+K89*K66+L89*L66+M89*M66+N89*N66+O89*O66+P89*P66+Q89*Q66+R89*R66+S89*S66+T89*T66+U89*U66+V89*V66</f>
        <v>0</v>
      </c>
      <c r="AA66" s="421">
        <f>E90*E66+F90*F66+G90*G66+H90*H66+I90*I66+J90*J66+K90*K66+L90*L66+M90*M66+N90*N66+O90*O66+P90*P66+Q90*Q66+R90*R66+S90*S66+T90*T66+U90*U66+V90*V66</f>
        <v>0</v>
      </c>
    </row>
    <row r="67" spans="2:27" ht="15.75" x14ac:dyDescent="0.25">
      <c r="B67" s="447">
        <v>18</v>
      </c>
      <c r="C67" s="448" t="s">
        <v>358</v>
      </c>
      <c r="D67" s="449" t="s">
        <v>359</v>
      </c>
      <c r="E67" s="536">
        <f>-(1-Y_PAO1)/Y_PAO1</f>
        <v>-0.50150150150150141</v>
      </c>
      <c r="F67" s="536">
        <f>0</f>
        <v>0</v>
      </c>
      <c r="G67" s="536">
        <f>0</f>
        <v>0</v>
      </c>
      <c r="H67" s="536">
        <f>-i_NBM</f>
        <v>-6.8000000000000005E-2</v>
      </c>
      <c r="I67" s="536">
        <f>0</f>
        <v>0</v>
      </c>
      <c r="J67" s="539">
        <f>-Y_PP1/Y_PAO1-i_PBM</f>
        <v>-1.1471261261261261</v>
      </c>
      <c r="K67" s="536">
        <f>0</f>
        <v>0</v>
      </c>
      <c r="L67" s="536">
        <f>0</f>
        <v>0</v>
      </c>
      <c r="M67" s="536">
        <f>0</f>
        <v>0</v>
      </c>
      <c r="N67" s="536">
        <f>0</f>
        <v>0</v>
      </c>
      <c r="O67" s="536">
        <f>0</f>
        <v>0</v>
      </c>
      <c r="P67" s="536">
        <f>0</f>
        <v>0</v>
      </c>
      <c r="Q67" s="536">
        <f>1</f>
        <v>1</v>
      </c>
      <c r="R67" s="538">
        <f>Y_PP1/Y_PAO1</f>
        <v>1.1261261261261262</v>
      </c>
      <c r="S67" s="536">
        <f>-1/Y_PAO1</f>
        <v>-1.5015015015015014</v>
      </c>
      <c r="T67" s="536">
        <f>0</f>
        <v>0</v>
      </c>
      <c r="U67" s="536">
        <f>0</f>
        <v>0</v>
      </c>
      <c r="V67" s="536">
        <f>0</f>
        <v>0</v>
      </c>
      <c r="W67" s="542">
        <f>µ_PAO1*M_RsatXPHA_XPAO_KPHA1*M_satSO2_KOH*M_satSNH4_KNH4*M_satSPO4_KPO4_up*X_PAO</f>
        <v>77.577247058901122</v>
      </c>
      <c r="Y67" s="421">
        <f>E88*E67+F88*F67+G88*G67+H88*H67+I88*I67+J88*J67+K88*K67+L88*L67+M88*M67+N88*N67+O88*O67+P88*P67+Q88*Q67+R88*R67+S88*S67+T88*T67+U88*U67+V88*V67</f>
        <v>0</v>
      </c>
      <c r="Z67" s="421">
        <f>E89*E67+F89*F67+G89*G67+H89*H67+I89*I67+J89*J67+K89*K67+L89*L67+M89*M67+N89*N67+O89*O67+P89*P67+Q89*Q67+R89*R67+S89*S67+T89*T67+U89*U67+V89*V67</f>
        <v>0</v>
      </c>
      <c r="AA67" s="421">
        <f>E90*E67+F90*F67+G90*G67+H90*H67+I90*I67+J90*J67+K90*K67+L90*L67+M90*M67+N90*N67+O90*O67+P90*P67+Q90*Q67+R90*R67+S90*S67+T90*T67+U90*U67+V90*V67</f>
        <v>0</v>
      </c>
    </row>
    <row r="68" spans="2:27" ht="15.75" x14ac:dyDescent="0.25">
      <c r="B68" s="447">
        <v>19</v>
      </c>
      <c r="C68" s="448" t="s">
        <v>364</v>
      </c>
      <c r="D68" s="449" t="s">
        <v>365</v>
      </c>
      <c r="E68" s="535">
        <f>-(1-Y_PAO1)/Y_PAO1-i_COD_NO3*i_NBM</f>
        <v>-0.19064435864435852</v>
      </c>
      <c r="F68" s="536">
        <f>0</f>
        <v>0</v>
      </c>
      <c r="G68" s="536">
        <f>0</f>
        <v>0</v>
      </c>
      <c r="H68" s="536">
        <f>0</f>
        <v>0</v>
      </c>
      <c r="I68" s="536">
        <f>-i_NBM</f>
        <v>-6.8000000000000005E-2</v>
      </c>
      <c r="J68" s="536">
        <f>-Y_PP1/Y_PAO1-i_PBM</f>
        <v>-1.1471261261261261</v>
      </c>
      <c r="K68" s="536">
        <f>0</f>
        <v>0</v>
      </c>
      <c r="L68" s="536">
        <f>0</f>
        <v>0</v>
      </c>
      <c r="M68" s="536">
        <f>0</f>
        <v>0</v>
      </c>
      <c r="N68" s="536">
        <f>0</f>
        <v>0</v>
      </c>
      <c r="O68" s="536">
        <f>0</f>
        <v>0</v>
      </c>
      <c r="P68" s="536">
        <f>0</f>
        <v>0</v>
      </c>
      <c r="Q68" s="536">
        <f>1</f>
        <v>1</v>
      </c>
      <c r="R68" s="538">
        <f>Y_PP1/Y_PAO1</f>
        <v>1.1261261261261262</v>
      </c>
      <c r="S68" s="536">
        <f>-1/Y_PAO1</f>
        <v>-1.5015015015015014</v>
      </c>
      <c r="T68" s="536">
        <f>0</f>
        <v>0</v>
      </c>
      <c r="U68" s="536">
        <f>0</f>
        <v>0</v>
      </c>
      <c r="V68" s="536">
        <f>0</f>
        <v>0</v>
      </c>
      <c r="W68" s="542">
        <f>µ_PAO1*M_RsatXPHA_XPAO_KPHA1*M_satSO2_KOH*M_inhSNH4_KNH4*M_satSNO3_KNO3*M_satSPO4_KPO4_up*X_PAO</f>
        <v>0.76809155503862492</v>
      </c>
      <c r="Y68" s="421">
        <f>E88*E68+F88*F68+G88*G68+H88*H68+I88*I68+J88*J68+K88*K68+L88*L68+M88*M68+N88*N68+O88*O68+P88*P68+Q88*Q68+R88*R68+S88*S68+T88*T68+U88*U68+V88*V68</f>
        <v>0</v>
      </c>
      <c r="Z68" s="421">
        <f>E89*E68+F89*F68+G89*G68+H89*H68+I89*I68+J89*J68+K89*K68+L89*L68+M89*M68+N89*N68+O89*O68+P89*P68+Q89*Q68+R89*R68+S89*S68+T89*T68+U89*U68+V89*V68</f>
        <v>0</v>
      </c>
      <c r="AA68" s="421">
        <f>E90*E68+F90*F68+G90*G68+H90*H68+I90*I68+J90*J68+K90*K68+L90*L68+M90*M68+N90*N68+O90*O68+P90*P68+Q90*Q68+R90*R68+S90*S68+T90*T68+U90*U68+V90*V68</f>
        <v>0</v>
      </c>
    </row>
    <row r="69" spans="2:27" ht="15.75" x14ac:dyDescent="0.25">
      <c r="B69" s="447">
        <v>20</v>
      </c>
      <c r="C69" s="448" t="s">
        <v>367</v>
      </c>
      <c r="D69" s="449" t="s">
        <v>368</v>
      </c>
      <c r="E69" s="536">
        <f>-(1-Y_PAO1)/Y_PAO1</f>
        <v>-0.50150150150150141</v>
      </c>
      <c r="F69" s="536">
        <f>0</f>
        <v>0</v>
      </c>
      <c r="G69" s="536">
        <f>0</f>
        <v>0</v>
      </c>
      <c r="H69" s="536">
        <f>-i_NBM</f>
        <v>-6.8000000000000005E-2</v>
      </c>
      <c r="I69" s="536">
        <f>0</f>
        <v>0</v>
      </c>
      <c r="J69" s="536">
        <f>0</f>
        <v>0</v>
      </c>
      <c r="K69" s="536">
        <f>0</f>
        <v>0</v>
      </c>
      <c r="L69" s="536">
        <f>0</f>
        <v>0</v>
      </c>
      <c r="M69" s="536">
        <f>0</f>
        <v>0</v>
      </c>
      <c r="N69" s="536">
        <f>0</f>
        <v>0</v>
      </c>
      <c r="O69" s="536">
        <f>0</f>
        <v>0</v>
      </c>
      <c r="P69" s="536">
        <f>0</f>
        <v>0</v>
      </c>
      <c r="Q69" s="536">
        <f>1</f>
        <v>1</v>
      </c>
      <c r="R69" s="536">
        <f>-i_PBM</f>
        <v>-2.1000000000000001E-2</v>
      </c>
      <c r="S69" s="536">
        <f>-1/Y_PAO1</f>
        <v>-1.5015015015015014</v>
      </c>
      <c r="T69" s="536">
        <f>0</f>
        <v>0</v>
      </c>
      <c r="U69" s="536">
        <f>0</f>
        <v>0</v>
      </c>
      <c r="V69" s="536">
        <f>0</f>
        <v>0</v>
      </c>
      <c r="W69" s="542">
        <f>µ_PAO2*M_RsatXPHA_XPAO_KPHA2*M_satSO2_KOH*M_satSNH4_KNH4*M_inhSPO4_KPO4_up*M_satXPP_KPP*X_PAO</f>
        <v>3.3274554498303175</v>
      </c>
      <c r="Y69" s="421">
        <f>E88*E69+F88*F69+G88*G69+H88*H69+I88*I69+J88*J69+K88*K69+L88*L69+M88*M69+N88*N69+O88*O69+P88*P69+Q88*Q69+R88*R69+S88*S69+T88*T69+U88*U69+V88*V69</f>
        <v>0</v>
      </c>
      <c r="Z69" s="421">
        <f>E89*E69+F89*F69+G89*G69+H89*H69+I89*I69+J89*J69+K89*K69+L89*L69+M89*M69+N89*N69+O89*O69+P89*P69+Q89*Q69+R89*R69+S89*S69+T89*T69+U89*U69+V89*V69</f>
        <v>0</v>
      </c>
      <c r="AA69" s="421">
        <f>E90*E69+F90*F69+G90*G69+H90*H69+I90*I69+J90*J69+K90*K69+L90*L69+M90*M69+N90*N69+O90*O69+P90*P69+Q90*Q69+R90*R69+S90*S69+T90*T69+U90*U69+V90*V69</f>
        <v>0</v>
      </c>
    </row>
    <row r="70" spans="2:27" ht="15.75" x14ac:dyDescent="0.25">
      <c r="B70" s="447">
        <v>21</v>
      </c>
      <c r="C70" s="448" t="s">
        <v>369</v>
      </c>
      <c r="D70" s="449" t="s">
        <v>370</v>
      </c>
      <c r="E70" s="535">
        <f>-(1-Y_PAO1)/Y_PAO1-i_COD_NO3*i_NBM</f>
        <v>-0.19064435864435852</v>
      </c>
      <c r="F70" s="536">
        <f>0</f>
        <v>0</v>
      </c>
      <c r="G70" s="536">
        <f>0</f>
        <v>0</v>
      </c>
      <c r="H70" s="536">
        <f>0</f>
        <v>0</v>
      </c>
      <c r="I70" s="536">
        <f>-i_NBM</f>
        <v>-6.8000000000000005E-2</v>
      </c>
      <c r="J70" s="536">
        <f>0</f>
        <v>0</v>
      </c>
      <c r="K70" s="536">
        <f>0</f>
        <v>0</v>
      </c>
      <c r="L70" s="536">
        <f>0</f>
        <v>0</v>
      </c>
      <c r="M70" s="536">
        <f>0</f>
        <v>0</v>
      </c>
      <c r="N70" s="536">
        <f>0</f>
        <v>0</v>
      </c>
      <c r="O70" s="536">
        <f>0</f>
        <v>0</v>
      </c>
      <c r="P70" s="536">
        <f>0</f>
        <v>0</v>
      </c>
      <c r="Q70" s="536">
        <f>1</f>
        <v>1</v>
      </c>
      <c r="R70" s="536">
        <f>-i_PBM</f>
        <v>-2.1000000000000001E-2</v>
      </c>
      <c r="S70" s="536">
        <f>-1/Y_PAO1</f>
        <v>-1.5015015015015014</v>
      </c>
      <c r="T70" s="536">
        <f>0</f>
        <v>0</v>
      </c>
      <c r="U70" s="536">
        <f>0</f>
        <v>0</v>
      </c>
      <c r="V70" s="536">
        <f>0</f>
        <v>0</v>
      </c>
      <c r="W70" s="542">
        <f>µ_PAO2*M_RsatXPHA_XPAO_KPHA2*M_satSO2_KOH*M_inhSNH4_KNH4*M_satSNO3_KNO3*M_inhSPO4_KPO4_up*M_satXPP_KPP*X_PAO</f>
        <v>3.2945103463666504E-2</v>
      </c>
      <c r="Y70" s="421">
        <f>E88*E70+F88*F70+G88*G70+H88*H70+I88*I70+J88*J70+K88*K70+L88*L70+M88*M70+N88*N70+O88*O70+P88*P70+Q88*Q70+R88*R70+S88*S70+T88*T70+U88*U70+V88*V70</f>
        <v>0</v>
      </c>
      <c r="Z70" s="421">
        <f>E89*E70+F89*F70+G89*G70+H89*H70+I89*I70+J89*J70+K89*K70+L89*L70+M89*M70+N89*N70+O89*O70+P89*P70+Q89*Q70+R89*R70+S89*S70+T89*T70+U89*U70+V89*V70</f>
        <v>0</v>
      </c>
      <c r="AA70" s="421">
        <f>E90*E70+F90*F70+G90*G70+H90*H70+I90*I70+J90*J70+K90*K70+L90*L70+M90*M70+N90*N70+O90*O70+P90*P70+Q90*Q70+R90*R70+S90*S70+T90*T70+U90*U70+V90*V70</f>
        <v>0</v>
      </c>
    </row>
    <row r="71" spans="2:27" ht="15.75" x14ac:dyDescent="0.25">
      <c r="B71" s="447">
        <v>22</v>
      </c>
      <c r="C71" s="448" t="s">
        <v>371</v>
      </c>
      <c r="D71" s="449" t="s">
        <v>372</v>
      </c>
      <c r="E71" s="536">
        <f>0</f>
        <v>0</v>
      </c>
      <c r="F71" s="536">
        <f>0</f>
        <v>0</v>
      </c>
      <c r="G71" s="536">
        <f>0</f>
        <v>0</v>
      </c>
      <c r="H71" s="536">
        <f>-i_NBM</f>
        <v>-6.8000000000000005E-2</v>
      </c>
      <c r="I71" s="535">
        <f>-(1-Y_PAO2)/(i_NO3_N2*Y_PAO2)</f>
        <v>-0.29814814814814811</v>
      </c>
      <c r="J71" s="536">
        <f>-Y_PP2/Y_PAO2-i_PBM</f>
        <v>-1.1506296296296294</v>
      </c>
      <c r="K71" s="536">
        <f>0</f>
        <v>0</v>
      </c>
      <c r="L71" s="536">
        <f>0</f>
        <v>0</v>
      </c>
      <c r="M71" s="536">
        <f>0</f>
        <v>0</v>
      </c>
      <c r="N71" s="536">
        <f>0</f>
        <v>0</v>
      </c>
      <c r="O71" s="536">
        <f>0</f>
        <v>0</v>
      </c>
      <c r="P71" s="536">
        <f>0</f>
        <v>0</v>
      </c>
      <c r="Q71" s="536">
        <f>1</f>
        <v>1</v>
      </c>
      <c r="R71" s="538">
        <f>Y_PP2/Y_PAO2</f>
        <v>1.1296296296296295</v>
      </c>
      <c r="S71" s="536">
        <f>-1/Y_PAO2</f>
        <v>-1.8518518518518516</v>
      </c>
      <c r="T71" s="536">
        <f>0</f>
        <v>0</v>
      </c>
      <c r="U71" s="536">
        <f>(1-Y_PAO2)/(i_NO3_N2*Y_PAO2)</f>
        <v>0.29814814814814811</v>
      </c>
      <c r="V71" s="536">
        <f>0</f>
        <v>0</v>
      </c>
      <c r="W71" s="542">
        <f>η_PAO*µ_PAO1*M_RsatXPHA_XPAO_KPHA1*M_inhSO2_KOH*M_satSNH4_KNH4*M_satSNO3_KNO3*M_satSPO4_KPO4_up*X_PAO</f>
        <v>2.6883204426351871E-2</v>
      </c>
      <c r="Y71" s="421">
        <f>E88*E71+F88*F71+G88*G71+H88*H71+I88*I71+J88*J71+K88*K71+L88*L71+M88*M71+N88*N71+O88*O71+P88*P71+Q88*Q71+R88*R71+S88*S71+T88*T71+U88*U71+V88*V71</f>
        <v>1.1102230246251565E-16</v>
      </c>
      <c r="Z71" s="421">
        <f>E89*E71+F89*F71+G89*G71+H89*H71+I89*I71+J89*J71+K89*K71+L89*L71+M89*M71+N89*N71+O89*O71+P89*P71+Q89*Q71+R89*R71+S89*S71+T89*T71+U89*U71+V89*V71</f>
        <v>0</v>
      </c>
      <c r="AA71" s="421">
        <f>E90*E71+F90*F71+G90*G71+H90*H71+I90*I71+J90*J71+K90*K71+L90*L71+M90*M71+N90*N71+O90*O71+P90*P71+Q90*Q71+R90*R71+S90*S71+T90*T71+U90*U71+V90*V71</f>
        <v>0</v>
      </c>
    </row>
    <row r="72" spans="2:27" ht="15.75" x14ac:dyDescent="0.25">
      <c r="B72" s="447">
        <v>23</v>
      </c>
      <c r="C72" s="448" t="s">
        <v>378</v>
      </c>
      <c r="D72" s="449" t="s">
        <v>379</v>
      </c>
      <c r="E72" s="536">
        <f>0</f>
        <v>0</v>
      </c>
      <c r="F72" s="536">
        <f>0</f>
        <v>0</v>
      </c>
      <c r="G72" s="536">
        <f>0</f>
        <v>0</v>
      </c>
      <c r="H72" s="536">
        <f>0</f>
        <v>0</v>
      </c>
      <c r="I72" s="535">
        <f>-(1-Y_PAO2)/(i_NO3_N2*Y_PAO2)-i_NBM</f>
        <v>-0.36614814814814811</v>
      </c>
      <c r="J72" s="536">
        <f>-Y_PP2/Y_PAO2-i_PBM</f>
        <v>-1.1506296296296294</v>
      </c>
      <c r="K72" s="536">
        <f>0</f>
        <v>0</v>
      </c>
      <c r="L72" s="536">
        <f>0</f>
        <v>0</v>
      </c>
      <c r="M72" s="536">
        <f>0</f>
        <v>0</v>
      </c>
      <c r="N72" s="536">
        <f>0</f>
        <v>0</v>
      </c>
      <c r="O72" s="536">
        <f>0</f>
        <v>0</v>
      </c>
      <c r="P72" s="536">
        <f>0</f>
        <v>0</v>
      </c>
      <c r="Q72" s="536">
        <f>1</f>
        <v>1</v>
      </c>
      <c r="R72" s="538">
        <f>Y_PP2/Y_PAO2</f>
        <v>1.1296296296296295</v>
      </c>
      <c r="S72" s="535">
        <f>-1/Y_PAO2+i_COD_NO3*i_NBM</f>
        <v>-2.1627089947089946</v>
      </c>
      <c r="T72" s="536">
        <f>0</f>
        <v>0</v>
      </c>
      <c r="U72" s="536">
        <f>(1-Y_PAO2)/(i_NO3_N2*Y_PAO2)</f>
        <v>0.29814814814814811</v>
      </c>
      <c r="V72" s="536">
        <f>0</f>
        <v>0</v>
      </c>
      <c r="W72" s="542">
        <f>η_PAO*µ_PAO2*M_RsatXPHA_XPAO_KPHA1*M_inhSO2_KOH*M_inhSNH4_KNH4*M_satSNO3_KNO3*M_satSPO4_KPO4_up*X_PAO</f>
        <v>9.4091215492231566E-5</v>
      </c>
      <c r="Y72" s="421">
        <f>E88*E72+F88*F72+G88*G72+H88*H72+I88*I72+J88*J72+K88*K72+L88*L72+M88*M72+N88*N72+O88*O72+P88*P72+Q88*Q72+R88*R72+S88*S72+T88*T72+U88*U72+V88*V72</f>
        <v>1.1102230246251565E-16</v>
      </c>
      <c r="Z72" s="421">
        <f>E89*E72+F89*F72+G89*G72+H89*H72+I89*I72+J89*J72+K89*K72+L89*L72+M89*M72+N89*N72+O89*O72+P89*P72+Q89*Q72+R89*R72+S89*S72+T89*T72+U89*U72+V89*V72</f>
        <v>0</v>
      </c>
      <c r="AA72" s="421">
        <f>E90*E72+F90*F72+G90*G72+H90*H72+I90*I72+J90*J72+K90*K72+L90*L72+M90*M72+N90*N72+O90*O72+P90*P72+Q90*Q72+R90*R72+S90*S72+T90*T72+U90*U72+V90*V72</f>
        <v>0</v>
      </c>
    </row>
    <row r="73" spans="2:27" ht="15.75" x14ac:dyDescent="0.25">
      <c r="B73" s="447">
        <v>24</v>
      </c>
      <c r="C73" s="448" t="s">
        <v>382</v>
      </c>
      <c r="D73" s="449" t="s">
        <v>383</v>
      </c>
      <c r="E73" s="536">
        <f>-(1-f_XE_PAO-f_SI_PAO)</f>
        <v>-0.55000000000000004</v>
      </c>
      <c r="F73" s="536">
        <f>0</f>
        <v>0</v>
      </c>
      <c r="G73" s="536">
        <f>0</f>
        <v>0</v>
      </c>
      <c r="H73" s="538">
        <f>i_NBM-f_XE_PAO*i_NXE-f_SI_PAO*i_NSI</f>
        <v>4.4000000000000004E-2</v>
      </c>
      <c r="I73" s="536">
        <f>0</f>
        <v>0</v>
      </c>
      <c r="J73" s="538">
        <f>i_PBM-f_XE_PAO*i_PXE-f_SI_PAO*i_PSI</f>
        <v>1.575E-2</v>
      </c>
      <c r="K73" s="538">
        <f>f_SI_PAO</f>
        <v>0.2</v>
      </c>
      <c r="L73" s="538">
        <f>f_XE_PAO</f>
        <v>0.25</v>
      </c>
      <c r="M73" s="536">
        <f>0</f>
        <v>0</v>
      </c>
      <c r="N73" s="536">
        <f>0</f>
        <v>0</v>
      </c>
      <c r="O73" s="536">
        <f>0</f>
        <v>0</v>
      </c>
      <c r="P73" s="536">
        <f>0</f>
        <v>0</v>
      </c>
      <c r="Q73" s="536">
        <f>-1</f>
        <v>-1</v>
      </c>
      <c r="R73" s="536">
        <f>0</f>
        <v>0</v>
      </c>
      <c r="S73" s="536">
        <f>0</f>
        <v>0</v>
      </c>
      <c r="T73" s="536">
        <f>0</f>
        <v>0</v>
      </c>
      <c r="U73" s="536">
        <f>0</f>
        <v>0</v>
      </c>
      <c r="V73" s="536">
        <f>0</f>
        <v>0</v>
      </c>
      <c r="W73" s="542">
        <f>b_PAO*M_satSO2_KOH*X_PAO</f>
        <v>3.9960039960039966</v>
      </c>
      <c r="Y73" s="421">
        <f>E88*E73+F88*F73+G88*G73+H88*H73+I88*I73+J88*J73+K88*K73+L88*L73+M88*M73+N88*N73+O88*O73+P88*P73+Q88*Q73+R88*R73+S88*S73+T88*T73+U88*U73+V88*V73</f>
        <v>0</v>
      </c>
      <c r="Z73" s="421">
        <f>E89*E73+F89*F73+G89*G73+H89*H73+I89*I73+J89*J73+K89*K73+L89*L73+M89*M73+N89*N73+O89*O73+P89*P73+Q89*Q73+R89*R73+S89*S73+T89*T73+U89*U73+V89*V73</f>
        <v>0</v>
      </c>
      <c r="AA73" s="421">
        <f>E90*E73+F90*F73+G90*G73+H90*H73+I90*I73+J90*J73+K90*K73+L90*L73+M90*M73+N90*N73+O90*O73+P90*P73+Q90*Q73+R90*R73+S90*S73+T90*T73+U90*U73+V90*V73</f>
        <v>0</v>
      </c>
    </row>
    <row r="74" spans="2:27" ht="15.75" x14ac:dyDescent="0.25">
      <c r="B74" s="447">
        <v>25</v>
      </c>
      <c r="C74" s="448" t="s">
        <v>387</v>
      </c>
      <c r="D74" s="449" t="s">
        <v>388</v>
      </c>
      <c r="E74" s="536">
        <f>0</f>
        <v>0</v>
      </c>
      <c r="F74" s="536">
        <f>0</f>
        <v>0</v>
      </c>
      <c r="G74" s="536">
        <f>0</f>
        <v>0</v>
      </c>
      <c r="H74" s="536">
        <f>0</f>
        <v>0</v>
      </c>
      <c r="I74" s="536">
        <f>0</f>
        <v>0</v>
      </c>
      <c r="J74" s="536">
        <f>1</f>
        <v>1</v>
      </c>
      <c r="K74" s="536">
        <f>0</f>
        <v>0</v>
      </c>
      <c r="L74" s="536">
        <f>0</f>
        <v>0</v>
      </c>
      <c r="M74" s="536">
        <f>0</f>
        <v>0</v>
      </c>
      <c r="N74" s="536">
        <f>0</f>
        <v>0</v>
      </c>
      <c r="O74" s="536">
        <f>0</f>
        <v>0</v>
      </c>
      <c r="P74" s="536">
        <f>0</f>
        <v>0</v>
      </c>
      <c r="Q74" s="536">
        <f>0</f>
        <v>0</v>
      </c>
      <c r="R74" s="536">
        <f>-1</f>
        <v>-1</v>
      </c>
      <c r="S74" s="536">
        <f>0</f>
        <v>0</v>
      </c>
      <c r="T74" s="536">
        <f>0</f>
        <v>0</v>
      </c>
      <c r="U74" s="536">
        <f>0</f>
        <v>0</v>
      </c>
      <c r="V74" s="536">
        <f>0</f>
        <v>0</v>
      </c>
      <c r="W74" s="542">
        <f>b_PAO*M_satSO2_KOH*(X_PP/X_PAO)*X_PAO</f>
        <v>1.9980019980019983</v>
      </c>
      <c r="Y74" s="421">
        <f>E88*E74+F88*F74+G88*G74+H88*H74+I88*I74+J88*J74+K88*K74+L88*L74+M88*M74+N88*N74+O88*O74+P88*P74+Q88*Q74+R88*R74+S88*S74+T88*T74+U88*U74+V88*V74</f>
        <v>0</v>
      </c>
      <c r="Z74" s="421">
        <f>E89*E74+F89*F74+G89*G74+H89*H74+I89*I74+J89*J74+K89*K74+L89*L74+M89*M74+N89*N74+O89*O74+P89*P74+Q89*Q74+R89*R74+S89*S74+T89*T74+U89*U74+V89*V74</f>
        <v>0</v>
      </c>
      <c r="AA74" s="421">
        <f>E90*E74+F90*F74+G90*G74+H90*H74+I90*I74+J90*J74+K90*K74+L90*L74+M90*M74+N90*N74+O90*O74+P90*P74+Q90*Q74+R90*R74+S90*S74+T90*T74+U90*U74+V90*V74</f>
        <v>0</v>
      </c>
    </row>
    <row r="75" spans="2:27" ht="15.75" x14ac:dyDescent="0.25">
      <c r="B75" s="447">
        <v>26</v>
      </c>
      <c r="C75" s="448" t="s">
        <v>389</v>
      </c>
      <c r="D75" s="449" t="s">
        <v>390</v>
      </c>
      <c r="E75" s="536">
        <f>0</f>
        <v>0</v>
      </c>
      <c r="F75" s="536">
        <f>0</f>
        <v>0</v>
      </c>
      <c r="G75" s="536">
        <f>0</f>
        <v>0</v>
      </c>
      <c r="H75" s="536">
        <f>-i_NENM</f>
        <v>-0.05</v>
      </c>
      <c r="I75" s="536">
        <f>0</f>
        <v>0</v>
      </c>
      <c r="J75" s="539">
        <f>-i_PENM</f>
        <v>0</v>
      </c>
      <c r="K75" s="536">
        <f>0</f>
        <v>0</v>
      </c>
      <c r="L75" s="536">
        <f>0</f>
        <v>0</v>
      </c>
      <c r="M75" s="536">
        <f>0</f>
        <v>0</v>
      </c>
      <c r="N75" s="536">
        <f>0</f>
        <v>0</v>
      </c>
      <c r="O75" s="536">
        <f>1</f>
        <v>1</v>
      </c>
      <c r="P75" s="536">
        <f>0</f>
        <v>0</v>
      </c>
      <c r="Q75" s="536">
        <f>0</f>
        <v>0</v>
      </c>
      <c r="R75" s="536">
        <f>0</f>
        <v>0</v>
      </c>
      <c r="S75" s="536">
        <f>-1</f>
        <v>-1</v>
      </c>
      <c r="T75" s="536">
        <f>0</f>
        <v>0</v>
      </c>
      <c r="U75" s="536">
        <f>0</f>
        <v>0</v>
      </c>
      <c r="V75" s="536">
        <f>0</f>
        <v>0</v>
      </c>
      <c r="W75" s="542">
        <f>b_PAO*M_satSO2_KOH*M_satSNH4_KNH4*M_satSPO4_KPO4_lys*(X_PHA/X_PAO)*X_PAO</f>
        <v>1.8840188571447414</v>
      </c>
      <c r="Y75" s="421">
        <f>E88*E75+F88*F75+G88*G75+H88*H75+I88*I75+J88*J75+K88*K75+L88*L75+M88*M75+N88*N75+O88*O75+P88*P75+Q88*Q75+R88*R75+S88*S75+T88*T75+U88*U75+V88*V75</f>
        <v>0</v>
      </c>
      <c r="Z75" s="421">
        <f>E89*E75+F89*F75+G89*G75+H89*H75+I89*I75+J89*J75+K89*K75+L89*L75+M89*M75+N89*N75+O89*O75+P89*P75+Q89*Q75+R89*R75+S89*S75+T89*T75+U89*U75+V89*V75</f>
        <v>0</v>
      </c>
      <c r="AA75" s="421">
        <f>E90*E75+F90*F75+G90*G75+H90*H75+I90*I75+J90*J75+K90*K75+L90*L75+M90*M75+N90*N75+O90*O75+P90*P75+Q90*Q75+R90*R75+S90*S75+T90*T75+U90*U75+V90*V75</f>
        <v>0</v>
      </c>
    </row>
    <row r="76" spans="2:27" ht="15.75" x14ac:dyDescent="0.25">
      <c r="B76" s="447">
        <v>27</v>
      </c>
      <c r="C76" s="448" t="s">
        <v>393</v>
      </c>
      <c r="D76" s="449" t="s">
        <v>394</v>
      </c>
      <c r="E76" s="536">
        <f>0</f>
        <v>0</v>
      </c>
      <c r="F76" s="536">
        <f>0</f>
        <v>0</v>
      </c>
      <c r="G76" s="536">
        <f>0</f>
        <v>0</v>
      </c>
      <c r="H76" s="538">
        <f>i_NBM-f_XE_PAO*i_NXE-f_SI_PAO*i_NSI-i_NENM*(1-η_PAO)*(1-f_XE_PAO-f_SI_PAO)</f>
        <v>2.6125000000000002E-2</v>
      </c>
      <c r="I76" s="535">
        <f>-η_PAO*(1-f_XE_PAO-f_SI_PAO)/i_NO3_N2</f>
        <v>-6.7375000000000004E-2</v>
      </c>
      <c r="J76" s="538">
        <f>i_PBM-f_XE_PAO*i_PXE-f_SI_PAO*i_PSI-(1-η_PAO)*(1-f_XE_PAO-f_SI_PAO)*i_PENM</f>
        <v>1.575E-2</v>
      </c>
      <c r="K76" s="538">
        <f>f_SI_PAO</f>
        <v>0.2</v>
      </c>
      <c r="L76" s="538">
        <f>f_XE_PAO</f>
        <v>0.25</v>
      </c>
      <c r="M76" s="536">
        <f>0</f>
        <v>0</v>
      </c>
      <c r="N76" s="536">
        <f>0</f>
        <v>0</v>
      </c>
      <c r="O76" s="536">
        <f>(1-η_PAO)*(1-f_XE_PAO-f_SI_PAO)</f>
        <v>0.35750000000000004</v>
      </c>
      <c r="P76" s="536">
        <f>0</f>
        <v>0</v>
      </c>
      <c r="Q76" s="536">
        <f>-1</f>
        <v>-1</v>
      </c>
      <c r="R76" s="536">
        <f>0</f>
        <v>0</v>
      </c>
      <c r="S76" s="536">
        <f>0</f>
        <v>0</v>
      </c>
      <c r="T76" s="536">
        <f>0</f>
        <v>0</v>
      </c>
      <c r="U76" s="538">
        <f>η_PAO*(1-f_XE_PAO-f_SI_PAO)/i_NO3_N2</f>
        <v>6.7375000000000004E-2</v>
      </c>
      <c r="V76" s="538">
        <f>0</f>
        <v>0</v>
      </c>
      <c r="W76" s="542">
        <f>b_PAO*M_inhSO2_KOH*M_satSNO3_KNO3*X_PAO</f>
        <v>3.9564396000039571E-3</v>
      </c>
      <c r="Y76" s="421">
        <f>E88*E76+F88*F76+G88*G76+H88*H76+I88*I76+J88*J76+K88*K76+L88*L76+M88*M76+N88*N76+O88*O76+P88*P76+Q88*Q76+R88*R76+S88*S76+T88*T76+U88*U76+V88*V76</f>
        <v>-6.9388939039072284E-17</v>
      </c>
      <c r="Z76" s="421">
        <f>E89*E76+F89*F76+G89*G76+H89*H76+I89*I76+J89*J76+K89*K76+L89*L76+M89*M76+N89*N76+O89*O76+P89*P76+Q89*Q76+R89*R76+S89*S76+T89*T76+U89*U76+V89*V76</f>
        <v>0</v>
      </c>
      <c r="AA76" s="421">
        <f>E90*E76+F90*F76+G90*G76+H90*H76+I90*I76+J90*J76+K90*K76+L90*L76+M90*M76+N90*N76+O90*O76+P90*P76+Q90*Q76+R90*R76+S90*S76+T90*T76+U90*U76+V90*V76</f>
        <v>0</v>
      </c>
    </row>
    <row r="77" spans="2:27" ht="15.75" x14ac:dyDescent="0.25">
      <c r="B77" s="447">
        <v>28</v>
      </c>
      <c r="C77" s="448" t="s">
        <v>400</v>
      </c>
      <c r="D77" s="449" t="s">
        <v>401</v>
      </c>
      <c r="E77" s="536">
        <f>0</f>
        <v>0</v>
      </c>
      <c r="F77" s="536">
        <f>0</f>
        <v>0</v>
      </c>
      <c r="G77" s="536">
        <f>0</f>
        <v>0</v>
      </c>
      <c r="H77" s="536">
        <f>0</f>
        <v>0</v>
      </c>
      <c r="I77" s="536">
        <f>0</f>
        <v>0</v>
      </c>
      <c r="J77" s="536">
        <f>1</f>
        <v>1</v>
      </c>
      <c r="K77" s="536">
        <f>0</f>
        <v>0</v>
      </c>
      <c r="L77" s="536">
        <f>0</f>
        <v>0</v>
      </c>
      <c r="M77" s="536">
        <f>0</f>
        <v>0</v>
      </c>
      <c r="N77" s="536">
        <f>0</f>
        <v>0</v>
      </c>
      <c r="O77" s="536">
        <f>0</f>
        <v>0</v>
      </c>
      <c r="P77" s="536">
        <f>0</f>
        <v>0</v>
      </c>
      <c r="Q77" s="536">
        <f>0</f>
        <v>0</v>
      </c>
      <c r="R77" s="536">
        <f>-1</f>
        <v>-1</v>
      </c>
      <c r="S77" s="536">
        <f>0</f>
        <v>0</v>
      </c>
      <c r="T77" s="536">
        <f>0</f>
        <v>0</v>
      </c>
      <c r="U77" s="536">
        <f>0</f>
        <v>0</v>
      </c>
      <c r="V77" s="536">
        <f>0</f>
        <v>0</v>
      </c>
      <c r="W77" s="542">
        <f>b_PAO*M_inhSO2_KOH*M_satSNO3_KNO3*(X_PP/X_PAO)*X_PAO</f>
        <v>1.9782198000019785E-3</v>
      </c>
      <c r="Y77" s="421">
        <f>E88*E77+F88*F77+G88*G77+H88*H77+I88*I77+J88*J77+K88*K77+L88*L77+M88*M77+N88*N77+O88*O77+P88*P77+Q88*Q77+R88*R77+S88*S77+T88*T77+U88*U77+V88*V77</f>
        <v>0</v>
      </c>
      <c r="Z77" s="421">
        <f>E89*E77+F89*F77+G89*G77+H89*H77+I89*I77+J89*J77+K89*K77+L89*L77+M89*M77+N89*N77+O89*O77+P89*P77+Q89*Q77+R89*R77+S89*S77+T89*T77+U89*U77+V89*V77</f>
        <v>0</v>
      </c>
      <c r="AA77" s="421">
        <f>E90*E77+F90*F77+G90*G77+H90*H77+I90*I77+J90*J77+K90*K77+L90*L77+M90*M77+N90*N77+O90*O77+P90*P77+Q90*Q77+R90*R77+S90*S77+T90*T77+U90*U77+V90*V77</f>
        <v>0</v>
      </c>
    </row>
    <row r="78" spans="2:27" ht="15.75" x14ac:dyDescent="0.25">
      <c r="B78" s="447">
        <v>29</v>
      </c>
      <c r="C78" s="448" t="s">
        <v>402</v>
      </c>
      <c r="D78" s="449" t="s">
        <v>403</v>
      </c>
      <c r="E78" s="536">
        <f>0</f>
        <v>0</v>
      </c>
      <c r="F78" s="536">
        <f>0</f>
        <v>0</v>
      </c>
      <c r="G78" s="536">
        <f>0</f>
        <v>0</v>
      </c>
      <c r="H78" s="536">
        <f>-i_NENM</f>
        <v>-0.05</v>
      </c>
      <c r="I78" s="536">
        <f>0</f>
        <v>0</v>
      </c>
      <c r="J78" s="539">
        <f>-i_PENM</f>
        <v>0</v>
      </c>
      <c r="K78" s="536">
        <f>0</f>
        <v>0</v>
      </c>
      <c r="L78" s="536">
        <f>0</f>
        <v>0</v>
      </c>
      <c r="M78" s="536">
        <f>0</f>
        <v>0</v>
      </c>
      <c r="N78" s="536">
        <f>0</f>
        <v>0</v>
      </c>
      <c r="O78" s="536">
        <f>1</f>
        <v>1</v>
      </c>
      <c r="P78" s="536">
        <f>0</f>
        <v>0</v>
      </c>
      <c r="Q78" s="536">
        <f>0</f>
        <v>0</v>
      </c>
      <c r="R78" s="536">
        <f>0</f>
        <v>0</v>
      </c>
      <c r="S78" s="536">
        <f>-1</f>
        <v>-1</v>
      </c>
      <c r="T78" s="536">
        <f>0</f>
        <v>0</v>
      </c>
      <c r="U78" s="536">
        <f>0</f>
        <v>0</v>
      </c>
      <c r="V78" s="536">
        <f>0</f>
        <v>0</v>
      </c>
      <c r="W78" s="542">
        <f>b_PAO*M_inhSO2_KOH*M_satSNO3_KNO3*M_satSNH4_KNH4*M_satSPO4_KPO4_lys*(X_PHA/X_PAO)*X_PAO</f>
        <v>1.8653652050938036E-3</v>
      </c>
      <c r="Y78" s="421">
        <f>E88*E78+F88*F78+G88*G78+H88*H78+I88*I78+J88*J78+K88*K78+L88*L78+M88*M78+N88*N78+O88*O78+P88*P78+Q88*Q78+R88*R78+S88*S78+T88*T78+U88*U78+V88*V78</f>
        <v>0</v>
      </c>
      <c r="Z78" s="421">
        <f>E89*E78+F89*F78+G89*G78+H89*H78+I89*I78+J89*J78+K89*K78+L89*L78+M89*M78+N89*N78+O89*O78+P89*P78+Q89*Q78+R89*R78+S89*S78+T89*T78+U89*U78+V89*V78</f>
        <v>0</v>
      </c>
      <c r="AA78" s="421">
        <f>E90*E78+F90*F78+G90*G78+H90*H78+I90*I78+J90*J78+K90*K78+L90*L78+M90*M78+N90*N78+O90*O78+P90*P78+Q90*Q78+R90*R78+S90*S78+T90*T78+U90*U78+V90*V78</f>
        <v>0</v>
      </c>
    </row>
    <row r="79" spans="2:27" ht="15.75" x14ac:dyDescent="0.25">
      <c r="B79" s="447">
        <v>30</v>
      </c>
      <c r="C79" s="448" t="s">
        <v>404</v>
      </c>
      <c r="D79" s="449" t="s">
        <v>405</v>
      </c>
      <c r="E79" s="536">
        <f>0</f>
        <v>0</v>
      </c>
      <c r="F79" s="536">
        <f>0</f>
        <v>0</v>
      </c>
      <c r="G79" s="536">
        <f>0</f>
        <v>0</v>
      </c>
      <c r="H79" s="538">
        <f>i_NBM-f_XE_PAO*i_NXE-f_SI_PAO*i_NSI-i_NENM*(1-f_XE_PAO-f_SI_PAO)</f>
        <v>1.6500000000000001E-2</v>
      </c>
      <c r="I79" s="536">
        <f>0</f>
        <v>0</v>
      </c>
      <c r="J79" s="538">
        <f>i_PBM-f_XE_PAO*i_PXE-f_SI_PAO*i_PSI-(1-f_XE_PAO-f_SI_PAO)*i_PENM</f>
        <v>1.575E-2</v>
      </c>
      <c r="K79" s="538">
        <f>f_SI_PAO</f>
        <v>0.2</v>
      </c>
      <c r="L79" s="538">
        <f>f_XE_PAO</f>
        <v>0.25</v>
      </c>
      <c r="M79" s="536">
        <f>0</f>
        <v>0</v>
      </c>
      <c r="N79" s="536">
        <f>0</f>
        <v>0</v>
      </c>
      <c r="O79" s="536">
        <f>1-f_XE_PAO-f_SI_PAO</f>
        <v>0.55000000000000004</v>
      </c>
      <c r="P79" s="536">
        <f>0</f>
        <v>0</v>
      </c>
      <c r="Q79" s="536">
        <f>-1</f>
        <v>-1</v>
      </c>
      <c r="R79" s="536">
        <f>0</f>
        <v>0</v>
      </c>
      <c r="S79" s="536">
        <f>0</f>
        <v>0</v>
      </c>
      <c r="T79" s="536">
        <f>0</f>
        <v>0</v>
      </c>
      <c r="U79" s="536">
        <f>0</f>
        <v>0</v>
      </c>
      <c r="V79" s="536">
        <f>0</f>
        <v>0</v>
      </c>
      <c r="W79" s="542">
        <f>b_PAO*M_inhSO2_KOH*M_inhSNO3_KNO3*X_PAO</f>
        <v>3.9564396000039573E-5</v>
      </c>
      <c r="Y79" s="421">
        <f>E88*E79+F88*F79+G88*G79+H88*H79+I88*I79+J88*J79+K88*K79+L88*L79+M88*M79+N88*N79+O88*O79+P88*P79+Q88*Q79+R88*R79+S88*S79+T88*T79+U88*U79+V88*V79</f>
        <v>0</v>
      </c>
      <c r="Z79" s="421">
        <f>E89*E79+F89*F79+G89*G79+H89*H79+I89*I79+J89*J79+K89*K79+L89*L79+M89*M79+N89*N79+O89*O79+P89*P79+Q89*Q79+R89*R79+S89*S79+T89*T79+U89*U79+V89*V79</f>
        <v>0</v>
      </c>
      <c r="AA79" s="421">
        <f>E90*E79+F90*F79+G90*G79+H90*H79+I90*I79+J90*J79+K90*K79+L90*L79+M90*M79+N90*N79+O90*O79+P90*P79+Q90*Q79+R90*R79+S90*S79+T90*T79+U90*U79+V90*V79</f>
        <v>0</v>
      </c>
    </row>
    <row r="80" spans="2:27" ht="15.75" x14ac:dyDescent="0.25">
      <c r="B80" s="447">
        <v>31</v>
      </c>
      <c r="C80" s="448" t="s">
        <v>409</v>
      </c>
      <c r="D80" s="449" t="s">
        <v>410</v>
      </c>
      <c r="E80" s="536">
        <f>0</f>
        <v>0</v>
      </c>
      <c r="F80" s="536">
        <f>0</f>
        <v>0</v>
      </c>
      <c r="G80" s="536">
        <f>0</f>
        <v>0</v>
      </c>
      <c r="H80" s="536">
        <f>0</f>
        <v>0</v>
      </c>
      <c r="I80" s="536">
        <f>0</f>
        <v>0</v>
      </c>
      <c r="J80" s="536">
        <f>1</f>
        <v>1</v>
      </c>
      <c r="K80" s="536">
        <f>0</f>
        <v>0</v>
      </c>
      <c r="L80" s="536">
        <f>0</f>
        <v>0</v>
      </c>
      <c r="M80" s="536">
        <f>0</f>
        <v>0</v>
      </c>
      <c r="N80" s="536">
        <f>0</f>
        <v>0</v>
      </c>
      <c r="O80" s="536">
        <f>0</f>
        <v>0</v>
      </c>
      <c r="P80" s="536">
        <f>0</f>
        <v>0</v>
      </c>
      <c r="Q80" s="536">
        <f>0</f>
        <v>0</v>
      </c>
      <c r="R80" s="536">
        <f>-1</f>
        <v>-1</v>
      </c>
      <c r="S80" s="536">
        <f>0</f>
        <v>0</v>
      </c>
      <c r="T80" s="536">
        <f>0</f>
        <v>0</v>
      </c>
      <c r="U80" s="536">
        <f>0</f>
        <v>0</v>
      </c>
      <c r="V80" s="536">
        <f>0</f>
        <v>0</v>
      </c>
      <c r="W80" s="542">
        <f>b_PAO*M_inhSO2_KOH*M_inhSNO3_KNO3*(X_PP/X_PAO)*X_PAO</f>
        <v>1.9782198000019786E-5</v>
      </c>
      <c r="Y80" s="421">
        <f>E88*E80+F88*F80+G88*G80+H88*H80+I88*I80+J88*J80+K88*K80+L88*L80+M88*M80+N88*N80+O88*O80+P88*P80+Q88*Q80+R88*R80+S88*S80+T88*T80+U88*U80+V88*V80</f>
        <v>0</v>
      </c>
      <c r="Z80" s="421">
        <f>E89*E80+F89*F80+G89*G80+H89*H80+I89*I80+J89*J80+K89*K80+L89*L80+M89*M80+N89*N80+O89*O80+P89*P80+Q89*Q80+R89*R80+S89*S80+T89*T80+U89*U80+V89*V80</f>
        <v>0</v>
      </c>
      <c r="AA80" s="421">
        <f>E90*E80+F90*F80+G90*G80+H90*H80+I90*I80+J90*J80+K90*K80+L90*L80+M90*M80+N90*N80+O90*O80+P90*P80+Q90*Q80+R90*R80+S90*S80+T90*T80+U90*U80+V90*V80</f>
        <v>0</v>
      </c>
    </row>
    <row r="81" spans="2:27" ht="15.75" x14ac:dyDescent="0.25">
      <c r="B81" s="447">
        <v>32</v>
      </c>
      <c r="C81" s="448" t="s">
        <v>411</v>
      </c>
      <c r="D81" s="449" t="s">
        <v>412</v>
      </c>
      <c r="E81" s="536">
        <f>0</f>
        <v>0</v>
      </c>
      <c r="F81" s="536">
        <f>0</f>
        <v>0</v>
      </c>
      <c r="G81" s="536">
        <f>0</f>
        <v>0</v>
      </c>
      <c r="H81" s="536">
        <f>-i_NENM</f>
        <v>-0.05</v>
      </c>
      <c r="I81" s="536">
        <f>0</f>
        <v>0</v>
      </c>
      <c r="J81" s="539">
        <f>-i_PENM</f>
        <v>0</v>
      </c>
      <c r="K81" s="536">
        <f>0</f>
        <v>0</v>
      </c>
      <c r="L81" s="536">
        <f>0</f>
        <v>0</v>
      </c>
      <c r="M81" s="536">
        <f>0</f>
        <v>0</v>
      </c>
      <c r="N81" s="536">
        <f>0</f>
        <v>0</v>
      </c>
      <c r="O81" s="536">
        <f>1</f>
        <v>1</v>
      </c>
      <c r="P81" s="536">
        <f>0</f>
        <v>0</v>
      </c>
      <c r="Q81" s="536">
        <f>0</f>
        <v>0</v>
      </c>
      <c r="R81" s="536">
        <f>0</f>
        <v>0</v>
      </c>
      <c r="S81" s="536">
        <f>-1</f>
        <v>-1</v>
      </c>
      <c r="T81" s="536">
        <f>0</f>
        <v>0</v>
      </c>
      <c r="U81" s="536">
        <f>0</f>
        <v>0</v>
      </c>
      <c r="V81" s="536">
        <f>0</f>
        <v>0</v>
      </c>
      <c r="W81" s="542">
        <f>b_PAO*M_inhSO2_KOH*M_inhSNO3_KNO3*M_satSNH4_KNH4*M_satSPO4_KPO4_lys*(X_PHA/X_PAO)*X_PAO</f>
        <v>1.8653652050938033E-5</v>
      </c>
      <c r="Y81" s="421">
        <f>E88*E81+F88*F81+G88*G81+H88*H81+I88*I81+J88*J81+K88*K81+L88*L81+M88*M81+N88*N81+O88*O81+P88*P81+Q88*Q81+R88*R81+S88*S81+T88*T81+U88*U81+V88*V81</f>
        <v>0</v>
      </c>
      <c r="Z81" s="421">
        <f>E89*E81+F89*F81+G89*G81+H89*H81+I89*I81+J89*J81+K89*K81+L89*L81+M89*M81+N89*N81+O89*O81+P89*P81+Q89*Q81+R89*R81+S89*S81+T89*T81+U89*U81+V89*V81</f>
        <v>0</v>
      </c>
      <c r="AA81" s="421">
        <f>E90*E81+F90*F81+G90*G81+H90*H81+I90*I81+J90*J81+K90*K81+L90*L81+M90*M81+N90*N81+O90*O81+P90*P81+Q90*Q81+R90*R81+S90*S81+T90*T81+U90*U81+V90*V81</f>
        <v>0</v>
      </c>
    </row>
    <row r="82" spans="2:27" ht="15.75" x14ac:dyDescent="0.25">
      <c r="B82" s="447">
        <v>33</v>
      </c>
      <c r="C82" s="448" t="s">
        <v>413</v>
      </c>
      <c r="D82" s="449" t="s">
        <v>414</v>
      </c>
      <c r="E82" s="536">
        <f>0</f>
        <v>0</v>
      </c>
      <c r="F82" s="536">
        <f>0</f>
        <v>0</v>
      </c>
      <c r="G82" s="536">
        <f>0</f>
        <v>0</v>
      </c>
      <c r="H82" s="536">
        <f>0</f>
        <v>0</v>
      </c>
      <c r="I82" s="536">
        <f>0</f>
        <v>0</v>
      </c>
      <c r="J82" s="536">
        <f>1</f>
        <v>1</v>
      </c>
      <c r="K82" s="536">
        <f>0</f>
        <v>0</v>
      </c>
      <c r="L82" s="536">
        <f>0</f>
        <v>0</v>
      </c>
      <c r="M82" s="536">
        <f>0</f>
        <v>0</v>
      </c>
      <c r="N82" s="536">
        <f>0</f>
        <v>0</v>
      </c>
      <c r="O82" s="536">
        <f>0</f>
        <v>0</v>
      </c>
      <c r="P82" s="536">
        <f>0</f>
        <v>0</v>
      </c>
      <c r="Q82" s="536">
        <f>0</f>
        <v>0</v>
      </c>
      <c r="R82" s="536">
        <f>-1</f>
        <v>-1</v>
      </c>
      <c r="S82" s="536">
        <f>0</f>
        <v>0</v>
      </c>
      <c r="T82" s="536">
        <f>0</f>
        <v>0</v>
      </c>
      <c r="U82" s="536">
        <f>0</f>
        <v>0</v>
      </c>
      <c r="V82" s="536">
        <f>0</f>
        <v>0</v>
      </c>
      <c r="W82" s="542">
        <f>b_PP*(1-η_PAO)*M_inhSO2_KOH*M_satSNO3_KNO3*M_satXPP_KPP*X_PAO</f>
        <v>1.8909453970607146E-3</v>
      </c>
      <c r="Y82" s="421">
        <f>E88*E82+F88*F82+G88*G82+H88*H82+I88*I82+J88*J82+K88*K82+L88*L82+M88*M82+N88*N82+O88*O82+P88*P82+Q88*Q82+R88*R82+S88*S82+T88*T82+U88*U82+V88*V82</f>
        <v>0</v>
      </c>
      <c r="Z82" s="421">
        <f>E89*E82+F89*F82+G89*G82+H89*H82+I89*I82+J89*J82+K89*K82+L89*L82+M89*M82+N89*N82+O89*O82+P89*P82+Q89*Q82+R89*R82+S89*S82+T89*T82+U89*U82+V89*V82</f>
        <v>0</v>
      </c>
      <c r="AA82" s="421">
        <f>E90*E82+F90*F82+G90*G82+H90*H82+I90*I82+J90*J82+K90*K82+L90*L82+M90*M82+N90*N82+O90*O82+P90*P82+Q90*Q82+R90*R82+S90*S82+T90*T82+U90*U82+V90*V82</f>
        <v>0</v>
      </c>
    </row>
    <row r="83" spans="2:27" ht="15.75" x14ac:dyDescent="0.25">
      <c r="B83" s="447">
        <v>34</v>
      </c>
      <c r="C83" s="448" t="s">
        <v>415</v>
      </c>
      <c r="D83" s="449" t="s">
        <v>416</v>
      </c>
      <c r="E83" s="536">
        <f>0</f>
        <v>0</v>
      </c>
      <c r="F83" s="536">
        <f>0</f>
        <v>0</v>
      </c>
      <c r="G83" s="536">
        <f>0</f>
        <v>0</v>
      </c>
      <c r="H83" s="536">
        <f>0</f>
        <v>0</v>
      </c>
      <c r="I83" s="536">
        <f>0</f>
        <v>0</v>
      </c>
      <c r="J83" s="536">
        <f>1</f>
        <v>1</v>
      </c>
      <c r="K83" s="536">
        <f>0</f>
        <v>0</v>
      </c>
      <c r="L83" s="536">
        <f>0</f>
        <v>0</v>
      </c>
      <c r="M83" s="536">
        <f>0</f>
        <v>0</v>
      </c>
      <c r="N83" s="536">
        <f>0</f>
        <v>0</v>
      </c>
      <c r="O83" s="536">
        <f>0</f>
        <v>0</v>
      </c>
      <c r="P83" s="536">
        <f>0</f>
        <v>0</v>
      </c>
      <c r="Q83" s="536">
        <f>0</f>
        <v>0</v>
      </c>
      <c r="R83" s="536">
        <f>-1</f>
        <v>-1</v>
      </c>
      <c r="S83" s="536">
        <f>0</f>
        <v>0</v>
      </c>
      <c r="T83" s="536">
        <f>0</f>
        <v>0</v>
      </c>
      <c r="U83" s="536">
        <f>0</f>
        <v>0</v>
      </c>
      <c r="V83" s="536">
        <f>0</f>
        <v>0</v>
      </c>
      <c r="W83" s="542">
        <f>b_PP*M_inhSO2_KOH*M_inhSNO3_KNO3*M_satXPP_KPP*X_PAO</f>
        <v>2.909146764708792E-5</v>
      </c>
      <c r="Y83" s="421">
        <f>E88*E83+F88*F83+G88*G83+H88*H83+I88*I83+J88*J83+K88*K83+L88*L83+M88*M83+N88*N83+O88*O83+P88*P83+Q88*Q83+R88*R83+S88*S83+T88*T83+U88*U83+V88*V83</f>
        <v>0</v>
      </c>
      <c r="Z83" s="421">
        <f>E89*E83+F89*F83+G89*G83+H89*H83+I89*I83+J89*J83+K89*K83+L89*L83+M89*M83+N89*N83+O89*O83+P89*P83+Q89*Q83+R89*R83+S89*S83+T89*T83+U89*U83+V89*V83</f>
        <v>0</v>
      </c>
      <c r="AA83" s="421">
        <f>E90*E83+F90*F83+G90*G83+H90*H83+I90*I83+J90*J83+K90*K83+L90*L83+M90*M83+N90*N83+O90*O83+P90*P83+Q90*Q83+R90*R83+S90*S83+T90*T83+U90*U83+V90*V83</f>
        <v>0</v>
      </c>
    </row>
    <row r="84" spans="2:27" ht="16.5" thickBot="1" x14ac:dyDescent="0.3">
      <c r="B84" s="459">
        <v>35</v>
      </c>
      <c r="C84" s="460" t="s">
        <v>417</v>
      </c>
      <c r="D84" s="461" t="s">
        <v>418</v>
      </c>
      <c r="E84" s="537">
        <f>0</f>
        <v>0</v>
      </c>
      <c r="F84" s="537">
        <f>-1</f>
        <v>-1</v>
      </c>
      <c r="G84" s="537">
        <f>0</f>
        <v>0</v>
      </c>
      <c r="H84" s="537">
        <f>0</f>
        <v>0</v>
      </c>
      <c r="I84" s="537">
        <f>0</f>
        <v>0</v>
      </c>
      <c r="J84" s="540">
        <f>Y_PO4</f>
        <v>0.5</v>
      </c>
      <c r="K84" s="537">
        <f>0</f>
        <v>0</v>
      </c>
      <c r="L84" s="537">
        <f>0</f>
        <v>0</v>
      </c>
      <c r="M84" s="537">
        <f>0</f>
        <v>0</v>
      </c>
      <c r="N84" s="537">
        <f>0</f>
        <v>0</v>
      </c>
      <c r="O84" s="537">
        <f>0</f>
        <v>0</v>
      </c>
      <c r="P84" s="537">
        <f>0</f>
        <v>0</v>
      </c>
      <c r="Q84" s="537">
        <f>0</f>
        <v>0</v>
      </c>
      <c r="R84" s="537">
        <f>-Y_PO4</f>
        <v>-0.5</v>
      </c>
      <c r="S84" s="537">
        <f>1</f>
        <v>1</v>
      </c>
      <c r="T84" s="537">
        <f>0</f>
        <v>0</v>
      </c>
      <c r="U84" s="537">
        <f>0</f>
        <v>0</v>
      </c>
      <c r="V84" s="537">
        <f>0</f>
        <v>0</v>
      </c>
      <c r="W84" s="543">
        <f>q_PHA*M_satSA_KAC*M_satXPP_KPP*X_PAO</f>
        <v>294.11764705882348</v>
      </c>
      <c r="Y84" s="421">
        <f>E88*E84+F88*F84+G88*G84+H88*H84+I88*I84+J88*J84+K88*K84+L88*L84+M88*M84+N88*N84+O88*O84+P88*P84+Q88*Q84+R88*R84+S88*S84+T88*T84+U88*U84+V88*V84</f>
        <v>0</v>
      </c>
      <c r="Z84" s="421">
        <f>E89*E84+F89*F84+G89*G84+H89*H84+I89*I84+J89*J84+K89*K84+L89*L84+M89*M84+N89*N84+O89*O84+P89*P84+Q89*Q84+R89*R84+S89*S84+T89*T84+U89*U84+V89*V84</f>
        <v>0</v>
      </c>
      <c r="AA84" s="421">
        <f>E90*E84+F90*F84+G90*G84+H90*H84+I90*I84+J90*J84+K90*K84+L90*L84+M90*M84+N90*N84+O90*O84+P90*P84+Q90*Q84+R90*R84+S90*S84+T90*T84+U90*U84+V90*V84</f>
        <v>0</v>
      </c>
    </row>
    <row r="86" spans="2:27" ht="15.75" thickBot="1" x14ac:dyDescent="0.3"/>
    <row r="87" spans="2:27" ht="15.75" thickBot="1" x14ac:dyDescent="0.3">
      <c r="D87" s="54" t="s">
        <v>5</v>
      </c>
      <c r="E87" s="91"/>
      <c r="F87" s="91"/>
      <c r="G87" s="91"/>
      <c r="H87" s="91"/>
      <c r="I87" s="91"/>
      <c r="J87" s="91"/>
      <c r="K87" s="91"/>
      <c r="L87" s="91"/>
      <c r="M87" s="91"/>
      <c r="N87" s="91"/>
      <c r="O87" s="91"/>
      <c r="P87" s="91"/>
      <c r="Q87" s="91"/>
      <c r="R87" s="91"/>
      <c r="S87" s="91"/>
      <c r="T87" s="91"/>
      <c r="U87" s="91"/>
      <c r="V87" s="91"/>
    </row>
    <row r="88" spans="2:27" ht="15.75" x14ac:dyDescent="0.25">
      <c r="D88" s="100" t="s">
        <v>146</v>
      </c>
      <c r="E88" s="101">
        <v>-1</v>
      </c>
      <c r="F88" s="101">
        <v>1</v>
      </c>
      <c r="G88" s="101">
        <v>1</v>
      </c>
      <c r="H88" s="101"/>
      <c r="I88" s="102">
        <f>i_COD_NO3</f>
        <v>-4.5714285714285712</v>
      </c>
      <c r="J88" s="101"/>
      <c r="K88" s="101">
        <v>1</v>
      </c>
      <c r="L88" s="101">
        <v>1</v>
      </c>
      <c r="M88" s="101">
        <v>1</v>
      </c>
      <c r="N88" s="101">
        <v>1</v>
      </c>
      <c r="O88" s="101">
        <v>1</v>
      </c>
      <c r="P88" s="101">
        <v>1</v>
      </c>
      <c r="Q88" s="101">
        <v>1</v>
      </c>
      <c r="R88" s="101"/>
      <c r="S88" s="101">
        <v>1</v>
      </c>
      <c r="T88" s="103">
        <v>1</v>
      </c>
      <c r="U88" s="102">
        <f>i_COD_N2</f>
        <v>-1.7142857142857142</v>
      </c>
      <c r="V88" s="104"/>
    </row>
    <row r="89" spans="2:27" ht="15.75" x14ac:dyDescent="0.25">
      <c r="D89" s="92" t="s">
        <v>420</v>
      </c>
      <c r="E89" s="93"/>
      <c r="F89" s="93"/>
      <c r="G89" s="94">
        <f>i_NSF</f>
        <v>1.0999999999999999E-2</v>
      </c>
      <c r="H89" s="93">
        <v>1</v>
      </c>
      <c r="I89" s="93">
        <v>1</v>
      </c>
      <c r="J89" s="93"/>
      <c r="K89" s="94">
        <f>i_NSI</f>
        <v>3.5000000000000003E-2</v>
      </c>
      <c r="L89" s="94">
        <f>i_NXE</f>
        <v>6.8000000000000005E-2</v>
      </c>
      <c r="M89" s="94">
        <f>i_NXI</f>
        <v>6.8000000000000005E-2</v>
      </c>
      <c r="N89" s="94">
        <f>i_NENM</f>
        <v>0.05</v>
      </c>
      <c r="O89" s="94">
        <f>i_NENM</f>
        <v>0.05</v>
      </c>
      <c r="P89" s="94">
        <f>i_NBM</f>
        <v>6.8000000000000005E-2</v>
      </c>
      <c r="Q89" s="94">
        <f>i_NBM</f>
        <v>6.8000000000000005E-2</v>
      </c>
      <c r="R89" s="93"/>
      <c r="S89" s="93"/>
      <c r="T89" s="94">
        <f>i_NBM</f>
        <v>6.8000000000000005E-2</v>
      </c>
      <c r="U89" s="93">
        <v>1</v>
      </c>
      <c r="V89" s="95"/>
    </row>
    <row r="90" spans="2:27" ht="16.5" thickBot="1" x14ac:dyDescent="0.3">
      <c r="D90" s="96" t="s">
        <v>421</v>
      </c>
      <c r="E90" s="97"/>
      <c r="F90" s="97"/>
      <c r="G90" s="98">
        <f>i_PSF</f>
        <v>0</v>
      </c>
      <c r="H90" s="97"/>
      <c r="I90" s="97"/>
      <c r="J90" s="97">
        <v>1</v>
      </c>
      <c r="K90" s="98">
        <f>i_PSI</f>
        <v>0</v>
      </c>
      <c r="L90" s="98">
        <f>i_PXE</f>
        <v>2.1000000000000001E-2</v>
      </c>
      <c r="M90" s="98">
        <f>i_PXI</f>
        <v>2.1000000000000001E-2</v>
      </c>
      <c r="N90" s="98">
        <f>i_PENM</f>
        <v>0</v>
      </c>
      <c r="O90" s="98">
        <f>i_PENM</f>
        <v>0</v>
      </c>
      <c r="P90" s="98">
        <f>i_PBM</f>
        <v>2.1000000000000001E-2</v>
      </c>
      <c r="Q90" s="98">
        <f>i_PBM</f>
        <v>2.1000000000000001E-2</v>
      </c>
      <c r="R90" s="97">
        <v>1</v>
      </c>
      <c r="S90" s="97"/>
      <c r="T90" s="98">
        <f>i_PBM</f>
        <v>2.1000000000000001E-2</v>
      </c>
      <c r="U90" s="97"/>
      <c r="V90" s="99"/>
    </row>
  </sheetData>
  <phoneticPr fontId="12" type="noConversion"/>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
  <sheetViews>
    <sheetView showGridLines="0" zoomScale="80" zoomScaleNormal="80" workbookViewId="0">
      <selection activeCell="A3" sqref="A3"/>
    </sheetView>
  </sheetViews>
  <sheetFormatPr defaultColWidth="9.140625" defaultRowHeight="15" x14ac:dyDescent="0.25"/>
  <cols>
    <col min="1" max="1" width="17.7109375" customWidth="1"/>
    <col min="2" max="2" width="3" customWidth="1"/>
    <col min="3" max="3" width="8" bestFit="1" customWidth="1"/>
    <col min="4" max="4" width="31.7109375" bestFit="1" customWidth="1"/>
    <col min="5" max="5" width="14.7109375" customWidth="1"/>
    <col min="6" max="6" width="10.85546875" bestFit="1" customWidth="1"/>
    <col min="7" max="7" width="29.140625" bestFit="1" customWidth="1"/>
  </cols>
  <sheetData>
    <row r="1" spans="1:1" s="45" customFormat="1" ht="48" customHeight="1" x14ac:dyDescent="0.25">
      <c r="A1" s="47"/>
    </row>
  </sheetData>
  <phoneticPr fontId="12"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19" customWidth="1"/>
    <col min="2" max="2" width="22" style="18" customWidth="1"/>
    <col min="3" max="3" width="9.7109375" style="19" customWidth="1"/>
    <col min="4" max="16384" width="9.140625" style="19"/>
  </cols>
  <sheetData>
    <row r="1" spans="2:9" ht="56.25" customHeight="1" thickBot="1" x14ac:dyDescent="0.3"/>
    <row r="2" spans="2:9" s="18" customFormat="1" ht="15.75" thickBot="1" x14ac:dyDescent="0.3">
      <c r="B2" s="20" t="s">
        <v>132</v>
      </c>
      <c r="C2" s="21" t="s">
        <v>133</v>
      </c>
      <c r="D2" s="21" t="s">
        <v>134</v>
      </c>
      <c r="E2" s="21" t="s">
        <v>135</v>
      </c>
      <c r="F2" s="21" t="s">
        <v>136</v>
      </c>
      <c r="G2" s="21" t="s">
        <v>137</v>
      </c>
      <c r="H2" s="21" t="s">
        <v>138</v>
      </c>
      <c r="I2" s="22" t="s">
        <v>139</v>
      </c>
    </row>
    <row r="3" spans="2:9" ht="15.75" thickBot="1" x14ac:dyDescent="0.3">
      <c r="B3" s="23" t="s">
        <v>8</v>
      </c>
      <c r="C3" s="24">
        <v>1</v>
      </c>
      <c r="D3" s="24">
        <v>0</v>
      </c>
      <c r="E3" s="24">
        <v>-1</v>
      </c>
      <c r="F3" s="24">
        <v>-1</v>
      </c>
      <c r="G3" s="24">
        <v>1</v>
      </c>
      <c r="H3" s="25">
        <v>-1</v>
      </c>
      <c r="I3" s="26"/>
    </row>
    <row r="4" spans="2:9" x14ac:dyDescent="0.25">
      <c r="B4" s="27" t="s">
        <v>133</v>
      </c>
      <c r="C4" s="28">
        <v>1</v>
      </c>
      <c r="D4" s="28"/>
      <c r="E4" s="28"/>
      <c r="F4" s="28"/>
      <c r="G4" s="28"/>
      <c r="H4" s="29"/>
      <c r="I4" s="26"/>
    </row>
    <row r="5" spans="2:9" x14ac:dyDescent="0.25">
      <c r="B5" s="27" t="s">
        <v>134</v>
      </c>
      <c r="C5" s="28"/>
      <c r="D5" s="28">
        <v>1</v>
      </c>
      <c r="E5" s="28"/>
      <c r="F5" s="28"/>
      <c r="G5" s="28"/>
      <c r="H5" s="29"/>
      <c r="I5" s="26"/>
    </row>
    <row r="6" spans="2:9" x14ac:dyDescent="0.25">
      <c r="B6" s="27" t="s">
        <v>140</v>
      </c>
      <c r="C6" s="28"/>
      <c r="D6" s="28"/>
      <c r="E6" s="28">
        <v>1</v>
      </c>
      <c r="F6" s="28"/>
      <c r="G6" s="28"/>
      <c r="H6" s="29"/>
      <c r="I6" s="26"/>
    </row>
    <row r="7" spans="2:9" x14ac:dyDescent="0.25">
      <c r="B7" s="27" t="s">
        <v>141</v>
      </c>
      <c r="C7" s="28"/>
      <c r="D7" s="28"/>
      <c r="E7" s="28"/>
      <c r="F7" s="28">
        <v>1</v>
      </c>
      <c r="G7" s="28"/>
      <c r="H7" s="29"/>
      <c r="I7" s="26"/>
    </row>
    <row r="8" spans="2:9" x14ac:dyDescent="0.25">
      <c r="B8" s="27" t="s">
        <v>137</v>
      </c>
      <c r="C8" s="28"/>
      <c r="D8" s="28"/>
      <c r="E8" s="28"/>
      <c r="F8" s="28"/>
      <c r="G8" s="28">
        <v>1</v>
      </c>
      <c r="H8" s="29"/>
      <c r="I8" s="26"/>
    </row>
    <row r="9" spans="2:9" ht="15.75" thickBot="1" x14ac:dyDescent="0.3">
      <c r="B9" s="30" t="s">
        <v>138</v>
      </c>
      <c r="C9" s="31"/>
      <c r="D9" s="31"/>
      <c r="E9" s="31"/>
      <c r="F9" s="31"/>
      <c r="G9" s="31"/>
      <c r="H9" s="32">
        <v>1</v>
      </c>
    </row>
    <row r="10" spans="2:9" x14ac:dyDescent="0.25">
      <c r="B10" s="27" t="s">
        <v>142</v>
      </c>
      <c r="C10" s="28">
        <v>-1</v>
      </c>
      <c r="D10" s="28">
        <v>0</v>
      </c>
      <c r="E10" s="28">
        <v>0</v>
      </c>
      <c r="F10" s="28">
        <v>0</v>
      </c>
      <c r="G10" s="28">
        <v>0</v>
      </c>
      <c r="H10" s="28">
        <v>0</v>
      </c>
      <c r="I10" s="33">
        <v>-14.163232949999999</v>
      </c>
    </row>
    <row r="11" spans="2:9" ht="15.75" thickBot="1" x14ac:dyDescent="0.3">
      <c r="B11" s="27" t="s">
        <v>143</v>
      </c>
      <c r="C11" s="28">
        <v>1</v>
      </c>
      <c r="D11" s="28">
        <v>1</v>
      </c>
      <c r="E11" s="28">
        <v>0</v>
      </c>
      <c r="F11" s="28">
        <v>0</v>
      </c>
      <c r="G11" s="28">
        <v>0</v>
      </c>
      <c r="H11" s="28">
        <v>0</v>
      </c>
      <c r="I11" s="34">
        <v>9.4016472899999997</v>
      </c>
    </row>
    <row r="12" spans="2:9" x14ac:dyDescent="0.25">
      <c r="B12" s="35" t="s">
        <v>144</v>
      </c>
      <c r="C12" s="38"/>
      <c r="D12" s="38">
        <v>1E-3</v>
      </c>
      <c r="E12" s="38">
        <v>1E-3</v>
      </c>
      <c r="F12" s="38">
        <v>1E-3</v>
      </c>
      <c r="G12" s="38">
        <v>1E-3</v>
      </c>
      <c r="H12" s="36">
        <v>1E-3</v>
      </c>
      <c r="I12" s="26"/>
    </row>
    <row r="13" spans="2:9" ht="15.75" thickBot="1" x14ac:dyDescent="0.3">
      <c r="B13" s="30" t="s">
        <v>145</v>
      </c>
      <c r="C13" s="37">
        <v>9.9999999999999995E-8</v>
      </c>
      <c r="D13" s="37">
        <v>1E-4</v>
      </c>
      <c r="E13" s="31">
        <v>1E-3</v>
      </c>
      <c r="F13" s="31">
        <v>1E-3</v>
      </c>
      <c r="G13" s="31">
        <v>1E-3</v>
      </c>
      <c r="H13" s="32">
        <v>1E-3</v>
      </c>
      <c r="I13"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R22"/>
  <sheetViews>
    <sheetView showGridLines="0" zoomScaleNormal="100" workbookViewId="0">
      <selection activeCell="B21" sqref="B21:E21"/>
    </sheetView>
  </sheetViews>
  <sheetFormatPr defaultColWidth="9.140625" defaultRowHeight="15" x14ac:dyDescent="0.25"/>
  <cols>
    <col min="1" max="1" width="19.140625" customWidth="1"/>
    <col min="2" max="2" width="11.140625" customWidth="1"/>
    <col min="3" max="3" width="74.5703125" customWidth="1"/>
    <col min="4" max="4" width="11.5703125" customWidth="1"/>
    <col min="5" max="8" width="19.85546875" bestFit="1" customWidth="1"/>
    <col min="9" max="9" width="12" bestFit="1" customWidth="1"/>
    <col min="10" max="10" width="12.28515625" bestFit="1" customWidth="1"/>
    <col min="11" max="11" width="12.7109375" customWidth="1"/>
    <col min="12" max="12" width="10.7109375" customWidth="1"/>
    <col min="13" max="13" width="14.5703125" customWidth="1"/>
    <col min="14" max="14" width="12" bestFit="1" customWidth="1"/>
    <col min="15" max="15" width="10.28515625" bestFit="1" customWidth="1"/>
    <col min="16" max="16" width="10.28515625" customWidth="1"/>
    <col min="17" max="17" width="23.140625" customWidth="1"/>
    <col min="18" max="18" width="19.7109375" customWidth="1"/>
  </cols>
  <sheetData>
    <row r="1" spans="1:18" s="45" customFormat="1" ht="48" customHeight="1" thickBot="1" x14ac:dyDescent="0.3">
      <c r="A1" s="48"/>
      <c r="B1" s="49"/>
    </row>
    <row r="2" spans="1:18" ht="19.5" customHeight="1" thickBot="1" x14ac:dyDescent="0.3">
      <c r="A2" s="3"/>
      <c r="B2" s="3"/>
      <c r="C2" s="54" t="s">
        <v>1024</v>
      </c>
      <c r="D2" s="3"/>
      <c r="E2" s="3"/>
      <c r="F2" s="3"/>
      <c r="G2" s="3"/>
      <c r="H2" s="3"/>
      <c r="I2" s="3"/>
      <c r="J2" s="3"/>
      <c r="K2" s="3"/>
    </row>
    <row r="3" spans="1:18" s="3" customFormat="1" ht="15.75" thickBot="1" x14ac:dyDescent="0.3">
      <c r="A3" s="5"/>
      <c r="B3" s="138" t="s">
        <v>0</v>
      </c>
      <c r="C3" s="139" t="s">
        <v>1</v>
      </c>
      <c r="D3" s="139" t="s">
        <v>11</v>
      </c>
      <c r="E3" s="140" t="s">
        <v>1537</v>
      </c>
      <c r="F3" s="140" t="s">
        <v>12</v>
      </c>
      <c r="G3" s="140" t="s">
        <v>1412</v>
      </c>
      <c r="H3" s="140" t="s">
        <v>1525</v>
      </c>
      <c r="I3" s="532" t="s">
        <v>622</v>
      </c>
      <c r="J3" s="532" t="s">
        <v>623</v>
      </c>
      <c r="K3" s="139" t="s">
        <v>2</v>
      </c>
      <c r="L3" s="139" t="s">
        <v>430</v>
      </c>
      <c r="M3" s="139" t="s">
        <v>13</v>
      </c>
      <c r="N3" s="139" t="s">
        <v>1021</v>
      </c>
      <c r="O3" s="139" t="s">
        <v>3</v>
      </c>
      <c r="P3" s="173" t="s">
        <v>1615</v>
      </c>
      <c r="Q3" s="152" t="s">
        <v>114</v>
      </c>
      <c r="R3" s="141" t="s">
        <v>6</v>
      </c>
    </row>
    <row r="4" spans="1:18" ht="19.5" x14ac:dyDescent="0.25">
      <c r="B4" s="78" t="s">
        <v>224</v>
      </c>
      <c r="C4" s="73" t="s">
        <v>225</v>
      </c>
      <c r="D4" s="70" t="s">
        <v>1419</v>
      </c>
      <c r="E4" s="70">
        <v>2</v>
      </c>
      <c r="F4" s="70">
        <v>2</v>
      </c>
      <c r="G4" s="70">
        <v>2</v>
      </c>
      <c r="H4" s="70">
        <v>2</v>
      </c>
      <c r="I4" s="79" t="s">
        <v>1613</v>
      </c>
      <c r="J4" s="79" t="s">
        <v>1614</v>
      </c>
      <c r="K4" s="74" t="s">
        <v>226</v>
      </c>
      <c r="L4" s="74"/>
      <c r="M4" s="79" t="s">
        <v>227</v>
      </c>
      <c r="N4" s="79" t="s">
        <v>228</v>
      </c>
      <c r="O4" s="80" t="s">
        <v>231</v>
      </c>
      <c r="P4" s="153" t="s">
        <v>1616</v>
      </c>
      <c r="Q4" s="153"/>
      <c r="R4" s="81"/>
    </row>
    <row r="5" spans="1:18" ht="19.5" x14ac:dyDescent="0.25">
      <c r="B5" s="82" t="s">
        <v>229</v>
      </c>
      <c r="C5" s="75" t="s">
        <v>429</v>
      </c>
      <c r="D5" s="71">
        <v>40</v>
      </c>
      <c r="E5" s="71">
        <v>1</v>
      </c>
      <c r="F5" s="71">
        <v>1</v>
      </c>
      <c r="G5" s="71">
        <v>1</v>
      </c>
      <c r="H5" s="71">
        <v>1</v>
      </c>
      <c r="I5" s="416" t="s">
        <v>1613</v>
      </c>
      <c r="J5" s="416" t="s">
        <v>1614</v>
      </c>
      <c r="K5" s="76" t="s">
        <v>230</v>
      </c>
      <c r="L5" s="76"/>
      <c r="M5" s="83" t="s">
        <v>227</v>
      </c>
      <c r="N5" s="83" t="s">
        <v>228</v>
      </c>
      <c r="O5" s="84" t="s">
        <v>231</v>
      </c>
      <c r="P5" s="533" t="s">
        <v>146</v>
      </c>
      <c r="Q5" s="154"/>
      <c r="R5" s="85"/>
    </row>
    <row r="6" spans="1:18" ht="19.5" x14ac:dyDescent="0.25">
      <c r="B6" s="82" t="s">
        <v>232</v>
      </c>
      <c r="C6" s="75" t="s">
        <v>233</v>
      </c>
      <c r="D6" s="71">
        <v>70</v>
      </c>
      <c r="E6" s="71">
        <v>5</v>
      </c>
      <c r="F6" s="71">
        <v>5</v>
      </c>
      <c r="G6" s="71">
        <v>5</v>
      </c>
      <c r="H6" s="71">
        <v>5</v>
      </c>
      <c r="I6" s="416" t="s">
        <v>1613</v>
      </c>
      <c r="J6" s="416" t="s">
        <v>1614</v>
      </c>
      <c r="K6" s="76" t="s">
        <v>230</v>
      </c>
      <c r="L6" s="76"/>
      <c r="M6" s="83" t="s">
        <v>227</v>
      </c>
      <c r="N6" s="83" t="s">
        <v>228</v>
      </c>
      <c r="O6" s="84" t="s">
        <v>231</v>
      </c>
      <c r="P6" s="533" t="s">
        <v>146</v>
      </c>
      <c r="Q6" s="154"/>
      <c r="R6" s="85"/>
    </row>
    <row r="7" spans="1:18" ht="19.5" x14ac:dyDescent="0.25">
      <c r="B7" s="82" t="s">
        <v>234</v>
      </c>
      <c r="C7" s="75" t="s">
        <v>235</v>
      </c>
      <c r="D7" s="71">
        <v>35</v>
      </c>
      <c r="E7" s="71">
        <v>1</v>
      </c>
      <c r="F7" s="71">
        <v>1</v>
      </c>
      <c r="G7" s="71">
        <v>1</v>
      </c>
      <c r="H7" s="71">
        <v>1</v>
      </c>
      <c r="I7" s="416" t="s">
        <v>1613</v>
      </c>
      <c r="J7" s="416" t="s">
        <v>1614</v>
      </c>
      <c r="K7" s="76" t="s">
        <v>236</v>
      </c>
      <c r="L7" s="76"/>
      <c r="M7" s="83" t="s">
        <v>227</v>
      </c>
      <c r="N7" s="83" t="s">
        <v>228</v>
      </c>
      <c r="O7" s="84" t="s">
        <v>231</v>
      </c>
      <c r="P7" s="533" t="s">
        <v>420</v>
      </c>
      <c r="Q7" s="154"/>
      <c r="R7" s="85"/>
    </row>
    <row r="8" spans="1:18" ht="19.5" x14ac:dyDescent="0.25">
      <c r="B8" s="82" t="s">
        <v>237</v>
      </c>
      <c r="C8" s="77" t="s">
        <v>238</v>
      </c>
      <c r="D8" s="71" t="s">
        <v>1419</v>
      </c>
      <c r="E8" s="71">
        <v>20</v>
      </c>
      <c r="F8" s="71">
        <v>20</v>
      </c>
      <c r="G8" s="71">
        <v>20</v>
      </c>
      <c r="H8" s="71">
        <v>20</v>
      </c>
      <c r="I8" s="416" t="s">
        <v>1613</v>
      </c>
      <c r="J8" s="416" t="s">
        <v>1614</v>
      </c>
      <c r="K8" s="76" t="s">
        <v>236</v>
      </c>
      <c r="L8" s="76"/>
      <c r="M8" s="83" t="s">
        <v>227</v>
      </c>
      <c r="N8" s="83" t="s">
        <v>228</v>
      </c>
      <c r="O8" s="84" t="s">
        <v>231</v>
      </c>
      <c r="P8" s="533" t="s">
        <v>420</v>
      </c>
      <c r="Q8" s="154"/>
      <c r="R8" s="85"/>
    </row>
    <row r="9" spans="1:18" ht="19.5" x14ac:dyDescent="0.25">
      <c r="B9" s="82" t="s">
        <v>239</v>
      </c>
      <c r="C9" s="75" t="s">
        <v>240</v>
      </c>
      <c r="D9" s="71">
        <v>4</v>
      </c>
      <c r="E9" s="71">
        <v>2</v>
      </c>
      <c r="F9" s="71">
        <v>2</v>
      </c>
      <c r="G9" s="71">
        <v>2</v>
      </c>
      <c r="H9" s="71">
        <v>2</v>
      </c>
      <c r="I9" s="416" t="s">
        <v>1613</v>
      </c>
      <c r="J9" s="416" t="s">
        <v>1614</v>
      </c>
      <c r="K9" s="76" t="s">
        <v>241</v>
      </c>
      <c r="L9" s="76"/>
      <c r="M9" s="83" t="s">
        <v>227</v>
      </c>
      <c r="N9" s="83" t="s">
        <v>228</v>
      </c>
      <c r="O9" s="84" t="s">
        <v>231</v>
      </c>
      <c r="P9" s="533" t="s">
        <v>421</v>
      </c>
      <c r="Q9" s="154"/>
      <c r="R9" s="85"/>
    </row>
    <row r="10" spans="1:18" ht="19.5" x14ac:dyDescent="0.25">
      <c r="B10" s="82" t="s">
        <v>242</v>
      </c>
      <c r="C10" s="75" t="s">
        <v>243</v>
      </c>
      <c r="D10" s="71">
        <v>30</v>
      </c>
      <c r="E10" s="71">
        <v>30</v>
      </c>
      <c r="F10" s="71">
        <v>30</v>
      </c>
      <c r="G10" s="71">
        <v>30</v>
      </c>
      <c r="H10" s="71">
        <v>30</v>
      </c>
      <c r="I10" s="416" t="s">
        <v>1613</v>
      </c>
      <c r="J10" s="416" t="s">
        <v>1614</v>
      </c>
      <c r="K10" s="76" t="s">
        <v>230</v>
      </c>
      <c r="L10" s="76"/>
      <c r="M10" s="83" t="s">
        <v>227</v>
      </c>
      <c r="N10" s="83" t="s">
        <v>228</v>
      </c>
      <c r="O10" s="84" t="s">
        <v>231</v>
      </c>
      <c r="P10" s="533" t="s">
        <v>146</v>
      </c>
      <c r="Q10" s="154"/>
      <c r="R10" s="85"/>
    </row>
    <row r="11" spans="1:18" ht="19.5" x14ac:dyDescent="0.25">
      <c r="B11" s="82" t="s">
        <v>244</v>
      </c>
      <c r="C11" s="77" t="s">
        <v>245</v>
      </c>
      <c r="D11" s="71" t="s">
        <v>1419</v>
      </c>
      <c r="E11" s="71">
        <v>200</v>
      </c>
      <c r="F11" s="71">
        <v>200</v>
      </c>
      <c r="G11" s="71">
        <v>200</v>
      </c>
      <c r="H11" s="71">
        <v>200</v>
      </c>
      <c r="I11" s="416" t="s">
        <v>1613</v>
      </c>
      <c r="J11" s="416" t="s">
        <v>1614</v>
      </c>
      <c r="K11" s="76" t="s">
        <v>230</v>
      </c>
      <c r="L11" s="76"/>
      <c r="M11" s="83" t="s">
        <v>227</v>
      </c>
      <c r="N11" s="83" t="s">
        <v>246</v>
      </c>
      <c r="O11" s="84" t="s">
        <v>231</v>
      </c>
      <c r="P11" s="533" t="s">
        <v>146</v>
      </c>
      <c r="Q11" s="154"/>
      <c r="R11" s="85"/>
    </row>
    <row r="12" spans="1:18" ht="19.5" x14ac:dyDescent="0.25">
      <c r="B12" s="82" t="s">
        <v>247</v>
      </c>
      <c r="C12" s="75" t="s">
        <v>248</v>
      </c>
      <c r="D12" s="71">
        <v>80</v>
      </c>
      <c r="E12" s="71">
        <v>700</v>
      </c>
      <c r="F12" s="71">
        <v>700</v>
      </c>
      <c r="G12" s="71">
        <v>700</v>
      </c>
      <c r="H12" s="71">
        <v>700</v>
      </c>
      <c r="I12" s="416" t="s">
        <v>1613</v>
      </c>
      <c r="J12" s="416" t="s">
        <v>1614</v>
      </c>
      <c r="K12" s="76" t="s">
        <v>230</v>
      </c>
      <c r="L12" s="76"/>
      <c r="M12" s="83" t="s">
        <v>227</v>
      </c>
      <c r="N12" s="83" t="s">
        <v>246</v>
      </c>
      <c r="O12" s="84" t="s">
        <v>231</v>
      </c>
      <c r="P12" s="533" t="s">
        <v>146</v>
      </c>
      <c r="Q12" s="154"/>
      <c r="R12" s="85"/>
    </row>
    <row r="13" spans="1:18" ht="19.5" x14ac:dyDescent="0.25">
      <c r="B13" s="82" t="s">
        <v>249</v>
      </c>
      <c r="C13" s="77" t="s">
        <v>250</v>
      </c>
      <c r="D13" s="71" t="s">
        <v>1419</v>
      </c>
      <c r="E13" s="71">
        <v>30</v>
      </c>
      <c r="F13" s="71">
        <v>30</v>
      </c>
      <c r="G13" s="71">
        <v>30</v>
      </c>
      <c r="H13" s="71">
        <v>30</v>
      </c>
      <c r="I13" s="416" t="s">
        <v>1613</v>
      </c>
      <c r="J13" s="416" t="s">
        <v>1614</v>
      </c>
      <c r="K13" s="76" t="s">
        <v>230</v>
      </c>
      <c r="L13" s="76"/>
      <c r="M13" s="83" t="s">
        <v>227</v>
      </c>
      <c r="N13" s="83" t="s">
        <v>246</v>
      </c>
      <c r="O13" s="84" t="s">
        <v>231</v>
      </c>
      <c r="P13" s="533" t="s">
        <v>146</v>
      </c>
      <c r="Q13" s="154"/>
      <c r="R13" s="85"/>
    </row>
    <row r="14" spans="1:18" ht="19.5" x14ac:dyDescent="0.25">
      <c r="B14" s="82" t="s">
        <v>251</v>
      </c>
      <c r="C14" s="77" t="s">
        <v>252</v>
      </c>
      <c r="D14" s="71">
        <v>318</v>
      </c>
      <c r="E14" s="71">
        <v>20</v>
      </c>
      <c r="F14" s="71">
        <v>20</v>
      </c>
      <c r="G14" s="71">
        <v>20</v>
      </c>
      <c r="H14" s="71">
        <v>20</v>
      </c>
      <c r="I14" s="416" t="s">
        <v>1613</v>
      </c>
      <c r="J14" s="416" t="s">
        <v>1614</v>
      </c>
      <c r="K14" s="76" t="s">
        <v>230</v>
      </c>
      <c r="L14" s="76"/>
      <c r="M14" s="83" t="s">
        <v>227</v>
      </c>
      <c r="N14" s="83" t="s">
        <v>246</v>
      </c>
      <c r="O14" s="84" t="s">
        <v>231</v>
      </c>
      <c r="P14" s="533" t="s">
        <v>146</v>
      </c>
      <c r="Q14" s="154"/>
      <c r="R14" s="85"/>
    </row>
    <row r="15" spans="1:18" ht="19.5" x14ac:dyDescent="0.25">
      <c r="B15" s="82" t="s">
        <v>253</v>
      </c>
      <c r="C15" s="75" t="s">
        <v>254</v>
      </c>
      <c r="D15" s="71">
        <v>60</v>
      </c>
      <c r="E15" s="71">
        <v>500</v>
      </c>
      <c r="F15" s="71">
        <v>500</v>
      </c>
      <c r="G15" s="71">
        <v>500</v>
      </c>
      <c r="H15" s="71">
        <v>500</v>
      </c>
      <c r="I15" s="416" t="s">
        <v>1613</v>
      </c>
      <c r="J15" s="416" t="s">
        <v>1614</v>
      </c>
      <c r="K15" s="76" t="s">
        <v>230</v>
      </c>
      <c r="L15" s="76"/>
      <c r="M15" s="83" t="s">
        <v>227</v>
      </c>
      <c r="N15" s="83" t="s">
        <v>246</v>
      </c>
      <c r="O15" s="84" t="s">
        <v>231</v>
      </c>
      <c r="P15" s="533" t="s">
        <v>1618</v>
      </c>
      <c r="Q15" s="154"/>
      <c r="R15" s="85"/>
    </row>
    <row r="16" spans="1:18" ht="19.5" x14ac:dyDescent="0.25">
      <c r="B16" s="82" t="s">
        <v>255</v>
      </c>
      <c r="C16" s="75" t="s">
        <v>256</v>
      </c>
      <c r="D16" s="71">
        <v>1</v>
      </c>
      <c r="E16" s="71">
        <v>100</v>
      </c>
      <c r="F16" s="71">
        <v>100</v>
      </c>
      <c r="G16" s="71">
        <v>100</v>
      </c>
      <c r="H16" s="71">
        <v>100</v>
      </c>
      <c r="I16" s="416" t="s">
        <v>1613</v>
      </c>
      <c r="J16" s="416" t="s">
        <v>1614</v>
      </c>
      <c r="K16" s="76" t="s">
        <v>230</v>
      </c>
      <c r="L16" s="76"/>
      <c r="M16" s="83" t="s">
        <v>227</v>
      </c>
      <c r="N16" s="83" t="s">
        <v>246</v>
      </c>
      <c r="O16" s="84" t="s">
        <v>231</v>
      </c>
      <c r="P16" s="533" t="s">
        <v>1618</v>
      </c>
      <c r="Q16" s="154"/>
      <c r="R16" s="85"/>
    </row>
    <row r="17" spans="2:18" ht="19.5" x14ac:dyDescent="0.25">
      <c r="B17" s="82" t="s">
        <v>257</v>
      </c>
      <c r="C17" s="75" t="s">
        <v>258</v>
      </c>
      <c r="D17" s="71">
        <v>0.2</v>
      </c>
      <c r="E17" s="71">
        <v>50</v>
      </c>
      <c r="F17" s="71">
        <v>50</v>
      </c>
      <c r="G17" s="71">
        <v>50</v>
      </c>
      <c r="H17" s="71">
        <v>50</v>
      </c>
      <c r="I17" s="416" t="s">
        <v>1613</v>
      </c>
      <c r="J17" s="416" t="s">
        <v>1614</v>
      </c>
      <c r="K17" s="76" t="s">
        <v>241</v>
      </c>
      <c r="L17" s="76"/>
      <c r="M17" s="83" t="s">
        <v>227</v>
      </c>
      <c r="N17" s="83" t="s">
        <v>246</v>
      </c>
      <c r="O17" s="84" t="s">
        <v>231</v>
      </c>
      <c r="P17" s="533" t="s">
        <v>421</v>
      </c>
      <c r="Q17" s="154"/>
      <c r="R17" s="85"/>
    </row>
    <row r="18" spans="2:18" ht="19.5" x14ac:dyDescent="0.25">
      <c r="B18" s="82" t="s">
        <v>259</v>
      </c>
      <c r="C18" s="75" t="s">
        <v>260</v>
      </c>
      <c r="D18" s="71" t="s">
        <v>1419</v>
      </c>
      <c r="E18" s="71">
        <v>50</v>
      </c>
      <c r="F18" s="71">
        <v>50</v>
      </c>
      <c r="G18" s="71">
        <v>50</v>
      </c>
      <c r="H18" s="71">
        <v>50</v>
      </c>
      <c r="I18" s="416" t="s">
        <v>1613</v>
      </c>
      <c r="J18" s="416" t="s">
        <v>1614</v>
      </c>
      <c r="K18" s="76" t="s">
        <v>230</v>
      </c>
      <c r="L18" s="76"/>
      <c r="M18" s="83" t="s">
        <v>227</v>
      </c>
      <c r="N18" s="83" t="s">
        <v>246</v>
      </c>
      <c r="O18" s="84" t="s">
        <v>231</v>
      </c>
      <c r="P18" s="533" t="s">
        <v>146</v>
      </c>
      <c r="Q18" s="154"/>
      <c r="R18" s="85"/>
    </row>
    <row r="19" spans="2:18" ht="19.5" x14ac:dyDescent="0.25">
      <c r="B19" s="82" t="s">
        <v>261</v>
      </c>
      <c r="C19" s="75" t="s">
        <v>262</v>
      </c>
      <c r="D19" s="71">
        <v>1</v>
      </c>
      <c r="E19" s="71">
        <v>50</v>
      </c>
      <c r="F19" s="71">
        <v>50</v>
      </c>
      <c r="G19" s="71">
        <v>50</v>
      </c>
      <c r="H19" s="71">
        <v>50</v>
      </c>
      <c r="I19" s="416" t="s">
        <v>1613</v>
      </c>
      <c r="J19" s="416" t="s">
        <v>1614</v>
      </c>
      <c r="K19" s="76" t="s">
        <v>230</v>
      </c>
      <c r="L19" s="76"/>
      <c r="M19" s="83" t="s">
        <v>227</v>
      </c>
      <c r="N19" s="83" t="s">
        <v>246</v>
      </c>
      <c r="O19" s="84" t="s">
        <v>231</v>
      </c>
      <c r="P19" s="533" t="s">
        <v>1618</v>
      </c>
      <c r="Q19" s="154"/>
      <c r="R19" s="85"/>
    </row>
    <row r="20" spans="2:18" ht="19.5" x14ac:dyDescent="0.25">
      <c r="B20" s="82" t="s">
        <v>263</v>
      </c>
      <c r="C20" s="75" t="s">
        <v>264</v>
      </c>
      <c r="D20" s="71" t="s">
        <v>1419</v>
      </c>
      <c r="E20" s="71">
        <v>1</v>
      </c>
      <c r="F20" s="71">
        <v>1</v>
      </c>
      <c r="G20" s="71">
        <v>1</v>
      </c>
      <c r="H20" s="71">
        <v>1</v>
      </c>
      <c r="I20" s="416" t="s">
        <v>1613</v>
      </c>
      <c r="J20" s="416" t="s">
        <v>1614</v>
      </c>
      <c r="K20" s="76" t="s">
        <v>236</v>
      </c>
      <c r="L20" s="76"/>
      <c r="M20" s="83" t="s">
        <v>227</v>
      </c>
      <c r="N20" s="83" t="s">
        <v>228</v>
      </c>
      <c r="O20" s="84" t="s">
        <v>1561</v>
      </c>
      <c r="P20" s="533" t="s">
        <v>420</v>
      </c>
      <c r="Q20" s="154"/>
      <c r="R20" s="85"/>
    </row>
    <row r="21" spans="2:18" ht="21" customHeight="1" thickBot="1" x14ac:dyDescent="0.3">
      <c r="B21" s="467" t="s">
        <v>265</v>
      </c>
      <c r="C21" s="468" t="s">
        <v>266</v>
      </c>
      <c r="D21" s="469">
        <v>40</v>
      </c>
      <c r="E21" s="469">
        <v>350</v>
      </c>
      <c r="F21" s="469">
        <v>350</v>
      </c>
      <c r="G21" s="469">
        <v>350</v>
      </c>
      <c r="H21" s="469">
        <v>350</v>
      </c>
      <c r="I21" s="469" t="s">
        <v>1613</v>
      </c>
      <c r="J21" s="469" t="s">
        <v>1614</v>
      </c>
      <c r="K21" s="470" t="s">
        <v>267</v>
      </c>
      <c r="L21" s="470"/>
      <c r="M21" s="471" t="s">
        <v>227</v>
      </c>
      <c r="N21" s="471" t="s">
        <v>246</v>
      </c>
      <c r="O21" s="471" t="s">
        <v>231</v>
      </c>
      <c r="P21" s="472" t="s">
        <v>1617</v>
      </c>
      <c r="Q21" s="472"/>
      <c r="R21" s="473"/>
    </row>
    <row r="22" spans="2:18" x14ac:dyDescent="0.25">
      <c r="Q22" s="3"/>
    </row>
  </sheetData>
  <phoneticPr fontId="1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4"/>
  <sheetViews>
    <sheetView showGridLines="0" workbookViewId="0">
      <selection activeCell="D23" sqref="D23"/>
    </sheetView>
  </sheetViews>
  <sheetFormatPr defaultColWidth="9.14062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5" customFormat="1" ht="57.75" customHeight="1" thickBot="1" x14ac:dyDescent="0.3"/>
    <row r="2" spans="2:7" ht="15.75" thickBot="1" x14ac:dyDescent="0.3">
      <c r="B2" s="4"/>
      <c r="C2" s="60" t="s">
        <v>113</v>
      </c>
      <c r="D2" s="61" t="s">
        <v>116</v>
      </c>
      <c r="E2" s="4"/>
      <c r="F2" s="4"/>
      <c r="G2" s="4"/>
    </row>
    <row r="3" spans="2:7" x14ac:dyDescent="0.25">
      <c r="B3" s="55" t="s">
        <v>0</v>
      </c>
      <c r="C3" s="56" t="s">
        <v>1</v>
      </c>
      <c r="D3" s="56" t="s">
        <v>4</v>
      </c>
      <c r="E3" s="57" t="s">
        <v>2</v>
      </c>
      <c r="F3" s="58" t="s">
        <v>114</v>
      </c>
      <c r="G3" s="59" t="s">
        <v>115</v>
      </c>
    </row>
    <row r="4" spans="2:7" x14ac:dyDescent="0.25">
      <c r="B4" s="6"/>
      <c r="C4" s="6"/>
      <c r="D4" s="6"/>
      <c r="E4" s="6"/>
      <c r="F4" s="6"/>
      <c r="G4" s="6"/>
    </row>
  </sheetData>
  <phoneticPr fontId="12"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9.140625" defaultRowHeight="15" x14ac:dyDescent="0.25"/>
  <cols>
    <col min="2" max="2" width="15.140625" customWidth="1"/>
    <col min="3" max="3" width="24.85546875" customWidth="1"/>
    <col min="4" max="4" width="20.85546875" customWidth="1"/>
    <col min="7" max="7" width="23.42578125" customWidth="1"/>
  </cols>
  <sheetData>
    <row r="1" spans="2:7" s="45" customFormat="1" ht="43.5" customHeight="1" thickBot="1" x14ac:dyDescent="0.3"/>
    <row r="2" spans="2:7" ht="15.75" thickBot="1" x14ac:dyDescent="0.3">
      <c r="B2" s="4"/>
      <c r="C2" s="2" t="s">
        <v>113</v>
      </c>
      <c r="D2" s="12"/>
      <c r="E2" s="4"/>
      <c r="F2" s="4"/>
      <c r="G2" s="4"/>
    </row>
    <row r="3" spans="2:7" x14ac:dyDescent="0.25">
      <c r="B3" s="13" t="s">
        <v>0</v>
      </c>
      <c r="C3" s="14" t="s">
        <v>1</v>
      </c>
      <c r="D3" s="14" t="s">
        <v>4</v>
      </c>
      <c r="E3" s="15" t="s">
        <v>2</v>
      </c>
      <c r="F3" s="16" t="s">
        <v>114</v>
      </c>
      <c r="G3" s="17" t="s">
        <v>115</v>
      </c>
    </row>
    <row r="4" spans="2:7" x14ac:dyDescent="0.25">
      <c r="B4" s="6"/>
      <c r="C4" s="6"/>
      <c r="D4" s="6"/>
      <c r="E4" s="6"/>
      <c r="F4" s="6"/>
      <c r="G4" s="6"/>
    </row>
  </sheetData>
  <phoneticPr fontId="1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M13" sqref="M13"/>
    </sheetView>
  </sheetViews>
  <sheetFormatPr defaultColWidth="9.140625" defaultRowHeight="15" x14ac:dyDescent="0.25"/>
  <cols>
    <col min="2" max="2" width="24.28515625" customWidth="1"/>
    <col min="3" max="4" width="22.140625" customWidth="1"/>
  </cols>
  <sheetData>
    <row r="1" spans="2:6" s="45" customFormat="1" ht="58.5" customHeight="1" thickBot="1" x14ac:dyDescent="0.3"/>
    <row r="2" spans="2:6" ht="15.75" thickBot="1" x14ac:dyDescent="0.3">
      <c r="C2" s="62" t="s">
        <v>131</v>
      </c>
      <c r="D2" s="1"/>
    </row>
    <row r="3" spans="2:6" ht="20.25" customHeight="1" x14ac:dyDescent="0.25">
      <c r="B3" s="54" t="s">
        <v>0</v>
      </c>
      <c r="C3" s="54" t="s">
        <v>1</v>
      </c>
      <c r="D3" s="63" t="s">
        <v>4</v>
      </c>
      <c r="E3" s="63" t="s">
        <v>114</v>
      </c>
      <c r="F3" s="63" t="s">
        <v>2</v>
      </c>
    </row>
  </sheetData>
  <phoneticPr fontId="12" type="noConversion"/>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K50"/>
  <sheetViews>
    <sheetView showGridLines="0" zoomScaleNormal="100" workbookViewId="0"/>
  </sheetViews>
  <sheetFormatPr defaultColWidth="9.140625" defaultRowHeight="15" x14ac:dyDescent="0.25"/>
  <cols>
    <col min="1" max="1" width="3.7109375" customWidth="1"/>
    <col min="2" max="2" width="18.85546875" style="69" bestFit="1" customWidth="1"/>
    <col min="3" max="3" width="78.42578125" style="69" bestFit="1" customWidth="1"/>
    <col min="4" max="4" width="66.140625" style="69" customWidth="1"/>
    <col min="5" max="5" width="9.140625" style="333" customWidth="1"/>
    <col min="6" max="6" width="16.85546875" style="334" bestFit="1" customWidth="1"/>
    <col min="7" max="7" width="12.28515625" style="334" customWidth="1"/>
    <col min="8" max="8" width="14.140625" customWidth="1"/>
    <col min="9" max="9" width="20.85546875" customWidth="1"/>
  </cols>
  <sheetData>
    <row r="1" spans="2:11" s="45" customFormat="1" ht="62.25" customHeight="1" thickBot="1" x14ac:dyDescent="0.3">
      <c r="B1" s="50"/>
      <c r="C1" s="319"/>
      <c r="D1" s="319"/>
      <c r="E1" s="330"/>
      <c r="F1" s="331"/>
      <c r="G1" s="331"/>
    </row>
    <row r="2" spans="2:11" ht="19.5" customHeight="1" thickBot="1" x14ac:dyDescent="0.3">
      <c r="B2" s="4"/>
      <c r="C2" s="493" t="s">
        <v>1563</v>
      </c>
      <c r="D2" s="458" t="s">
        <v>436</v>
      </c>
      <c r="E2" s="91"/>
      <c r="F2" s="3"/>
      <c r="G2" s="3"/>
      <c r="H2" s="3"/>
      <c r="I2" s="3"/>
    </row>
    <row r="3" spans="2:11" ht="15.75" thickBot="1" x14ac:dyDescent="0.3">
      <c r="B3" s="475" t="s">
        <v>0</v>
      </c>
      <c r="C3" s="476" t="s">
        <v>1</v>
      </c>
      <c r="D3" s="476" t="s">
        <v>4</v>
      </c>
      <c r="E3" s="477" t="s">
        <v>150</v>
      </c>
      <c r="F3" s="477" t="s">
        <v>2</v>
      </c>
      <c r="G3" s="477" t="s">
        <v>430</v>
      </c>
      <c r="H3" s="477" t="s">
        <v>114</v>
      </c>
      <c r="I3" s="478" t="s">
        <v>115</v>
      </c>
    </row>
    <row r="4" spans="2:11" ht="18" x14ac:dyDescent="0.25">
      <c r="B4" s="481" t="s">
        <v>1554</v>
      </c>
      <c r="C4" s="482" t="s">
        <v>452</v>
      </c>
      <c r="D4" s="482" t="s">
        <v>1403</v>
      </c>
      <c r="E4" s="483">
        <f>S_A+S_F</f>
        <v>6</v>
      </c>
      <c r="F4" s="484" t="s">
        <v>453</v>
      </c>
      <c r="G4" s="483">
        <v>1</v>
      </c>
      <c r="H4" s="483"/>
      <c r="I4" s="485"/>
    </row>
    <row r="5" spans="2:11" ht="18" x14ac:dyDescent="0.35">
      <c r="B5" s="422" t="s">
        <v>1555</v>
      </c>
      <c r="C5" s="423" t="s">
        <v>454</v>
      </c>
      <c r="D5" s="480" t="s">
        <v>470</v>
      </c>
      <c r="E5" s="479">
        <f>X_ADS+X_ENM+X_H+X_PAO+X_PHA+X_NIT</f>
        <v>750</v>
      </c>
      <c r="F5" s="416" t="s">
        <v>453</v>
      </c>
      <c r="G5" s="479">
        <v>1</v>
      </c>
      <c r="H5" s="479"/>
      <c r="I5" s="486"/>
    </row>
    <row r="6" spans="2:11" ht="18" x14ac:dyDescent="0.25">
      <c r="B6" s="422" t="s">
        <v>1556</v>
      </c>
      <c r="C6" s="423" t="s">
        <v>455</v>
      </c>
      <c r="D6" s="424" t="s">
        <v>1557</v>
      </c>
      <c r="E6" s="479">
        <f>S_BOD_ult+X_BOD_ult</f>
        <v>756</v>
      </c>
      <c r="F6" s="416" t="s">
        <v>453</v>
      </c>
      <c r="G6" s="479">
        <v>1</v>
      </c>
      <c r="H6" s="479"/>
      <c r="I6" s="486"/>
    </row>
    <row r="7" spans="2:11" ht="18" x14ac:dyDescent="0.25">
      <c r="B7" s="422" t="s">
        <v>456</v>
      </c>
      <c r="C7" s="423" t="s">
        <v>1564</v>
      </c>
      <c r="D7" s="423" t="s">
        <v>1558</v>
      </c>
      <c r="E7" s="479">
        <f>S_BOD_ult*f_BOD5_BODult</f>
        <v>3.9000000000000004</v>
      </c>
      <c r="F7" s="416" t="s">
        <v>453</v>
      </c>
      <c r="G7" s="479">
        <v>1</v>
      </c>
      <c r="H7" s="479"/>
      <c r="I7" s="486"/>
    </row>
    <row r="8" spans="2:11" ht="18" x14ac:dyDescent="0.25">
      <c r="B8" s="422" t="s">
        <v>457</v>
      </c>
      <c r="C8" s="423" t="s">
        <v>1565</v>
      </c>
      <c r="D8" s="423" t="s">
        <v>1559</v>
      </c>
      <c r="E8" s="479">
        <f>X_BOD_ult*f_BOD5_BODult</f>
        <v>487.5</v>
      </c>
      <c r="F8" s="416" t="s">
        <v>453</v>
      </c>
      <c r="G8" s="479">
        <v>1</v>
      </c>
      <c r="H8" s="479"/>
      <c r="I8" s="486"/>
    </row>
    <row r="9" spans="2:11" ht="18" x14ac:dyDescent="0.25">
      <c r="B9" s="422" t="s">
        <v>458</v>
      </c>
      <c r="C9" s="423" t="s">
        <v>1566</v>
      </c>
      <c r="D9" s="423" t="s">
        <v>1560</v>
      </c>
      <c r="E9" s="479">
        <f>T_BOD_ult*f_BOD5_BODult</f>
        <v>491.40000000000003</v>
      </c>
      <c r="F9" s="416" t="s">
        <v>453</v>
      </c>
      <c r="G9" s="479">
        <v>1</v>
      </c>
      <c r="H9" s="479"/>
      <c r="I9" s="486"/>
    </row>
    <row r="10" spans="2:11" ht="18" x14ac:dyDescent="0.25">
      <c r="B10" s="422" t="s">
        <v>459</v>
      </c>
      <c r="C10" s="423" t="s">
        <v>460</v>
      </c>
      <c r="D10" s="423" t="s">
        <v>1404</v>
      </c>
      <c r="E10" s="479">
        <f>S_A+S_F+S_I</f>
        <v>36</v>
      </c>
      <c r="F10" s="416" t="s">
        <v>453</v>
      </c>
      <c r="G10" s="479">
        <v>1</v>
      </c>
      <c r="H10" s="479"/>
      <c r="I10" s="486"/>
    </row>
    <row r="11" spans="2:11" ht="18" x14ac:dyDescent="0.35">
      <c r="B11" s="487" t="s">
        <v>461</v>
      </c>
      <c r="C11" s="424" t="s">
        <v>462</v>
      </c>
      <c r="D11" s="480" t="s">
        <v>428</v>
      </c>
      <c r="E11" s="425">
        <f>X_E+X_I+X_ADS+X_ENM+X_H+X_PAO+X_PHA+X_NIT</f>
        <v>1650</v>
      </c>
      <c r="F11" s="416" t="s">
        <v>453</v>
      </c>
      <c r="G11" s="416">
        <v>1</v>
      </c>
      <c r="H11" s="416"/>
      <c r="I11" s="488"/>
      <c r="K11" s="4"/>
    </row>
    <row r="12" spans="2:11" ht="18" x14ac:dyDescent="0.25">
      <c r="B12" s="487" t="s">
        <v>463</v>
      </c>
      <c r="C12" s="424" t="s">
        <v>464</v>
      </c>
      <c r="D12" s="424" t="s">
        <v>1405</v>
      </c>
      <c r="E12" s="425">
        <f>S_COD+X_COD</f>
        <v>1686</v>
      </c>
      <c r="F12" s="416" t="s">
        <v>453</v>
      </c>
      <c r="G12" s="416">
        <v>1</v>
      </c>
      <c r="H12" s="416"/>
      <c r="I12" s="488"/>
      <c r="K12" s="4"/>
    </row>
    <row r="13" spans="2:11" ht="18" x14ac:dyDescent="0.25">
      <c r="B13" s="487" t="s">
        <v>465</v>
      </c>
      <c r="C13" s="424" t="s">
        <v>466</v>
      </c>
      <c r="D13" s="424" t="s">
        <v>471</v>
      </c>
      <c r="E13" s="425">
        <f>S_NH4+i_NSF*S_F+i_NSI*S_I+i_NXI*X_I+i_NENM*X_ENM+i_NBM*(X_H+X_NIT+X_PAO)+i_NXE*X_E</f>
        <v>108.505</v>
      </c>
      <c r="F13" s="416" t="s">
        <v>467</v>
      </c>
      <c r="G13" s="416">
        <v>1</v>
      </c>
      <c r="H13" s="416"/>
      <c r="I13" s="488"/>
      <c r="K13" s="4"/>
    </row>
    <row r="14" spans="2:11" ht="18" x14ac:dyDescent="0.25">
      <c r="B14" s="487" t="s">
        <v>468</v>
      </c>
      <c r="C14" s="424" t="s">
        <v>469</v>
      </c>
      <c r="D14" s="424" t="s">
        <v>1406</v>
      </c>
      <c r="E14" s="425">
        <f>T_KN+S_NO3</f>
        <v>128.505</v>
      </c>
      <c r="F14" s="416" t="s">
        <v>467</v>
      </c>
      <c r="G14" s="416">
        <v>1</v>
      </c>
      <c r="H14" s="416"/>
      <c r="I14" s="488"/>
      <c r="K14" s="4"/>
    </row>
    <row r="15" spans="2:11" ht="18" x14ac:dyDescent="0.35">
      <c r="B15" s="429" t="s">
        <v>449</v>
      </c>
      <c r="C15" s="430" t="s">
        <v>426</v>
      </c>
      <c r="D15" s="430" t="s">
        <v>450</v>
      </c>
      <c r="E15" s="425">
        <f>X_COD/i_CV</f>
        <v>1114.8648648648648</v>
      </c>
      <c r="F15" s="416" t="s">
        <v>448</v>
      </c>
      <c r="G15" s="416">
        <v>1</v>
      </c>
      <c r="H15" s="427"/>
      <c r="I15" s="428"/>
    </row>
    <row r="16" spans="2:11" ht="18" x14ac:dyDescent="0.25">
      <c r="B16" s="422" t="s">
        <v>1542</v>
      </c>
      <c r="C16" s="423" t="s">
        <v>266</v>
      </c>
      <c r="D16" s="424" t="s">
        <v>1543</v>
      </c>
      <c r="E16" s="425">
        <f>X_INORG</f>
        <v>350</v>
      </c>
      <c r="F16" s="426" t="s">
        <v>448</v>
      </c>
      <c r="G16" s="426">
        <v>1</v>
      </c>
      <c r="H16" s="427"/>
      <c r="I16" s="428"/>
    </row>
    <row r="17" spans="2:9" ht="18" x14ac:dyDescent="0.35">
      <c r="B17" s="429" t="s">
        <v>451</v>
      </c>
      <c r="C17" s="430" t="s">
        <v>427</v>
      </c>
      <c r="D17" s="430" t="s">
        <v>1544</v>
      </c>
      <c r="E17" s="425">
        <f>X_VSS+X_ISS</f>
        <v>1464.8648648648648</v>
      </c>
      <c r="F17" s="416" t="s">
        <v>448</v>
      </c>
      <c r="G17" s="416">
        <v>1</v>
      </c>
      <c r="H17" s="427"/>
      <c r="I17" s="428"/>
    </row>
    <row r="18" spans="2:9" s="142" customFormat="1" ht="36.75" thickBot="1" x14ac:dyDescent="0.3">
      <c r="B18" s="400" t="s">
        <v>1538</v>
      </c>
      <c r="C18" s="474" t="s">
        <v>1539</v>
      </c>
      <c r="D18" s="489" t="s">
        <v>1540</v>
      </c>
      <c r="E18" s="490">
        <f>X_TSS+S_I/i_CV_SI+S_F/i_CV_SF+S_A/i_CV_SA+S_NH4*M_MNH4/A_MN+S_NO3*M_MNO3/A_MN+S_PO4*M_MPO4/A_MP</f>
        <v>1598.847068723901</v>
      </c>
      <c r="F18" s="491" t="s">
        <v>1541</v>
      </c>
      <c r="G18" s="491">
        <v>1</v>
      </c>
      <c r="H18" s="491"/>
      <c r="I18" s="492"/>
    </row>
    <row r="19" spans="2:9" ht="15.75" thickBot="1" x14ac:dyDescent="0.3"/>
    <row r="20" spans="2:9" ht="20.25" customHeight="1" thickBot="1" x14ac:dyDescent="0.3">
      <c r="B20" s="4"/>
      <c r="C20" s="320" t="s">
        <v>443</v>
      </c>
      <c r="D20" s="12" t="s">
        <v>431</v>
      </c>
      <c r="E20" s="332"/>
      <c r="F20" s="3"/>
      <c r="G20" s="3"/>
      <c r="H20" s="4"/>
      <c r="I20" s="4"/>
    </row>
    <row r="21" spans="2:9" ht="15.75" thickBot="1" x14ac:dyDescent="0.3">
      <c r="B21" s="335" t="s">
        <v>0</v>
      </c>
      <c r="C21" s="336" t="s">
        <v>1</v>
      </c>
      <c r="D21" s="336" t="s">
        <v>4</v>
      </c>
      <c r="E21" s="363" t="s">
        <v>150</v>
      </c>
      <c r="F21" s="337" t="s">
        <v>2</v>
      </c>
      <c r="G21" s="337" t="s">
        <v>430</v>
      </c>
      <c r="H21" s="337" t="s">
        <v>114</v>
      </c>
      <c r="I21" s="364" t="s">
        <v>115</v>
      </c>
    </row>
    <row r="22" spans="2:9" ht="66" x14ac:dyDescent="0.25">
      <c r="B22" s="321" t="s">
        <v>424</v>
      </c>
      <c r="C22" s="322" t="s">
        <v>446</v>
      </c>
      <c r="D22" s="524" t="s">
        <v>1409</v>
      </c>
      <c r="E22" s="116">
        <f>-(v_1_SO2*r_1+v_2_SO2*r_2+v_5_SO2*r_5+v_6_SO2*r_6+v_9_SO2*r_9+v_10_SO2*r_10+v_16_SO2*r_16+v_18_SO2*r_18+v_19_SO2*r_19+v_20_SO2*r_20+v_21_SO2*r_21+v_24_SO2*r_24)</f>
        <v>773.86039241832805</v>
      </c>
      <c r="F22" s="79" t="s">
        <v>1407</v>
      </c>
      <c r="G22" s="79">
        <v>1</v>
      </c>
      <c r="H22" s="107" t="s">
        <v>425</v>
      </c>
      <c r="I22" s="88"/>
    </row>
    <row r="23" spans="2:9" ht="69" x14ac:dyDescent="0.35">
      <c r="B23" s="323" t="s">
        <v>444</v>
      </c>
      <c r="C23" s="162" t="s">
        <v>1562</v>
      </c>
      <c r="D23" s="525" t="s">
        <v>1410</v>
      </c>
      <c r="E23" s="117">
        <f>-(v_2_SNO3*r_2+v_3_SNO3*r_3+v_4_SNO3*r_4+v_6_SNO3*r_6+v_7_SNO3*r_7+v_8_SNO3*r_8+v_10_SNO3*r_10+v_11_SNO3*r_11+v_12_SNO3*r_12+v_16_SNO3*r_16+v_19_SNO3*r_19+v_21_SNO3*r_21+v_22_SNO3*r_22+v_23_SNO3*r_23+v_27_SNO3*r_27)</f>
        <v>-110.57335322697043</v>
      </c>
      <c r="F23" s="83" t="s">
        <v>1408</v>
      </c>
      <c r="G23" s="83">
        <v>1</v>
      </c>
      <c r="H23" s="106" t="s">
        <v>425</v>
      </c>
      <c r="I23" s="89"/>
    </row>
    <row r="24" spans="2:9" ht="105.75" thickBot="1" x14ac:dyDescent="0.4">
      <c r="B24" s="324" t="s">
        <v>445</v>
      </c>
      <c r="C24" s="325" t="s">
        <v>447</v>
      </c>
      <c r="D24" s="526" t="s">
        <v>1411</v>
      </c>
      <c r="E24" s="118">
        <f>-(v_1_SNH4*r_1+v_3_SNH4*r_3+v_5_SNH4*r_5+v_6_SNH4*r_6+v_7_SNH4*r_7+v_8_SNH4*r_8+v_9_SNH4*r_9+v_10_SNH4*r_10+v_11_SNH4*r_11+v_12_SNH4*r_12+v_14_SNH4*r_14+v_15_SNH4*r_15+v_16_SNH4*r_16+v_17_SNH4*r_17+v_18_SNH4*r_18+v_20_SNH4*r_20+v_22_SNH4*r_22+v_24_SNH4*r_24+v_26_SNH4*r_26+v_27_SNH4*r_27+v_29_SNH4*r_29+v_30_SNH4*r_30+v_32_SNH4*r_32)</f>
        <v>115.37504754592159</v>
      </c>
      <c r="F24" s="86" t="s">
        <v>1408</v>
      </c>
      <c r="G24" s="86">
        <v>1</v>
      </c>
      <c r="H24" s="108" t="s">
        <v>425</v>
      </c>
      <c r="I24" s="90"/>
    </row>
    <row r="25" spans="2:9" ht="15.75" thickBot="1" x14ac:dyDescent="0.3">
      <c r="B25" s="326"/>
      <c r="C25" s="326"/>
      <c r="D25" s="327"/>
      <c r="E25" s="158"/>
      <c r="F25" s="109"/>
      <c r="G25" s="109"/>
      <c r="H25" s="109"/>
      <c r="I25" s="157"/>
    </row>
    <row r="26" spans="2:9" ht="15.75" thickBot="1" x14ac:dyDescent="0.3">
      <c r="B26" s="4"/>
      <c r="C26" s="320" t="s">
        <v>1025</v>
      </c>
      <c r="D26" s="12" t="s">
        <v>431</v>
      </c>
      <c r="E26" s="159"/>
      <c r="F26" s="3"/>
      <c r="G26" s="3"/>
      <c r="H26" s="3"/>
      <c r="I26" s="3"/>
    </row>
    <row r="27" spans="2:9" ht="15.75" thickBot="1" x14ac:dyDescent="0.3">
      <c r="B27" s="155" t="s">
        <v>0</v>
      </c>
      <c r="C27" s="156" t="s">
        <v>1</v>
      </c>
      <c r="D27" s="156" t="s">
        <v>4</v>
      </c>
      <c r="E27" s="114" t="s">
        <v>150</v>
      </c>
      <c r="F27" s="114" t="s">
        <v>2</v>
      </c>
      <c r="G27" s="114" t="s">
        <v>430</v>
      </c>
      <c r="H27" s="114" t="s">
        <v>114</v>
      </c>
      <c r="I27" s="120" t="s">
        <v>115</v>
      </c>
    </row>
    <row r="28" spans="2:9" ht="18" x14ac:dyDescent="0.35">
      <c r="B28" s="323" t="s">
        <v>1026</v>
      </c>
      <c r="C28" s="162" t="s">
        <v>1080</v>
      </c>
      <c r="D28" s="328" t="s">
        <v>1027</v>
      </c>
      <c r="E28" s="117">
        <f>S_A/(K_A+S_A)</f>
        <v>0.16666666666666666</v>
      </c>
      <c r="F28" s="160" t="s">
        <v>213</v>
      </c>
      <c r="G28" s="160">
        <v>2</v>
      </c>
      <c r="H28" s="160"/>
      <c r="I28" s="161"/>
    </row>
    <row r="29" spans="2:9" ht="18" x14ac:dyDescent="0.35">
      <c r="B29" s="323" t="s">
        <v>1029</v>
      </c>
      <c r="C29" s="162" t="s">
        <v>1081</v>
      </c>
      <c r="D29" s="328" t="s">
        <v>1028</v>
      </c>
      <c r="E29" s="117">
        <f>S_F/(K_F+S_F)</f>
        <v>0.5</v>
      </c>
      <c r="F29" s="160" t="s">
        <v>213</v>
      </c>
      <c r="G29" s="160">
        <v>2</v>
      </c>
      <c r="H29" s="160"/>
      <c r="I29" s="161"/>
    </row>
    <row r="30" spans="2:9" ht="18" x14ac:dyDescent="0.35">
      <c r="B30" s="323" t="s">
        <v>1030</v>
      </c>
      <c r="C30" s="162" t="s">
        <v>1082</v>
      </c>
      <c r="D30" s="328" t="s">
        <v>1031</v>
      </c>
      <c r="E30" s="117">
        <f>S_O2/(K_OH+S_O2)</f>
        <v>0.99900099900099915</v>
      </c>
      <c r="F30" s="160" t="s">
        <v>213</v>
      </c>
      <c r="G30" s="160">
        <v>2</v>
      </c>
      <c r="H30" s="160"/>
      <c r="I30" s="161"/>
    </row>
    <row r="31" spans="2:9" ht="18" x14ac:dyDescent="0.35">
      <c r="B31" s="323" t="s">
        <v>1032</v>
      </c>
      <c r="C31" s="162" t="s">
        <v>1083</v>
      </c>
      <c r="D31" s="328" t="s">
        <v>1033</v>
      </c>
      <c r="E31" s="117">
        <f>S_NH4/(K_NH4+S_NH4)</f>
        <v>0.99009900990099009</v>
      </c>
      <c r="F31" s="160" t="s">
        <v>213</v>
      </c>
      <c r="G31" s="160">
        <v>2</v>
      </c>
      <c r="H31" s="160"/>
      <c r="I31" s="161"/>
    </row>
    <row r="32" spans="2:9" ht="18" x14ac:dyDescent="0.35">
      <c r="B32" s="323" t="s">
        <v>1034</v>
      </c>
      <c r="C32" s="162" t="s">
        <v>1084</v>
      </c>
      <c r="D32" s="328" t="s">
        <v>1035</v>
      </c>
      <c r="E32" s="117">
        <f>S_NO3/(K_NO3+S_NO3)</f>
        <v>0.99009900990099009</v>
      </c>
      <c r="F32" s="160" t="s">
        <v>213</v>
      </c>
      <c r="G32" s="160">
        <v>2</v>
      </c>
      <c r="H32" s="160"/>
      <c r="I32" s="161"/>
    </row>
    <row r="33" spans="2:9" ht="18" x14ac:dyDescent="0.35">
      <c r="B33" s="323" t="s">
        <v>1036</v>
      </c>
      <c r="C33" s="162" t="s">
        <v>1085</v>
      </c>
      <c r="D33" s="328" t="s">
        <v>1037</v>
      </c>
      <c r="E33" s="117">
        <f>S_PO4/(K_PO4_gro+S_PO4)</f>
        <v>0.95238095238095233</v>
      </c>
      <c r="F33" s="160" t="s">
        <v>213</v>
      </c>
      <c r="G33" s="160">
        <v>2</v>
      </c>
      <c r="H33" s="160"/>
      <c r="I33" s="161"/>
    </row>
    <row r="34" spans="2:9" ht="18" x14ac:dyDescent="0.35">
      <c r="B34" s="323" t="s">
        <v>1038</v>
      </c>
      <c r="C34" s="162" t="s">
        <v>1086</v>
      </c>
      <c r="D34" s="328" t="s">
        <v>1039</v>
      </c>
      <c r="E34" s="117">
        <f>S_PO4/(K_PO4_up+S_PO4)</f>
        <v>0.88888888888888884</v>
      </c>
      <c r="F34" s="160" t="s">
        <v>213</v>
      </c>
      <c r="G34" s="160">
        <v>2</v>
      </c>
      <c r="H34" s="160"/>
      <c r="I34" s="161"/>
    </row>
    <row r="35" spans="2:9" ht="18" x14ac:dyDescent="0.35">
      <c r="B35" s="323" t="s">
        <v>1040</v>
      </c>
      <c r="C35" s="162" t="s">
        <v>1087</v>
      </c>
      <c r="D35" s="328" t="s">
        <v>1041</v>
      </c>
      <c r="E35" s="117">
        <f>S_PO4/(K_PO4_lys+S_PO4)</f>
        <v>0.95238095238095233</v>
      </c>
      <c r="F35" s="160" t="s">
        <v>213</v>
      </c>
      <c r="G35" s="160">
        <v>2</v>
      </c>
      <c r="H35" s="160"/>
      <c r="I35" s="161"/>
    </row>
    <row r="36" spans="2:9" ht="18" x14ac:dyDescent="0.35">
      <c r="B36" s="323" t="s">
        <v>1091</v>
      </c>
      <c r="C36" s="162" t="s">
        <v>1092</v>
      </c>
      <c r="D36" s="328" t="s">
        <v>1093</v>
      </c>
      <c r="E36" s="117">
        <f>X_PP/(K_PP+X_PP)</f>
        <v>0.98039215686274506</v>
      </c>
      <c r="F36" s="160"/>
      <c r="G36" s="160"/>
      <c r="H36" s="160"/>
      <c r="I36" s="161"/>
    </row>
    <row r="37" spans="2:9" ht="18" x14ac:dyDescent="0.35">
      <c r="B37" s="323" t="s">
        <v>1098</v>
      </c>
      <c r="C37" s="162" t="s">
        <v>1100</v>
      </c>
      <c r="D37" s="328" t="s">
        <v>1099</v>
      </c>
      <c r="E37" s="117">
        <f>S_A/(K_AC+S_A)</f>
        <v>0.5</v>
      </c>
      <c r="F37" s="160" t="s">
        <v>213</v>
      </c>
      <c r="G37" s="160">
        <v>2</v>
      </c>
      <c r="H37" s="160"/>
      <c r="I37" s="161"/>
    </row>
    <row r="38" spans="2:9" ht="18" x14ac:dyDescent="0.35">
      <c r="B38" s="323" t="s">
        <v>1102</v>
      </c>
      <c r="C38" s="162" t="s">
        <v>1103</v>
      </c>
      <c r="D38" s="328" t="s">
        <v>1104</v>
      </c>
      <c r="E38" s="117">
        <f>S_O2/(K_ON+S_O2)</f>
        <v>0.99900099900099915</v>
      </c>
      <c r="F38" s="160" t="s">
        <v>213</v>
      </c>
      <c r="G38" s="160">
        <v>2</v>
      </c>
      <c r="H38" s="160"/>
      <c r="I38" s="161"/>
    </row>
    <row r="39" spans="2:9" ht="18" x14ac:dyDescent="0.35">
      <c r="B39" s="323" t="s">
        <v>1105</v>
      </c>
      <c r="C39" s="162" t="s">
        <v>1106</v>
      </c>
      <c r="D39" s="328" t="s">
        <v>1107</v>
      </c>
      <c r="E39" s="117">
        <f>S_NH4/(K_NH4_NIT+S_NH4)</f>
        <v>0.5</v>
      </c>
      <c r="F39" s="160" t="s">
        <v>213</v>
      </c>
      <c r="G39" s="160">
        <v>2</v>
      </c>
      <c r="H39" s="160"/>
      <c r="I39" s="161"/>
    </row>
    <row r="40" spans="2:9" ht="18" x14ac:dyDescent="0.35">
      <c r="B40" s="323" t="s">
        <v>1059</v>
      </c>
      <c r="C40" s="162" t="s">
        <v>1062</v>
      </c>
      <c r="D40" s="328" t="s">
        <v>1067</v>
      </c>
      <c r="E40" s="117">
        <f>S_A/(S_A+S_F+X_ADS)</f>
        <v>2.7777777777777776E-2</v>
      </c>
      <c r="F40" s="160" t="s">
        <v>213</v>
      </c>
      <c r="G40" s="160">
        <v>2</v>
      </c>
      <c r="H40" s="160"/>
      <c r="I40" s="161"/>
    </row>
    <row r="41" spans="2:9" ht="18" x14ac:dyDescent="0.35">
      <c r="B41" s="323" t="s">
        <v>1060</v>
      </c>
      <c r="C41" s="162" t="s">
        <v>1063</v>
      </c>
      <c r="D41" s="328" t="s">
        <v>1068</v>
      </c>
      <c r="E41" s="117">
        <f>S_F/(S_A+S_F+X_ADS)</f>
        <v>0.1388888888888889</v>
      </c>
      <c r="F41" s="160" t="s">
        <v>213</v>
      </c>
      <c r="G41" s="160">
        <v>2</v>
      </c>
      <c r="H41" s="160"/>
      <c r="I41" s="161"/>
    </row>
    <row r="42" spans="2:9" ht="18" x14ac:dyDescent="0.35">
      <c r="B42" s="323" t="s">
        <v>1061</v>
      </c>
      <c r="C42" s="162" t="s">
        <v>1064</v>
      </c>
      <c r="D42" s="328" t="s">
        <v>1069</v>
      </c>
      <c r="E42" s="117">
        <f>X_ADS/(S_A+S_F+X_ADS)</f>
        <v>0.83333333333333337</v>
      </c>
      <c r="F42" s="160" t="s">
        <v>213</v>
      </c>
      <c r="G42" s="160">
        <v>2</v>
      </c>
      <c r="H42" s="160"/>
      <c r="I42" s="161"/>
    </row>
    <row r="43" spans="2:9" ht="18" x14ac:dyDescent="0.35">
      <c r="B43" s="323" t="s">
        <v>1065</v>
      </c>
      <c r="C43" s="162" t="s">
        <v>1066</v>
      </c>
      <c r="D43" s="328" t="s">
        <v>1070</v>
      </c>
      <c r="E43" s="117">
        <f>(X_ADS/X_H)/(K_SP+(X_ADS/X_H))</f>
        <v>0.68965517241379315</v>
      </c>
      <c r="F43" s="160" t="s">
        <v>213</v>
      </c>
      <c r="G43" s="160">
        <v>2</v>
      </c>
      <c r="H43" s="160"/>
      <c r="I43" s="161"/>
    </row>
    <row r="44" spans="2:9" ht="18" x14ac:dyDescent="0.35">
      <c r="B44" s="323" t="s">
        <v>1073</v>
      </c>
      <c r="C44" s="162" t="s">
        <v>1619</v>
      </c>
      <c r="D44" s="328" t="s">
        <v>1072</v>
      </c>
      <c r="E44" s="117">
        <f>(X_PHA/X_PAO)/(K_PHA1+X_PHA/X_PAO)</f>
        <v>0.73529411764705888</v>
      </c>
      <c r="F44" s="160" t="s">
        <v>213</v>
      </c>
      <c r="G44" s="160">
        <v>2</v>
      </c>
      <c r="H44" s="160"/>
      <c r="I44" s="161"/>
    </row>
    <row r="45" spans="2:9" ht="18" x14ac:dyDescent="0.35">
      <c r="B45" s="323" t="s">
        <v>1074</v>
      </c>
      <c r="C45" s="162" t="s">
        <v>1075</v>
      </c>
      <c r="D45" s="328" t="s">
        <v>1071</v>
      </c>
      <c r="E45" s="117">
        <f>(X_PHA/X_PAO)/(K_PHA2+X_PHA/X_PAO)</f>
        <v>0.73529411764705888</v>
      </c>
      <c r="F45" s="160" t="s">
        <v>213</v>
      </c>
      <c r="G45" s="160">
        <v>2</v>
      </c>
      <c r="H45" s="160"/>
      <c r="I45" s="161"/>
    </row>
    <row r="46" spans="2:9" ht="18" x14ac:dyDescent="0.35">
      <c r="B46" s="323" t="s">
        <v>1042</v>
      </c>
      <c r="C46" s="162" t="s">
        <v>1088</v>
      </c>
      <c r="D46" s="328" t="s">
        <v>1043</v>
      </c>
      <c r="E46" s="117">
        <f>K_OH/(K_OH+S_O2)</f>
        <v>9.9900099900099922E-4</v>
      </c>
      <c r="F46" s="160" t="s">
        <v>213</v>
      </c>
      <c r="G46" s="160">
        <v>2</v>
      </c>
      <c r="H46" s="160"/>
      <c r="I46" s="161"/>
    </row>
    <row r="47" spans="2:9" ht="18" x14ac:dyDescent="0.35">
      <c r="B47" s="323" t="s">
        <v>1044</v>
      </c>
      <c r="C47" s="162" t="s">
        <v>1620</v>
      </c>
      <c r="D47" s="328" t="s">
        <v>1045</v>
      </c>
      <c r="E47" s="117">
        <f>K_NH4/(K_NH4+S_NH4)</f>
        <v>9.9009900990099011E-3</v>
      </c>
      <c r="F47" s="160" t="s">
        <v>213</v>
      </c>
      <c r="G47" s="160">
        <v>2</v>
      </c>
      <c r="H47" s="160"/>
      <c r="I47" s="161"/>
    </row>
    <row r="48" spans="2:9" ht="18" x14ac:dyDescent="0.35">
      <c r="B48" s="323" t="s">
        <v>1048</v>
      </c>
      <c r="C48" s="162" t="s">
        <v>1089</v>
      </c>
      <c r="D48" s="328" t="s">
        <v>1049</v>
      </c>
      <c r="E48" s="117">
        <f>K_NO3/(K_NO3+S_NO3)</f>
        <v>9.9009900990099011E-3</v>
      </c>
      <c r="F48" s="160" t="s">
        <v>213</v>
      </c>
      <c r="G48" s="160">
        <v>2</v>
      </c>
      <c r="H48" s="160"/>
      <c r="I48" s="161"/>
    </row>
    <row r="49" spans="2:9" ht="18" x14ac:dyDescent="0.35">
      <c r="B49" s="323" t="s">
        <v>1046</v>
      </c>
      <c r="C49" s="162" t="s">
        <v>1090</v>
      </c>
      <c r="D49" s="328" t="s">
        <v>1047</v>
      </c>
      <c r="E49" s="117">
        <f>K_PO4_up/(K_PO4_up+S_PO4)</f>
        <v>0.1111111111111111</v>
      </c>
      <c r="F49" s="160" t="s">
        <v>213</v>
      </c>
      <c r="G49" s="160">
        <v>2</v>
      </c>
      <c r="H49" s="160"/>
      <c r="I49" s="161"/>
    </row>
    <row r="50" spans="2:9" x14ac:dyDescent="0.25">
      <c r="B50" s="4"/>
      <c r="C50" s="4"/>
      <c r="D50" s="329"/>
      <c r="E50" s="119"/>
      <c r="F50" s="3"/>
      <c r="G50" s="3"/>
      <c r="H50" s="3"/>
      <c r="I50" s="3"/>
    </row>
  </sheetData>
  <phoneticPr fontId="12"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16"/>
  <sheetViews>
    <sheetView zoomScaleNormal="100" workbookViewId="0">
      <selection activeCell="B3" sqref="B3:F116"/>
    </sheetView>
  </sheetViews>
  <sheetFormatPr defaultColWidth="9.140625" defaultRowHeight="15" x14ac:dyDescent="0.25"/>
  <cols>
    <col min="1" max="1" width="5.85546875" style="123" customWidth="1"/>
    <col min="2" max="2" width="38.28515625" style="123" bestFit="1" customWidth="1"/>
    <col min="3" max="3" width="52" style="123" customWidth="1"/>
    <col min="4" max="4" width="85.140625" style="123" customWidth="1"/>
    <col min="5" max="5" width="17.7109375" style="123" customWidth="1"/>
    <col min="6" max="6" width="9.28515625" style="123" customWidth="1"/>
    <col min="7" max="7" width="9.140625" style="123"/>
    <col min="8" max="8" width="56.85546875" style="126" customWidth="1"/>
    <col min="9" max="9" width="22.7109375" style="123" customWidth="1"/>
    <col min="10" max="16384" width="9.140625" style="123"/>
  </cols>
  <sheetData>
    <row r="1" spans="2:8" s="121" customFormat="1" ht="53.25" customHeight="1" thickBot="1" x14ac:dyDescent="0.3">
      <c r="H1" s="122"/>
    </row>
    <row r="2" spans="2:8" ht="15.75" thickBot="1" x14ac:dyDescent="0.3">
      <c r="C2" s="124" t="s">
        <v>472</v>
      </c>
      <c r="D2" s="125"/>
      <c r="E2" s="125"/>
    </row>
    <row r="3" spans="2:8" ht="15.75" thickBot="1" x14ac:dyDescent="0.3">
      <c r="B3" s="171" t="s">
        <v>0</v>
      </c>
      <c r="C3" s="172" t="s">
        <v>1</v>
      </c>
      <c r="D3" s="173" t="s">
        <v>4</v>
      </c>
      <c r="E3" s="173" t="s">
        <v>114</v>
      </c>
      <c r="F3" s="174" t="s">
        <v>2</v>
      </c>
      <c r="H3" s="127" t="s">
        <v>473</v>
      </c>
    </row>
    <row r="4" spans="2:8" ht="18.75" customHeight="1" x14ac:dyDescent="0.25">
      <c r="B4" s="175" t="s">
        <v>163</v>
      </c>
      <c r="C4" s="163" t="s">
        <v>164</v>
      </c>
      <c r="D4" s="176" t="s">
        <v>165</v>
      </c>
      <c r="E4" s="176"/>
      <c r="F4" s="177"/>
    </row>
    <row r="5" spans="2:8" x14ac:dyDescent="0.25">
      <c r="B5" s="178" t="s">
        <v>1120</v>
      </c>
      <c r="C5" s="179" t="s">
        <v>474</v>
      </c>
      <c r="D5" s="180" t="s">
        <v>1121</v>
      </c>
      <c r="E5" s="180"/>
      <c r="F5" s="181"/>
    </row>
    <row r="6" spans="2:8" x14ac:dyDescent="0.25">
      <c r="B6" s="178" t="s">
        <v>166</v>
      </c>
      <c r="C6" s="182" t="s">
        <v>167</v>
      </c>
      <c r="D6" s="182" t="s">
        <v>168</v>
      </c>
      <c r="E6" s="182"/>
      <c r="F6" s="181"/>
    </row>
    <row r="7" spans="2:8" x14ac:dyDescent="0.25">
      <c r="B7" s="178" t="s">
        <v>1122</v>
      </c>
      <c r="C7" s="179" t="s">
        <v>475</v>
      </c>
      <c r="D7" s="180" t="s">
        <v>1123</v>
      </c>
      <c r="E7" s="182"/>
      <c r="F7" s="181"/>
    </row>
    <row r="8" spans="2:8" x14ac:dyDescent="0.25">
      <c r="B8" s="178" t="s">
        <v>476</v>
      </c>
      <c r="C8" s="182" t="s">
        <v>477</v>
      </c>
      <c r="D8" s="182" t="s">
        <v>478</v>
      </c>
      <c r="E8" s="182"/>
      <c r="F8" s="181"/>
    </row>
    <row r="9" spans="2:8" x14ac:dyDescent="0.25">
      <c r="B9" s="178" t="s">
        <v>479</v>
      </c>
      <c r="C9" s="182" t="s">
        <v>480</v>
      </c>
      <c r="D9" s="182" t="s">
        <v>481</v>
      </c>
      <c r="E9" s="182"/>
      <c r="F9" s="181"/>
    </row>
    <row r="10" spans="2:8" x14ac:dyDescent="0.25">
      <c r="B10" s="178" t="s">
        <v>169</v>
      </c>
      <c r="C10" s="182" t="s">
        <v>170</v>
      </c>
      <c r="D10" s="182" t="s">
        <v>171</v>
      </c>
      <c r="E10" s="182"/>
      <c r="F10" s="181"/>
    </row>
    <row r="11" spans="2:8" x14ac:dyDescent="0.25">
      <c r="B11" s="178" t="s">
        <v>482</v>
      </c>
      <c r="C11" s="179" t="s">
        <v>483</v>
      </c>
      <c r="D11" s="180" t="s">
        <v>1012</v>
      </c>
      <c r="E11" s="182"/>
      <c r="F11" s="181"/>
    </row>
    <row r="12" spans="2:8" x14ac:dyDescent="0.25">
      <c r="B12" s="178" t="s">
        <v>172</v>
      </c>
      <c r="C12" s="182" t="s">
        <v>173</v>
      </c>
      <c r="D12" s="182" t="s">
        <v>1124</v>
      </c>
      <c r="E12" s="182"/>
      <c r="F12" s="181"/>
    </row>
    <row r="13" spans="2:8" x14ac:dyDescent="0.25">
      <c r="B13" s="178" t="s">
        <v>1125</v>
      </c>
      <c r="C13" s="182" t="s">
        <v>1126</v>
      </c>
      <c r="D13" s="182" t="s">
        <v>1127</v>
      </c>
      <c r="E13" s="182"/>
      <c r="F13" s="181"/>
    </row>
    <row r="14" spans="2:8" x14ac:dyDescent="0.25">
      <c r="B14" s="178" t="s">
        <v>175</v>
      </c>
      <c r="C14" s="182" t="s">
        <v>176</v>
      </c>
      <c r="D14" s="182" t="s">
        <v>1128</v>
      </c>
      <c r="E14" s="182"/>
      <c r="F14" s="181"/>
    </row>
    <row r="15" spans="2:8" x14ac:dyDescent="0.25">
      <c r="B15" s="178" t="s">
        <v>1129</v>
      </c>
      <c r="C15" s="182" t="s">
        <v>1130</v>
      </c>
      <c r="D15" s="182" t="s">
        <v>1131</v>
      </c>
      <c r="E15" s="182"/>
      <c r="F15" s="181"/>
    </row>
    <row r="16" spans="2:8" x14ac:dyDescent="0.25">
      <c r="B16" s="183" t="s">
        <v>1132</v>
      </c>
      <c r="C16" s="184" t="s">
        <v>1133</v>
      </c>
      <c r="D16" s="184" t="s">
        <v>1134</v>
      </c>
      <c r="E16" s="184"/>
      <c r="F16" s="185"/>
    </row>
    <row r="17" spans="2:8" x14ac:dyDescent="0.25">
      <c r="B17" s="183" t="s">
        <v>1135</v>
      </c>
      <c r="C17" s="183" t="s">
        <v>1136</v>
      </c>
      <c r="D17" s="184" t="s">
        <v>1137</v>
      </c>
      <c r="E17" s="184"/>
      <c r="F17" s="185"/>
    </row>
    <row r="18" spans="2:8" x14ac:dyDescent="0.25">
      <c r="B18" s="178" t="s">
        <v>178</v>
      </c>
      <c r="C18" s="182" t="s">
        <v>179</v>
      </c>
      <c r="D18" s="182" t="s">
        <v>180</v>
      </c>
      <c r="E18" s="182"/>
      <c r="F18" s="181"/>
      <c r="H18" s="128" t="s">
        <v>488</v>
      </c>
    </row>
    <row r="19" spans="2:8" x14ac:dyDescent="0.25">
      <c r="B19" s="178" t="s">
        <v>181</v>
      </c>
      <c r="C19" s="182" t="s">
        <v>182</v>
      </c>
      <c r="D19" s="182" t="s">
        <v>484</v>
      </c>
      <c r="E19" s="182"/>
      <c r="F19" s="181"/>
      <c r="H19" s="128"/>
    </row>
    <row r="20" spans="2:8" x14ac:dyDescent="0.25">
      <c r="B20" s="178" t="s">
        <v>149</v>
      </c>
      <c r="C20" s="182" t="s">
        <v>147</v>
      </c>
      <c r="D20" s="182" t="s">
        <v>148</v>
      </c>
      <c r="E20" s="182"/>
      <c r="F20" s="181"/>
    </row>
    <row r="21" spans="2:8" x14ac:dyDescent="0.25">
      <c r="B21" s="178" t="s">
        <v>485</v>
      </c>
      <c r="C21" s="186" t="s">
        <v>486</v>
      </c>
      <c r="D21" s="180" t="s">
        <v>487</v>
      </c>
      <c r="E21" s="182"/>
      <c r="F21" s="181"/>
    </row>
    <row r="22" spans="2:8" ht="105" x14ac:dyDescent="0.25">
      <c r="B22" s="178" t="s">
        <v>489</v>
      </c>
      <c r="C22" s="186" t="s">
        <v>490</v>
      </c>
      <c r="D22" s="180" t="s">
        <v>491</v>
      </c>
      <c r="E22" s="182"/>
      <c r="F22" s="181"/>
    </row>
    <row r="23" spans="2:8" ht="18" x14ac:dyDescent="0.35">
      <c r="B23" s="178" t="s">
        <v>1138</v>
      </c>
      <c r="C23" s="186" t="s">
        <v>492</v>
      </c>
      <c r="D23" s="180" t="s">
        <v>1139</v>
      </c>
      <c r="E23" s="182"/>
      <c r="F23" s="181"/>
    </row>
    <row r="24" spans="2:8" ht="18" x14ac:dyDescent="0.35">
      <c r="B24" s="178" t="s">
        <v>1140</v>
      </c>
      <c r="C24" s="186" t="s">
        <v>493</v>
      </c>
      <c r="D24" s="180" t="s">
        <v>1141</v>
      </c>
      <c r="E24" s="182"/>
      <c r="F24" s="181"/>
    </row>
    <row r="25" spans="2:8" ht="18" x14ac:dyDescent="0.35">
      <c r="B25" s="178" t="s">
        <v>1142</v>
      </c>
      <c r="C25" s="186" t="s">
        <v>494</v>
      </c>
      <c r="D25" s="180" t="s">
        <v>1143</v>
      </c>
      <c r="E25" s="182"/>
      <c r="F25" s="181"/>
    </row>
    <row r="26" spans="2:8" ht="18" x14ac:dyDescent="0.35">
      <c r="B26" s="178" t="s">
        <v>1144</v>
      </c>
      <c r="C26" s="186" t="s">
        <v>495</v>
      </c>
      <c r="D26" s="180" t="s">
        <v>1145</v>
      </c>
      <c r="E26" s="182"/>
      <c r="F26" s="181"/>
    </row>
    <row r="27" spans="2:8" ht="18" x14ac:dyDescent="0.35">
      <c r="B27" s="178" t="s">
        <v>1146</v>
      </c>
      <c r="C27" s="186" t="s">
        <v>496</v>
      </c>
      <c r="D27" s="180" t="s">
        <v>1147</v>
      </c>
      <c r="E27" s="182"/>
      <c r="F27" s="181"/>
    </row>
    <row r="28" spans="2:8" ht="15.75" customHeight="1" x14ac:dyDescent="0.35">
      <c r="B28" s="178" t="s">
        <v>1148</v>
      </c>
      <c r="C28" s="186" t="s">
        <v>497</v>
      </c>
      <c r="D28" s="180" t="s">
        <v>1149</v>
      </c>
      <c r="E28" s="182"/>
      <c r="F28" s="181"/>
      <c r="G28" s="129"/>
    </row>
    <row r="29" spans="2:8" ht="16.5" customHeight="1" thickBot="1" x14ac:dyDescent="0.4">
      <c r="B29" s="187" t="s">
        <v>1150</v>
      </c>
      <c r="C29" s="188" t="s">
        <v>498</v>
      </c>
      <c r="D29" s="189" t="s">
        <v>1151</v>
      </c>
      <c r="E29" s="190"/>
      <c r="F29" s="111"/>
      <c r="H29" s="126" t="s">
        <v>500</v>
      </c>
    </row>
    <row r="30" spans="2:8" ht="15.75" thickBot="1" x14ac:dyDescent="0.3">
      <c r="B30"/>
      <c r="C30"/>
      <c r="D30"/>
      <c r="E30"/>
      <c r="F30"/>
    </row>
    <row r="31" spans="2:8" ht="15.75" thickBot="1" x14ac:dyDescent="0.3">
      <c r="B31"/>
      <c r="C31" s="191" t="s">
        <v>499</v>
      </c>
      <c r="D31" s="1"/>
      <c r="E31" s="1"/>
      <c r="F31"/>
    </row>
    <row r="32" spans="2:8" ht="15.75" thickBot="1" x14ac:dyDescent="0.3">
      <c r="B32" s="171" t="s">
        <v>0</v>
      </c>
      <c r="C32" s="172" t="s">
        <v>1</v>
      </c>
      <c r="D32" s="173" t="s">
        <v>4</v>
      </c>
      <c r="E32" s="173" t="s">
        <v>114</v>
      </c>
      <c r="F32" s="174" t="s">
        <v>2</v>
      </c>
    </row>
    <row r="33" spans="2:9" x14ac:dyDescent="0.25">
      <c r="B33" s="175" t="s">
        <v>501</v>
      </c>
      <c r="C33" s="163" t="s">
        <v>502</v>
      </c>
      <c r="D33" s="163" t="s">
        <v>503</v>
      </c>
      <c r="E33" s="163"/>
      <c r="F33" s="177"/>
    </row>
    <row r="34" spans="2:9" ht="30" x14ac:dyDescent="0.25">
      <c r="B34" s="178" t="s">
        <v>504</v>
      </c>
      <c r="C34" s="186" t="s">
        <v>505</v>
      </c>
      <c r="D34" s="180" t="s">
        <v>506</v>
      </c>
      <c r="E34" s="182"/>
      <c r="F34" s="181"/>
    </row>
    <row r="35" spans="2:9" x14ac:dyDescent="0.25">
      <c r="B35" s="178"/>
      <c r="C35" s="186"/>
      <c r="D35" s="180" t="s">
        <v>507</v>
      </c>
      <c r="E35" s="182"/>
      <c r="F35" s="181"/>
    </row>
    <row r="36" spans="2:9" x14ac:dyDescent="0.25">
      <c r="B36" s="178"/>
      <c r="C36" s="186"/>
      <c r="D36" s="180" t="s">
        <v>508</v>
      </c>
      <c r="E36" s="182"/>
      <c r="F36" s="181"/>
    </row>
    <row r="37" spans="2:9" x14ac:dyDescent="0.25">
      <c r="B37" s="178" t="s">
        <v>509</v>
      </c>
      <c r="C37" s="179" t="s">
        <v>510</v>
      </c>
      <c r="D37" s="179" t="s">
        <v>511</v>
      </c>
      <c r="E37" s="182"/>
      <c r="F37" s="181"/>
    </row>
    <row r="38" spans="2:9" x14ac:dyDescent="0.25">
      <c r="B38" s="178" t="s">
        <v>512</v>
      </c>
      <c r="C38" s="179"/>
      <c r="D38" s="179" t="s">
        <v>513</v>
      </c>
      <c r="E38" s="182"/>
      <c r="F38" s="181"/>
    </row>
    <row r="39" spans="2:9" x14ac:dyDescent="0.25">
      <c r="B39" s="192" t="s">
        <v>514</v>
      </c>
      <c r="C39" s="182" t="s">
        <v>515</v>
      </c>
      <c r="D39" s="182" t="s">
        <v>516</v>
      </c>
      <c r="E39" s="182"/>
      <c r="F39" s="181"/>
    </row>
    <row r="40" spans="2:9" s="130" customFormat="1" x14ac:dyDescent="0.25">
      <c r="B40" s="192" t="s">
        <v>517</v>
      </c>
      <c r="C40" s="182" t="s">
        <v>518</v>
      </c>
      <c r="D40" s="182" t="s">
        <v>519</v>
      </c>
      <c r="E40" s="182"/>
      <c r="F40" s="181"/>
      <c r="H40" s="126"/>
    </row>
    <row r="41" spans="2:9" s="130" customFormat="1" x14ac:dyDescent="0.25">
      <c r="B41" s="192" t="s">
        <v>520</v>
      </c>
      <c r="C41" s="182" t="s">
        <v>521</v>
      </c>
      <c r="D41" s="182" t="s">
        <v>522</v>
      </c>
      <c r="E41" s="182"/>
      <c r="F41" s="181"/>
      <c r="H41" s="126"/>
    </row>
    <row r="42" spans="2:9" x14ac:dyDescent="0.25">
      <c r="B42" s="192" t="s">
        <v>523</v>
      </c>
      <c r="C42" s="182" t="s">
        <v>524</v>
      </c>
      <c r="D42" s="182" t="s">
        <v>525</v>
      </c>
      <c r="E42" s="182"/>
      <c r="F42" s="181"/>
      <c r="I42" s="126"/>
    </row>
    <row r="43" spans="2:9" x14ac:dyDescent="0.25">
      <c r="B43" s="178" t="s">
        <v>526</v>
      </c>
      <c r="C43" s="179" t="s">
        <v>527</v>
      </c>
      <c r="D43" s="193" t="s">
        <v>528</v>
      </c>
      <c r="E43" s="179"/>
      <c r="F43" s="194"/>
      <c r="I43" s="126"/>
    </row>
    <row r="44" spans="2:9" ht="90" x14ac:dyDescent="0.25">
      <c r="B44" s="195" t="s">
        <v>529</v>
      </c>
      <c r="C44" s="179" t="s">
        <v>530</v>
      </c>
      <c r="D44" s="193" t="s">
        <v>531</v>
      </c>
      <c r="E44" s="179"/>
      <c r="F44" s="196"/>
      <c r="I44" s="126"/>
    </row>
    <row r="45" spans="2:9" x14ac:dyDescent="0.25">
      <c r="B45" s="178" t="s">
        <v>532</v>
      </c>
      <c r="C45" s="179" t="s">
        <v>533</v>
      </c>
      <c r="D45" s="179" t="s">
        <v>534</v>
      </c>
      <c r="E45" s="179"/>
      <c r="F45" s="194"/>
      <c r="I45" s="126"/>
    </row>
    <row r="46" spans="2:9" ht="90" x14ac:dyDescent="0.25">
      <c r="B46" s="178" t="s">
        <v>535</v>
      </c>
      <c r="C46" s="179" t="s">
        <v>536</v>
      </c>
      <c r="D46" s="193" t="s">
        <v>537</v>
      </c>
      <c r="E46" s="179"/>
      <c r="F46" s="194"/>
      <c r="I46" s="126"/>
    </row>
    <row r="47" spans="2:9" ht="90" x14ac:dyDescent="0.25">
      <c r="B47" s="178" t="s">
        <v>538</v>
      </c>
      <c r="C47" s="179" t="s">
        <v>539</v>
      </c>
      <c r="D47" s="193" t="s">
        <v>540</v>
      </c>
      <c r="E47" s="179"/>
      <c r="F47" s="194"/>
    </row>
    <row r="48" spans="2:9" ht="90" x14ac:dyDescent="0.25">
      <c r="B48" s="178" t="s">
        <v>541</v>
      </c>
      <c r="C48" s="179" t="s">
        <v>542</v>
      </c>
      <c r="D48" s="193" t="s">
        <v>543</v>
      </c>
      <c r="E48" s="179"/>
      <c r="F48" s="194"/>
    </row>
    <row r="49" spans="2:8" ht="90" x14ac:dyDescent="0.25">
      <c r="B49" s="178" t="s">
        <v>544</v>
      </c>
      <c r="C49" s="179" t="s">
        <v>545</v>
      </c>
      <c r="D49" s="193" t="s">
        <v>546</v>
      </c>
      <c r="E49" s="179"/>
      <c r="F49" s="194"/>
      <c r="H49" s="127" t="s">
        <v>548</v>
      </c>
    </row>
    <row r="50" spans="2:8" x14ac:dyDescent="0.25">
      <c r="B50" s="192" t="s">
        <v>1152</v>
      </c>
      <c r="C50" s="182" t="s">
        <v>1153</v>
      </c>
      <c r="D50" s="182" t="s">
        <v>1154</v>
      </c>
      <c r="E50" s="182"/>
      <c r="F50" s="181"/>
      <c r="H50" s="127"/>
    </row>
    <row r="51" spans="2:8" x14ac:dyDescent="0.25">
      <c r="B51" s="192" t="s">
        <v>1155</v>
      </c>
      <c r="C51" s="182" t="s">
        <v>1156</v>
      </c>
      <c r="D51" s="182" t="s">
        <v>1157</v>
      </c>
      <c r="E51" s="182"/>
      <c r="F51" s="181"/>
    </row>
    <row r="52" spans="2:8" x14ac:dyDescent="0.25">
      <c r="B52" s="192" t="s">
        <v>1158</v>
      </c>
      <c r="C52" s="182" t="s">
        <v>1159</v>
      </c>
      <c r="D52" s="182" t="s">
        <v>1160</v>
      </c>
      <c r="E52" s="182"/>
      <c r="F52" s="181"/>
    </row>
    <row r="53" spans="2:8" x14ac:dyDescent="0.25">
      <c r="B53" s="192" t="s">
        <v>1161</v>
      </c>
      <c r="C53" s="182" t="s">
        <v>1162</v>
      </c>
      <c r="D53" s="182" t="s">
        <v>1163</v>
      </c>
      <c r="E53" s="182"/>
      <c r="F53" s="181"/>
    </row>
    <row r="54" spans="2:8" x14ac:dyDescent="0.25">
      <c r="B54" s="192" t="s">
        <v>1164</v>
      </c>
      <c r="C54" s="182" t="s">
        <v>1165</v>
      </c>
      <c r="D54" s="182" t="s">
        <v>1166</v>
      </c>
      <c r="E54" s="182"/>
      <c r="F54" s="181"/>
    </row>
    <row r="55" spans="2:8" x14ac:dyDescent="0.25">
      <c r="B55" s="192" t="s">
        <v>1167</v>
      </c>
      <c r="C55" s="182" t="s">
        <v>1168</v>
      </c>
      <c r="D55" s="182" t="s">
        <v>1169</v>
      </c>
      <c r="E55" s="182"/>
      <c r="F55" s="181"/>
      <c r="H55" s="128" t="s">
        <v>488</v>
      </c>
    </row>
    <row r="56" spans="2:8" x14ac:dyDescent="0.25">
      <c r="B56" s="192" t="s">
        <v>1170</v>
      </c>
      <c r="C56" s="182" t="s">
        <v>1171</v>
      </c>
      <c r="D56" s="182" t="s">
        <v>1172</v>
      </c>
      <c r="E56" s="182"/>
      <c r="F56" s="181"/>
    </row>
    <row r="57" spans="2:8" x14ac:dyDescent="0.25">
      <c r="B57" s="192" t="s">
        <v>1173</v>
      </c>
      <c r="C57" s="182" t="s">
        <v>1174</v>
      </c>
      <c r="D57" s="182" t="s">
        <v>1175</v>
      </c>
      <c r="E57" s="182"/>
      <c r="F57" s="181"/>
    </row>
    <row r="58" spans="2:8" x14ac:dyDescent="0.25">
      <c r="B58" s="192" t="s">
        <v>1176</v>
      </c>
      <c r="C58" s="182" t="s">
        <v>1177</v>
      </c>
      <c r="D58" s="182" t="s">
        <v>1178</v>
      </c>
      <c r="E58" s="182"/>
      <c r="F58" s="181"/>
    </row>
    <row r="59" spans="2:8" ht="15.75" thickBot="1" x14ac:dyDescent="0.3">
      <c r="B59" s="197" t="s">
        <v>1179</v>
      </c>
      <c r="C59" s="190" t="s">
        <v>1180</v>
      </c>
      <c r="D59" s="190" t="s">
        <v>1181</v>
      </c>
      <c r="E59" s="190"/>
      <c r="F59" s="111"/>
    </row>
    <row r="60" spans="2:8" x14ac:dyDescent="0.25">
      <c r="B60" s="198"/>
      <c r="C60"/>
      <c r="D60"/>
      <c r="E60"/>
      <c r="F60"/>
    </row>
    <row r="61" spans="2:8" ht="15.75" thickBot="1" x14ac:dyDescent="0.3">
      <c r="B61"/>
      <c r="C61"/>
      <c r="D61"/>
      <c r="E61"/>
      <c r="F61"/>
    </row>
    <row r="62" spans="2:8" ht="15.75" thickBot="1" x14ac:dyDescent="0.3">
      <c r="B62"/>
      <c r="C62" s="191" t="s">
        <v>547</v>
      </c>
      <c r="D62" s="1"/>
      <c r="E62" s="1"/>
      <c r="F62"/>
      <c r="H62" s="131" t="s">
        <v>569</v>
      </c>
    </row>
    <row r="63" spans="2:8" ht="15.75" thickBot="1" x14ac:dyDescent="0.3">
      <c r="B63" s="171" t="s">
        <v>0</v>
      </c>
      <c r="C63" s="172" t="s">
        <v>1</v>
      </c>
      <c r="D63" s="173" t="s">
        <v>4</v>
      </c>
      <c r="E63" s="173" t="s">
        <v>114</v>
      </c>
      <c r="F63" s="174" t="s">
        <v>2</v>
      </c>
    </row>
    <row r="64" spans="2:8" x14ac:dyDescent="0.25">
      <c r="B64" s="175" t="s">
        <v>549</v>
      </c>
      <c r="C64" s="105" t="s">
        <v>550</v>
      </c>
      <c r="D64" s="163" t="s">
        <v>551</v>
      </c>
      <c r="E64" s="199"/>
      <c r="F64" s="200"/>
    </row>
    <row r="65" spans="2:6" x14ac:dyDescent="0.25">
      <c r="B65" s="178" t="s">
        <v>188</v>
      </c>
      <c r="C65" s="182" t="s">
        <v>552</v>
      </c>
      <c r="D65" s="182" t="s">
        <v>190</v>
      </c>
      <c r="E65" s="182"/>
      <c r="F65" s="181"/>
    </row>
    <row r="66" spans="2:6" x14ac:dyDescent="0.25">
      <c r="B66" s="178" t="s">
        <v>1182</v>
      </c>
      <c r="C66" s="182" t="s">
        <v>552</v>
      </c>
      <c r="D66" s="182" t="s">
        <v>1183</v>
      </c>
      <c r="E66" s="182"/>
      <c r="F66" s="181"/>
    </row>
    <row r="67" spans="2:6" x14ac:dyDescent="0.25">
      <c r="B67" s="178" t="s">
        <v>1184</v>
      </c>
      <c r="C67" s="182" t="s">
        <v>552</v>
      </c>
      <c r="D67" s="182" t="s">
        <v>1185</v>
      </c>
      <c r="E67" s="182"/>
      <c r="F67" s="181"/>
    </row>
    <row r="68" spans="2:6" x14ac:dyDescent="0.25">
      <c r="B68" s="178" t="s">
        <v>1186</v>
      </c>
      <c r="C68" s="182" t="s">
        <v>552</v>
      </c>
      <c r="D68" s="182" t="s">
        <v>1187</v>
      </c>
      <c r="E68" s="182"/>
      <c r="F68" s="181"/>
    </row>
    <row r="69" spans="2:6" x14ac:dyDescent="0.25">
      <c r="B69" s="178" t="s">
        <v>1188</v>
      </c>
      <c r="C69" s="182" t="s">
        <v>552</v>
      </c>
      <c r="D69" s="182" t="s">
        <v>1189</v>
      </c>
      <c r="E69" s="182"/>
      <c r="F69" s="181"/>
    </row>
    <row r="70" spans="2:6" x14ac:dyDescent="0.25">
      <c r="B70" s="178" t="s">
        <v>1190</v>
      </c>
      <c r="C70" s="182" t="s">
        <v>552</v>
      </c>
      <c r="D70" s="182" t="s">
        <v>1191</v>
      </c>
      <c r="E70" s="182"/>
      <c r="F70" s="181"/>
    </row>
    <row r="71" spans="2:6" x14ac:dyDescent="0.25">
      <c r="B71" s="178" t="s">
        <v>1192</v>
      </c>
      <c r="C71" s="182" t="s">
        <v>552</v>
      </c>
      <c r="D71" s="182" t="s">
        <v>1193</v>
      </c>
      <c r="E71" s="182"/>
      <c r="F71" s="181"/>
    </row>
    <row r="72" spans="2:6" x14ac:dyDescent="0.25">
      <c r="B72" s="178" t="s">
        <v>1194</v>
      </c>
      <c r="C72" s="182" t="s">
        <v>552</v>
      </c>
      <c r="D72" s="182" t="s">
        <v>1195</v>
      </c>
      <c r="E72" s="182"/>
      <c r="F72" s="181"/>
    </row>
    <row r="73" spans="2:6" x14ac:dyDescent="0.25">
      <c r="B73" s="178" t="s">
        <v>1196</v>
      </c>
      <c r="C73" s="182" t="s">
        <v>552</v>
      </c>
      <c r="D73" s="182" t="s">
        <v>1197</v>
      </c>
      <c r="E73" s="182"/>
      <c r="F73" s="181"/>
    </row>
    <row r="74" spans="2:6" x14ac:dyDescent="0.25">
      <c r="B74" s="178" t="s">
        <v>1198</v>
      </c>
      <c r="C74" s="182" t="s">
        <v>552</v>
      </c>
      <c r="D74" s="182" t="s">
        <v>1199</v>
      </c>
      <c r="E74" s="182"/>
      <c r="F74" s="181"/>
    </row>
    <row r="75" spans="2:6" x14ac:dyDescent="0.25">
      <c r="B75" s="178" t="s">
        <v>191</v>
      </c>
      <c r="C75" s="182" t="s">
        <v>553</v>
      </c>
      <c r="D75" s="182" t="s">
        <v>193</v>
      </c>
      <c r="E75" s="182"/>
      <c r="F75" s="181"/>
    </row>
    <row r="76" spans="2:6" x14ac:dyDescent="0.25">
      <c r="B76" s="178" t="s">
        <v>194</v>
      </c>
      <c r="C76" s="179" t="s">
        <v>554</v>
      </c>
      <c r="D76" s="179" t="s">
        <v>196</v>
      </c>
      <c r="E76" s="179"/>
      <c r="F76" s="194"/>
    </row>
    <row r="77" spans="2:6" x14ac:dyDescent="0.25">
      <c r="B77" s="178" t="s">
        <v>197</v>
      </c>
      <c r="C77" s="179" t="s">
        <v>555</v>
      </c>
      <c r="D77" s="179" t="s">
        <v>199</v>
      </c>
      <c r="E77" s="179"/>
      <c r="F77" s="194"/>
    </row>
    <row r="78" spans="2:6" x14ac:dyDescent="0.25">
      <c r="B78" s="178" t="s">
        <v>200</v>
      </c>
      <c r="C78" s="179" t="s">
        <v>201</v>
      </c>
      <c r="D78" s="179" t="s">
        <v>202</v>
      </c>
      <c r="E78" s="179"/>
      <c r="F78" s="194"/>
    </row>
    <row r="79" spans="2:6" x14ac:dyDescent="0.25">
      <c r="B79" s="192" t="s">
        <v>556</v>
      </c>
      <c r="C79" s="182" t="s">
        <v>557</v>
      </c>
      <c r="D79" s="182" t="s">
        <v>558</v>
      </c>
      <c r="E79" s="182"/>
      <c r="F79" s="181"/>
    </row>
    <row r="80" spans="2:6" x14ac:dyDescent="0.25">
      <c r="B80" s="178" t="s">
        <v>203</v>
      </c>
      <c r="C80" s="179" t="s">
        <v>204</v>
      </c>
      <c r="D80" s="179" t="s">
        <v>205</v>
      </c>
      <c r="E80" s="179"/>
      <c r="F80" s="194"/>
    </row>
    <row r="81" spans="2:6" x14ac:dyDescent="0.25">
      <c r="B81" s="178" t="s">
        <v>559</v>
      </c>
      <c r="C81" s="182" t="s">
        <v>560</v>
      </c>
      <c r="D81" s="182" t="s">
        <v>561</v>
      </c>
      <c r="E81" s="182"/>
      <c r="F81" s="181"/>
    </row>
    <row r="82" spans="2:6" x14ac:dyDescent="0.25">
      <c r="B82" s="178" t="s">
        <v>562</v>
      </c>
      <c r="C82" s="182" t="s">
        <v>563</v>
      </c>
      <c r="D82" s="182" t="s">
        <v>564</v>
      </c>
      <c r="E82" s="182"/>
      <c r="F82" s="181"/>
    </row>
    <row r="83" spans="2:6" ht="15.75" thickBot="1" x14ac:dyDescent="0.3">
      <c r="B83" s="187" t="s">
        <v>565</v>
      </c>
      <c r="C83" s="190" t="s">
        <v>566</v>
      </c>
      <c r="D83" s="190" t="s">
        <v>567</v>
      </c>
      <c r="E83" s="190"/>
      <c r="F83" s="111"/>
    </row>
    <row r="84" spans="2:6" ht="15.75" thickBot="1" x14ac:dyDescent="0.3">
      <c r="B84" s="198"/>
      <c r="C84" s="198"/>
      <c r="D84" s="198"/>
      <c r="E84" s="198"/>
      <c r="F84" s="198"/>
    </row>
    <row r="85" spans="2:6" ht="15.75" thickBot="1" x14ac:dyDescent="0.3">
      <c r="B85"/>
      <c r="C85" s="201" t="s">
        <v>568</v>
      </c>
      <c r="D85"/>
      <c r="E85" s="1"/>
      <c r="F85"/>
    </row>
    <row r="86" spans="2:6" ht="15.75" thickBot="1" x14ac:dyDescent="0.3">
      <c r="B86" s="171" t="s">
        <v>0</v>
      </c>
      <c r="C86" s="202" t="s">
        <v>1</v>
      </c>
      <c r="D86" s="172" t="s">
        <v>4</v>
      </c>
      <c r="E86" s="203" t="s">
        <v>570</v>
      </c>
      <c r="F86"/>
    </row>
    <row r="87" spans="2:6" x14ac:dyDescent="0.25">
      <c r="B87" s="132" t="s">
        <v>571</v>
      </c>
      <c r="C87" s="204" t="s">
        <v>572</v>
      </c>
      <c r="D87" s="132" t="s">
        <v>571</v>
      </c>
      <c r="E87" s="177"/>
      <c r="F87"/>
    </row>
    <row r="88" spans="2:6" x14ac:dyDescent="0.25">
      <c r="B88" s="133" t="s">
        <v>573</v>
      </c>
      <c r="C88" s="205" t="s">
        <v>574</v>
      </c>
      <c r="D88" s="133" t="s">
        <v>573</v>
      </c>
      <c r="E88" s="181"/>
      <c r="F88"/>
    </row>
    <row r="89" spans="2:6" x14ac:dyDescent="0.25">
      <c r="B89" s="133" t="s">
        <v>575</v>
      </c>
      <c r="C89" s="205" t="s">
        <v>576</v>
      </c>
      <c r="D89" s="133" t="s">
        <v>575</v>
      </c>
      <c r="E89" s="181"/>
      <c r="F89"/>
    </row>
    <row r="90" spans="2:6" x14ac:dyDescent="0.25">
      <c r="B90" s="133" t="s">
        <v>577</v>
      </c>
      <c r="C90" s="205" t="s">
        <v>578</v>
      </c>
      <c r="D90" s="133" t="s">
        <v>577</v>
      </c>
      <c r="E90" s="181"/>
      <c r="F90"/>
    </row>
    <row r="91" spans="2:6" x14ac:dyDescent="0.25">
      <c r="B91" s="133" t="s">
        <v>579</v>
      </c>
      <c r="C91" s="205" t="s">
        <v>580</v>
      </c>
      <c r="D91" s="133" t="s">
        <v>579</v>
      </c>
      <c r="E91" s="181"/>
      <c r="F91"/>
    </row>
    <row r="92" spans="2:6" x14ac:dyDescent="0.25">
      <c r="B92" s="133" t="s">
        <v>581</v>
      </c>
      <c r="C92" s="205" t="s">
        <v>582</v>
      </c>
      <c r="D92" s="133" t="s">
        <v>581</v>
      </c>
      <c r="E92" s="181"/>
      <c r="F92"/>
    </row>
    <row r="93" spans="2:6" x14ac:dyDescent="0.25">
      <c r="B93" s="133" t="s">
        <v>583</v>
      </c>
      <c r="C93" s="205" t="s">
        <v>584</v>
      </c>
      <c r="D93" s="133" t="s">
        <v>583</v>
      </c>
      <c r="E93" s="181"/>
      <c r="F93"/>
    </row>
    <row r="94" spans="2:6" x14ac:dyDescent="0.25">
      <c r="B94" s="133" t="s">
        <v>585</v>
      </c>
      <c r="C94" s="205" t="s">
        <v>586</v>
      </c>
      <c r="D94" s="133" t="s">
        <v>585</v>
      </c>
      <c r="E94" s="181"/>
      <c r="F94"/>
    </row>
    <row r="95" spans="2:6" x14ac:dyDescent="0.25">
      <c r="B95" s="133" t="s">
        <v>587</v>
      </c>
      <c r="C95" s="205" t="s">
        <v>588</v>
      </c>
      <c r="D95" s="133" t="s">
        <v>587</v>
      </c>
      <c r="E95" s="181"/>
      <c r="F95"/>
    </row>
    <row r="96" spans="2:6" x14ac:dyDescent="0.25">
      <c r="B96" s="133" t="s">
        <v>589</v>
      </c>
      <c r="C96" s="205" t="s">
        <v>590</v>
      </c>
      <c r="D96" s="133" t="s">
        <v>589</v>
      </c>
      <c r="E96" s="181"/>
      <c r="F96"/>
    </row>
    <row r="97" spans="2:6" x14ac:dyDescent="0.25">
      <c r="B97" s="133" t="s">
        <v>591</v>
      </c>
      <c r="C97" s="205" t="s">
        <v>592</v>
      </c>
      <c r="D97" s="133" t="s">
        <v>591</v>
      </c>
      <c r="E97" s="181" t="s">
        <v>593</v>
      </c>
      <c r="F97"/>
    </row>
    <row r="98" spans="2:6" x14ac:dyDescent="0.25">
      <c r="B98" s="133" t="s">
        <v>594</v>
      </c>
      <c r="C98" s="205" t="s">
        <v>595</v>
      </c>
      <c r="D98" s="133" t="s">
        <v>594</v>
      </c>
      <c r="E98" s="181"/>
      <c r="F98"/>
    </row>
    <row r="99" spans="2:6" x14ac:dyDescent="0.25">
      <c r="B99" s="133" t="s">
        <v>596</v>
      </c>
      <c r="C99" s="205" t="s">
        <v>597</v>
      </c>
      <c r="D99" s="133" t="s">
        <v>596</v>
      </c>
      <c r="E99" s="181"/>
      <c r="F99"/>
    </row>
    <row r="100" spans="2:6" x14ac:dyDescent="0.25">
      <c r="B100" s="133" t="s">
        <v>598</v>
      </c>
      <c r="C100" s="205" t="s">
        <v>599</v>
      </c>
      <c r="D100" s="133" t="s">
        <v>598</v>
      </c>
      <c r="E100" s="181"/>
      <c r="F100"/>
    </row>
    <row r="101" spans="2:6" x14ac:dyDescent="0.25">
      <c r="B101" s="133" t="s">
        <v>600</v>
      </c>
      <c r="C101" s="205" t="s">
        <v>601</v>
      </c>
      <c r="D101" s="133" t="s">
        <v>600</v>
      </c>
      <c r="E101" s="181"/>
      <c r="F101"/>
    </row>
    <row r="102" spans="2:6" x14ac:dyDescent="0.25">
      <c r="B102" s="133" t="s">
        <v>602</v>
      </c>
      <c r="C102" s="205" t="s">
        <v>603</v>
      </c>
      <c r="D102" s="133" t="s">
        <v>602</v>
      </c>
      <c r="E102" s="181"/>
      <c r="F102"/>
    </row>
    <row r="103" spans="2:6" x14ac:dyDescent="0.25">
      <c r="B103" s="133" t="s">
        <v>604</v>
      </c>
      <c r="C103" s="205" t="s">
        <v>605</v>
      </c>
      <c r="D103" s="133" t="s">
        <v>604</v>
      </c>
      <c r="E103" s="181"/>
      <c r="F103"/>
    </row>
    <row r="104" spans="2:6" x14ac:dyDescent="0.25">
      <c r="B104" s="133" t="s">
        <v>606</v>
      </c>
      <c r="C104" s="205" t="s">
        <v>607</v>
      </c>
      <c r="D104" s="133" t="s">
        <v>606</v>
      </c>
      <c r="E104" s="181"/>
      <c r="F104"/>
    </row>
    <row r="105" spans="2:6" ht="15.75" thickBot="1" x14ac:dyDescent="0.3">
      <c r="B105" s="134" t="s">
        <v>608</v>
      </c>
      <c r="C105" s="206" t="s">
        <v>609</v>
      </c>
      <c r="D105" s="134" t="s">
        <v>608</v>
      </c>
      <c r="E105" s="111"/>
      <c r="F105"/>
    </row>
    <row r="106" spans="2:6" x14ac:dyDescent="0.25">
      <c r="B106" s="207" t="s">
        <v>610</v>
      </c>
      <c r="C106" s="207" t="s">
        <v>553</v>
      </c>
      <c r="D106" s="207" t="s">
        <v>610</v>
      </c>
      <c r="E106" s="207" t="s">
        <v>611</v>
      </c>
      <c r="F106"/>
    </row>
    <row r="107" spans="2:6" x14ac:dyDescent="0.25">
      <c r="B107" s="208" t="s">
        <v>195</v>
      </c>
      <c r="C107" s="208" t="s">
        <v>612</v>
      </c>
      <c r="D107" s="208" t="s">
        <v>195</v>
      </c>
      <c r="E107" s="208"/>
      <c r="F107"/>
    </row>
    <row r="108" spans="2:6" x14ac:dyDescent="0.25">
      <c r="B108" s="208" t="s">
        <v>613</v>
      </c>
      <c r="C108" s="208" t="s">
        <v>614</v>
      </c>
      <c r="D108" s="208" t="s">
        <v>613</v>
      </c>
      <c r="E108" s="208"/>
      <c r="F108"/>
    </row>
    <row r="109" spans="2:6" x14ac:dyDescent="0.25">
      <c r="B109" s="208" t="s">
        <v>615</v>
      </c>
      <c r="C109" s="208" t="s">
        <v>616</v>
      </c>
      <c r="D109" s="208" t="s">
        <v>615</v>
      </c>
      <c r="E109" s="208"/>
      <c r="F109"/>
    </row>
    <row r="110" spans="2:6" x14ac:dyDescent="0.25">
      <c r="B110" s="208" t="s">
        <v>617</v>
      </c>
      <c r="C110" s="208" t="s">
        <v>618</v>
      </c>
      <c r="D110" s="208" t="s">
        <v>617</v>
      </c>
      <c r="E110" s="208"/>
      <c r="F110"/>
    </row>
    <row r="111" spans="2:6" x14ac:dyDescent="0.25">
      <c r="B111" s="208" t="s">
        <v>619</v>
      </c>
      <c r="C111" s="208" t="s">
        <v>620</v>
      </c>
      <c r="D111" s="208" t="s">
        <v>619</v>
      </c>
      <c r="E111" s="208"/>
      <c r="F111"/>
    </row>
    <row r="112" spans="2:6" x14ac:dyDescent="0.25">
      <c r="B112" s="209"/>
      <c r="C112" s="209"/>
      <c r="D112"/>
      <c r="E112" s="209"/>
      <c r="F112"/>
    </row>
    <row r="113" spans="2:6" x14ac:dyDescent="0.25">
      <c r="B113" s="209"/>
      <c r="C113" s="209"/>
      <c r="D113"/>
      <c r="E113" s="209"/>
      <c r="F113"/>
    </row>
    <row r="114" spans="2:6" x14ac:dyDescent="0.25">
      <c r="B114" s="209"/>
      <c r="C114" s="209"/>
      <c r="D114"/>
      <c r="E114" s="209"/>
      <c r="F114"/>
    </row>
    <row r="115" spans="2:6" x14ac:dyDescent="0.25">
      <c r="B115"/>
      <c r="C115"/>
      <c r="D115"/>
      <c r="E115"/>
      <c r="F115"/>
    </row>
    <row r="116" spans="2:6" x14ac:dyDescent="0.25">
      <c r="B116"/>
      <c r="C116"/>
      <c r="D116"/>
      <c r="E116"/>
      <c r="F116"/>
    </row>
  </sheetData>
  <conditionalFormatting sqref="D43">
    <cfRule type="cellIs" dxfId="1" priority="2" stopIfTrue="1" operator="notEqual">
      <formula>INDIRECT("Dummy_for_Comparison5!"&amp;ADDRESS(ROW(),COLUMN()))</formula>
    </cfRule>
  </conditionalFormatting>
  <conditionalFormatting sqref="D44">
    <cfRule type="cellIs" dxfId="0"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310"/>
  <sheetViews>
    <sheetView showGridLines="0" topLeftCell="A43" zoomScale="98" workbookViewId="0">
      <selection activeCell="B3" sqref="B3:D310"/>
    </sheetView>
  </sheetViews>
  <sheetFormatPr defaultColWidth="9.140625" defaultRowHeight="15" x14ac:dyDescent="0.25"/>
  <cols>
    <col min="1" max="1" width="9.140625" style="213"/>
    <col min="2" max="2" width="13.28515625" style="211" customWidth="1"/>
    <col min="3" max="3" width="53.5703125" style="211" customWidth="1"/>
    <col min="4" max="6" width="21" style="212" customWidth="1"/>
    <col min="7" max="7" width="18" style="212" bestFit="1" customWidth="1"/>
    <col min="8" max="8" width="18" style="212" customWidth="1"/>
    <col min="9" max="9" width="9.140625" style="212"/>
    <col min="10" max="10" width="23.140625" style="211" customWidth="1"/>
    <col min="11" max="16384" width="9.140625" style="213"/>
  </cols>
  <sheetData>
    <row r="1" spans="2:10" ht="15.75" thickBot="1" x14ac:dyDescent="0.3">
      <c r="B1" s="210"/>
    </row>
    <row r="2" spans="2:10" ht="15.75" thickBot="1" x14ac:dyDescent="0.3">
      <c r="C2" s="214" t="s">
        <v>621</v>
      </c>
    </row>
    <row r="3" spans="2:10" ht="15.75" thickBot="1" x14ac:dyDescent="0.3">
      <c r="B3" s="215" t="s">
        <v>0</v>
      </c>
      <c r="C3" s="216" t="s">
        <v>1</v>
      </c>
      <c r="D3" s="217" t="s">
        <v>150</v>
      </c>
      <c r="E3" s="217" t="s">
        <v>622</v>
      </c>
      <c r="F3" s="217" t="s">
        <v>623</v>
      </c>
      <c r="G3" s="217" t="s">
        <v>2</v>
      </c>
      <c r="H3" s="217" t="s">
        <v>430</v>
      </c>
      <c r="I3" s="217" t="s">
        <v>114</v>
      </c>
      <c r="J3" s="218" t="s">
        <v>115</v>
      </c>
    </row>
    <row r="4" spans="2:10" ht="18" x14ac:dyDescent="0.25">
      <c r="B4" s="219" t="s">
        <v>1200</v>
      </c>
      <c r="C4" s="220" t="s">
        <v>624</v>
      </c>
      <c r="D4" s="221">
        <v>1.2999999999999999E-3</v>
      </c>
      <c r="E4" s="221"/>
      <c r="F4" s="221"/>
      <c r="G4" s="221" t="s">
        <v>625</v>
      </c>
      <c r="H4" s="221"/>
      <c r="I4" s="221"/>
      <c r="J4" s="222" t="s">
        <v>1201</v>
      </c>
    </row>
    <row r="5" spans="2:10" ht="18" x14ac:dyDescent="0.25">
      <c r="B5" s="223" t="s">
        <v>1202</v>
      </c>
      <c r="C5" s="224" t="s">
        <v>626</v>
      </c>
      <c r="D5" s="225">
        <v>1500</v>
      </c>
      <c r="E5" s="225"/>
      <c r="F5" s="225"/>
      <c r="G5" s="225" t="s">
        <v>627</v>
      </c>
      <c r="H5" s="225"/>
      <c r="I5" s="225"/>
      <c r="J5" s="226" t="s">
        <v>1201</v>
      </c>
    </row>
    <row r="6" spans="2:10" ht="18" x14ac:dyDescent="0.25">
      <c r="B6" s="223" t="s">
        <v>1203</v>
      </c>
      <c r="C6" s="224" t="s">
        <v>628</v>
      </c>
      <c r="D6" s="225">
        <v>3.5000000000000003E-2</v>
      </c>
      <c r="E6" s="225"/>
      <c r="F6" s="225"/>
      <c r="G6" s="225" t="s">
        <v>625</v>
      </c>
      <c r="H6" s="225"/>
      <c r="I6" s="225"/>
      <c r="J6" s="226" t="s">
        <v>1204</v>
      </c>
    </row>
    <row r="7" spans="2:10" ht="18" x14ac:dyDescent="0.25">
      <c r="B7" s="223" t="s">
        <v>1205</v>
      </c>
      <c r="C7" s="224" t="s">
        <v>629</v>
      </c>
      <c r="D7" s="225">
        <v>2400</v>
      </c>
      <c r="E7" s="225"/>
      <c r="F7" s="225"/>
      <c r="G7" s="225" t="s">
        <v>627</v>
      </c>
      <c r="H7" s="225"/>
      <c r="I7" s="225"/>
      <c r="J7" s="226" t="s">
        <v>1204</v>
      </c>
    </row>
    <row r="8" spans="2:10" ht="18" x14ac:dyDescent="0.25">
      <c r="B8" s="223" t="s">
        <v>1206</v>
      </c>
      <c r="C8" s="224" t="s">
        <v>630</v>
      </c>
      <c r="D8" s="225">
        <v>1.9E-3</v>
      </c>
      <c r="E8" s="225"/>
      <c r="F8" s="225"/>
      <c r="G8" s="225" t="s">
        <v>625</v>
      </c>
      <c r="H8" s="225"/>
      <c r="I8" s="225"/>
      <c r="J8" s="226" t="s">
        <v>1207</v>
      </c>
    </row>
    <row r="9" spans="2:10" ht="18" x14ac:dyDescent="0.25">
      <c r="B9" s="223" t="s">
        <v>1208</v>
      </c>
      <c r="C9" s="224" t="s">
        <v>631</v>
      </c>
      <c r="D9" s="225">
        <v>1400</v>
      </c>
      <c r="E9" s="225"/>
      <c r="F9" s="225"/>
      <c r="G9" s="225" t="s">
        <v>627</v>
      </c>
      <c r="H9" s="225"/>
      <c r="I9" s="225"/>
      <c r="J9" s="226" t="s">
        <v>1207</v>
      </c>
    </row>
    <row r="10" spans="2:10" ht="18" x14ac:dyDescent="0.25">
      <c r="B10" s="223" t="s">
        <v>1209</v>
      </c>
      <c r="C10" s="224" t="s">
        <v>632</v>
      </c>
      <c r="D10" s="225">
        <v>2.5000000000000001E-2</v>
      </c>
      <c r="E10" s="225"/>
      <c r="F10" s="225"/>
      <c r="G10" s="225" t="s">
        <v>625</v>
      </c>
      <c r="H10" s="225"/>
      <c r="I10" s="225"/>
      <c r="J10" s="226" t="s">
        <v>1210</v>
      </c>
    </row>
    <row r="11" spans="2:10" ht="18" x14ac:dyDescent="0.25">
      <c r="B11" s="223" t="s">
        <v>1211</v>
      </c>
      <c r="C11" s="224" t="s">
        <v>629</v>
      </c>
      <c r="D11" s="225">
        <v>2600</v>
      </c>
      <c r="E11" s="225"/>
      <c r="F11" s="225"/>
      <c r="G11" s="225" t="s">
        <v>627</v>
      </c>
      <c r="H11" s="225"/>
      <c r="I11" s="225"/>
      <c r="J11" s="226" t="s">
        <v>1210</v>
      </c>
    </row>
    <row r="12" spans="2:10" ht="18" x14ac:dyDescent="0.25">
      <c r="B12" s="223" t="s">
        <v>1212</v>
      </c>
      <c r="C12" s="224" t="s">
        <v>633</v>
      </c>
      <c r="D12" s="225">
        <v>6.4999999999999997E-4</v>
      </c>
      <c r="E12" s="225"/>
      <c r="F12" s="225"/>
      <c r="G12" s="225" t="s">
        <v>625</v>
      </c>
      <c r="H12" s="225"/>
      <c r="I12" s="225"/>
      <c r="J12" s="226" t="s">
        <v>1213</v>
      </c>
    </row>
    <row r="13" spans="2:10" ht="18" x14ac:dyDescent="0.25">
      <c r="B13" s="223" t="s">
        <v>1214</v>
      </c>
      <c r="C13" s="224" t="s">
        <v>634</v>
      </c>
      <c r="D13" s="225">
        <v>1300</v>
      </c>
      <c r="E13" s="225"/>
      <c r="F13" s="225"/>
      <c r="G13" s="225" t="s">
        <v>627</v>
      </c>
      <c r="H13" s="225"/>
      <c r="I13" s="225"/>
      <c r="J13" s="226" t="s">
        <v>1213</v>
      </c>
    </row>
    <row r="14" spans="2:10" ht="18" x14ac:dyDescent="0.25">
      <c r="B14" s="223" t="s">
        <v>1215</v>
      </c>
      <c r="C14" s="224" t="s">
        <v>635</v>
      </c>
      <c r="D14" s="225">
        <v>7.7999999999999999E-4</v>
      </c>
      <c r="E14" s="225"/>
      <c r="F14" s="225"/>
      <c r="G14" s="225" t="s">
        <v>625</v>
      </c>
      <c r="H14" s="225"/>
      <c r="I14" s="225"/>
      <c r="J14" s="226" t="s">
        <v>1213</v>
      </c>
    </row>
    <row r="15" spans="2:10" ht="18" x14ac:dyDescent="0.25">
      <c r="B15" s="223" t="s">
        <v>1216</v>
      </c>
      <c r="C15" s="224" t="s">
        <v>636</v>
      </c>
      <c r="D15" s="225">
        <v>500</v>
      </c>
      <c r="E15" s="225"/>
      <c r="F15" s="225"/>
      <c r="G15" s="225" t="s">
        <v>627</v>
      </c>
      <c r="H15" s="225"/>
      <c r="I15" s="225"/>
      <c r="J15" s="226" t="s">
        <v>1213</v>
      </c>
    </row>
    <row r="16" spans="2:10" ht="18" x14ac:dyDescent="0.25">
      <c r="B16" s="223" t="s">
        <v>1217</v>
      </c>
      <c r="C16" s="224" t="s">
        <v>637</v>
      </c>
      <c r="D16" s="225">
        <v>1.4E-3</v>
      </c>
      <c r="E16" s="225"/>
      <c r="F16" s="225"/>
      <c r="G16" s="225" t="s">
        <v>625</v>
      </c>
      <c r="H16" s="225"/>
      <c r="I16" s="225"/>
      <c r="J16" s="226" t="s">
        <v>1218</v>
      </c>
    </row>
    <row r="17" spans="2:10" ht="18.75" thickBot="1" x14ac:dyDescent="0.3">
      <c r="B17" s="227" t="s">
        <v>1219</v>
      </c>
      <c r="C17" s="228" t="s">
        <v>638</v>
      </c>
      <c r="D17" s="229">
        <v>1600</v>
      </c>
      <c r="E17" s="229"/>
      <c r="F17" s="229"/>
      <c r="G17" s="229" t="s">
        <v>627</v>
      </c>
      <c r="H17" s="229"/>
      <c r="I17" s="229"/>
      <c r="J17" s="230" t="s">
        <v>1218</v>
      </c>
    </row>
    <row r="18" spans="2:10" ht="15.75" thickBot="1" x14ac:dyDescent="0.3">
      <c r="B18" s="210"/>
    </row>
    <row r="19" spans="2:10" ht="15.75" thickBot="1" x14ac:dyDescent="0.3">
      <c r="C19" s="214" t="s">
        <v>639</v>
      </c>
    </row>
    <row r="20" spans="2:10" ht="15.75" thickBot="1" x14ac:dyDescent="0.3">
      <c r="B20" s="215" t="s">
        <v>0</v>
      </c>
      <c r="C20" s="216" t="s">
        <v>1</v>
      </c>
      <c r="D20" s="217" t="s">
        <v>150</v>
      </c>
      <c r="E20" s="217" t="s">
        <v>622</v>
      </c>
      <c r="F20" s="217" t="s">
        <v>623</v>
      </c>
      <c r="G20" s="217" t="s">
        <v>2</v>
      </c>
      <c r="H20" s="217" t="s">
        <v>430</v>
      </c>
      <c r="I20" s="217" t="s">
        <v>114</v>
      </c>
      <c r="J20" s="218" t="s">
        <v>115</v>
      </c>
    </row>
    <row r="21" spans="2:10" ht="18" x14ac:dyDescent="0.25">
      <c r="B21" s="219" t="s">
        <v>640</v>
      </c>
      <c r="C21" s="231" t="s">
        <v>641</v>
      </c>
      <c r="D21" s="232">
        <v>2.0900000000000001E-4</v>
      </c>
      <c r="E21" s="233"/>
      <c r="F21" s="233"/>
      <c r="G21" s="233" t="s">
        <v>642</v>
      </c>
      <c r="H21" s="233"/>
      <c r="I21" s="233"/>
      <c r="J21" s="234"/>
    </row>
    <row r="22" spans="2:10" ht="18" x14ac:dyDescent="0.25">
      <c r="B22" s="223" t="s">
        <v>643</v>
      </c>
      <c r="C22" s="235" t="s">
        <v>644</v>
      </c>
      <c r="D22" s="236">
        <v>1.73E-4</v>
      </c>
      <c r="E22" s="237"/>
      <c r="F22" s="237"/>
      <c r="G22" s="237" t="s">
        <v>642</v>
      </c>
      <c r="H22" s="237"/>
      <c r="I22" s="237"/>
      <c r="J22" s="238"/>
    </row>
    <row r="23" spans="2:10" ht="18" x14ac:dyDescent="0.25">
      <c r="B23" s="223" t="s">
        <v>1220</v>
      </c>
      <c r="C23" s="235" t="s">
        <v>1221</v>
      </c>
      <c r="D23" s="236">
        <f>0.0000693*216/25</f>
        <v>5.9875200000000003E-4</v>
      </c>
      <c r="E23" s="237"/>
      <c r="F23" s="237"/>
      <c r="G23" s="237" t="s">
        <v>642</v>
      </c>
      <c r="H23" s="237"/>
      <c r="I23" s="237"/>
      <c r="J23" s="238"/>
    </row>
    <row r="24" spans="2:10" ht="18" x14ac:dyDescent="0.25">
      <c r="B24" s="223" t="s">
        <v>645</v>
      </c>
      <c r="C24" s="235" t="s">
        <v>646</v>
      </c>
      <c r="D24" s="236">
        <v>1.65E-4</v>
      </c>
      <c r="E24" s="237"/>
      <c r="F24" s="237"/>
      <c r="G24" s="237" t="s">
        <v>642</v>
      </c>
      <c r="H24" s="237"/>
      <c r="I24" s="237"/>
      <c r="J24" s="238"/>
    </row>
    <row r="25" spans="2:10" ht="18" x14ac:dyDescent="0.25">
      <c r="B25" s="239" t="s">
        <v>647</v>
      </c>
      <c r="C25" s="240" t="s">
        <v>648</v>
      </c>
      <c r="D25" s="241">
        <v>4.4999999999999999E-4</v>
      </c>
      <c r="E25" s="241"/>
      <c r="F25" s="241"/>
      <c r="G25" s="241" t="s">
        <v>649</v>
      </c>
      <c r="H25" s="241"/>
      <c r="I25" s="241"/>
      <c r="J25" s="242"/>
    </row>
    <row r="26" spans="2:10" ht="18" x14ac:dyDescent="0.25">
      <c r="B26" s="239" t="s">
        <v>650</v>
      </c>
      <c r="C26" s="240" t="s">
        <v>651</v>
      </c>
      <c r="D26" s="241">
        <v>1.4899999999999999E-4</v>
      </c>
      <c r="E26" s="241"/>
      <c r="F26" s="241"/>
      <c r="G26" s="241" t="s">
        <v>649</v>
      </c>
      <c r="H26" s="241"/>
      <c r="I26" s="241"/>
      <c r="J26" s="242"/>
    </row>
    <row r="27" spans="2:10" s="248" customFormat="1" ht="18" x14ac:dyDescent="0.25">
      <c r="B27" s="243" t="s">
        <v>652</v>
      </c>
      <c r="C27" s="244" t="s">
        <v>653</v>
      </c>
      <c r="D27" s="245">
        <v>2.9499999999999999E-5</v>
      </c>
      <c r="E27" s="246"/>
      <c r="F27" s="246"/>
      <c r="G27" s="246" t="s">
        <v>649</v>
      </c>
      <c r="H27" s="246"/>
      <c r="I27" s="246"/>
      <c r="J27" s="247"/>
    </row>
    <row r="28" spans="2:10" s="248" customFormat="1" ht="18.75" thickBot="1" x14ac:dyDescent="0.3">
      <c r="B28" s="249" t="s">
        <v>654</v>
      </c>
      <c r="C28" s="250" t="s">
        <v>655</v>
      </c>
      <c r="D28" s="251">
        <v>1.8E-5</v>
      </c>
      <c r="E28" s="252"/>
      <c r="F28" s="252"/>
      <c r="G28" s="252" t="s">
        <v>649</v>
      </c>
      <c r="H28" s="252"/>
      <c r="I28" s="252"/>
      <c r="J28" s="253"/>
    </row>
    <row r="29" spans="2:10" ht="15.75" thickBot="1" x14ac:dyDescent="0.3">
      <c r="B29" s="210"/>
      <c r="C29" s="210"/>
      <c r="D29" s="254"/>
      <c r="E29" s="254"/>
      <c r="F29" s="254"/>
      <c r="G29" s="254"/>
      <c r="H29" s="254"/>
    </row>
    <row r="30" spans="2:10" ht="15.75" thickBot="1" x14ac:dyDescent="0.3">
      <c r="C30" s="214" t="s">
        <v>656</v>
      </c>
    </row>
    <row r="31" spans="2:10" ht="15.75" thickBot="1" x14ac:dyDescent="0.3">
      <c r="B31" s="215" t="s">
        <v>0</v>
      </c>
      <c r="C31" s="216" t="s">
        <v>1</v>
      </c>
      <c r="D31" s="217" t="s">
        <v>150</v>
      </c>
      <c r="E31" s="217" t="s">
        <v>622</v>
      </c>
      <c r="F31" s="217" t="s">
        <v>623</v>
      </c>
      <c r="G31" s="217" t="s">
        <v>2</v>
      </c>
      <c r="H31" s="217" t="s">
        <v>430</v>
      </c>
      <c r="I31" s="217" t="s">
        <v>114</v>
      </c>
      <c r="J31" s="218" t="s">
        <v>115</v>
      </c>
    </row>
    <row r="32" spans="2:10" ht="18" x14ac:dyDescent="0.25">
      <c r="B32" s="219" t="s">
        <v>657</v>
      </c>
      <c r="C32" s="255" t="s">
        <v>658</v>
      </c>
      <c r="D32" s="256">
        <v>8.0713100000000004</v>
      </c>
      <c r="E32" s="257"/>
      <c r="F32" s="257"/>
      <c r="G32" s="257" t="s">
        <v>213</v>
      </c>
      <c r="H32" s="257"/>
      <c r="I32" s="221"/>
      <c r="J32" s="234"/>
    </row>
    <row r="33" spans="2:10" ht="18" x14ac:dyDescent="0.25">
      <c r="B33" s="223" t="s">
        <v>659</v>
      </c>
      <c r="C33" s="240" t="s">
        <v>660</v>
      </c>
      <c r="D33" s="241">
        <v>1730.63</v>
      </c>
      <c r="E33" s="258"/>
      <c r="F33" s="258"/>
      <c r="G33" s="258" t="s">
        <v>213</v>
      </c>
      <c r="H33" s="258"/>
      <c r="I33" s="225"/>
      <c r="J33" s="238"/>
    </row>
    <row r="34" spans="2:10" ht="18" x14ac:dyDescent="0.25">
      <c r="B34" s="223" t="s">
        <v>661</v>
      </c>
      <c r="C34" s="240" t="s">
        <v>662</v>
      </c>
      <c r="D34" s="241">
        <v>233.42599999999999</v>
      </c>
      <c r="E34" s="225"/>
      <c r="F34" s="225"/>
      <c r="G34" s="225" t="s">
        <v>213</v>
      </c>
      <c r="H34" s="225"/>
      <c r="I34" s="225"/>
      <c r="J34" s="238"/>
    </row>
    <row r="35" spans="2:10" ht="18.75" thickBot="1" x14ac:dyDescent="0.3">
      <c r="B35" s="227" t="s">
        <v>663</v>
      </c>
      <c r="C35" s="259" t="s">
        <v>664</v>
      </c>
      <c r="D35" s="260">
        <v>1000000</v>
      </c>
      <c r="E35" s="229"/>
      <c r="F35" s="229"/>
      <c r="G35" s="229" t="s">
        <v>665</v>
      </c>
      <c r="H35" s="229"/>
      <c r="I35" s="229"/>
      <c r="J35" s="261"/>
    </row>
    <row r="36" spans="2:10" ht="15.75" thickBot="1" x14ac:dyDescent="0.3">
      <c r="B36" s="210"/>
      <c r="C36" s="210"/>
      <c r="D36" s="254"/>
      <c r="E36" s="254"/>
      <c r="F36" s="254"/>
      <c r="G36" s="254"/>
      <c r="H36" s="254"/>
    </row>
    <row r="37" spans="2:10" ht="15.75" thickBot="1" x14ac:dyDescent="0.3">
      <c r="C37" s="214" t="s">
        <v>666</v>
      </c>
    </row>
    <row r="38" spans="2:10" ht="15.75" thickBot="1" x14ac:dyDescent="0.3">
      <c r="B38" s="215" t="s">
        <v>0</v>
      </c>
      <c r="C38" s="216" t="s">
        <v>1</v>
      </c>
      <c r="D38" s="217" t="s">
        <v>150</v>
      </c>
      <c r="E38" s="217" t="s">
        <v>622</v>
      </c>
      <c r="F38" s="217" t="s">
        <v>623</v>
      </c>
      <c r="G38" s="217" t="s">
        <v>2</v>
      </c>
      <c r="H38" s="217" t="s">
        <v>430</v>
      </c>
      <c r="I38" s="217" t="s">
        <v>114</v>
      </c>
      <c r="J38" s="218" t="s">
        <v>115</v>
      </c>
    </row>
    <row r="39" spans="2:10" ht="18" x14ac:dyDescent="0.25">
      <c r="B39" s="262" t="s">
        <v>667</v>
      </c>
      <c r="C39" s="255" t="s">
        <v>668</v>
      </c>
      <c r="D39" s="256">
        <v>0.20949999999999999</v>
      </c>
      <c r="E39" s="256" t="s">
        <v>669</v>
      </c>
      <c r="F39" s="256" t="s">
        <v>1222</v>
      </c>
      <c r="G39" s="256" t="s">
        <v>670</v>
      </c>
      <c r="H39" s="256"/>
      <c r="I39" s="256"/>
      <c r="J39" s="234"/>
    </row>
    <row r="40" spans="2:10" ht="18" x14ac:dyDescent="0.25">
      <c r="B40" s="239" t="s">
        <v>671</v>
      </c>
      <c r="C40" s="240" t="s">
        <v>672</v>
      </c>
      <c r="D40" s="241">
        <v>0.78080000000000005</v>
      </c>
      <c r="E40" s="241" t="s">
        <v>669</v>
      </c>
      <c r="F40" s="241" t="s">
        <v>1222</v>
      </c>
      <c r="G40" s="241" t="s">
        <v>670</v>
      </c>
      <c r="H40" s="241"/>
      <c r="I40" s="241"/>
      <c r="J40" s="238"/>
    </row>
    <row r="41" spans="2:10" ht="18" x14ac:dyDescent="0.25">
      <c r="B41" s="239" t="s">
        <v>673</v>
      </c>
      <c r="C41" s="240" t="s">
        <v>674</v>
      </c>
      <c r="D41" s="241">
        <v>9.2999999999999992E-3</v>
      </c>
      <c r="E41" s="241" t="s">
        <v>669</v>
      </c>
      <c r="F41" s="241" t="s">
        <v>1222</v>
      </c>
      <c r="G41" s="241" t="s">
        <v>670</v>
      </c>
      <c r="H41" s="241"/>
      <c r="I41" s="241"/>
      <c r="J41" s="238"/>
    </row>
    <row r="42" spans="2:10" ht="18" x14ac:dyDescent="0.25">
      <c r="B42" s="239" t="s">
        <v>675</v>
      </c>
      <c r="C42" s="240" t="s">
        <v>676</v>
      </c>
      <c r="D42" s="241">
        <v>4.0000000000000002E-4</v>
      </c>
      <c r="E42" s="241" t="s">
        <v>669</v>
      </c>
      <c r="F42" s="241" t="s">
        <v>1222</v>
      </c>
      <c r="G42" s="241" t="s">
        <v>670</v>
      </c>
      <c r="H42" s="241"/>
      <c r="I42" s="241"/>
      <c r="J42" s="238"/>
    </row>
    <row r="43" spans="2:10" ht="18.75" thickBot="1" x14ac:dyDescent="0.3">
      <c r="B43" s="263" t="s">
        <v>677</v>
      </c>
      <c r="C43" s="259" t="s">
        <v>678</v>
      </c>
      <c r="D43" s="260">
        <v>101325</v>
      </c>
      <c r="E43" s="260" t="s">
        <v>669</v>
      </c>
      <c r="F43" s="260"/>
      <c r="G43" s="260" t="s">
        <v>679</v>
      </c>
      <c r="H43" s="260"/>
      <c r="I43" s="260"/>
      <c r="J43" s="261"/>
    </row>
    <row r="44" spans="2:10" ht="15.75" thickBot="1" x14ac:dyDescent="0.3">
      <c r="B44" s="264"/>
      <c r="C44" s="264"/>
      <c r="D44" s="265"/>
      <c r="E44" s="265"/>
      <c r="F44" s="265"/>
      <c r="G44" s="265"/>
      <c r="H44" s="265"/>
      <c r="I44" s="265"/>
    </row>
    <row r="45" spans="2:10" ht="15.75" thickBot="1" x14ac:dyDescent="0.3">
      <c r="C45" s="214" t="s">
        <v>680</v>
      </c>
    </row>
    <row r="46" spans="2:10" ht="15.75" thickBot="1" x14ac:dyDescent="0.3">
      <c r="B46" s="215" t="s">
        <v>0</v>
      </c>
      <c r="C46" s="216" t="s">
        <v>1</v>
      </c>
      <c r="D46" s="217" t="s">
        <v>150</v>
      </c>
      <c r="E46" s="217" t="s">
        <v>622</v>
      </c>
      <c r="F46" s="217" t="s">
        <v>623</v>
      </c>
      <c r="G46" s="217" t="s">
        <v>2</v>
      </c>
      <c r="H46" s="217" t="s">
        <v>430</v>
      </c>
      <c r="I46" s="217" t="s">
        <v>114</v>
      </c>
      <c r="J46" s="218" t="s">
        <v>115</v>
      </c>
    </row>
    <row r="47" spans="2:10" ht="17.25" x14ac:dyDescent="0.25">
      <c r="B47" s="219" t="s">
        <v>681</v>
      </c>
      <c r="C47" s="220" t="s">
        <v>682</v>
      </c>
      <c r="D47" s="221">
        <v>8.3144721500000003</v>
      </c>
      <c r="E47" s="221"/>
      <c r="F47" s="221"/>
      <c r="G47" s="221" t="s">
        <v>683</v>
      </c>
      <c r="H47" s="221"/>
      <c r="I47" s="221"/>
      <c r="J47" s="234"/>
    </row>
    <row r="48" spans="2:10" ht="17.25" x14ac:dyDescent="0.25">
      <c r="B48" s="223" t="s">
        <v>684</v>
      </c>
      <c r="C48" s="224" t="s">
        <v>685</v>
      </c>
      <c r="D48" s="225">
        <v>96485.339924</v>
      </c>
      <c r="E48" s="225"/>
      <c r="F48" s="225"/>
      <c r="G48" s="225" t="s">
        <v>686</v>
      </c>
      <c r="H48" s="225"/>
      <c r="I48" s="225"/>
      <c r="J48" s="238"/>
    </row>
    <row r="49" spans="2:10" ht="18" x14ac:dyDescent="0.25">
      <c r="B49" s="223" t="s">
        <v>687</v>
      </c>
      <c r="C49" s="224" t="s">
        <v>688</v>
      </c>
      <c r="D49" s="225">
        <v>9.8066499999999994</v>
      </c>
      <c r="E49" s="225"/>
      <c r="F49" s="225"/>
      <c r="G49" s="225" t="s">
        <v>689</v>
      </c>
      <c r="H49" s="225"/>
      <c r="I49" s="225"/>
      <c r="J49" s="238"/>
    </row>
    <row r="50" spans="2:10" ht="18" x14ac:dyDescent="0.25">
      <c r="B50" s="223" t="s">
        <v>1223</v>
      </c>
      <c r="C50" s="224" t="s">
        <v>1224</v>
      </c>
      <c r="D50" s="225">
        <v>4181.3</v>
      </c>
      <c r="E50" s="225"/>
      <c r="F50" s="225"/>
      <c r="G50" s="225" t="s">
        <v>1225</v>
      </c>
      <c r="H50" s="225"/>
      <c r="I50" s="225"/>
      <c r="J50" s="238"/>
    </row>
    <row r="51" spans="2:10" ht="18" x14ac:dyDescent="0.25">
      <c r="B51" s="223" t="s">
        <v>1226</v>
      </c>
      <c r="C51" s="224" t="s">
        <v>1227</v>
      </c>
      <c r="D51" s="225">
        <v>298.14999999999998</v>
      </c>
      <c r="E51" s="225"/>
      <c r="F51" s="225"/>
      <c r="G51" s="225" t="s">
        <v>627</v>
      </c>
      <c r="H51" s="225"/>
      <c r="I51" s="225"/>
      <c r="J51" s="238" t="s">
        <v>1228</v>
      </c>
    </row>
    <row r="52" spans="2:10" ht="18.75" thickBot="1" x14ac:dyDescent="0.3">
      <c r="B52" s="227" t="s">
        <v>1229</v>
      </c>
      <c r="C52" s="228" t="s">
        <v>1230</v>
      </c>
      <c r="D52" s="229">
        <v>273.14999999999998</v>
      </c>
      <c r="E52" s="229"/>
      <c r="F52" s="229"/>
      <c r="G52" s="229" t="s">
        <v>627</v>
      </c>
      <c r="H52" s="229"/>
      <c r="I52" s="229"/>
      <c r="J52" s="261"/>
    </row>
    <row r="53" spans="2:10" ht="210.75" thickBot="1" x14ac:dyDescent="0.3">
      <c r="B53" s="417" t="s">
        <v>1533</v>
      </c>
      <c r="C53" s="418" t="s">
        <v>1534</v>
      </c>
      <c r="D53" s="419">
        <v>0</v>
      </c>
      <c r="E53" s="419"/>
      <c r="F53" s="419"/>
      <c r="G53" s="419" t="s">
        <v>1535</v>
      </c>
      <c r="H53" s="419"/>
      <c r="I53" s="419"/>
      <c r="J53" s="420" t="s">
        <v>1536</v>
      </c>
    </row>
    <row r="54" spans="2:10" ht="15.75" thickBot="1" x14ac:dyDescent="0.3">
      <c r="B54" s="210"/>
    </row>
    <row r="55" spans="2:10" ht="15.75" thickBot="1" x14ac:dyDescent="0.3">
      <c r="C55" s="214" t="s">
        <v>690</v>
      </c>
    </row>
    <row r="56" spans="2:10" ht="15.75" thickBot="1" x14ac:dyDescent="0.3">
      <c r="B56" s="215" t="s">
        <v>0</v>
      </c>
      <c r="C56" s="216" t="s">
        <v>1</v>
      </c>
      <c r="D56" s="217" t="s">
        <v>150</v>
      </c>
      <c r="E56" s="217" t="s">
        <v>622</v>
      </c>
      <c r="F56" s="217" t="s">
        <v>623</v>
      </c>
      <c r="G56" s="217" t="s">
        <v>2</v>
      </c>
      <c r="H56" s="217" t="s">
        <v>430</v>
      </c>
      <c r="I56" s="217" t="s">
        <v>114</v>
      </c>
      <c r="J56" s="218" t="s">
        <v>115</v>
      </c>
    </row>
    <row r="57" spans="2:10" ht="15.75" thickBot="1" x14ac:dyDescent="0.3">
      <c r="B57" s="266" t="s">
        <v>691</v>
      </c>
      <c r="C57" s="267" t="s">
        <v>692</v>
      </c>
      <c r="D57" s="268">
        <v>3.1415926500000002</v>
      </c>
      <c r="E57" s="268"/>
      <c r="F57" s="268"/>
      <c r="G57" s="268" t="s">
        <v>213</v>
      </c>
      <c r="H57" s="268"/>
      <c r="I57" s="268"/>
      <c r="J57" s="269"/>
    </row>
    <row r="58" spans="2:10" ht="15.75" thickBot="1" x14ac:dyDescent="0.3">
      <c r="B58" s="210"/>
      <c r="C58" s="210"/>
      <c r="D58" s="254"/>
      <c r="E58" s="254"/>
      <c r="F58" s="254"/>
      <c r="G58" s="254"/>
      <c r="H58" s="254"/>
    </row>
    <row r="59" spans="2:10" ht="15.75" thickBot="1" x14ac:dyDescent="0.3">
      <c r="C59" s="214" t="s">
        <v>693</v>
      </c>
    </row>
    <row r="60" spans="2:10" ht="15.75" thickBot="1" x14ac:dyDescent="0.3">
      <c r="B60" s="215" t="s">
        <v>0</v>
      </c>
      <c r="C60" s="216" t="s">
        <v>1</v>
      </c>
      <c r="D60" s="217" t="s">
        <v>150</v>
      </c>
      <c r="E60" s="217" t="s">
        <v>622</v>
      </c>
      <c r="F60" s="217" t="s">
        <v>623</v>
      </c>
      <c r="G60" s="217" t="s">
        <v>2</v>
      </c>
      <c r="H60" s="217" t="s">
        <v>430</v>
      </c>
      <c r="I60" s="217" t="s">
        <v>114</v>
      </c>
      <c r="J60" s="218" t="s">
        <v>115</v>
      </c>
    </row>
    <row r="61" spans="2:10" s="276" customFormat="1" ht="18" x14ac:dyDescent="0.25">
      <c r="B61" s="270" t="s">
        <v>694</v>
      </c>
      <c r="C61" s="271" t="s">
        <v>695</v>
      </c>
      <c r="D61" s="272">
        <v>1.0079400000000001</v>
      </c>
      <c r="E61" s="273"/>
      <c r="F61" s="233"/>
      <c r="G61" s="221" t="s">
        <v>696</v>
      </c>
      <c r="H61" s="221"/>
      <c r="I61" s="274"/>
      <c r="J61" s="275"/>
    </row>
    <row r="62" spans="2:10" s="276" customFormat="1" ht="18" x14ac:dyDescent="0.25">
      <c r="B62" s="277" t="s">
        <v>697</v>
      </c>
      <c r="C62" s="278" t="s">
        <v>698</v>
      </c>
      <c r="D62" s="279">
        <v>4.0026020000000004</v>
      </c>
      <c r="E62" s="280"/>
      <c r="F62" s="237"/>
      <c r="G62" s="225" t="s">
        <v>696</v>
      </c>
      <c r="H62" s="225"/>
      <c r="I62" s="281"/>
      <c r="J62" s="282"/>
    </row>
    <row r="63" spans="2:10" s="276" customFormat="1" ht="18" x14ac:dyDescent="0.25">
      <c r="B63" s="277" t="s">
        <v>699</v>
      </c>
      <c r="C63" s="278" t="s">
        <v>700</v>
      </c>
      <c r="D63" s="279">
        <v>6.9409999999999998</v>
      </c>
      <c r="E63" s="280"/>
      <c r="F63" s="237"/>
      <c r="G63" s="225" t="s">
        <v>696</v>
      </c>
      <c r="H63" s="225"/>
      <c r="I63" s="281"/>
      <c r="J63" s="282"/>
    </row>
    <row r="64" spans="2:10" s="276" customFormat="1" ht="18" x14ac:dyDescent="0.25">
      <c r="B64" s="277" t="s">
        <v>701</v>
      </c>
      <c r="C64" s="278" t="s">
        <v>702</v>
      </c>
      <c r="D64" s="279">
        <v>9.0121819999999992</v>
      </c>
      <c r="E64" s="280"/>
      <c r="F64" s="237"/>
      <c r="G64" s="225" t="s">
        <v>696</v>
      </c>
      <c r="H64" s="225"/>
      <c r="I64" s="281"/>
      <c r="J64" s="282"/>
    </row>
    <row r="65" spans="2:10" s="276" customFormat="1" ht="18" x14ac:dyDescent="0.25">
      <c r="B65" s="277" t="s">
        <v>703</v>
      </c>
      <c r="C65" s="278" t="s">
        <v>704</v>
      </c>
      <c r="D65" s="279">
        <v>10.811</v>
      </c>
      <c r="E65" s="280"/>
      <c r="F65" s="237"/>
      <c r="G65" s="225" t="s">
        <v>696</v>
      </c>
      <c r="H65" s="225"/>
      <c r="I65" s="281"/>
      <c r="J65" s="282"/>
    </row>
    <row r="66" spans="2:10" ht="18" x14ac:dyDescent="0.25">
      <c r="B66" s="223" t="s">
        <v>705</v>
      </c>
      <c r="C66" s="224" t="s">
        <v>706</v>
      </c>
      <c r="D66" s="283">
        <v>12.0107</v>
      </c>
      <c r="E66" s="284"/>
      <c r="F66" s="284"/>
      <c r="G66" s="225" t="s">
        <v>696</v>
      </c>
      <c r="H66" s="225"/>
      <c r="I66" s="225"/>
      <c r="J66" s="238"/>
    </row>
    <row r="67" spans="2:10" s="276" customFormat="1" ht="18" x14ac:dyDescent="0.25">
      <c r="B67" s="277" t="s">
        <v>707</v>
      </c>
      <c r="C67" s="278" t="s">
        <v>708</v>
      </c>
      <c r="D67" s="279">
        <v>14.0067</v>
      </c>
      <c r="E67" s="280"/>
      <c r="F67" s="237"/>
      <c r="G67" s="225" t="s">
        <v>696</v>
      </c>
      <c r="H67" s="225"/>
      <c r="I67" s="281"/>
      <c r="J67" s="282"/>
    </row>
    <row r="68" spans="2:10" s="276" customFormat="1" ht="18" x14ac:dyDescent="0.25">
      <c r="B68" s="223" t="s">
        <v>709</v>
      </c>
      <c r="C68" s="278" t="s">
        <v>710</v>
      </c>
      <c r="D68" s="279">
        <v>15.9994</v>
      </c>
      <c r="E68" s="280"/>
      <c r="F68" s="237"/>
      <c r="G68" s="225" t="s">
        <v>696</v>
      </c>
      <c r="H68" s="225"/>
      <c r="I68" s="281"/>
      <c r="J68" s="282"/>
    </row>
    <row r="69" spans="2:10" s="276" customFormat="1" ht="18" x14ac:dyDescent="0.25">
      <c r="B69" s="223" t="s">
        <v>711</v>
      </c>
      <c r="C69" s="278" t="s">
        <v>712</v>
      </c>
      <c r="D69" s="279">
        <v>18.998403</v>
      </c>
      <c r="E69" s="280"/>
      <c r="F69" s="237"/>
      <c r="G69" s="225" t="s">
        <v>696</v>
      </c>
      <c r="H69" s="225"/>
      <c r="I69" s="281"/>
      <c r="J69" s="282"/>
    </row>
    <row r="70" spans="2:10" s="276" customFormat="1" ht="18" x14ac:dyDescent="0.25">
      <c r="B70" s="223" t="s">
        <v>713</v>
      </c>
      <c r="C70" s="278" t="s">
        <v>714</v>
      </c>
      <c r="D70" s="279">
        <v>20.1797</v>
      </c>
      <c r="E70" s="280"/>
      <c r="F70" s="237"/>
      <c r="G70" s="225" t="s">
        <v>696</v>
      </c>
      <c r="H70" s="225"/>
      <c r="I70" s="281"/>
      <c r="J70" s="282"/>
    </row>
    <row r="71" spans="2:10" ht="18" x14ac:dyDescent="0.25">
      <c r="B71" s="223" t="s">
        <v>715</v>
      </c>
      <c r="C71" s="235" t="s">
        <v>716</v>
      </c>
      <c r="D71" s="225">
        <v>22.989768999999999</v>
      </c>
      <c r="E71" s="225"/>
      <c r="F71" s="225"/>
      <c r="G71" s="225" t="s">
        <v>696</v>
      </c>
      <c r="H71" s="225"/>
      <c r="I71" s="225"/>
      <c r="J71" s="238"/>
    </row>
    <row r="72" spans="2:10" ht="18" x14ac:dyDescent="0.25">
      <c r="B72" s="223" t="s">
        <v>717</v>
      </c>
      <c r="C72" s="235" t="s">
        <v>718</v>
      </c>
      <c r="D72" s="237">
        <v>24.305</v>
      </c>
      <c r="E72" s="225"/>
      <c r="F72" s="225"/>
      <c r="G72" s="225" t="s">
        <v>696</v>
      </c>
      <c r="H72" s="225"/>
      <c r="I72" s="225"/>
      <c r="J72" s="238"/>
    </row>
    <row r="73" spans="2:10" s="276" customFormat="1" ht="18" x14ac:dyDescent="0.25">
      <c r="B73" s="223" t="s">
        <v>719</v>
      </c>
      <c r="C73" s="235" t="s">
        <v>720</v>
      </c>
      <c r="D73" s="237">
        <v>26.9815</v>
      </c>
      <c r="E73" s="237"/>
      <c r="F73" s="237"/>
      <c r="G73" s="225" t="s">
        <v>696</v>
      </c>
      <c r="H73" s="225"/>
      <c r="I73" s="281"/>
      <c r="J73" s="282"/>
    </row>
    <row r="74" spans="2:10" s="276" customFormat="1" ht="18" x14ac:dyDescent="0.25">
      <c r="B74" s="223" t="s">
        <v>721</v>
      </c>
      <c r="C74" s="278" t="s">
        <v>722</v>
      </c>
      <c r="D74" s="279">
        <v>28.0855</v>
      </c>
      <c r="E74" s="280"/>
      <c r="F74" s="237"/>
      <c r="G74" s="225" t="s">
        <v>696</v>
      </c>
      <c r="H74" s="225"/>
      <c r="I74" s="281"/>
      <c r="J74" s="282"/>
    </row>
    <row r="75" spans="2:10" s="276" customFormat="1" ht="18" x14ac:dyDescent="0.25">
      <c r="B75" s="223" t="s">
        <v>723</v>
      </c>
      <c r="C75" s="235" t="s">
        <v>724</v>
      </c>
      <c r="D75" s="237">
        <v>30.973762199999999</v>
      </c>
      <c r="E75" s="237"/>
      <c r="F75" s="237"/>
      <c r="G75" s="225" t="s">
        <v>696</v>
      </c>
      <c r="H75" s="225"/>
      <c r="I75" s="281"/>
      <c r="J75" s="282"/>
    </row>
    <row r="76" spans="2:10" ht="18" x14ac:dyDescent="0.25">
      <c r="B76" s="223" t="s">
        <v>725</v>
      </c>
      <c r="C76" s="235" t="s">
        <v>726</v>
      </c>
      <c r="D76" s="237">
        <v>32.064999999999998</v>
      </c>
      <c r="E76" s="225"/>
      <c r="F76" s="225"/>
      <c r="G76" s="225" t="s">
        <v>696</v>
      </c>
      <c r="H76" s="225"/>
      <c r="I76" s="225"/>
      <c r="J76" s="238"/>
    </row>
    <row r="77" spans="2:10" ht="18" x14ac:dyDescent="0.25">
      <c r="B77" s="223" t="s">
        <v>727</v>
      </c>
      <c r="C77" s="235" t="s">
        <v>728</v>
      </c>
      <c r="D77" s="225">
        <v>35.453000000000003</v>
      </c>
      <c r="E77" s="225"/>
      <c r="F77" s="225"/>
      <c r="G77" s="225" t="s">
        <v>696</v>
      </c>
      <c r="H77" s="225"/>
      <c r="I77" s="225"/>
      <c r="J77" s="238"/>
    </row>
    <row r="78" spans="2:10" ht="18" x14ac:dyDescent="0.25">
      <c r="B78" s="223" t="s">
        <v>729</v>
      </c>
      <c r="C78" s="235" t="s">
        <v>730</v>
      </c>
      <c r="D78" s="237">
        <v>39.948</v>
      </c>
      <c r="E78" s="225"/>
      <c r="F78" s="225"/>
      <c r="G78" s="225" t="s">
        <v>696</v>
      </c>
      <c r="H78" s="225"/>
      <c r="I78" s="225"/>
      <c r="J78" s="238"/>
    </row>
    <row r="79" spans="2:10" ht="18" x14ac:dyDescent="0.25">
      <c r="B79" s="223" t="s">
        <v>731</v>
      </c>
      <c r="C79" s="235" t="s">
        <v>732</v>
      </c>
      <c r="D79" s="237">
        <v>39.098300000000002</v>
      </c>
      <c r="E79" s="225"/>
      <c r="F79" s="225"/>
      <c r="G79" s="225" t="s">
        <v>696</v>
      </c>
      <c r="H79" s="225"/>
      <c r="I79" s="225"/>
      <c r="J79" s="238"/>
    </row>
    <row r="80" spans="2:10" ht="18" x14ac:dyDescent="0.25">
      <c r="B80" s="223" t="s">
        <v>733</v>
      </c>
      <c r="C80" s="235" t="s">
        <v>734</v>
      </c>
      <c r="D80" s="237">
        <v>40.078000000000003</v>
      </c>
      <c r="E80" s="225"/>
      <c r="F80" s="225"/>
      <c r="G80" s="225" t="s">
        <v>696</v>
      </c>
      <c r="H80" s="225"/>
      <c r="I80" s="225"/>
      <c r="J80" s="238"/>
    </row>
    <row r="81" spans="2:10" ht="18" x14ac:dyDescent="0.25">
      <c r="B81" s="223" t="s">
        <v>735</v>
      </c>
      <c r="C81" s="235" t="s">
        <v>736</v>
      </c>
      <c r="D81" s="237">
        <v>44.955911999999998</v>
      </c>
      <c r="E81" s="225"/>
      <c r="F81" s="225"/>
      <c r="G81" s="225" t="s">
        <v>696</v>
      </c>
      <c r="H81" s="225"/>
      <c r="I81" s="225"/>
      <c r="J81" s="238"/>
    </row>
    <row r="82" spans="2:10" ht="18" x14ac:dyDescent="0.25">
      <c r="B82" s="223" t="s">
        <v>737</v>
      </c>
      <c r="C82" s="235" t="s">
        <v>738</v>
      </c>
      <c r="D82" s="237">
        <v>47.866999999999997</v>
      </c>
      <c r="E82" s="225"/>
      <c r="F82" s="225"/>
      <c r="G82" s="225" t="s">
        <v>696</v>
      </c>
      <c r="H82" s="225"/>
      <c r="I82" s="225"/>
      <c r="J82" s="238"/>
    </row>
    <row r="83" spans="2:10" ht="18" x14ac:dyDescent="0.25">
      <c r="B83" s="223" t="s">
        <v>739</v>
      </c>
      <c r="C83" s="235" t="s">
        <v>740</v>
      </c>
      <c r="D83" s="237">
        <v>50.941499999999998</v>
      </c>
      <c r="E83" s="225"/>
      <c r="F83" s="225"/>
      <c r="G83" s="225" t="s">
        <v>696</v>
      </c>
      <c r="H83" s="225"/>
      <c r="I83" s="225"/>
      <c r="J83" s="238"/>
    </row>
    <row r="84" spans="2:10" ht="18" x14ac:dyDescent="0.25">
      <c r="B84" s="223" t="s">
        <v>741</v>
      </c>
      <c r="C84" s="235" t="s">
        <v>742</v>
      </c>
      <c r="D84" s="237">
        <v>51.996099999999998</v>
      </c>
      <c r="E84" s="225"/>
      <c r="F84" s="225"/>
      <c r="G84" s="225" t="s">
        <v>696</v>
      </c>
      <c r="H84" s="225"/>
      <c r="I84" s="225"/>
      <c r="J84" s="238"/>
    </row>
    <row r="85" spans="2:10" ht="18" x14ac:dyDescent="0.25">
      <c r="B85" s="223" t="s">
        <v>743</v>
      </c>
      <c r="C85" s="235" t="s">
        <v>744</v>
      </c>
      <c r="D85" s="237">
        <v>54.938045000000002</v>
      </c>
      <c r="E85" s="225"/>
      <c r="F85" s="225"/>
      <c r="G85" s="225" t="s">
        <v>696</v>
      </c>
      <c r="H85" s="225"/>
      <c r="I85" s="225"/>
      <c r="J85" s="238"/>
    </row>
    <row r="86" spans="2:10" s="276" customFormat="1" ht="18" x14ac:dyDescent="0.25">
      <c r="B86" s="285" t="s">
        <v>745</v>
      </c>
      <c r="C86" s="235" t="s">
        <v>746</v>
      </c>
      <c r="D86" s="237">
        <v>55.844999999999999</v>
      </c>
      <c r="E86" s="237"/>
      <c r="F86" s="237"/>
      <c r="G86" s="225" t="s">
        <v>696</v>
      </c>
      <c r="H86" s="225"/>
      <c r="I86" s="281"/>
      <c r="J86" s="282"/>
    </row>
    <row r="87" spans="2:10" ht="18" x14ac:dyDescent="0.25">
      <c r="B87" s="223" t="s">
        <v>747</v>
      </c>
      <c r="C87" s="224" t="s">
        <v>748</v>
      </c>
      <c r="D87" s="225">
        <v>58.933194999999998</v>
      </c>
      <c r="E87" s="225"/>
      <c r="F87" s="225"/>
      <c r="G87" s="225" t="s">
        <v>696</v>
      </c>
      <c r="H87" s="225"/>
      <c r="I87" s="225"/>
      <c r="J87" s="238"/>
    </row>
    <row r="88" spans="2:10" ht="18" x14ac:dyDescent="0.25">
      <c r="B88" s="223" t="s">
        <v>749</v>
      </c>
      <c r="C88" s="224" t="s">
        <v>750</v>
      </c>
      <c r="D88" s="225">
        <v>58.693399999999997</v>
      </c>
      <c r="E88" s="225"/>
      <c r="F88" s="225"/>
      <c r="G88" s="225" t="s">
        <v>696</v>
      </c>
      <c r="H88" s="225"/>
      <c r="I88" s="225"/>
      <c r="J88" s="238"/>
    </row>
    <row r="89" spans="2:10" ht="18" x14ac:dyDescent="0.25">
      <c r="B89" s="223" t="s">
        <v>751</v>
      </c>
      <c r="C89" s="224" t="s">
        <v>752</v>
      </c>
      <c r="D89" s="225">
        <v>63.545999999999999</v>
      </c>
      <c r="E89" s="225"/>
      <c r="F89" s="225"/>
      <c r="G89" s="225" t="s">
        <v>696</v>
      </c>
      <c r="H89" s="225"/>
      <c r="I89" s="225"/>
      <c r="J89" s="238"/>
    </row>
    <row r="90" spans="2:10" ht="18" x14ac:dyDescent="0.25">
      <c r="B90" s="223" t="s">
        <v>753</v>
      </c>
      <c r="C90" s="224" t="s">
        <v>754</v>
      </c>
      <c r="D90" s="225">
        <v>65.38</v>
      </c>
      <c r="E90" s="225"/>
      <c r="F90" s="225"/>
      <c r="G90" s="225" t="s">
        <v>696</v>
      </c>
      <c r="H90" s="225"/>
      <c r="I90" s="225"/>
      <c r="J90" s="238"/>
    </row>
    <row r="91" spans="2:10" ht="18" x14ac:dyDescent="0.25">
      <c r="B91" s="223" t="s">
        <v>755</v>
      </c>
      <c r="C91" s="224" t="s">
        <v>756</v>
      </c>
      <c r="D91" s="225">
        <v>69.722999999999999</v>
      </c>
      <c r="E91" s="225"/>
      <c r="F91" s="225"/>
      <c r="G91" s="225" t="s">
        <v>696</v>
      </c>
      <c r="H91" s="225"/>
      <c r="I91" s="225"/>
      <c r="J91" s="238"/>
    </row>
    <row r="92" spans="2:10" ht="18" x14ac:dyDescent="0.25">
      <c r="B92" s="223" t="s">
        <v>757</v>
      </c>
      <c r="C92" s="224" t="s">
        <v>758</v>
      </c>
      <c r="D92" s="225">
        <v>72.64</v>
      </c>
      <c r="E92" s="225"/>
      <c r="F92" s="225"/>
      <c r="G92" s="225" t="s">
        <v>696</v>
      </c>
      <c r="H92" s="225"/>
      <c r="I92" s="225"/>
      <c r="J92" s="238"/>
    </row>
    <row r="93" spans="2:10" ht="18" x14ac:dyDescent="0.25">
      <c r="B93" s="223" t="s">
        <v>759</v>
      </c>
      <c r="C93" s="224" t="s">
        <v>760</v>
      </c>
      <c r="D93" s="225">
        <v>74.921599999999998</v>
      </c>
      <c r="E93" s="225"/>
      <c r="F93" s="225"/>
      <c r="G93" s="225" t="s">
        <v>696</v>
      </c>
      <c r="H93" s="225"/>
      <c r="I93" s="225"/>
      <c r="J93" s="238"/>
    </row>
    <row r="94" spans="2:10" ht="18" x14ac:dyDescent="0.25">
      <c r="B94" s="223" t="s">
        <v>761</v>
      </c>
      <c r="C94" s="224" t="s">
        <v>762</v>
      </c>
      <c r="D94" s="225">
        <v>78.959999999999994</v>
      </c>
      <c r="E94" s="225"/>
      <c r="F94" s="225"/>
      <c r="G94" s="225" t="s">
        <v>696</v>
      </c>
      <c r="H94" s="225"/>
      <c r="I94" s="225"/>
      <c r="J94" s="238"/>
    </row>
    <row r="95" spans="2:10" ht="18" x14ac:dyDescent="0.25">
      <c r="B95" s="223" t="s">
        <v>763</v>
      </c>
      <c r="C95" s="224" t="s">
        <v>764</v>
      </c>
      <c r="D95" s="225">
        <v>79.903999999999996</v>
      </c>
      <c r="E95" s="225"/>
      <c r="F95" s="225"/>
      <c r="G95" s="225" t="s">
        <v>696</v>
      </c>
      <c r="H95" s="225"/>
      <c r="I95" s="225"/>
      <c r="J95" s="238"/>
    </row>
    <row r="96" spans="2:10" ht="18" x14ac:dyDescent="0.25">
      <c r="B96" s="223" t="s">
        <v>765</v>
      </c>
      <c r="C96" s="224" t="s">
        <v>766</v>
      </c>
      <c r="D96" s="225">
        <v>83.798000000000002</v>
      </c>
      <c r="E96" s="225"/>
      <c r="F96" s="225"/>
      <c r="G96" s="225" t="s">
        <v>696</v>
      </c>
      <c r="H96" s="225"/>
      <c r="I96" s="225"/>
      <c r="J96" s="238"/>
    </row>
    <row r="97" spans="2:10" ht="18" x14ac:dyDescent="0.25">
      <c r="B97" s="223" t="s">
        <v>767</v>
      </c>
      <c r="C97" s="224" t="s">
        <v>768</v>
      </c>
      <c r="D97" s="225">
        <v>85.467799999999997</v>
      </c>
      <c r="E97" s="225"/>
      <c r="F97" s="225"/>
      <c r="G97" s="225" t="s">
        <v>696</v>
      </c>
      <c r="H97" s="225"/>
      <c r="I97" s="225"/>
      <c r="J97" s="238"/>
    </row>
    <row r="98" spans="2:10" ht="18" x14ac:dyDescent="0.25">
      <c r="B98" s="223" t="s">
        <v>769</v>
      </c>
      <c r="C98" s="224" t="s">
        <v>770</v>
      </c>
      <c r="D98" s="225">
        <v>87.62</v>
      </c>
      <c r="E98" s="225"/>
      <c r="F98" s="225"/>
      <c r="G98" s="225" t="s">
        <v>696</v>
      </c>
      <c r="H98" s="225"/>
      <c r="I98" s="225"/>
      <c r="J98" s="238"/>
    </row>
    <row r="99" spans="2:10" ht="18" x14ac:dyDescent="0.25">
      <c r="B99" s="223" t="s">
        <v>771</v>
      </c>
      <c r="C99" s="224" t="s">
        <v>772</v>
      </c>
      <c r="D99" s="225">
        <v>88.905850000000001</v>
      </c>
      <c r="E99" s="225"/>
      <c r="F99" s="225"/>
      <c r="G99" s="225" t="s">
        <v>696</v>
      </c>
      <c r="H99" s="225"/>
      <c r="I99" s="225"/>
      <c r="J99" s="238"/>
    </row>
    <row r="100" spans="2:10" ht="18" x14ac:dyDescent="0.25">
      <c r="B100" s="223" t="s">
        <v>773</v>
      </c>
      <c r="C100" s="224" t="s">
        <v>774</v>
      </c>
      <c r="D100" s="225">
        <v>91.224000000000004</v>
      </c>
      <c r="E100" s="225"/>
      <c r="F100" s="225"/>
      <c r="G100" s="225" t="s">
        <v>696</v>
      </c>
      <c r="H100" s="225"/>
      <c r="I100" s="225"/>
      <c r="J100" s="238"/>
    </row>
    <row r="101" spans="2:10" ht="18" x14ac:dyDescent="0.25">
      <c r="B101" s="223" t="s">
        <v>775</v>
      </c>
      <c r="C101" s="224" t="s">
        <v>776</v>
      </c>
      <c r="D101" s="225">
        <v>92.906379999999999</v>
      </c>
      <c r="E101" s="225"/>
      <c r="F101" s="225"/>
      <c r="G101" s="225" t="s">
        <v>696</v>
      </c>
      <c r="H101" s="225"/>
      <c r="I101" s="225"/>
      <c r="J101" s="238"/>
    </row>
    <row r="102" spans="2:10" ht="18" x14ac:dyDescent="0.25">
      <c r="B102" s="223" t="s">
        <v>777</v>
      </c>
      <c r="C102" s="224" t="s">
        <v>778</v>
      </c>
      <c r="D102" s="225">
        <v>95.94</v>
      </c>
      <c r="E102" s="225"/>
      <c r="F102" s="225"/>
      <c r="G102" s="225" t="s">
        <v>696</v>
      </c>
      <c r="H102" s="225"/>
      <c r="I102" s="225"/>
      <c r="J102" s="238"/>
    </row>
    <row r="103" spans="2:10" ht="18" x14ac:dyDescent="0.25">
      <c r="B103" s="223" t="s">
        <v>779</v>
      </c>
      <c r="C103" s="224" t="s">
        <v>780</v>
      </c>
      <c r="D103" s="225">
        <v>98</v>
      </c>
      <c r="E103" s="225"/>
      <c r="F103" s="225"/>
      <c r="G103" s="225" t="s">
        <v>696</v>
      </c>
      <c r="H103" s="225"/>
      <c r="I103" s="225"/>
      <c r="J103" s="238"/>
    </row>
    <row r="104" spans="2:10" ht="18" x14ac:dyDescent="0.25">
      <c r="B104" s="223" t="s">
        <v>781</v>
      </c>
      <c r="C104" s="224" t="s">
        <v>782</v>
      </c>
      <c r="D104" s="225">
        <v>101.07</v>
      </c>
      <c r="E104" s="225"/>
      <c r="F104" s="225"/>
      <c r="G104" s="225" t="s">
        <v>696</v>
      </c>
      <c r="H104" s="225"/>
      <c r="I104" s="225"/>
      <c r="J104" s="238"/>
    </row>
    <row r="105" spans="2:10" ht="18" x14ac:dyDescent="0.25">
      <c r="B105" s="223" t="s">
        <v>783</v>
      </c>
      <c r="C105" s="224" t="s">
        <v>784</v>
      </c>
      <c r="D105" s="225">
        <v>102.9055</v>
      </c>
      <c r="E105" s="225"/>
      <c r="F105" s="225"/>
      <c r="G105" s="225" t="s">
        <v>696</v>
      </c>
      <c r="H105" s="225"/>
      <c r="I105" s="225"/>
      <c r="J105" s="238"/>
    </row>
    <row r="106" spans="2:10" ht="18" x14ac:dyDescent="0.25">
      <c r="B106" s="223" t="s">
        <v>785</v>
      </c>
      <c r="C106" s="224" t="s">
        <v>786</v>
      </c>
      <c r="D106" s="225">
        <v>106.42</v>
      </c>
      <c r="E106" s="225"/>
      <c r="F106" s="225"/>
      <c r="G106" s="225" t="s">
        <v>696</v>
      </c>
      <c r="H106" s="225"/>
      <c r="I106" s="225"/>
      <c r="J106" s="238"/>
    </row>
    <row r="107" spans="2:10" ht="18" x14ac:dyDescent="0.25">
      <c r="B107" s="223" t="s">
        <v>787</v>
      </c>
      <c r="C107" s="224" t="s">
        <v>788</v>
      </c>
      <c r="D107" s="225">
        <v>107.8682</v>
      </c>
      <c r="E107" s="225"/>
      <c r="F107" s="225"/>
      <c r="G107" s="225" t="s">
        <v>696</v>
      </c>
      <c r="H107" s="225"/>
      <c r="I107" s="225"/>
      <c r="J107" s="238"/>
    </row>
    <row r="108" spans="2:10" ht="18" x14ac:dyDescent="0.25">
      <c r="B108" s="223" t="s">
        <v>789</v>
      </c>
      <c r="C108" s="224" t="s">
        <v>790</v>
      </c>
      <c r="D108" s="225">
        <v>112.411</v>
      </c>
      <c r="E108" s="225"/>
      <c r="F108" s="225"/>
      <c r="G108" s="225" t="s">
        <v>696</v>
      </c>
      <c r="H108" s="225"/>
      <c r="I108" s="225"/>
      <c r="J108" s="238"/>
    </row>
    <row r="109" spans="2:10" ht="18" x14ac:dyDescent="0.25">
      <c r="B109" s="223" t="s">
        <v>791</v>
      </c>
      <c r="C109" s="224" t="s">
        <v>792</v>
      </c>
      <c r="D109" s="225">
        <v>114.818</v>
      </c>
      <c r="E109" s="225"/>
      <c r="F109" s="225"/>
      <c r="G109" s="225" t="s">
        <v>696</v>
      </c>
      <c r="H109" s="225"/>
      <c r="I109" s="225"/>
      <c r="J109" s="238"/>
    </row>
    <row r="110" spans="2:10" ht="18" x14ac:dyDescent="0.25">
      <c r="B110" s="223" t="s">
        <v>793</v>
      </c>
      <c r="C110" s="224" t="s">
        <v>794</v>
      </c>
      <c r="D110" s="225">
        <v>118.71</v>
      </c>
      <c r="E110" s="225"/>
      <c r="F110" s="225"/>
      <c r="G110" s="225" t="s">
        <v>696</v>
      </c>
      <c r="H110" s="225"/>
      <c r="I110" s="225"/>
      <c r="J110" s="238"/>
    </row>
    <row r="111" spans="2:10" ht="18" x14ac:dyDescent="0.25">
      <c r="B111" s="223" t="s">
        <v>795</v>
      </c>
      <c r="C111" s="224" t="s">
        <v>796</v>
      </c>
      <c r="D111" s="225">
        <v>121.76</v>
      </c>
      <c r="E111" s="225"/>
      <c r="F111" s="225"/>
      <c r="G111" s="225" t="s">
        <v>696</v>
      </c>
      <c r="H111" s="225"/>
      <c r="I111" s="225"/>
      <c r="J111" s="238"/>
    </row>
    <row r="112" spans="2:10" ht="18" x14ac:dyDescent="0.25">
      <c r="B112" s="223" t="s">
        <v>797</v>
      </c>
      <c r="C112" s="224" t="s">
        <v>798</v>
      </c>
      <c r="D112" s="225">
        <v>127.6</v>
      </c>
      <c r="E112" s="225"/>
      <c r="F112" s="225"/>
      <c r="G112" s="225" t="s">
        <v>696</v>
      </c>
      <c r="H112" s="225"/>
      <c r="I112" s="225"/>
      <c r="J112" s="238"/>
    </row>
    <row r="113" spans="2:10" ht="18" x14ac:dyDescent="0.25">
      <c r="B113" s="223" t="s">
        <v>799</v>
      </c>
      <c r="C113" s="224" t="s">
        <v>800</v>
      </c>
      <c r="D113" s="225">
        <v>126.90447</v>
      </c>
      <c r="E113" s="225"/>
      <c r="F113" s="225"/>
      <c r="G113" s="225" t="s">
        <v>696</v>
      </c>
      <c r="H113" s="225"/>
      <c r="I113" s="225"/>
      <c r="J113" s="238"/>
    </row>
    <row r="114" spans="2:10" ht="18" x14ac:dyDescent="0.25">
      <c r="B114" s="223" t="s">
        <v>801</v>
      </c>
      <c r="C114" s="224" t="s">
        <v>802</v>
      </c>
      <c r="D114" s="225">
        <v>131.29300000000001</v>
      </c>
      <c r="E114" s="225"/>
      <c r="F114" s="225"/>
      <c r="G114" s="225" t="s">
        <v>696</v>
      </c>
      <c r="H114" s="225"/>
      <c r="I114" s="225"/>
      <c r="J114" s="238"/>
    </row>
    <row r="115" spans="2:10" ht="18" x14ac:dyDescent="0.25">
      <c r="B115" s="223" t="s">
        <v>803</v>
      </c>
      <c r="C115" s="224" t="s">
        <v>804</v>
      </c>
      <c r="D115" s="225">
        <v>132.90545</v>
      </c>
      <c r="E115" s="225"/>
      <c r="F115" s="225"/>
      <c r="G115" s="225" t="s">
        <v>696</v>
      </c>
      <c r="H115" s="225"/>
      <c r="I115" s="225"/>
      <c r="J115" s="238"/>
    </row>
    <row r="116" spans="2:10" ht="18" x14ac:dyDescent="0.25">
      <c r="B116" s="223" t="s">
        <v>805</v>
      </c>
      <c r="C116" s="224" t="s">
        <v>806</v>
      </c>
      <c r="D116" s="225">
        <v>137.327</v>
      </c>
      <c r="E116" s="225"/>
      <c r="F116" s="225"/>
      <c r="G116" s="225" t="s">
        <v>696</v>
      </c>
      <c r="H116" s="225"/>
      <c r="I116" s="225"/>
      <c r="J116" s="238"/>
    </row>
    <row r="117" spans="2:10" ht="18" x14ac:dyDescent="0.25">
      <c r="B117" s="223" t="s">
        <v>807</v>
      </c>
      <c r="C117" s="224" t="s">
        <v>808</v>
      </c>
      <c r="D117" s="225">
        <v>138.90547000000001</v>
      </c>
      <c r="E117" s="225"/>
      <c r="F117" s="225"/>
      <c r="G117" s="225" t="s">
        <v>696</v>
      </c>
      <c r="H117" s="225"/>
      <c r="I117" s="225"/>
      <c r="J117" s="238"/>
    </row>
    <row r="118" spans="2:10" ht="18" x14ac:dyDescent="0.25">
      <c r="B118" s="223" t="s">
        <v>809</v>
      </c>
      <c r="C118" s="224" t="s">
        <v>810</v>
      </c>
      <c r="D118" s="225">
        <v>140.11600000000001</v>
      </c>
      <c r="E118" s="225"/>
      <c r="F118" s="225"/>
      <c r="G118" s="225" t="s">
        <v>696</v>
      </c>
      <c r="H118" s="225"/>
      <c r="I118" s="225"/>
      <c r="J118" s="238"/>
    </row>
    <row r="119" spans="2:10" ht="18" x14ac:dyDescent="0.25">
      <c r="B119" s="223" t="s">
        <v>811</v>
      </c>
      <c r="C119" s="224" t="s">
        <v>812</v>
      </c>
      <c r="D119" s="225">
        <v>140.90764999999999</v>
      </c>
      <c r="E119" s="225"/>
      <c r="F119" s="225"/>
      <c r="G119" s="225" t="s">
        <v>696</v>
      </c>
      <c r="H119" s="225"/>
      <c r="I119" s="225"/>
      <c r="J119" s="238"/>
    </row>
    <row r="120" spans="2:10" ht="18" x14ac:dyDescent="0.25">
      <c r="B120" s="223" t="s">
        <v>813</v>
      </c>
      <c r="C120" s="224" t="s">
        <v>814</v>
      </c>
      <c r="D120" s="225">
        <v>144.24199999999999</v>
      </c>
      <c r="E120" s="225"/>
      <c r="F120" s="225"/>
      <c r="G120" s="225" t="s">
        <v>696</v>
      </c>
      <c r="H120" s="225"/>
      <c r="I120" s="225"/>
      <c r="J120" s="238"/>
    </row>
    <row r="121" spans="2:10" ht="18" x14ac:dyDescent="0.25">
      <c r="B121" s="223" t="s">
        <v>815</v>
      </c>
      <c r="C121" s="224" t="s">
        <v>816</v>
      </c>
      <c r="D121" s="225">
        <v>145</v>
      </c>
      <c r="E121" s="225"/>
      <c r="F121" s="225"/>
      <c r="G121" s="225" t="s">
        <v>696</v>
      </c>
      <c r="H121" s="225"/>
      <c r="I121" s="225"/>
      <c r="J121" s="238"/>
    </row>
    <row r="122" spans="2:10" ht="18" x14ac:dyDescent="0.25">
      <c r="B122" s="223" t="s">
        <v>817</v>
      </c>
      <c r="C122" s="224" t="s">
        <v>818</v>
      </c>
      <c r="D122" s="225">
        <v>150.36000000000001</v>
      </c>
      <c r="E122" s="225"/>
      <c r="F122" s="225"/>
      <c r="G122" s="225" t="s">
        <v>696</v>
      </c>
      <c r="H122" s="225"/>
      <c r="I122" s="225"/>
      <c r="J122" s="238"/>
    </row>
    <row r="123" spans="2:10" ht="18" x14ac:dyDescent="0.25">
      <c r="B123" s="223" t="s">
        <v>819</v>
      </c>
      <c r="C123" s="224" t="s">
        <v>820</v>
      </c>
      <c r="D123" s="225">
        <v>151.964</v>
      </c>
      <c r="E123" s="225"/>
      <c r="F123" s="225"/>
      <c r="G123" s="225" t="s">
        <v>696</v>
      </c>
      <c r="H123" s="225"/>
      <c r="I123" s="225"/>
      <c r="J123" s="238"/>
    </row>
    <row r="124" spans="2:10" ht="18" x14ac:dyDescent="0.25">
      <c r="B124" s="223" t="s">
        <v>821</v>
      </c>
      <c r="C124" s="224" t="s">
        <v>822</v>
      </c>
      <c r="D124" s="225">
        <v>157.25</v>
      </c>
      <c r="E124" s="225"/>
      <c r="F124" s="225"/>
      <c r="G124" s="225" t="s">
        <v>696</v>
      </c>
      <c r="H124" s="225"/>
      <c r="I124" s="225"/>
      <c r="J124" s="238"/>
    </row>
    <row r="125" spans="2:10" ht="18" x14ac:dyDescent="0.25">
      <c r="B125" s="223" t="s">
        <v>823</v>
      </c>
      <c r="C125" s="224" t="s">
        <v>824</v>
      </c>
      <c r="D125" s="225">
        <v>158.92535000000001</v>
      </c>
      <c r="E125" s="225"/>
      <c r="F125" s="225"/>
      <c r="G125" s="225" t="s">
        <v>696</v>
      </c>
      <c r="H125" s="225"/>
      <c r="I125" s="225"/>
      <c r="J125" s="238"/>
    </row>
    <row r="126" spans="2:10" ht="18" x14ac:dyDescent="0.25">
      <c r="B126" s="223" t="s">
        <v>825</v>
      </c>
      <c r="C126" s="224" t="s">
        <v>826</v>
      </c>
      <c r="D126" s="225">
        <v>162.5</v>
      </c>
      <c r="E126" s="225"/>
      <c r="F126" s="225"/>
      <c r="G126" s="225" t="s">
        <v>696</v>
      </c>
      <c r="H126" s="225"/>
      <c r="I126" s="225"/>
      <c r="J126" s="238"/>
    </row>
    <row r="127" spans="2:10" ht="18" x14ac:dyDescent="0.25">
      <c r="B127" s="223" t="s">
        <v>827</v>
      </c>
      <c r="C127" s="224" t="s">
        <v>828</v>
      </c>
      <c r="D127" s="225">
        <v>164.93031999999999</v>
      </c>
      <c r="E127" s="225"/>
      <c r="F127" s="225"/>
      <c r="G127" s="225" t="s">
        <v>696</v>
      </c>
      <c r="H127" s="225"/>
      <c r="I127" s="225"/>
      <c r="J127" s="238"/>
    </row>
    <row r="128" spans="2:10" ht="18" x14ac:dyDescent="0.25">
      <c r="B128" s="223" t="s">
        <v>829</v>
      </c>
      <c r="C128" s="224" t="s">
        <v>830</v>
      </c>
      <c r="D128" s="225">
        <v>167.25899999999999</v>
      </c>
      <c r="E128" s="225"/>
      <c r="F128" s="225"/>
      <c r="G128" s="225" t="s">
        <v>696</v>
      </c>
      <c r="H128" s="225"/>
      <c r="I128" s="225"/>
      <c r="J128" s="238"/>
    </row>
    <row r="129" spans="2:10" ht="18" x14ac:dyDescent="0.25">
      <c r="B129" s="223" t="s">
        <v>831</v>
      </c>
      <c r="C129" s="224" t="s">
        <v>832</v>
      </c>
      <c r="D129" s="225">
        <v>168.93421000000001</v>
      </c>
      <c r="E129" s="225"/>
      <c r="F129" s="225"/>
      <c r="G129" s="225" t="s">
        <v>696</v>
      </c>
      <c r="H129" s="225"/>
      <c r="I129" s="225"/>
      <c r="J129" s="238"/>
    </row>
    <row r="130" spans="2:10" ht="18" x14ac:dyDescent="0.25">
      <c r="B130" s="223" t="s">
        <v>833</v>
      </c>
      <c r="C130" s="224" t="s">
        <v>834</v>
      </c>
      <c r="D130" s="225">
        <v>173.04</v>
      </c>
      <c r="E130" s="225"/>
      <c r="F130" s="225"/>
      <c r="G130" s="225" t="s">
        <v>696</v>
      </c>
      <c r="H130" s="225"/>
      <c r="I130" s="225"/>
      <c r="J130" s="238"/>
    </row>
    <row r="131" spans="2:10" ht="18" x14ac:dyDescent="0.25">
      <c r="B131" s="223" t="s">
        <v>835</v>
      </c>
      <c r="C131" s="224" t="s">
        <v>836</v>
      </c>
      <c r="D131" s="225">
        <v>174.96700000000001</v>
      </c>
      <c r="E131" s="225"/>
      <c r="F131" s="225"/>
      <c r="G131" s="225" t="s">
        <v>696</v>
      </c>
      <c r="H131" s="225"/>
      <c r="I131" s="225"/>
      <c r="J131" s="238"/>
    </row>
    <row r="132" spans="2:10" ht="18" x14ac:dyDescent="0.25">
      <c r="B132" s="223" t="s">
        <v>837</v>
      </c>
      <c r="C132" s="224" t="s">
        <v>838</v>
      </c>
      <c r="D132" s="225">
        <v>178.49</v>
      </c>
      <c r="E132" s="225"/>
      <c r="F132" s="225"/>
      <c r="G132" s="225" t="s">
        <v>696</v>
      </c>
      <c r="H132" s="225"/>
      <c r="I132" s="225"/>
      <c r="J132" s="238"/>
    </row>
    <row r="133" spans="2:10" ht="18" x14ac:dyDescent="0.25">
      <c r="B133" s="223" t="s">
        <v>839</v>
      </c>
      <c r="C133" s="224" t="s">
        <v>840</v>
      </c>
      <c r="D133" s="225">
        <v>180.94788</v>
      </c>
      <c r="E133" s="225"/>
      <c r="F133" s="225"/>
      <c r="G133" s="225" t="s">
        <v>696</v>
      </c>
      <c r="H133" s="225"/>
      <c r="I133" s="225"/>
      <c r="J133" s="238"/>
    </row>
    <row r="134" spans="2:10" ht="18" x14ac:dyDescent="0.25">
      <c r="B134" s="223" t="s">
        <v>841</v>
      </c>
      <c r="C134" s="224" t="s">
        <v>842</v>
      </c>
      <c r="D134" s="225">
        <v>183.84</v>
      </c>
      <c r="E134" s="225"/>
      <c r="F134" s="225"/>
      <c r="G134" s="225" t="s">
        <v>696</v>
      </c>
      <c r="H134" s="225"/>
      <c r="I134" s="225"/>
      <c r="J134" s="238"/>
    </row>
    <row r="135" spans="2:10" ht="18" x14ac:dyDescent="0.25">
      <c r="B135" s="223" t="s">
        <v>843</v>
      </c>
      <c r="C135" s="224" t="s">
        <v>844</v>
      </c>
      <c r="D135" s="225">
        <v>186.20699999999999</v>
      </c>
      <c r="E135" s="225"/>
      <c r="F135" s="225"/>
      <c r="G135" s="225" t="s">
        <v>696</v>
      </c>
      <c r="H135" s="225"/>
      <c r="I135" s="225"/>
      <c r="J135" s="238"/>
    </row>
    <row r="136" spans="2:10" ht="18" x14ac:dyDescent="0.25">
      <c r="B136" s="223" t="s">
        <v>845</v>
      </c>
      <c r="C136" s="224" t="s">
        <v>846</v>
      </c>
      <c r="D136" s="225">
        <v>190.23</v>
      </c>
      <c r="E136" s="225"/>
      <c r="F136" s="225"/>
      <c r="G136" s="225" t="s">
        <v>696</v>
      </c>
      <c r="H136" s="225"/>
      <c r="I136" s="225"/>
      <c r="J136" s="238"/>
    </row>
    <row r="137" spans="2:10" ht="18" x14ac:dyDescent="0.25">
      <c r="B137" s="223" t="s">
        <v>847</v>
      </c>
      <c r="C137" s="224" t="s">
        <v>848</v>
      </c>
      <c r="D137" s="225">
        <v>192.21700000000001</v>
      </c>
      <c r="E137" s="225"/>
      <c r="F137" s="225"/>
      <c r="G137" s="225" t="s">
        <v>696</v>
      </c>
      <c r="H137" s="225"/>
      <c r="I137" s="225"/>
      <c r="J137" s="238"/>
    </row>
    <row r="138" spans="2:10" ht="18" x14ac:dyDescent="0.25">
      <c r="B138" s="223" t="s">
        <v>849</v>
      </c>
      <c r="C138" s="224" t="s">
        <v>850</v>
      </c>
      <c r="D138" s="225">
        <v>195.084</v>
      </c>
      <c r="E138" s="225"/>
      <c r="F138" s="225"/>
      <c r="G138" s="225" t="s">
        <v>696</v>
      </c>
      <c r="H138" s="225"/>
      <c r="I138" s="225"/>
      <c r="J138" s="238"/>
    </row>
    <row r="139" spans="2:10" ht="18" x14ac:dyDescent="0.25">
      <c r="B139" s="223" t="s">
        <v>851</v>
      </c>
      <c r="C139" s="224" t="s">
        <v>852</v>
      </c>
      <c r="D139" s="225">
        <v>196.96656999999999</v>
      </c>
      <c r="E139" s="225"/>
      <c r="F139" s="225"/>
      <c r="G139" s="225" t="s">
        <v>696</v>
      </c>
      <c r="H139" s="225"/>
      <c r="I139" s="225"/>
      <c r="J139" s="238"/>
    </row>
    <row r="140" spans="2:10" ht="18" x14ac:dyDescent="0.25">
      <c r="B140" s="223" t="s">
        <v>853</v>
      </c>
      <c r="C140" s="224" t="s">
        <v>854</v>
      </c>
      <c r="D140" s="225">
        <v>200.59</v>
      </c>
      <c r="E140" s="225"/>
      <c r="F140" s="225"/>
      <c r="G140" s="225" t="s">
        <v>696</v>
      </c>
      <c r="H140" s="225"/>
      <c r="I140" s="225"/>
      <c r="J140" s="238"/>
    </row>
    <row r="141" spans="2:10" ht="18" x14ac:dyDescent="0.25">
      <c r="B141" s="223" t="s">
        <v>855</v>
      </c>
      <c r="C141" s="224" t="s">
        <v>856</v>
      </c>
      <c r="D141" s="225">
        <v>204.38329999999999</v>
      </c>
      <c r="E141" s="225"/>
      <c r="F141" s="225"/>
      <c r="G141" s="225" t="s">
        <v>696</v>
      </c>
      <c r="H141" s="225"/>
      <c r="I141" s="225"/>
      <c r="J141" s="238"/>
    </row>
    <row r="142" spans="2:10" ht="18" x14ac:dyDescent="0.25">
      <c r="B142" s="223" t="s">
        <v>857</v>
      </c>
      <c r="C142" s="224" t="s">
        <v>858</v>
      </c>
      <c r="D142" s="225">
        <v>207.2</v>
      </c>
      <c r="E142" s="225"/>
      <c r="F142" s="225"/>
      <c r="G142" s="225" t="s">
        <v>696</v>
      </c>
      <c r="H142" s="225"/>
      <c r="I142" s="225"/>
      <c r="J142" s="238"/>
    </row>
    <row r="143" spans="2:10" ht="18" x14ac:dyDescent="0.25">
      <c r="B143" s="223" t="s">
        <v>859</v>
      </c>
      <c r="C143" s="224" t="s">
        <v>860</v>
      </c>
      <c r="D143" s="225">
        <v>208.9804</v>
      </c>
      <c r="E143" s="225"/>
      <c r="F143" s="225"/>
      <c r="G143" s="225" t="s">
        <v>696</v>
      </c>
      <c r="H143" s="225"/>
      <c r="I143" s="225"/>
      <c r="J143" s="238"/>
    </row>
    <row r="144" spans="2:10" ht="18" x14ac:dyDescent="0.25">
      <c r="B144" s="223" t="s">
        <v>861</v>
      </c>
      <c r="C144" s="224" t="s">
        <v>862</v>
      </c>
      <c r="D144" s="225">
        <v>209</v>
      </c>
      <c r="E144" s="225"/>
      <c r="F144" s="225"/>
      <c r="G144" s="225" t="s">
        <v>696</v>
      </c>
      <c r="H144" s="225"/>
      <c r="I144" s="225"/>
      <c r="J144" s="238"/>
    </row>
    <row r="145" spans="2:10" ht="18" x14ac:dyDescent="0.25">
      <c r="B145" s="223" t="s">
        <v>863</v>
      </c>
      <c r="C145" s="224" t="s">
        <v>864</v>
      </c>
      <c r="D145" s="225">
        <v>210</v>
      </c>
      <c r="E145" s="225"/>
      <c r="F145" s="225"/>
      <c r="G145" s="225" t="s">
        <v>696</v>
      </c>
      <c r="H145" s="225"/>
      <c r="I145" s="225"/>
      <c r="J145" s="238"/>
    </row>
    <row r="146" spans="2:10" ht="18" x14ac:dyDescent="0.25">
      <c r="B146" s="223" t="s">
        <v>865</v>
      </c>
      <c r="C146" s="224" t="s">
        <v>866</v>
      </c>
      <c r="D146" s="225">
        <v>222</v>
      </c>
      <c r="E146" s="225"/>
      <c r="F146" s="225"/>
      <c r="G146" s="225" t="s">
        <v>696</v>
      </c>
      <c r="H146" s="225"/>
      <c r="I146" s="225"/>
      <c r="J146" s="238"/>
    </row>
    <row r="147" spans="2:10" ht="18" x14ac:dyDescent="0.25">
      <c r="B147" s="223" t="s">
        <v>867</v>
      </c>
      <c r="C147" s="224" t="s">
        <v>868</v>
      </c>
      <c r="D147" s="225">
        <v>223</v>
      </c>
      <c r="E147" s="225"/>
      <c r="F147" s="225"/>
      <c r="G147" s="225" t="s">
        <v>696</v>
      </c>
      <c r="H147" s="225"/>
      <c r="I147" s="225"/>
      <c r="J147" s="238"/>
    </row>
    <row r="148" spans="2:10" ht="18" x14ac:dyDescent="0.25">
      <c r="B148" s="223" t="s">
        <v>869</v>
      </c>
      <c r="C148" s="224" t="s">
        <v>870</v>
      </c>
      <c r="D148" s="225">
        <v>226</v>
      </c>
      <c r="E148" s="225"/>
      <c r="F148" s="225"/>
      <c r="G148" s="225" t="s">
        <v>696</v>
      </c>
      <c r="H148" s="225"/>
      <c r="I148" s="225"/>
      <c r="J148" s="238"/>
    </row>
    <row r="149" spans="2:10" ht="18" x14ac:dyDescent="0.25">
      <c r="B149" s="223" t="s">
        <v>871</v>
      </c>
      <c r="C149" s="224" t="s">
        <v>872</v>
      </c>
      <c r="D149" s="225">
        <v>227</v>
      </c>
      <c r="E149" s="225"/>
      <c r="F149" s="225"/>
      <c r="G149" s="225" t="s">
        <v>696</v>
      </c>
      <c r="H149" s="225"/>
      <c r="I149" s="225"/>
      <c r="J149" s="238"/>
    </row>
    <row r="150" spans="2:10" ht="18" x14ac:dyDescent="0.25">
      <c r="B150" s="223" t="s">
        <v>873</v>
      </c>
      <c r="C150" s="224" t="s">
        <v>874</v>
      </c>
      <c r="D150" s="225">
        <v>232.03806</v>
      </c>
      <c r="E150" s="225"/>
      <c r="F150" s="225"/>
      <c r="G150" s="225" t="s">
        <v>696</v>
      </c>
      <c r="H150" s="225"/>
      <c r="I150" s="225"/>
      <c r="J150" s="238"/>
    </row>
    <row r="151" spans="2:10" ht="18" x14ac:dyDescent="0.25">
      <c r="B151" s="223" t="s">
        <v>875</v>
      </c>
      <c r="C151" s="224" t="s">
        <v>876</v>
      </c>
      <c r="D151" s="225">
        <v>231.03587999999999</v>
      </c>
      <c r="E151" s="225"/>
      <c r="F151" s="225"/>
      <c r="G151" s="225" t="s">
        <v>696</v>
      </c>
      <c r="H151" s="225"/>
      <c r="I151" s="225"/>
      <c r="J151" s="238"/>
    </row>
    <row r="152" spans="2:10" ht="18" x14ac:dyDescent="0.25">
      <c r="B152" s="223" t="s">
        <v>877</v>
      </c>
      <c r="C152" s="224" t="s">
        <v>878</v>
      </c>
      <c r="D152" s="225">
        <v>238.02891</v>
      </c>
      <c r="E152" s="225"/>
      <c r="F152" s="225"/>
      <c r="G152" s="225" t="s">
        <v>696</v>
      </c>
      <c r="H152" s="225"/>
      <c r="I152" s="225"/>
      <c r="J152" s="238"/>
    </row>
    <row r="153" spans="2:10" ht="18" x14ac:dyDescent="0.25">
      <c r="B153" s="223" t="s">
        <v>879</v>
      </c>
      <c r="C153" s="224" t="s">
        <v>880</v>
      </c>
      <c r="D153" s="225">
        <v>237</v>
      </c>
      <c r="E153" s="225"/>
      <c r="F153" s="225"/>
      <c r="G153" s="225" t="s">
        <v>696</v>
      </c>
      <c r="H153" s="225"/>
      <c r="I153" s="225"/>
      <c r="J153" s="238"/>
    </row>
    <row r="154" spans="2:10" ht="18" x14ac:dyDescent="0.25">
      <c r="B154" s="223" t="s">
        <v>881</v>
      </c>
      <c r="C154" s="224" t="s">
        <v>882</v>
      </c>
      <c r="D154" s="225">
        <v>244</v>
      </c>
      <c r="E154" s="225"/>
      <c r="F154" s="225"/>
      <c r="G154" s="225" t="s">
        <v>696</v>
      </c>
      <c r="H154" s="225"/>
      <c r="I154" s="225"/>
      <c r="J154" s="238"/>
    </row>
    <row r="155" spans="2:10" ht="18" x14ac:dyDescent="0.25">
      <c r="B155" s="223" t="s">
        <v>883</v>
      </c>
      <c r="C155" s="224" t="s">
        <v>884</v>
      </c>
      <c r="D155" s="225">
        <v>243</v>
      </c>
      <c r="E155" s="225"/>
      <c r="F155" s="225"/>
      <c r="G155" s="225" t="s">
        <v>696</v>
      </c>
      <c r="H155" s="225"/>
      <c r="I155" s="225"/>
      <c r="J155" s="238"/>
    </row>
    <row r="156" spans="2:10" ht="18" x14ac:dyDescent="0.25">
      <c r="B156" s="223" t="s">
        <v>885</v>
      </c>
      <c r="C156" s="224" t="s">
        <v>886</v>
      </c>
      <c r="D156" s="225">
        <v>247</v>
      </c>
      <c r="E156" s="225"/>
      <c r="F156" s="225"/>
      <c r="G156" s="225" t="s">
        <v>696</v>
      </c>
      <c r="H156" s="225"/>
      <c r="I156" s="225"/>
      <c r="J156" s="238"/>
    </row>
    <row r="157" spans="2:10" ht="18" x14ac:dyDescent="0.25">
      <c r="B157" s="223" t="s">
        <v>887</v>
      </c>
      <c r="C157" s="224" t="s">
        <v>888</v>
      </c>
      <c r="D157" s="225">
        <v>247</v>
      </c>
      <c r="E157" s="225"/>
      <c r="F157" s="225"/>
      <c r="G157" s="225" t="s">
        <v>696</v>
      </c>
      <c r="H157" s="225"/>
      <c r="I157" s="225"/>
      <c r="J157" s="238"/>
    </row>
    <row r="158" spans="2:10" ht="18" x14ac:dyDescent="0.25">
      <c r="B158" s="223" t="s">
        <v>889</v>
      </c>
      <c r="C158" s="224" t="s">
        <v>890</v>
      </c>
      <c r="D158" s="225">
        <v>251</v>
      </c>
      <c r="E158" s="225"/>
      <c r="F158" s="225"/>
      <c r="G158" s="225" t="s">
        <v>696</v>
      </c>
      <c r="H158" s="225"/>
      <c r="I158" s="225"/>
      <c r="J158" s="238"/>
    </row>
    <row r="159" spans="2:10" ht="18" x14ac:dyDescent="0.25">
      <c r="B159" s="223" t="s">
        <v>891</v>
      </c>
      <c r="C159" s="224" t="s">
        <v>892</v>
      </c>
      <c r="D159" s="225">
        <v>252</v>
      </c>
      <c r="E159" s="225"/>
      <c r="F159" s="225"/>
      <c r="G159" s="225" t="s">
        <v>696</v>
      </c>
      <c r="H159" s="225"/>
      <c r="I159" s="225"/>
      <c r="J159" s="238"/>
    </row>
    <row r="160" spans="2:10" ht="18" x14ac:dyDescent="0.25">
      <c r="B160" s="223" t="s">
        <v>893</v>
      </c>
      <c r="C160" s="224" t="s">
        <v>894</v>
      </c>
      <c r="D160" s="225">
        <v>257</v>
      </c>
      <c r="E160" s="225"/>
      <c r="F160" s="225"/>
      <c r="G160" s="225" t="s">
        <v>696</v>
      </c>
      <c r="H160" s="225"/>
      <c r="I160" s="225"/>
      <c r="J160" s="238"/>
    </row>
    <row r="161" spans="2:10" ht="18" x14ac:dyDescent="0.25">
      <c r="B161" s="223" t="s">
        <v>895</v>
      </c>
      <c r="C161" s="224" t="s">
        <v>896</v>
      </c>
      <c r="D161" s="225">
        <v>258</v>
      </c>
      <c r="E161" s="225"/>
      <c r="F161" s="225"/>
      <c r="G161" s="225" t="s">
        <v>696</v>
      </c>
      <c r="H161" s="225"/>
      <c r="I161" s="225"/>
      <c r="J161" s="238"/>
    </row>
    <row r="162" spans="2:10" ht="18" x14ac:dyDescent="0.25">
      <c r="B162" s="223" t="s">
        <v>897</v>
      </c>
      <c r="C162" s="224" t="s">
        <v>898</v>
      </c>
      <c r="D162" s="225">
        <v>259</v>
      </c>
      <c r="E162" s="225"/>
      <c r="F162" s="225"/>
      <c r="G162" s="225" t="s">
        <v>696</v>
      </c>
      <c r="H162" s="225"/>
      <c r="I162" s="225"/>
      <c r="J162" s="238"/>
    </row>
    <row r="163" spans="2:10" ht="18" x14ac:dyDescent="0.25">
      <c r="B163" s="223" t="s">
        <v>899</v>
      </c>
      <c r="C163" s="224" t="s">
        <v>900</v>
      </c>
      <c r="D163" s="225">
        <v>262</v>
      </c>
      <c r="E163" s="225"/>
      <c r="F163" s="225"/>
      <c r="G163" s="225" t="s">
        <v>696</v>
      </c>
      <c r="H163" s="225"/>
      <c r="I163" s="225"/>
      <c r="J163" s="238"/>
    </row>
    <row r="164" spans="2:10" ht="18" x14ac:dyDescent="0.25">
      <c r="B164" s="223" t="s">
        <v>901</v>
      </c>
      <c r="C164" s="224" t="s">
        <v>902</v>
      </c>
      <c r="D164" s="225">
        <v>261</v>
      </c>
      <c r="E164" s="225"/>
      <c r="F164" s="225"/>
      <c r="G164" s="225" t="s">
        <v>696</v>
      </c>
      <c r="H164" s="225"/>
      <c r="I164" s="225"/>
      <c r="J164" s="238"/>
    </row>
    <row r="165" spans="2:10" ht="18" x14ac:dyDescent="0.25">
      <c r="B165" s="223" t="s">
        <v>903</v>
      </c>
      <c r="C165" s="224" t="s">
        <v>904</v>
      </c>
      <c r="D165" s="225">
        <v>262</v>
      </c>
      <c r="E165" s="225"/>
      <c r="F165" s="225"/>
      <c r="G165" s="225" t="s">
        <v>696</v>
      </c>
      <c r="H165" s="225"/>
      <c r="I165" s="225"/>
      <c r="J165" s="238"/>
    </row>
    <row r="166" spans="2:10" ht="18" x14ac:dyDescent="0.25">
      <c r="B166" s="223" t="s">
        <v>905</v>
      </c>
      <c r="C166" s="224" t="s">
        <v>906</v>
      </c>
      <c r="D166" s="225">
        <v>266</v>
      </c>
      <c r="E166" s="225"/>
      <c r="F166" s="225"/>
      <c r="G166" s="225" t="s">
        <v>696</v>
      </c>
      <c r="H166" s="225"/>
      <c r="I166" s="225"/>
      <c r="J166" s="238"/>
    </row>
    <row r="167" spans="2:10" ht="18" x14ac:dyDescent="0.25">
      <c r="B167" s="223" t="s">
        <v>907</v>
      </c>
      <c r="C167" s="224" t="s">
        <v>908</v>
      </c>
      <c r="D167" s="225">
        <v>264</v>
      </c>
      <c r="E167" s="225"/>
      <c r="F167" s="225"/>
      <c r="G167" s="225" t="s">
        <v>696</v>
      </c>
      <c r="H167" s="225"/>
      <c r="I167" s="225"/>
      <c r="J167" s="238"/>
    </row>
    <row r="168" spans="2:10" ht="18" x14ac:dyDescent="0.25">
      <c r="B168" s="223" t="s">
        <v>909</v>
      </c>
      <c r="C168" s="224" t="s">
        <v>910</v>
      </c>
      <c r="D168" s="225">
        <v>277</v>
      </c>
      <c r="E168" s="225"/>
      <c r="F168" s="225"/>
      <c r="G168" s="225" t="s">
        <v>696</v>
      </c>
      <c r="H168" s="225"/>
      <c r="I168" s="225"/>
      <c r="J168" s="238"/>
    </row>
    <row r="169" spans="2:10" ht="18" x14ac:dyDescent="0.25">
      <c r="B169" s="223" t="s">
        <v>911</v>
      </c>
      <c r="C169" s="224" t="s">
        <v>912</v>
      </c>
      <c r="D169" s="225">
        <v>268</v>
      </c>
      <c r="E169" s="225"/>
      <c r="F169" s="225"/>
      <c r="G169" s="225" t="s">
        <v>696</v>
      </c>
      <c r="H169" s="225"/>
      <c r="I169" s="225"/>
      <c r="J169" s="238"/>
    </row>
    <row r="170" spans="2:10" ht="18" x14ac:dyDescent="0.25">
      <c r="B170" s="223" t="s">
        <v>913</v>
      </c>
      <c r="C170" s="224" t="s">
        <v>914</v>
      </c>
      <c r="D170" s="225">
        <v>281</v>
      </c>
      <c r="E170" s="225"/>
      <c r="F170" s="225"/>
      <c r="G170" s="225" t="s">
        <v>696</v>
      </c>
      <c r="H170" s="225"/>
      <c r="I170" s="225"/>
      <c r="J170" s="238"/>
    </row>
    <row r="171" spans="2:10" ht="18" x14ac:dyDescent="0.25">
      <c r="B171" s="223" t="s">
        <v>915</v>
      </c>
      <c r="C171" s="224" t="s">
        <v>916</v>
      </c>
      <c r="D171" s="225">
        <v>272</v>
      </c>
      <c r="E171" s="225"/>
      <c r="F171" s="225"/>
      <c r="G171" s="225" t="s">
        <v>696</v>
      </c>
      <c r="H171" s="225"/>
      <c r="I171" s="225"/>
      <c r="J171" s="238"/>
    </row>
    <row r="172" spans="2:10" ht="18" x14ac:dyDescent="0.25">
      <c r="B172" s="223" t="s">
        <v>917</v>
      </c>
      <c r="C172" s="224" t="s">
        <v>918</v>
      </c>
      <c r="D172" s="225">
        <v>285</v>
      </c>
      <c r="E172" s="225"/>
      <c r="F172" s="225"/>
      <c r="G172" s="225" t="s">
        <v>696</v>
      </c>
      <c r="H172" s="225"/>
      <c r="I172" s="225"/>
      <c r="J172" s="238"/>
    </row>
    <row r="173" spans="2:10" ht="18" x14ac:dyDescent="0.25">
      <c r="B173" s="223" t="s">
        <v>919</v>
      </c>
      <c r="C173" s="224" t="s">
        <v>920</v>
      </c>
      <c r="D173" s="225">
        <v>284</v>
      </c>
      <c r="E173" s="225"/>
      <c r="F173" s="225"/>
      <c r="G173" s="225" t="s">
        <v>696</v>
      </c>
      <c r="H173" s="225"/>
      <c r="I173" s="225"/>
      <c r="J173" s="238"/>
    </row>
    <row r="174" spans="2:10" ht="18" x14ac:dyDescent="0.25">
      <c r="B174" s="223" t="s">
        <v>921</v>
      </c>
      <c r="C174" s="224" t="s">
        <v>922</v>
      </c>
      <c r="D174" s="225">
        <v>289</v>
      </c>
      <c r="E174" s="225"/>
      <c r="F174" s="225"/>
      <c r="G174" s="225" t="s">
        <v>696</v>
      </c>
      <c r="H174" s="225"/>
      <c r="I174" s="225"/>
      <c r="J174" s="238"/>
    </row>
    <row r="175" spans="2:10" ht="18" x14ac:dyDescent="0.25">
      <c r="B175" s="223" t="s">
        <v>923</v>
      </c>
      <c r="C175" s="224" t="s">
        <v>924</v>
      </c>
      <c r="D175" s="225">
        <v>288</v>
      </c>
      <c r="E175" s="225"/>
      <c r="F175" s="225"/>
      <c r="G175" s="225" t="s">
        <v>696</v>
      </c>
      <c r="H175" s="225"/>
      <c r="I175" s="225"/>
      <c r="J175" s="238"/>
    </row>
    <row r="176" spans="2:10" ht="18" x14ac:dyDescent="0.25">
      <c r="B176" s="223" t="s">
        <v>925</v>
      </c>
      <c r="C176" s="224" t="s">
        <v>926</v>
      </c>
      <c r="D176" s="225">
        <v>292</v>
      </c>
      <c r="E176" s="225"/>
      <c r="F176" s="225"/>
      <c r="G176" s="225" t="s">
        <v>696</v>
      </c>
      <c r="H176" s="225"/>
      <c r="I176" s="225"/>
      <c r="J176" s="238"/>
    </row>
    <row r="177" spans="2:10" ht="18" x14ac:dyDescent="0.25">
      <c r="B177" s="223" t="s">
        <v>927</v>
      </c>
      <c r="C177" s="224" t="s">
        <v>928</v>
      </c>
      <c r="D177" s="225">
        <v>292</v>
      </c>
      <c r="E177" s="225"/>
      <c r="F177" s="225"/>
      <c r="G177" s="225" t="s">
        <v>696</v>
      </c>
      <c r="H177" s="225"/>
      <c r="I177" s="225"/>
      <c r="J177" s="238"/>
    </row>
    <row r="178" spans="2:10" ht="18.75" thickBot="1" x14ac:dyDescent="0.3">
      <c r="B178" s="227" t="s">
        <v>929</v>
      </c>
      <c r="C178" s="228" t="s">
        <v>930</v>
      </c>
      <c r="D178" s="229">
        <v>294</v>
      </c>
      <c r="E178" s="229"/>
      <c r="F178" s="229"/>
      <c r="G178" s="229" t="s">
        <v>696</v>
      </c>
      <c r="H178" s="229"/>
      <c r="I178" s="229"/>
      <c r="J178" s="261"/>
    </row>
    <row r="179" spans="2:10" ht="15.75" thickBot="1" x14ac:dyDescent="0.3"/>
    <row r="180" spans="2:10" ht="15.75" thickBot="1" x14ac:dyDescent="0.3">
      <c r="C180" s="214" t="s">
        <v>931</v>
      </c>
    </row>
    <row r="181" spans="2:10" ht="15.75" thickBot="1" x14ac:dyDescent="0.3">
      <c r="B181" s="215" t="s">
        <v>0</v>
      </c>
      <c r="C181" s="216" t="s">
        <v>1</v>
      </c>
      <c r="D181" s="217" t="s">
        <v>150</v>
      </c>
      <c r="E181" s="217" t="s">
        <v>622</v>
      </c>
      <c r="F181" s="217" t="s">
        <v>623</v>
      </c>
      <c r="G181" s="217" t="s">
        <v>2</v>
      </c>
      <c r="H181" s="217" t="s">
        <v>430</v>
      </c>
      <c r="I181" s="286" t="s">
        <v>114</v>
      </c>
      <c r="J181" s="287" t="s">
        <v>115</v>
      </c>
    </row>
    <row r="182" spans="2:10" ht="18" x14ac:dyDescent="0.25">
      <c r="B182" s="219" t="s">
        <v>932</v>
      </c>
      <c r="C182" s="231" t="s">
        <v>933</v>
      </c>
      <c r="D182" s="233">
        <f>2*A_MH</f>
        <v>2.0158800000000001</v>
      </c>
      <c r="E182" s="233"/>
      <c r="F182" s="233"/>
      <c r="G182" s="221" t="s">
        <v>696</v>
      </c>
      <c r="H182" s="221"/>
      <c r="I182" s="233"/>
      <c r="J182" s="234"/>
    </row>
    <row r="183" spans="2:10" ht="18" x14ac:dyDescent="0.25">
      <c r="B183" s="223" t="s">
        <v>934</v>
      </c>
      <c r="C183" s="235" t="s">
        <v>935</v>
      </c>
      <c r="D183" s="237">
        <f>A_MC+4*A_MH</f>
        <v>16.042459999999998</v>
      </c>
      <c r="E183" s="237"/>
      <c r="F183" s="237"/>
      <c r="G183" s="225" t="s">
        <v>696</v>
      </c>
      <c r="H183" s="225"/>
      <c r="I183" s="237"/>
      <c r="J183" s="238"/>
    </row>
    <row r="184" spans="2:10" ht="18" x14ac:dyDescent="0.25">
      <c r="B184" s="223" t="s">
        <v>936</v>
      </c>
      <c r="C184" s="235" t="s">
        <v>937</v>
      </c>
      <c r="D184" s="225">
        <f>A_MC+2*A_MO</f>
        <v>44.009500000000003</v>
      </c>
      <c r="E184" s="225"/>
      <c r="F184" s="225"/>
      <c r="G184" s="225" t="s">
        <v>696</v>
      </c>
      <c r="H184" s="225"/>
      <c r="I184" s="225"/>
      <c r="J184" s="238"/>
    </row>
    <row r="185" spans="2:10" ht="18" x14ac:dyDescent="0.25">
      <c r="B185" s="223" t="s">
        <v>1231</v>
      </c>
      <c r="C185" s="235" t="s">
        <v>953</v>
      </c>
      <c r="D185" s="225">
        <f>A_MN+3*A_MH</f>
        <v>17.030519999999999</v>
      </c>
      <c r="E185" s="225"/>
      <c r="F185" s="225"/>
      <c r="G185" s="225" t="s">
        <v>696</v>
      </c>
      <c r="H185" s="225"/>
      <c r="I185" s="225"/>
      <c r="J185" s="238"/>
    </row>
    <row r="186" spans="2:10" ht="18" x14ac:dyDescent="0.25">
      <c r="B186" s="223" t="s">
        <v>938</v>
      </c>
      <c r="C186" s="235" t="s">
        <v>939</v>
      </c>
      <c r="D186" s="225">
        <f>2*A_MN</f>
        <v>28.013400000000001</v>
      </c>
      <c r="E186" s="225"/>
      <c r="F186" s="225"/>
      <c r="G186" s="225" t="s">
        <v>696</v>
      </c>
      <c r="H186" s="225"/>
      <c r="I186" s="225"/>
      <c r="J186" s="238"/>
    </row>
    <row r="187" spans="2:10" ht="18" x14ac:dyDescent="0.25">
      <c r="B187" s="223" t="s">
        <v>940</v>
      </c>
      <c r="C187" s="224" t="s">
        <v>941</v>
      </c>
      <c r="D187" s="225">
        <f>2*A_MO</f>
        <v>31.998799999999999</v>
      </c>
      <c r="E187" s="225"/>
      <c r="F187" s="225"/>
      <c r="G187" s="225" t="s">
        <v>696</v>
      </c>
      <c r="H187" s="225"/>
      <c r="I187" s="225"/>
      <c r="J187" s="238" t="s">
        <v>942</v>
      </c>
    </row>
    <row r="188" spans="2:10" ht="18" x14ac:dyDescent="0.25">
      <c r="B188" s="223" t="s">
        <v>943</v>
      </c>
      <c r="C188" s="235" t="s">
        <v>944</v>
      </c>
      <c r="D188" s="225">
        <f>A_MN+A_MO</f>
        <v>30.0061</v>
      </c>
      <c r="E188" s="225"/>
      <c r="F188" s="225"/>
      <c r="G188" s="225" t="s">
        <v>696</v>
      </c>
      <c r="H188" s="225"/>
      <c r="I188" s="225"/>
      <c r="J188" s="238" t="s">
        <v>945</v>
      </c>
    </row>
    <row r="189" spans="2:10" ht="18.75" thickBot="1" x14ac:dyDescent="0.3">
      <c r="B189" s="227" t="s">
        <v>946</v>
      </c>
      <c r="C189" s="288" t="s">
        <v>947</v>
      </c>
      <c r="D189" s="229">
        <f>2*A_MN+A_MO</f>
        <v>44.012799999999999</v>
      </c>
      <c r="E189" s="229"/>
      <c r="F189" s="229"/>
      <c r="G189" s="229" t="s">
        <v>696</v>
      </c>
      <c r="H189" s="229"/>
      <c r="I189" s="229"/>
      <c r="J189" s="261" t="s">
        <v>948</v>
      </c>
    </row>
    <row r="190" spans="2:10" ht="15.75" thickBot="1" x14ac:dyDescent="0.3">
      <c r="B190" s="210"/>
      <c r="C190" s="289"/>
      <c r="D190" s="254"/>
      <c r="E190" s="254"/>
      <c r="F190" s="254"/>
      <c r="G190" s="254"/>
      <c r="H190" s="254"/>
      <c r="I190" s="254"/>
    </row>
    <row r="191" spans="2:10" ht="15.75" thickBot="1" x14ac:dyDescent="0.3">
      <c r="C191" s="214" t="s">
        <v>949</v>
      </c>
    </row>
    <row r="192" spans="2:10" ht="15.75" thickBot="1" x14ac:dyDescent="0.3">
      <c r="B192" s="215" t="s">
        <v>0</v>
      </c>
      <c r="C192" s="216" t="s">
        <v>1</v>
      </c>
      <c r="D192" s="217" t="s">
        <v>150</v>
      </c>
      <c r="E192" s="217" t="s">
        <v>622</v>
      </c>
      <c r="F192" s="217" t="s">
        <v>623</v>
      </c>
      <c r="G192" s="217" t="s">
        <v>2</v>
      </c>
      <c r="H192" s="217" t="s">
        <v>430</v>
      </c>
      <c r="I192" s="217" t="s">
        <v>114</v>
      </c>
      <c r="J192" s="218" t="s">
        <v>115</v>
      </c>
    </row>
    <row r="193" spans="2:10" ht="18" x14ac:dyDescent="0.25">
      <c r="B193" s="219" t="s">
        <v>1232</v>
      </c>
      <c r="C193" s="220" t="s">
        <v>1233</v>
      </c>
      <c r="D193" s="221">
        <f>2*A_MH+A_MO</f>
        <v>18.015280000000001</v>
      </c>
      <c r="E193" s="221"/>
      <c r="F193" s="221"/>
      <c r="G193" s="221" t="s">
        <v>696</v>
      </c>
      <c r="H193" s="221"/>
      <c r="I193" s="221"/>
      <c r="J193" s="234"/>
    </row>
    <row r="194" spans="2:10" ht="18" x14ac:dyDescent="0.25">
      <c r="B194" s="223" t="s">
        <v>950</v>
      </c>
      <c r="C194" s="224" t="s">
        <v>941</v>
      </c>
      <c r="D194" s="225">
        <f>2*A_MO</f>
        <v>31.998799999999999</v>
      </c>
      <c r="E194" s="225"/>
      <c r="F194" s="225"/>
      <c r="G194" s="225" t="s">
        <v>696</v>
      </c>
      <c r="H194" s="225"/>
      <c r="I194" s="225"/>
      <c r="J194" s="238"/>
    </row>
    <row r="195" spans="2:10" ht="18" x14ac:dyDescent="0.25">
      <c r="B195" s="223" t="s">
        <v>951</v>
      </c>
      <c r="C195" s="235" t="s">
        <v>939</v>
      </c>
      <c r="D195" s="225">
        <f>2*A_MN</f>
        <v>28.013400000000001</v>
      </c>
      <c r="E195" s="225"/>
      <c r="F195" s="225"/>
      <c r="G195" s="225" t="s">
        <v>696</v>
      </c>
      <c r="H195" s="225"/>
      <c r="I195" s="225"/>
      <c r="J195" s="238"/>
    </row>
    <row r="196" spans="2:10" ht="18" x14ac:dyDescent="0.25">
      <c r="B196" s="223" t="s">
        <v>952</v>
      </c>
      <c r="C196" s="235" t="s">
        <v>953</v>
      </c>
      <c r="D196" s="225">
        <f>A_MN+3*A_MH</f>
        <v>17.030519999999999</v>
      </c>
      <c r="E196" s="225"/>
      <c r="F196" s="225"/>
      <c r="G196" s="225" t="s">
        <v>696</v>
      </c>
      <c r="H196" s="225"/>
      <c r="I196" s="225"/>
      <c r="J196" s="238"/>
    </row>
    <row r="197" spans="2:10" ht="18" x14ac:dyDescent="0.25">
      <c r="B197" s="223" t="s">
        <v>1234</v>
      </c>
      <c r="C197" s="224" t="s">
        <v>1235</v>
      </c>
      <c r="D197" s="225">
        <f>A_MN+4*A_MH</f>
        <v>18.038460000000001</v>
      </c>
      <c r="E197" s="225"/>
      <c r="F197" s="225"/>
      <c r="G197" s="225" t="s">
        <v>1236</v>
      </c>
      <c r="H197" s="225"/>
      <c r="I197" s="225"/>
      <c r="J197" s="238"/>
    </row>
    <row r="198" spans="2:10" ht="18" x14ac:dyDescent="0.25">
      <c r="B198" s="223" t="s">
        <v>1237</v>
      </c>
      <c r="C198" s="224" t="s">
        <v>1238</v>
      </c>
      <c r="D198" s="225">
        <f>A_MN + 2*A_MO</f>
        <v>46.005499999999998</v>
      </c>
      <c r="E198" s="225"/>
      <c r="F198" s="225"/>
      <c r="G198" s="225" t="s">
        <v>1236</v>
      </c>
      <c r="H198" s="225"/>
      <c r="I198" s="225"/>
      <c r="J198" s="238"/>
    </row>
    <row r="199" spans="2:10" ht="18" x14ac:dyDescent="0.25">
      <c r="B199" s="223" t="s">
        <v>1239</v>
      </c>
      <c r="C199" s="224" t="s">
        <v>1240</v>
      </c>
      <c r="D199" s="225">
        <f>A_MN + 3*A_MO</f>
        <v>62.004899999999999</v>
      </c>
      <c r="E199" s="225"/>
      <c r="F199" s="225"/>
      <c r="G199" s="225" t="s">
        <v>1236</v>
      </c>
      <c r="H199" s="225"/>
      <c r="I199" s="225"/>
      <c r="J199" s="238"/>
    </row>
    <row r="200" spans="2:10" ht="18" x14ac:dyDescent="0.25">
      <c r="B200" s="223" t="s">
        <v>954</v>
      </c>
      <c r="C200" s="235" t="s">
        <v>955</v>
      </c>
      <c r="D200" s="225">
        <f>2*A_MFe+3*A_MO</f>
        <v>159.68819999999999</v>
      </c>
      <c r="E200" s="225"/>
      <c r="F200" s="225"/>
      <c r="G200" s="225" t="s">
        <v>696</v>
      </c>
      <c r="H200" s="225"/>
      <c r="I200" s="225"/>
      <c r="J200" s="238"/>
    </row>
    <row r="201" spans="2:10" ht="18" x14ac:dyDescent="0.25">
      <c r="B201" s="223" t="s">
        <v>956</v>
      </c>
      <c r="C201" s="235" t="s">
        <v>957</v>
      </c>
      <c r="D201" s="225">
        <f>A_MP+4*A_MO</f>
        <v>94.971362200000002</v>
      </c>
      <c r="E201" s="225"/>
      <c r="F201" s="225"/>
      <c r="G201" s="225" t="s">
        <v>696</v>
      </c>
      <c r="H201" s="225"/>
      <c r="I201" s="225"/>
      <c r="J201" s="238"/>
    </row>
    <row r="202" spans="2:10" ht="18" x14ac:dyDescent="0.25">
      <c r="B202" s="223" t="s">
        <v>958</v>
      </c>
      <c r="C202" s="235" t="s">
        <v>937</v>
      </c>
      <c r="D202" s="225">
        <f>A_MC+2*A_MO</f>
        <v>44.009500000000003</v>
      </c>
      <c r="E202" s="225"/>
      <c r="F202" s="225"/>
      <c r="G202" s="225" t="s">
        <v>696</v>
      </c>
      <c r="H202" s="225"/>
      <c r="I202" s="225"/>
      <c r="J202" s="238"/>
    </row>
    <row r="203" spans="2:10" ht="18" x14ac:dyDescent="0.25">
      <c r="B203" s="223" t="s">
        <v>1241</v>
      </c>
      <c r="C203" s="235" t="s">
        <v>1242</v>
      </c>
      <c r="D203" s="225">
        <f>A_MC + 3*A_MO</f>
        <v>60.008899999999997</v>
      </c>
      <c r="E203" s="225"/>
      <c r="F203" s="225"/>
      <c r="G203" s="225" t="s">
        <v>696</v>
      </c>
      <c r="H203" s="225"/>
      <c r="I203" s="225"/>
      <c r="J203" s="238"/>
    </row>
    <row r="204" spans="2:10" ht="18" x14ac:dyDescent="0.25">
      <c r="B204" s="223" t="s">
        <v>1243</v>
      </c>
      <c r="C204" s="224" t="s">
        <v>1244</v>
      </c>
      <c r="D204" s="225">
        <f>A_MH + A_MC + 3*A_MO</f>
        <v>61.016839999999995</v>
      </c>
      <c r="E204" s="225"/>
      <c r="F204" s="225"/>
      <c r="G204" s="225" t="s">
        <v>1236</v>
      </c>
      <c r="H204" s="225"/>
      <c r="I204" s="225"/>
      <c r="J204" s="238"/>
    </row>
    <row r="205" spans="2:10" ht="18" x14ac:dyDescent="0.25">
      <c r="B205" s="223" t="s">
        <v>1245</v>
      </c>
      <c r="C205" s="224" t="s">
        <v>1246</v>
      </c>
      <c r="D205" s="225">
        <f>2*A_MH+A_MC + 3*A_MO</f>
        <v>62.024779999999993</v>
      </c>
      <c r="E205" s="225"/>
      <c r="F205" s="225"/>
      <c r="G205" s="225" t="s">
        <v>1236</v>
      </c>
      <c r="H205" s="225"/>
      <c r="I205" s="225"/>
      <c r="J205" s="238"/>
    </row>
    <row r="206" spans="2:10" ht="18" x14ac:dyDescent="0.25">
      <c r="B206" s="223" t="s">
        <v>1247</v>
      </c>
      <c r="C206" s="224" t="s">
        <v>1248</v>
      </c>
      <c r="D206" s="225">
        <f>A_MS+4*A_MO</f>
        <v>96.062600000000003</v>
      </c>
      <c r="E206" s="225"/>
      <c r="F206" s="225"/>
      <c r="G206" s="225" t="s">
        <v>1236</v>
      </c>
      <c r="H206" s="225"/>
      <c r="I206" s="225"/>
      <c r="J206" s="238"/>
    </row>
    <row r="207" spans="2:10" ht="18" x14ac:dyDescent="0.25">
      <c r="B207" s="223" t="s">
        <v>1249</v>
      </c>
      <c r="C207" s="224" t="s">
        <v>1250</v>
      </c>
      <c r="D207" s="225">
        <f>A_MH + A_MS+4*A_MO</f>
        <v>97.070539999999994</v>
      </c>
      <c r="E207" s="225"/>
      <c r="F207" s="225"/>
      <c r="G207" s="225" t="s">
        <v>1236</v>
      </c>
      <c r="H207" s="225"/>
      <c r="I207" s="225"/>
      <c r="J207" s="238"/>
    </row>
    <row r="208" spans="2:10" ht="18" x14ac:dyDescent="0.25">
      <c r="B208" s="223" t="s">
        <v>1251</v>
      </c>
      <c r="C208" s="224" t="s">
        <v>1252</v>
      </c>
      <c r="D208" s="225">
        <f>2*A_MH + A_MS+4*A_MO</f>
        <v>98.078479999999999</v>
      </c>
      <c r="E208" s="225"/>
      <c r="F208" s="225"/>
      <c r="G208" s="225" t="s">
        <v>1236</v>
      </c>
      <c r="H208" s="225"/>
      <c r="I208" s="225"/>
      <c r="J208" s="238"/>
    </row>
    <row r="209" spans="2:10" ht="18" x14ac:dyDescent="0.25">
      <c r="B209" s="223" t="s">
        <v>1253</v>
      </c>
      <c r="C209" s="224" t="s">
        <v>1254</v>
      </c>
      <c r="D209" s="225">
        <f>2*A_MH + A_MS</f>
        <v>34.080880000000001</v>
      </c>
      <c r="E209" s="225"/>
      <c r="F209" s="225"/>
      <c r="G209" s="225" t="s">
        <v>1236</v>
      </c>
      <c r="H209" s="225"/>
      <c r="I209" s="225"/>
      <c r="J209" s="238"/>
    </row>
    <row r="210" spans="2:10" ht="18" x14ac:dyDescent="0.25">
      <c r="B210" s="223" t="s">
        <v>1255</v>
      </c>
      <c r="C210" s="224" t="s">
        <v>1256</v>
      </c>
      <c r="D210" s="225">
        <f>A_MH + A_MCl</f>
        <v>36.460940000000001</v>
      </c>
      <c r="E210" s="225"/>
      <c r="F210" s="225"/>
      <c r="G210" s="225" t="s">
        <v>1236</v>
      </c>
      <c r="H210" s="225"/>
      <c r="I210" s="225"/>
      <c r="J210" s="238"/>
    </row>
    <row r="211" spans="2:10" ht="18" x14ac:dyDescent="0.25">
      <c r="B211" s="223" t="s">
        <v>959</v>
      </c>
      <c r="C211" s="235" t="s">
        <v>960</v>
      </c>
      <c r="D211" s="237">
        <f>A_MC+3*A_MH+A_MO+A_MH</f>
        <v>32.04186</v>
      </c>
      <c r="E211" s="237"/>
      <c r="F211" s="237"/>
      <c r="G211" s="225" t="s">
        <v>696</v>
      </c>
      <c r="H211" s="225"/>
      <c r="I211" s="237"/>
      <c r="J211" s="238"/>
    </row>
    <row r="212" spans="2:10" ht="18" x14ac:dyDescent="0.25">
      <c r="B212" s="223" t="s">
        <v>961</v>
      </c>
      <c r="C212" s="235" t="s">
        <v>962</v>
      </c>
      <c r="D212" s="237">
        <f>A_MC+3*A_MH+A_MC+2*A_MO+A_MH</f>
        <v>60.051960000000001</v>
      </c>
      <c r="E212" s="237"/>
      <c r="F212" s="237"/>
      <c r="G212" s="225" t="s">
        <v>696</v>
      </c>
      <c r="H212" s="225"/>
      <c r="I212" s="237"/>
      <c r="J212" s="238"/>
    </row>
    <row r="213" spans="2:10" ht="18" x14ac:dyDescent="0.25">
      <c r="B213" s="223" t="s">
        <v>963</v>
      </c>
      <c r="C213" s="235" t="s">
        <v>1257</v>
      </c>
      <c r="D213" s="237">
        <f>A_MCa+A_MC+3*A_MO</f>
        <v>100.0869</v>
      </c>
      <c r="E213" s="237"/>
      <c r="F213" s="237"/>
      <c r="G213" s="225" t="s">
        <v>696</v>
      </c>
      <c r="H213" s="225"/>
      <c r="I213" s="237"/>
      <c r="J213" s="238"/>
    </row>
    <row r="214" spans="2:10" ht="18" x14ac:dyDescent="0.35">
      <c r="B214" s="290" t="s">
        <v>1258</v>
      </c>
      <c r="C214" s="291" t="s">
        <v>1259</v>
      </c>
      <c r="D214" s="292">
        <f>3*A_MCa+2*M_MPO4+4*M_MH2O</f>
        <v>382.23784440000003</v>
      </c>
      <c r="E214" s="292"/>
      <c r="F214" s="292"/>
      <c r="G214" s="292" t="s">
        <v>1236</v>
      </c>
      <c r="H214" s="292"/>
      <c r="I214" s="292"/>
      <c r="J214" s="293"/>
    </row>
    <row r="215" spans="2:10" ht="18" x14ac:dyDescent="0.25">
      <c r="B215" s="223" t="s">
        <v>1260</v>
      </c>
      <c r="C215" s="235" t="s">
        <v>1261</v>
      </c>
      <c r="D215" s="237">
        <f>A_MMg+A_MN+4*A_MH+A_MP+4*A_MO+6*(M_MH2O)</f>
        <v>245.40650220000001</v>
      </c>
      <c r="E215" s="237"/>
      <c r="F215" s="237"/>
      <c r="G215" s="225" t="s">
        <v>696</v>
      </c>
      <c r="H215" s="225"/>
      <c r="I215" s="237"/>
      <c r="J215" s="238"/>
    </row>
    <row r="216" spans="2:10" ht="18" x14ac:dyDescent="0.25">
      <c r="B216" s="223" t="s">
        <v>1262</v>
      </c>
      <c r="C216" s="235" t="s">
        <v>1263</v>
      </c>
      <c r="D216" s="237">
        <f>3*A_MFe+2*(A_MP+4*A_MO)+8*M_MH2O</f>
        <v>501.59996439999998</v>
      </c>
      <c r="E216" s="237"/>
      <c r="F216" s="237"/>
      <c r="G216" s="225" t="s">
        <v>696</v>
      </c>
      <c r="H216" s="225"/>
      <c r="I216" s="237"/>
      <c r="J216" s="238"/>
    </row>
    <row r="217" spans="2:10" ht="18" x14ac:dyDescent="0.25">
      <c r="B217" s="223" t="s">
        <v>1264</v>
      </c>
      <c r="C217" s="235" t="s">
        <v>1265</v>
      </c>
      <c r="D217" s="237">
        <f>A_MFe+A_MS</f>
        <v>87.91</v>
      </c>
      <c r="E217" s="237"/>
      <c r="F217" s="237"/>
      <c r="G217" s="225" t="s">
        <v>696</v>
      </c>
      <c r="H217" s="225"/>
      <c r="I217" s="237"/>
      <c r="J217" s="238"/>
    </row>
    <row r="218" spans="2:10" ht="18.75" thickBot="1" x14ac:dyDescent="0.3">
      <c r="B218" s="227" t="s">
        <v>1266</v>
      </c>
      <c r="C218" s="228" t="s">
        <v>1267</v>
      </c>
      <c r="D218" s="229">
        <f>A_MSi + 2*A_MO</f>
        <v>60.084299999999999</v>
      </c>
      <c r="E218" s="229"/>
      <c r="F218" s="229"/>
      <c r="G218" s="229" t="s">
        <v>1236</v>
      </c>
      <c r="H218" s="229"/>
      <c r="I218" s="229"/>
      <c r="J218" s="261"/>
    </row>
    <row r="219" spans="2:10" ht="15.75" thickBot="1" x14ac:dyDescent="0.3">
      <c r="C219" s="289"/>
      <c r="G219" s="254"/>
    </row>
    <row r="220" spans="2:10" ht="15.75" thickBot="1" x14ac:dyDescent="0.3">
      <c r="C220" s="214" t="s">
        <v>964</v>
      </c>
    </row>
    <row r="221" spans="2:10" ht="15.75" thickBot="1" x14ac:dyDescent="0.3">
      <c r="B221" s="215" t="s">
        <v>0</v>
      </c>
      <c r="C221" s="216" t="s">
        <v>1</v>
      </c>
      <c r="D221" s="217" t="s">
        <v>150</v>
      </c>
      <c r="E221" s="217" t="s">
        <v>622</v>
      </c>
      <c r="F221" s="217" t="s">
        <v>623</v>
      </c>
      <c r="G221" s="217" t="s">
        <v>2</v>
      </c>
      <c r="H221" s="217" t="s">
        <v>430</v>
      </c>
      <c r="I221" s="217" t="s">
        <v>114</v>
      </c>
      <c r="J221" s="218" t="s">
        <v>115</v>
      </c>
    </row>
    <row r="222" spans="2:10" ht="18" x14ac:dyDescent="0.25">
      <c r="B222" s="219" t="s">
        <v>965</v>
      </c>
      <c r="C222" s="220" t="s">
        <v>966</v>
      </c>
      <c r="D222" s="221">
        <f>2*A_MN</f>
        <v>28.013400000000001</v>
      </c>
      <c r="E222" s="221"/>
      <c r="F222" s="221"/>
      <c r="G222" s="221" t="s">
        <v>967</v>
      </c>
      <c r="H222" s="221"/>
      <c r="I222" s="221"/>
      <c r="J222" s="234"/>
    </row>
    <row r="223" spans="2:10" ht="18" x14ac:dyDescent="0.25">
      <c r="B223" s="219" t="s">
        <v>1268</v>
      </c>
      <c r="C223" s="220" t="s">
        <v>1269</v>
      </c>
      <c r="D223" s="221">
        <f>A_MN</f>
        <v>14.0067</v>
      </c>
      <c r="E223" s="221"/>
      <c r="F223" s="221"/>
      <c r="G223" s="221" t="s">
        <v>967</v>
      </c>
      <c r="H223" s="221"/>
      <c r="I223" s="221"/>
      <c r="J223" s="234"/>
    </row>
    <row r="224" spans="2:10" ht="18" x14ac:dyDescent="0.25">
      <c r="B224" s="223" t="s">
        <v>968</v>
      </c>
      <c r="C224" s="224" t="s">
        <v>969</v>
      </c>
      <c r="D224" s="225">
        <f>A_MN</f>
        <v>14.0067</v>
      </c>
      <c r="E224" s="225"/>
      <c r="F224" s="225"/>
      <c r="G224" s="225" t="s">
        <v>967</v>
      </c>
      <c r="H224" s="225"/>
      <c r="I224" s="225"/>
      <c r="J224" s="238"/>
    </row>
    <row r="225" spans="2:10" ht="18" x14ac:dyDescent="0.25">
      <c r="B225" s="223" t="s">
        <v>970</v>
      </c>
      <c r="C225" s="224" t="s">
        <v>971</v>
      </c>
      <c r="D225" s="225">
        <f>2*A_MN</f>
        <v>28.013400000000001</v>
      </c>
      <c r="E225" s="225"/>
      <c r="F225" s="225"/>
      <c r="G225" s="225" t="s">
        <v>967</v>
      </c>
      <c r="H225" s="225"/>
      <c r="I225" s="225"/>
      <c r="J225" s="238"/>
    </row>
    <row r="226" spans="2:10" ht="18" x14ac:dyDescent="0.25">
      <c r="B226" s="223" t="s">
        <v>972</v>
      </c>
      <c r="C226" s="224" t="s">
        <v>973</v>
      </c>
      <c r="D226" s="225">
        <f>A_MC+2*A_MO</f>
        <v>44.009500000000003</v>
      </c>
      <c r="E226" s="225"/>
      <c r="F226" s="225"/>
      <c r="G226" s="225" t="s">
        <v>696</v>
      </c>
      <c r="H226" s="224"/>
      <c r="I226" s="225"/>
      <c r="J226" s="238" t="s">
        <v>1270</v>
      </c>
    </row>
    <row r="227" spans="2:10" ht="18" x14ac:dyDescent="0.25">
      <c r="B227" s="223" t="s">
        <v>974</v>
      </c>
      <c r="C227" s="224" t="s">
        <v>975</v>
      </c>
      <c r="D227" s="225">
        <f>2*A_MO</f>
        <v>31.998799999999999</v>
      </c>
      <c r="E227" s="225"/>
      <c r="F227" s="225"/>
      <c r="G227" s="225" t="s">
        <v>696</v>
      </c>
      <c r="H227" s="225"/>
      <c r="I227" s="225"/>
      <c r="J227" s="238"/>
    </row>
    <row r="228" spans="2:10" ht="18" x14ac:dyDescent="0.25">
      <c r="B228" s="223" t="s">
        <v>976</v>
      </c>
      <c r="C228" s="224" t="s">
        <v>977</v>
      </c>
      <c r="D228" s="225">
        <v>63.997599999999998</v>
      </c>
      <c r="E228" s="225"/>
      <c r="F228" s="225"/>
      <c r="G228" s="225" t="s">
        <v>1271</v>
      </c>
      <c r="H228" s="225"/>
      <c r="I228" s="225"/>
      <c r="J228" s="238"/>
    </row>
    <row r="229" spans="2:10" ht="18.75" thickBot="1" x14ac:dyDescent="0.3">
      <c r="B229" s="227" t="s">
        <v>978</v>
      </c>
      <c r="C229" s="228" t="s">
        <v>979</v>
      </c>
      <c r="D229" s="229">
        <v>7.9996999999999998</v>
      </c>
      <c r="E229" s="229"/>
      <c r="F229" s="229"/>
      <c r="G229" s="229" t="s">
        <v>1271</v>
      </c>
      <c r="H229" s="229"/>
      <c r="I229" s="229"/>
      <c r="J229" s="261"/>
    </row>
    <row r="230" spans="2:10" ht="15.75" thickBot="1" x14ac:dyDescent="0.3"/>
    <row r="231" spans="2:10" ht="15.75" thickBot="1" x14ac:dyDescent="0.3">
      <c r="C231" s="214" t="s">
        <v>980</v>
      </c>
    </row>
    <row r="232" spans="2:10" x14ac:dyDescent="0.25">
      <c r="B232" s="294" t="s">
        <v>0</v>
      </c>
      <c r="C232" s="295" t="s">
        <v>1</v>
      </c>
      <c r="D232" s="296" t="s">
        <v>150</v>
      </c>
      <c r="E232" s="296" t="s">
        <v>622</v>
      </c>
      <c r="F232" s="296" t="s">
        <v>623</v>
      </c>
      <c r="G232" s="296" t="s">
        <v>2</v>
      </c>
      <c r="H232" s="296" t="s">
        <v>430</v>
      </c>
      <c r="I232" s="296" t="s">
        <v>114</v>
      </c>
      <c r="J232" s="297" t="s">
        <v>115</v>
      </c>
    </row>
    <row r="233" spans="2:10" ht="18" x14ac:dyDescent="0.25">
      <c r="B233" s="223" t="s">
        <v>1272</v>
      </c>
      <c r="C233" s="224" t="s">
        <v>981</v>
      </c>
      <c r="D233" s="298">
        <f>6.867*10^(-15)</f>
        <v>6.8670000000000006E-15</v>
      </c>
      <c r="E233" s="225"/>
      <c r="F233" s="225"/>
      <c r="G233" s="225"/>
      <c r="H233" s="225"/>
      <c r="I233" s="225"/>
      <c r="J233" s="238"/>
    </row>
    <row r="234" spans="2:10" ht="18" x14ac:dyDescent="0.25">
      <c r="B234" s="299" t="s">
        <v>1273</v>
      </c>
      <c r="C234" s="224" t="s">
        <v>982</v>
      </c>
      <c r="D234" s="298">
        <f>3.966*10^(-10)</f>
        <v>3.9660000000000006E-10</v>
      </c>
      <c r="E234" s="225"/>
      <c r="F234" s="225"/>
      <c r="G234" s="225"/>
      <c r="H234" s="225"/>
      <c r="I234" s="225"/>
      <c r="J234" s="238"/>
    </row>
    <row r="235" spans="2:10" ht="18" x14ac:dyDescent="0.25">
      <c r="B235" s="299" t="s">
        <v>1274</v>
      </c>
      <c r="C235" s="224" t="s">
        <v>983</v>
      </c>
      <c r="D235" s="298">
        <v>7.768544654E-4</v>
      </c>
      <c r="E235" s="225"/>
      <c r="F235" s="225"/>
      <c r="G235" s="225"/>
      <c r="H235" s="225"/>
      <c r="I235" s="225"/>
      <c r="J235" s="238"/>
    </row>
    <row r="236" spans="2:10" ht="18" x14ac:dyDescent="0.25">
      <c r="B236" s="223" t="s">
        <v>1275</v>
      </c>
      <c r="C236" s="224" t="s">
        <v>984</v>
      </c>
      <c r="D236" s="298">
        <f>4.14*10^(-7)</f>
        <v>4.1399999999999997E-7</v>
      </c>
      <c r="E236" s="225"/>
      <c r="F236" s="225"/>
      <c r="G236" s="225"/>
      <c r="H236" s="225"/>
      <c r="I236" s="225"/>
      <c r="J236" s="238"/>
    </row>
    <row r="237" spans="2:10" ht="18" x14ac:dyDescent="0.25">
      <c r="B237" s="223" t="s">
        <v>1276</v>
      </c>
      <c r="C237" s="224" t="s">
        <v>985</v>
      </c>
      <c r="D237" s="298">
        <f>4.201*10^(-11)</f>
        <v>4.2009999999999992E-11</v>
      </c>
      <c r="E237" s="225"/>
      <c r="F237" s="225"/>
      <c r="G237" s="225"/>
      <c r="H237" s="225"/>
      <c r="I237" s="225"/>
      <c r="J237" s="238"/>
    </row>
    <row r="238" spans="2:10" ht="18" x14ac:dyDescent="0.25">
      <c r="B238" s="223" t="s">
        <v>1277</v>
      </c>
      <c r="C238" s="224" t="s">
        <v>986</v>
      </c>
      <c r="D238" s="298">
        <v>7.4520000000000003E-3</v>
      </c>
      <c r="E238" s="225"/>
      <c r="F238" s="225"/>
      <c r="G238" s="225"/>
      <c r="H238" s="225"/>
      <c r="I238" s="225"/>
      <c r="J238" s="238"/>
    </row>
    <row r="239" spans="2:10" ht="18" x14ac:dyDescent="0.25">
      <c r="B239" s="223" t="s">
        <v>1278</v>
      </c>
      <c r="C239" s="224" t="s">
        <v>987</v>
      </c>
      <c r="D239" s="298">
        <v>6.1029999999999998E-8</v>
      </c>
      <c r="E239" s="225"/>
      <c r="F239" s="225"/>
      <c r="G239" s="225"/>
      <c r="H239" s="225"/>
      <c r="I239" s="225"/>
      <c r="J239" s="238"/>
    </row>
    <row r="240" spans="2:10" ht="18" x14ac:dyDescent="0.25">
      <c r="B240" s="223" t="s">
        <v>1279</v>
      </c>
      <c r="C240" s="224" t="s">
        <v>988</v>
      </c>
      <c r="D240" s="298">
        <v>9.4840000000000008E-13</v>
      </c>
      <c r="E240" s="225"/>
      <c r="F240" s="225"/>
      <c r="G240" s="225"/>
      <c r="H240" s="225"/>
      <c r="I240" s="225"/>
      <c r="J240" s="238"/>
    </row>
    <row r="241" spans="2:10" ht="18" x14ac:dyDescent="0.25">
      <c r="B241" s="223" t="s">
        <v>1280</v>
      </c>
      <c r="C241" s="224" t="s">
        <v>989</v>
      </c>
      <c r="D241" s="298">
        <v>1.7540000000000001E-5</v>
      </c>
      <c r="E241" s="225"/>
      <c r="F241" s="225"/>
      <c r="G241" s="225"/>
      <c r="H241" s="225"/>
      <c r="I241" s="225"/>
      <c r="J241" s="238"/>
    </row>
    <row r="242" spans="2:10" ht="18" x14ac:dyDescent="0.25">
      <c r="B242" s="223" t="s">
        <v>1281</v>
      </c>
      <c r="C242" s="224" t="s">
        <v>1282</v>
      </c>
      <c r="D242" s="298">
        <f>10^(-7.02)</f>
        <v>9.5499258602143556E-8</v>
      </c>
      <c r="E242" s="225"/>
      <c r="F242" s="225"/>
      <c r="G242" s="225"/>
      <c r="H242" s="225"/>
      <c r="I242" s="225"/>
      <c r="J242" s="238"/>
    </row>
    <row r="243" spans="2:10" ht="18" x14ac:dyDescent="0.25">
      <c r="B243" s="223" t="s">
        <v>1283</v>
      </c>
      <c r="C243" s="224" t="s">
        <v>1284</v>
      </c>
      <c r="D243" s="298">
        <f>10^(-6.35)</f>
        <v>4.4668359215096327E-7</v>
      </c>
      <c r="E243" s="225"/>
      <c r="F243" s="225"/>
      <c r="G243" s="225"/>
      <c r="H243" s="225"/>
      <c r="I243" s="225"/>
      <c r="J243" s="238"/>
    </row>
    <row r="244" spans="2:10" ht="18.75" thickBot="1" x14ac:dyDescent="0.3">
      <c r="B244" s="227" t="s">
        <v>1285</v>
      </c>
      <c r="C244" s="228" t="s">
        <v>1286</v>
      </c>
      <c r="D244" s="300">
        <v>6.9180000000000002E-14</v>
      </c>
      <c r="E244" s="229"/>
      <c r="F244" s="229"/>
      <c r="G244" s="229"/>
      <c r="H244" s="229"/>
      <c r="I244" s="229"/>
      <c r="J244" s="261"/>
    </row>
    <row r="245" spans="2:10" ht="15.75" thickBot="1" x14ac:dyDescent="0.3"/>
    <row r="246" spans="2:10" ht="15.75" thickBot="1" x14ac:dyDescent="0.3">
      <c r="C246" s="214" t="s">
        <v>990</v>
      </c>
      <c r="J246" s="301"/>
    </row>
    <row r="247" spans="2:10" ht="15.75" thickBot="1" x14ac:dyDescent="0.3">
      <c r="B247" s="215" t="s">
        <v>0</v>
      </c>
      <c r="C247" s="216" t="s">
        <v>1</v>
      </c>
      <c r="D247" s="217" t="s">
        <v>150</v>
      </c>
      <c r="E247" s="217" t="s">
        <v>622</v>
      </c>
      <c r="F247" s="217" t="s">
        <v>623</v>
      </c>
      <c r="G247" s="217" t="s">
        <v>2</v>
      </c>
      <c r="H247" s="217" t="s">
        <v>430</v>
      </c>
      <c r="I247" s="217" t="s">
        <v>114</v>
      </c>
      <c r="J247" s="302" t="s">
        <v>115</v>
      </c>
    </row>
    <row r="248" spans="2:10" ht="18" x14ac:dyDescent="0.25">
      <c r="B248" s="262" t="s">
        <v>991</v>
      </c>
      <c r="C248" s="255" t="s">
        <v>992</v>
      </c>
      <c r="D248" s="256">
        <f>3*A_MO/(2*A_MN)</f>
        <v>1.7134014435948508</v>
      </c>
      <c r="E248" s="303"/>
      <c r="F248" s="256"/>
      <c r="G248" s="256" t="s">
        <v>993</v>
      </c>
      <c r="H248" s="256"/>
      <c r="I248" s="256"/>
      <c r="J248" s="304" t="s">
        <v>994</v>
      </c>
    </row>
    <row r="249" spans="2:10" ht="18" x14ac:dyDescent="0.25">
      <c r="B249" s="239" t="s">
        <v>995</v>
      </c>
      <c r="C249" s="240" t="s">
        <v>996</v>
      </c>
      <c r="D249" s="241">
        <f>2*A_MO/(A_MN)</f>
        <v>2.2845352581264677</v>
      </c>
      <c r="E249" s="305"/>
      <c r="F249" s="241"/>
      <c r="G249" s="241" t="s">
        <v>993</v>
      </c>
      <c r="H249" s="241"/>
      <c r="I249" s="241"/>
      <c r="J249" s="242" t="s">
        <v>994</v>
      </c>
    </row>
    <row r="250" spans="2:10" ht="18" x14ac:dyDescent="0.25">
      <c r="B250" s="239" t="s">
        <v>997</v>
      </c>
      <c r="C250" s="240" t="s">
        <v>998</v>
      </c>
      <c r="D250" s="241">
        <f>2.5*A_MO/(A_MN)</f>
        <v>2.8556690726580851</v>
      </c>
      <c r="E250" s="305"/>
      <c r="F250" s="241"/>
      <c r="G250" s="241" t="s">
        <v>993</v>
      </c>
      <c r="H250" s="241"/>
      <c r="I250" s="241"/>
      <c r="J250" s="242" t="s">
        <v>994</v>
      </c>
    </row>
    <row r="251" spans="2:10" ht="18" x14ac:dyDescent="0.25">
      <c r="B251" s="239" t="s">
        <v>999</v>
      </c>
      <c r="C251" s="240" t="s">
        <v>1000</v>
      </c>
      <c r="D251" s="241">
        <f>3*A_MO/A_MN</f>
        <v>3.4268028871897016</v>
      </c>
      <c r="E251" s="305"/>
      <c r="F251" s="241"/>
      <c r="G251" s="241" t="s">
        <v>993</v>
      </c>
      <c r="H251" s="241"/>
      <c r="I251" s="241"/>
      <c r="J251" s="242" t="s">
        <v>994</v>
      </c>
    </row>
    <row r="252" spans="2:10" ht="18" x14ac:dyDescent="0.25">
      <c r="B252" s="239" t="s">
        <v>1001</v>
      </c>
      <c r="C252" s="240" t="s">
        <v>1002</v>
      </c>
      <c r="D252" s="241">
        <f>4*A_MO/A_MN</f>
        <v>4.5690705162529355</v>
      </c>
      <c r="E252" s="305"/>
      <c r="F252" s="241"/>
      <c r="G252" s="241" t="s">
        <v>993</v>
      </c>
      <c r="H252" s="241"/>
      <c r="I252" s="241"/>
      <c r="J252" s="242" t="s">
        <v>994</v>
      </c>
    </row>
    <row r="253" spans="2:10" ht="18" x14ac:dyDescent="0.25">
      <c r="B253" s="239" t="s">
        <v>1287</v>
      </c>
      <c r="C253" s="240" t="s">
        <v>1003</v>
      </c>
      <c r="D253" s="241">
        <f>A_MO/A_MN</f>
        <v>1.1422676290632339</v>
      </c>
      <c r="E253" s="305"/>
      <c r="F253" s="241"/>
      <c r="G253" s="241" t="s">
        <v>993</v>
      </c>
      <c r="H253" s="241"/>
      <c r="I253" s="241"/>
      <c r="J253" s="242"/>
    </row>
    <row r="254" spans="2:10" ht="18" x14ac:dyDescent="0.25">
      <c r="B254" s="239" t="s">
        <v>1288</v>
      </c>
      <c r="C254" s="240" t="s">
        <v>1004</v>
      </c>
      <c r="D254" s="241">
        <f>3*A_MO/(2*A_MN)</f>
        <v>1.7134014435948508</v>
      </c>
      <c r="E254" s="305"/>
      <c r="F254" s="241"/>
      <c r="G254" s="241" t="s">
        <v>993</v>
      </c>
      <c r="H254" s="241"/>
      <c r="I254" s="241"/>
      <c r="J254" s="242"/>
    </row>
    <row r="255" spans="2:10" ht="18" x14ac:dyDescent="0.25">
      <c r="B255" s="239" t="s">
        <v>1289</v>
      </c>
      <c r="C255" s="240" t="s">
        <v>1005</v>
      </c>
      <c r="D255" s="241">
        <f>0.5*A_MO/A_MN</f>
        <v>0.57113381453161693</v>
      </c>
      <c r="E255" s="305"/>
      <c r="F255" s="241"/>
      <c r="G255" s="241" t="s">
        <v>993</v>
      </c>
      <c r="H255" s="241"/>
      <c r="I255" s="241"/>
      <c r="J255" s="242"/>
    </row>
    <row r="256" spans="2:10" ht="18" x14ac:dyDescent="0.25">
      <c r="B256" s="239" t="s">
        <v>1290</v>
      </c>
      <c r="C256" s="240" t="s">
        <v>1006</v>
      </c>
      <c r="D256" s="241">
        <f>0.5*A_MO/A_MN</f>
        <v>0.57113381453161693</v>
      </c>
      <c r="E256" s="305"/>
      <c r="F256" s="241"/>
      <c r="G256" s="241" t="s">
        <v>993</v>
      </c>
      <c r="H256" s="241"/>
      <c r="I256" s="241"/>
      <c r="J256" s="242"/>
    </row>
    <row r="257" spans="2:10" ht="18" x14ac:dyDescent="0.25">
      <c r="B257" s="239" t="s">
        <v>1291</v>
      </c>
      <c r="C257" s="240" t="s">
        <v>1007</v>
      </c>
      <c r="D257" s="241">
        <f>0.5*A_MO/A_MN</f>
        <v>0.57113381453161693</v>
      </c>
      <c r="E257" s="305"/>
      <c r="F257" s="241"/>
      <c r="G257" s="241" t="s">
        <v>993</v>
      </c>
      <c r="H257" s="241"/>
      <c r="I257" s="241"/>
      <c r="J257" s="242"/>
    </row>
    <row r="258" spans="2:10" ht="18" x14ac:dyDescent="0.25">
      <c r="B258" s="223" t="s">
        <v>1292</v>
      </c>
      <c r="C258" s="224" t="s">
        <v>1008</v>
      </c>
      <c r="D258" s="225">
        <f>5*A_MO/(2*A_MN)</f>
        <v>2.8556690726580851</v>
      </c>
      <c r="E258" s="225"/>
      <c r="F258" s="225"/>
      <c r="G258" s="241" t="s">
        <v>993</v>
      </c>
      <c r="H258" s="225"/>
      <c r="I258" s="225"/>
      <c r="J258" s="238"/>
    </row>
    <row r="259" spans="2:10" ht="18.75" thickBot="1" x14ac:dyDescent="0.4">
      <c r="B259" s="306" t="s">
        <v>1293</v>
      </c>
      <c r="C259" s="307" t="s">
        <v>1294</v>
      </c>
      <c r="D259" s="308">
        <f>4*A_MO/(A_MS)</f>
        <v>1.9958708872602526</v>
      </c>
      <c r="E259" s="308"/>
      <c r="F259" s="308"/>
      <c r="G259" s="308" t="s">
        <v>1295</v>
      </c>
      <c r="H259" s="308"/>
      <c r="I259" s="308"/>
      <c r="J259" s="309"/>
    </row>
    <row r="260" spans="2:10" ht="15.75" thickBot="1" x14ac:dyDescent="0.3"/>
    <row r="261" spans="2:10" ht="15.75" thickBot="1" x14ac:dyDescent="0.3">
      <c r="C261" s="214" t="s">
        <v>1296</v>
      </c>
      <c r="J261" s="301"/>
    </row>
    <row r="262" spans="2:10" ht="15.75" thickBot="1" x14ac:dyDescent="0.3">
      <c r="B262" s="215" t="s">
        <v>0</v>
      </c>
      <c r="C262" s="216" t="s">
        <v>1</v>
      </c>
      <c r="D262" s="217" t="s">
        <v>150</v>
      </c>
      <c r="E262" s="217" t="s">
        <v>622</v>
      </c>
      <c r="F262" s="217" t="s">
        <v>623</v>
      </c>
      <c r="G262" s="217" t="s">
        <v>2</v>
      </c>
      <c r="H262" s="217" t="s">
        <v>430</v>
      </c>
      <c r="I262" s="217" t="s">
        <v>114</v>
      </c>
      <c r="J262" s="302" t="s">
        <v>115</v>
      </c>
    </row>
    <row r="263" spans="2:10" ht="18" x14ac:dyDescent="0.25">
      <c r="B263" s="219" t="s">
        <v>1297</v>
      </c>
      <c r="C263" s="220" t="s">
        <v>1298</v>
      </c>
      <c r="D263" s="310">
        <v>0.5</v>
      </c>
      <c r="E263" s="221"/>
      <c r="F263" s="221"/>
      <c r="G263" s="221"/>
      <c r="H263" s="221"/>
      <c r="I263" s="221"/>
      <c r="J263" s="311" t="s">
        <v>1299</v>
      </c>
    </row>
    <row r="264" spans="2:10" ht="18" x14ac:dyDescent="0.25">
      <c r="B264" s="223" t="s">
        <v>1300</v>
      </c>
      <c r="C264" s="224" t="s">
        <v>1301</v>
      </c>
      <c r="D264" s="312">
        <v>0.5</v>
      </c>
      <c r="E264" s="225"/>
      <c r="F264" s="225"/>
      <c r="G264" s="225"/>
      <c r="H264" s="225"/>
      <c r="I264" s="225"/>
      <c r="J264" s="313" t="s">
        <v>1302</v>
      </c>
    </row>
    <row r="265" spans="2:10" ht="18" x14ac:dyDescent="0.25">
      <c r="B265" s="223" t="s">
        <v>1303</v>
      </c>
      <c r="C265" s="224" t="s">
        <v>1304</v>
      </c>
      <c r="D265" s="312">
        <v>2</v>
      </c>
      <c r="E265" s="225"/>
      <c r="F265" s="225"/>
      <c r="G265" s="225"/>
      <c r="H265" s="225"/>
      <c r="I265" s="225"/>
      <c r="J265" s="313" t="s">
        <v>1305</v>
      </c>
    </row>
    <row r="266" spans="2:10" ht="18" x14ac:dyDescent="0.25">
      <c r="B266" s="223" t="s">
        <v>1306</v>
      </c>
      <c r="C266" s="224" t="s">
        <v>1307</v>
      </c>
      <c r="D266" s="312">
        <v>2</v>
      </c>
      <c r="E266" s="225"/>
      <c r="F266" s="225"/>
      <c r="G266" s="225"/>
      <c r="H266" s="225"/>
      <c r="I266" s="225"/>
      <c r="J266" s="313" t="s">
        <v>1308</v>
      </c>
    </row>
    <row r="267" spans="2:10" ht="18" x14ac:dyDescent="0.25">
      <c r="B267" s="223" t="s">
        <v>1309</v>
      </c>
      <c r="C267" s="224" t="s">
        <v>1310</v>
      </c>
      <c r="D267" s="312">
        <v>4.5</v>
      </c>
      <c r="E267" s="225"/>
      <c r="F267" s="225"/>
      <c r="G267" s="225"/>
      <c r="H267" s="225"/>
      <c r="I267" s="225"/>
      <c r="J267" s="313" t="s">
        <v>1311</v>
      </c>
    </row>
    <row r="268" spans="2:10" ht="18.75" thickBot="1" x14ac:dyDescent="0.3">
      <c r="B268" s="227" t="s">
        <v>1312</v>
      </c>
      <c r="C268" s="228" t="s">
        <v>1313</v>
      </c>
      <c r="D268" s="314">
        <v>4.5</v>
      </c>
      <c r="E268" s="229"/>
      <c r="F268" s="229"/>
      <c r="G268" s="229"/>
      <c r="H268" s="229"/>
      <c r="I268" s="229"/>
      <c r="J268" s="315" t="s">
        <v>1314</v>
      </c>
    </row>
    <row r="269" spans="2:10" ht="15.75" thickBot="1" x14ac:dyDescent="0.3"/>
    <row r="270" spans="2:10" ht="15.75" thickBot="1" x14ac:dyDescent="0.3">
      <c r="C270" s="287" t="s">
        <v>1315</v>
      </c>
    </row>
    <row r="271" spans="2:10" ht="15.75" thickBot="1" x14ac:dyDescent="0.3">
      <c r="B271" s="215" t="s">
        <v>0</v>
      </c>
      <c r="C271" s="316" t="s">
        <v>1</v>
      </c>
      <c r="D271" s="317" t="s">
        <v>150</v>
      </c>
      <c r="E271" s="317" t="s">
        <v>622</v>
      </c>
      <c r="F271" s="317" t="s">
        <v>623</v>
      </c>
      <c r="G271" s="317" t="s">
        <v>2</v>
      </c>
      <c r="H271" s="317" t="s">
        <v>430</v>
      </c>
      <c r="I271" s="317" t="s">
        <v>114</v>
      </c>
      <c r="J271" s="218" t="s">
        <v>115</v>
      </c>
    </row>
    <row r="272" spans="2:10" ht="18.75" thickBot="1" x14ac:dyDescent="0.3">
      <c r="B272" s="266" t="s">
        <v>1316</v>
      </c>
      <c r="C272" s="267" t="s">
        <v>1317</v>
      </c>
      <c r="D272" s="268">
        <v>4.1928999999999998</v>
      </c>
      <c r="E272" s="268"/>
      <c r="F272" s="268"/>
      <c r="G272" s="268" t="s">
        <v>1318</v>
      </c>
      <c r="H272" s="268"/>
      <c r="I272" s="268"/>
      <c r="J272" s="269"/>
    </row>
    <row r="273" spans="2:10" ht="15.75" thickBot="1" x14ac:dyDescent="0.3"/>
    <row r="274" spans="2:10" ht="15.75" thickBot="1" x14ac:dyDescent="0.3">
      <c r="C274" s="214" t="s">
        <v>1319</v>
      </c>
    </row>
    <row r="275" spans="2:10" ht="15.75" thickBot="1" x14ac:dyDescent="0.3">
      <c r="B275" s="215" t="s">
        <v>0</v>
      </c>
      <c r="C275" s="318" t="s">
        <v>1</v>
      </c>
      <c r="D275" s="317" t="s">
        <v>150</v>
      </c>
      <c r="E275" s="317" t="s">
        <v>622</v>
      </c>
      <c r="F275" s="317" t="s">
        <v>623</v>
      </c>
      <c r="G275" s="317" t="s">
        <v>2</v>
      </c>
      <c r="H275" s="317" t="s">
        <v>430</v>
      </c>
      <c r="I275" s="317" t="s">
        <v>114</v>
      </c>
      <c r="J275" s="218" t="s">
        <v>115</v>
      </c>
    </row>
    <row r="276" spans="2:10" ht="18" x14ac:dyDescent="0.25">
      <c r="B276" s="219" t="s">
        <v>1320</v>
      </c>
      <c r="C276" s="220" t="s">
        <v>1321</v>
      </c>
      <c r="D276" s="221">
        <v>1000000</v>
      </c>
      <c r="E276" s="221"/>
      <c r="F276" s="221"/>
      <c r="G276" s="221" t="s">
        <v>1322</v>
      </c>
      <c r="H276" s="221"/>
      <c r="I276" s="221"/>
      <c r="J276" s="234"/>
    </row>
    <row r="277" spans="2:10" ht="18" x14ac:dyDescent="0.25">
      <c r="B277" s="219" t="s">
        <v>1527</v>
      </c>
      <c r="C277" s="220" t="s">
        <v>1528</v>
      </c>
      <c r="D277" s="221">
        <v>100</v>
      </c>
      <c r="E277" s="221"/>
      <c r="F277" s="221"/>
      <c r="G277" s="221" t="s">
        <v>1529</v>
      </c>
      <c r="H277" s="221"/>
      <c r="I277" s="221"/>
      <c r="J277" s="234"/>
    </row>
    <row r="278" spans="2:10" ht="18" x14ac:dyDescent="0.25">
      <c r="B278" s="219" t="s">
        <v>1530</v>
      </c>
      <c r="C278" s="220" t="s">
        <v>1531</v>
      </c>
      <c r="D278" s="221">
        <v>100</v>
      </c>
      <c r="E278" s="221"/>
      <c r="F278" s="221"/>
      <c r="G278" s="221" t="s">
        <v>1532</v>
      </c>
      <c r="H278" s="221"/>
      <c r="I278" s="221"/>
      <c r="J278" s="234"/>
    </row>
    <row r="279" spans="2:10" ht="18" x14ac:dyDescent="0.25">
      <c r="B279" s="223" t="s">
        <v>1323</v>
      </c>
      <c r="C279" s="224" t="s">
        <v>1324</v>
      </c>
      <c r="D279" s="225">
        <v>86400</v>
      </c>
      <c r="E279" s="225"/>
      <c r="F279" s="225"/>
      <c r="G279" s="225" t="s">
        <v>1325</v>
      </c>
      <c r="H279" s="225"/>
      <c r="I279" s="225"/>
      <c r="J279" s="238"/>
    </row>
    <row r="280" spans="2:10" ht="18" x14ac:dyDescent="0.25">
      <c r="B280" s="223" t="s">
        <v>1326</v>
      </c>
      <c r="C280" s="224" t="s">
        <v>1327</v>
      </c>
      <c r="D280" s="225">
        <v>3600000</v>
      </c>
      <c r="E280" s="225"/>
      <c r="F280" s="225"/>
      <c r="G280" s="225" t="s">
        <v>1328</v>
      </c>
      <c r="H280" s="225"/>
      <c r="I280" s="225"/>
      <c r="J280" s="238"/>
    </row>
    <row r="281" spans="2:10" ht="18" x14ac:dyDescent="0.25">
      <c r="B281" s="223" t="s">
        <v>1329</v>
      </c>
      <c r="C281" s="224" t="s">
        <v>1330</v>
      </c>
      <c r="D281" s="225">
        <v>1000</v>
      </c>
      <c r="E281" s="225"/>
      <c r="F281" s="225"/>
      <c r="G281" s="225" t="s">
        <v>1331</v>
      </c>
      <c r="H281" s="225"/>
      <c r="I281" s="225"/>
      <c r="J281" s="238"/>
    </row>
    <row r="282" spans="2:10" ht="18" x14ac:dyDescent="0.25">
      <c r="B282" s="223" t="s">
        <v>1332</v>
      </c>
      <c r="C282" s="224" t="s">
        <v>1333</v>
      </c>
      <c r="D282" s="225">
        <v>1000</v>
      </c>
      <c r="E282" s="225"/>
      <c r="F282" s="225"/>
      <c r="G282" s="225" t="s">
        <v>1334</v>
      </c>
      <c r="H282" s="225"/>
      <c r="I282" s="225"/>
      <c r="J282" s="238"/>
    </row>
    <row r="283" spans="2:10" ht="18" x14ac:dyDescent="0.25">
      <c r="B283" s="223" t="s">
        <v>1335</v>
      </c>
      <c r="C283" s="224" t="s">
        <v>1336</v>
      </c>
      <c r="D283" s="225">
        <v>1000</v>
      </c>
      <c r="E283" s="225"/>
      <c r="F283" s="225"/>
      <c r="G283" s="225" t="s">
        <v>1337</v>
      </c>
      <c r="H283" s="225"/>
      <c r="I283" s="225"/>
      <c r="J283" s="238"/>
    </row>
    <row r="284" spans="2:10" ht="18" x14ac:dyDescent="0.25">
      <c r="B284" s="223" t="s">
        <v>1338</v>
      </c>
      <c r="C284" s="224" t="s">
        <v>1339</v>
      </c>
      <c r="D284" s="225">
        <v>133.32236800000001</v>
      </c>
      <c r="E284" s="225"/>
      <c r="F284" s="225"/>
      <c r="G284" s="225" t="s">
        <v>1340</v>
      </c>
      <c r="H284" s="225"/>
      <c r="I284" s="225"/>
      <c r="J284" s="238"/>
    </row>
    <row r="285" spans="2:10" ht="18" x14ac:dyDescent="0.25">
      <c r="B285" s="223" t="s">
        <v>1341</v>
      </c>
      <c r="C285" s="224" t="s">
        <v>1339</v>
      </c>
      <c r="D285" s="225">
        <v>100000</v>
      </c>
      <c r="E285" s="225"/>
      <c r="F285" s="225"/>
      <c r="G285" s="225" t="s">
        <v>1342</v>
      </c>
      <c r="H285" s="225"/>
      <c r="I285" s="225"/>
      <c r="J285" s="238"/>
    </row>
    <row r="286" spans="2:10" ht="18.75" thickBot="1" x14ac:dyDescent="0.3">
      <c r="B286" s="227" t="s">
        <v>1343</v>
      </c>
      <c r="C286" s="228" t="s">
        <v>1339</v>
      </c>
      <c r="D286" s="229">
        <v>10000</v>
      </c>
      <c r="E286" s="229"/>
      <c r="F286" s="229"/>
      <c r="G286" s="229" t="s">
        <v>1344</v>
      </c>
      <c r="H286" s="229"/>
      <c r="I286" s="229"/>
      <c r="J286" s="261"/>
    </row>
    <row r="287" spans="2:10" ht="15.75" thickBot="1" x14ac:dyDescent="0.3"/>
    <row r="288" spans="2:10" ht="15.75" thickBot="1" x14ac:dyDescent="0.3">
      <c r="C288" s="214" t="s">
        <v>1345</v>
      </c>
    </row>
    <row r="289" spans="2:10" ht="15.75" thickBot="1" x14ac:dyDescent="0.3">
      <c r="B289" s="215" t="s">
        <v>0</v>
      </c>
      <c r="C289" s="318" t="s">
        <v>1</v>
      </c>
      <c r="D289" s="317" t="s">
        <v>150</v>
      </c>
      <c r="E289" s="317" t="s">
        <v>622</v>
      </c>
      <c r="F289" s="317" t="s">
        <v>623</v>
      </c>
      <c r="G289" s="317" t="s">
        <v>2</v>
      </c>
      <c r="H289" s="317" t="s">
        <v>430</v>
      </c>
      <c r="I289" s="317" t="s">
        <v>114</v>
      </c>
      <c r="J289" s="218" t="s">
        <v>115</v>
      </c>
    </row>
    <row r="290" spans="2:10" ht="18" x14ac:dyDescent="0.25">
      <c r="B290" s="219" t="s">
        <v>1346</v>
      </c>
      <c r="C290" s="220" t="s">
        <v>1347</v>
      </c>
      <c r="D290" s="221">
        <v>0</v>
      </c>
      <c r="E290" s="221"/>
      <c r="F290" s="221"/>
      <c r="G290" s="221" t="s">
        <v>1348</v>
      </c>
      <c r="H290" s="221"/>
      <c r="I290" s="221"/>
      <c r="J290" s="234" t="s">
        <v>1349</v>
      </c>
    </row>
    <row r="291" spans="2:10" ht="18" x14ac:dyDescent="0.25">
      <c r="B291" s="223" t="s">
        <v>1350</v>
      </c>
      <c r="C291" s="224" t="s">
        <v>1351</v>
      </c>
      <c r="D291" s="225">
        <v>-285.83999999999997</v>
      </c>
      <c r="E291" s="225"/>
      <c r="F291" s="225"/>
      <c r="G291" s="225" t="s">
        <v>1348</v>
      </c>
      <c r="H291" s="225"/>
      <c r="I291" s="225"/>
      <c r="J291" s="238" t="s">
        <v>1352</v>
      </c>
    </row>
    <row r="292" spans="2:10" ht="18" x14ac:dyDescent="0.25">
      <c r="B292" s="223" t="s">
        <v>1353</v>
      </c>
      <c r="C292" s="224" t="s">
        <v>1354</v>
      </c>
      <c r="D292" s="225">
        <v>-229.994</v>
      </c>
      <c r="E292" s="225"/>
      <c r="F292" s="225"/>
      <c r="G292" s="225" t="s">
        <v>1348</v>
      </c>
      <c r="H292" s="225"/>
      <c r="I292" s="225"/>
      <c r="J292" s="238" t="s">
        <v>1349</v>
      </c>
    </row>
    <row r="293" spans="2:10" ht="18" x14ac:dyDescent="0.25">
      <c r="B293" s="223" t="s">
        <v>1355</v>
      </c>
      <c r="C293" s="224" t="s">
        <v>1356</v>
      </c>
      <c r="D293" s="225">
        <v>-80.92</v>
      </c>
      <c r="E293" s="225"/>
      <c r="F293" s="225"/>
      <c r="G293" s="225" t="s">
        <v>1348</v>
      </c>
      <c r="H293" s="225"/>
      <c r="I293" s="225"/>
      <c r="J293" s="238" t="s">
        <v>1349</v>
      </c>
    </row>
    <row r="294" spans="2:10" ht="18" x14ac:dyDescent="0.25">
      <c r="B294" s="223" t="s">
        <v>1357</v>
      </c>
      <c r="C294" s="224" t="s">
        <v>1358</v>
      </c>
      <c r="D294" s="225">
        <v>-132.51</v>
      </c>
      <c r="E294" s="225"/>
      <c r="F294" s="225"/>
      <c r="G294" s="225" t="s">
        <v>1348</v>
      </c>
      <c r="H294" s="225"/>
      <c r="I294" s="225"/>
      <c r="J294" s="238" t="s">
        <v>1349</v>
      </c>
    </row>
    <row r="295" spans="2:10" ht="18" x14ac:dyDescent="0.25">
      <c r="B295" s="223" t="s">
        <v>1359</v>
      </c>
      <c r="C295" s="224" t="s">
        <v>1360</v>
      </c>
      <c r="D295" s="225">
        <v>-119.2</v>
      </c>
      <c r="E295" s="225"/>
      <c r="F295" s="225"/>
      <c r="G295" s="225" t="s">
        <v>1348</v>
      </c>
      <c r="H295" s="225"/>
      <c r="I295" s="225"/>
      <c r="J295" s="238" t="s">
        <v>1349</v>
      </c>
    </row>
    <row r="296" spans="2:10" ht="18" x14ac:dyDescent="0.25">
      <c r="B296" s="223" t="s">
        <v>1361</v>
      </c>
      <c r="C296" s="224" t="s">
        <v>1362</v>
      </c>
      <c r="D296" s="225">
        <v>-106</v>
      </c>
      <c r="E296" s="225"/>
      <c r="F296" s="225"/>
      <c r="G296" s="225" t="s">
        <v>1348</v>
      </c>
      <c r="H296" s="225"/>
      <c r="I296" s="225"/>
      <c r="J296" s="238" t="s">
        <v>1352</v>
      </c>
    </row>
    <row r="297" spans="2:10" ht="18" x14ac:dyDescent="0.25">
      <c r="B297" s="223" t="s">
        <v>1363</v>
      </c>
      <c r="C297" s="224" t="s">
        <v>1364</v>
      </c>
      <c r="D297" s="225">
        <v>-205</v>
      </c>
      <c r="E297" s="225"/>
      <c r="F297" s="225"/>
      <c r="G297" s="225" t="s">
        <v>1348</v>
      </c>
      <c r="H297" s="225"/>
      <c r="I297" s="225"/>
      <c r="J297" s="238" t="s">
        <v>1349</v>
      </c>
    </row>
    <row r="298" spans="2:10" ht="18" x14ac:dyDescent="0.25">
      <c r="B298" s="223" t="s">
        <v>1365</v>
      </c>
      <c r="C298" s="224" t="s">
        <v>1366</v>
      </c>
      <c r="D298" s="225">
        <v>-699.65</v>
      </c>
      <c r="E298" s="225"/>
      <c r="F298" s="225"/>
      <c r="G298" s="225" t="s">
        <v>1348</v>
      </c>
      <c r="H298" s="225"/>
      <c r="I298" s="225"/>
      <c r="J298" s="238" t="s">
        <v>1349</v>
      </c>
    </row>
    <row r="299" spans="2:10" ht="18" x14ac:dyDescent="0.25">
      <c r="B299" s="223" t="s">
        <v>1367</v>
      </c>
      <c r="C299" s="224" t="s">
        <v>1368</v>
      </c>
      <c r="D299" s="225">
        <v>-691.99</v>
      </c>
      <c r="E299" s="225"/>
      <c r="F299" s="225"/>
      <c r="G299" s="225" t="s">
        <v>1348</v>
      </c>
      <c r="H299" s="225"/>
      <c r="I299" s="225"/>
      <c r="J299" s="238" t="s">
        <v>1349</v>
      </c>
    </row>
    <row r="300" spans="2:10" ht="18" x14ac:dyDescent="0.25">
      <c r="B300" s="223" t="s">
        <v>1369</v>
      </c>
      <c r="C300" s="224" t="s">
        <v>1370</v>
      </c>
      <c r="D300" s="225">
        <v>-677.14</v>
      </c>
      <c r="E300" s="225"/>
      <c r="F300" s="225"/>
      <c r="G300" s="225" t="s">
        <v>1348</v>
      </c>
      <c r="H300" s="225"/>
      <c r="I300" s="225"/>
      <c r="J300" s="238" t="s">
        <v>1349</v>
      </c>
    </row>
    <row r="301" spans="2:10" ht="18" x14ac:dyDescent="0.25">
      <c r="B301" s="223" t="s">
        <v>1371</v>
      </c>
      <c r="C301" s="224" t="s">
        <v>1372</v>
      </c>
      <c r="D301" s="225">
        <v>-1299.144</v>
      </c>
      <c r="E301" s="225"/>
      <c r="F301" s="225"/>
      <c r="G301" s="225" t="s">
        <v>1348</v>
      </c>
      <c r="H301" s="225"/>
      <c r="I301" s="225"/>
      <c r="J301" s="238" t="s">
        <v>1373</v>
      </c>
    </row>
    <row r="302" spans="2:10" ht="18" x14ac:dyDescent="0.25">
      <c r="B302" s="223" t="s">
        <v>1374</v>
      </c>
      <c r="C302" s="224" t="s">
        <v>1375</v>
      </c>
      <c r="D302" s="225">
        <v>1296</v>
      </c>
      <c r="E302" s="225"/>
      <c r="F302" s="225"/>
      <c r="G302" s="225" t="s">
        <v>1348</v>
      </c>
      <c r="H302" s="225"/>
      <c r="I302" s="225"/>
      <c r="J302" s="238" t="s">
        <v>1376</v>
      </c>
    </row>
    <row r="303" spans="2:10" ht="18" x14ac:dyDescent="0.25">
      <c r="B303" s="223" t="s">
        <v>1377</v>
      </c>
      <c r="C303" s="224" t="s">
        <v>1378</v>
      </c>
      <c r="D303" s="225">
        <v>-1292</v>
      </c>
      <c r="E303" s="225"/>
      <c r="F303" s="225"/>
      <c r="G303" s="225" t="s">
        <v>1348</v>
      </c>
      <c r="H303" s="225"/>
      <c r="I303" s="225"/>
      <c r="J303" s="238" t="s">
        <v>1376</v>
      </c>
    </row>
    <row r="304" spans="2:10" ht="18" x14ac:dyDescent="0.25">
      <c r="B304" s="223" t="s">
        <v>1379</v>
      </c>
      <c r="C304" s="224" t="s">
        <v>1380</v>
      </c>
      <c r="D304" s="225">
        <v>-1277.4000000000001</v>
      </c>
      <c r="E304" s="225"/>
      <c r="F304" s="225"/>
      <c r="G304" s="225" t="s">
        <v>1348</v>
      </c>
      <c r="H304" s="225"/>
      <c r="I304" s="225"/>
      <c r="J304" s="238" t="s">
        <v>1349</v>
      </c>
    </row>
    <row r="305" spans="2:10" ht="18" x14ac:dyDescent="0.25">
      <c r="B305" s="223" t="s">
        <v>1381</v>
      </c>
      <c r="C305" s="224" t="s">
        <v>1382</v>
      </c>
      <c r="D305" s="225">
        <v>-488.45299999999997</v>
      </c>
      <c r="E305" s="225"/>
      <c r="F305" s="225"/>
      <c r="G305" s="225" t="s">
        <v>1348</v>
      </c>
      <c r="H305" s="225"/>
      <c r="I305" s="225"/>
      <c r="J305" s="238" t="s">
        <v>1352</v>
      </c>
    </row>
    <row r="306" spans="2:10" ht="18.75" thickBot="1" x14ac:dyDescent="0.3">
      <c r="B306" s="227" t="s">
        <v>1383</v>
      </c>
      <c r="C306" s="228" t="s">
        <v>1384</v>
      </c>
      <c r="D306" s="229">
        <v>-488.87099999999998</v>
      </c>
      <c r="E306" s="229"/>
      <c r="F306" s="229"/>
      <c r="G306" s="229" t="s">
        <v>1348</v>
      </c>
      <c r="H306" s="229"/>
      <c r="I306" s="229"/>
      <c r="J306" s="261" t="s">
        <v>1352</v>
      </c>
    </row>
    <row r="307" spans="2:10" ht="15.75" thickBot="1" x14ac:dyDescent="0.3"/>
    <row r="308" spans="2:10" ht="15.75" thickBot="1" x14ac:dyDescent="0.3">
      <c r="C308" s="214" t="s">
        <v>1385</v>
      </c>
    </row>
    <row r="309" spans="2:10" ht="15.75" thickBot="1" x14ac:dyDescent="0.3">
      <c r="B309" s="215" t="s">
        <v>0</v>
      </c>
      <c r="C309" s="318" t="s">
        <v>1</v>
      </c>
      <c r="D309" s="317" t="s">
        <v>150</v>
      </c>
      <c r="E309" s="317" t="s">
        <v>622</v>
      </c>
      <c r="F309" s="317" t="s">
        <v>623</v>
      </c>
      <c r="G309" s="317" t="s">
        <v>2</v>
      </c>
      <c r="H309" s="317" t="s">
        <v>430</v>
      </c>
      <c r="I309" s="317" t="s">
        <v>114</v>
      </c>
      <c r="J309" s="218" t="s">
        <v>115</v>
      </c>
    </row>
    <row r="310" spans="2:10" ht="18.75" thickBot="1" x14ac:dyDescent="0.3">
      <c r="B310" s="266" t="s">
        <v>1386</v>
      </c>
      <c r="C310" s="267" t="s">
        <v>1387</v>
      </c>
      <c r="D310" s="268">
        <v>-286.93308000000002</v>
      </c>
      <c r="E310" s="268"/>
      <c r="F310" s="268"/>
      <c r="G310" s="268" t="s">
        <v>1348</v>
      </c>
      <c r="H310" s="268"/>
      <c r="I310" s="268"/>
      <c r="J310" s="269" t="s">
        <v>1388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4"/>
  <sheetViews>
    <sheetView workbookViewId="0">
      <selection activeCell="B3" sqref="B3:D14"/>
    </sheetView>
  </sheetViews>
  <sheetFormatPr defaultColWidth="9.140625" defaultRowHeight="15" x14ac:dyDescent="0.25"/>
  <cols>
    <col min="1" max="1" width="9.140625" style="135"/>
    <col min="2" max="2" width="19.28515625" style="135" bestFit="1" customWidth="1"/>
    <col min="3" max="3" width="43.140625" style="135" bestFit="1" customWidth="1"/>
    <col min="4" max="5" width="9.140625" style="135"/>
    <col min="6" max="6" width="17.85546875" style="135" customWidth="1"/>
    <col min="7" max="8" width="9.140625" style="135"/>
    <col min="9" max="9" width="12.85546875" style="135" bestFit="1" customWidth="1"/>
    <col min="10" max="16384" width="9.140625" style="135"/>
  </cols>
  <sheetData>
    <row r="1" spans="2:9" customFormat="1" ht="15.75" thickBot="1" x14ac:dyDescent="0.3"/>
    <row r="2" spans="2:9" customFormat="1" ht="15.75" thickBot="1" x14ac:dyDescent="0.3">
      <c r="B2" s="136"/>
      <c r="C2" s="137" t="s">
        <v>1009</v>
      </c>
      <c r="D2" s="136"/>
      <c r="E2" s="136"/>
      <c r="F2" s="136"/>
      <c r="G2" s="136"/>
      <c r="H2" s="136"/>
      <c r="I2" s="136"/>
    </row>
    <row r="3" spans="2:9" customFormat="1" ht="15.75" thickBot="1" x14ac:dyDescent="0.3">
      <c r="B3" s="338" t="s">
        <v>0</v>
      </c>
      <c r="C3" s="339" t="s">
        <v>1</v>
      </c>
      <c r="D3" s="339" t="s">
        <v>150</v>
      </c>
      <c r="E3" s="340" t="s">
        <v>622</v>
      </c>
      <c r="F3" s="340" t="s">
        <v>623</v>
      </c>
      <c r="G3" s="339" t="s">
        <v>2</v>
      </c>
      <c r="H3" s="339" t="s">
        <v>430</v>
      </c>
      <c r="I3" s="341" t="s">
        <v>114</v>
      </c>
    </row>
    <row r="4" spans="2:9" s="348" customFormat="1" ht="15.75" thickBot="1" x14ac:dyDescent="0.3">
      <c r="B4" s="342"/>
      <c r="C4" s="343"/>
      <c r="D4" s="344"/>
      <c r="E4" s="345"/>
      <c r="F4" s="346"/>
      <c r="G4" s="344"/>
      <c r="H4" s="344"/>
      <c r="I4" s="347"/>
    </row>
    <row r="5" spans="2:9" s="348" customFormat="1" ht="15.75" thickBot="1" x14ac:dyDescent="0.3">
      <c r="B5" s="342"/>
      <c r="C5" s="137" t="s">
        <v>1413</v>
      </c>
      <c r="D5" s="344"/>
      <c r="E5" s="345"/>
      <c r="F5" s="346"/>
      <c r="G5" s="344"/>
      <c r="H5" s="344"/>
      <c r="I5" s="347"/>
    </row>
    <row r="6" spans="2:9" s="348" customFormat="1" ht="15.75" thickBot="1" x14ac:dyDescent="0.3">
      <c r="B6" s="338" t="s">
        <v>0</v>
      </c>
      <c r="C6" s="339" t="s">
        <v>1</v>
      </c>
      <c r="D6" s="339" t="s">
        <v>150</v>
      </c>
      <c r="E6" s="340" t="s">
        <v>622</v>
      </c>
      <c r="F6" s="340" t="s">
        <v>623</v>
      </c>
      <c r="G6" s="339" t="s">
        <v>2</v>
      </c>
      <c r="H6" s="339" t="s">
        <v>430</v>
      </c>
      <c r="I6" s="341" t="s">
        <v>114</v>
      </c>
    </row>
    <row r="7" spans="2:9" s="348" customFormat="1" ht="15.75" thickBot="1" x14ac:dyDescent="0.3">
      <c r="B7" s="349" t="s">
        <v>1013</v>
      </c>
      <c r="C7" s="350" t="s">
        <v>1010</v>
      </c>
      <c r="D7" s="351" t="b">
        <v>0</v>
      </c>
      <c r="E7" s="350"/>
      <c r="F7" s="350"/>
      <c r="G7" s="350"/>
      <c r="H7" s="350"/>
      <c r="I7" s="352" t="s">
        <v>1011</v>
      </c>
    </row>
    <row r="8" spans="2:9" s="348" customFormat="1" ht="15.75" thickBot="1" x14ac:dyDescent="0.3"/>
    <row r="9" spans="2:9" s="348" customFormat="1" ht="15.75" thickBot="1" x14ac:dyDescent="0.3">
      <c r="B9" s="353" t="s">
        <v>1414</v>
      </c>
      <c r="C9" s="137" t="s">
        <v>1415</v>
      </c>
      <c r="D9" s="136"/>
      <c r="E9" s="136"/>
      <c r="F9" s="136"/>
      <c r="G9" s="136"/>
      <c r="H9" s="136"/>
      <c r="I9" s="136"/>
    </row>
    <row r="10" spans="2:9" s="348" customFormat="1" ht="15.75" thickBot="1" x14ac:dyDescent="0.3">
      <c r="B10" s="338" t="s">
        <v>0</v>
      </c>
      <c r="C10" s="339" t="s">
        <v>1</v>
      </c>
      <c r="D10" s="339" t="s">
        <v>150</v>
      </c>
      <c r="E10" s="340" t="s">
        <v>622</v>
      </c>
      <c r="F10" s="340" t="s">
        <v>623</v>
      </c>
      <c r="G10" s="339" t="s">
        <v>2</v>
      </c>
      <c r="H10" s="339" t="s">
        <v>430</v>
      </c>
      <c r="I10" s="341" t="s">
        <v>114</v>
      </c>
    </row>
    <row r="11" spans="2:9" s="348" customFormat="1" x14ac:dyDescent="0.25">
      <c r="B11" s="354" t="s">
        <v>1412</v>
      </c>
      <c r="C11" s="355"/>
      <c r="D11" s="355" t="b">
        <v>0</v>
      </c>
      <c r="E11" s="355"/>
      <c r="F11" s="355"/>
      <c r="G11" s="355"/>
      <c r="H11" s="355"/>
      <c r="I11" s="356" t="s">
        <v>1416</v>
      </c>
    </row>
    <row r="12" spans="2:9" s="348" customFormat="1" x14ac:dyDescent="0.25">
      <c r="B12" s="354" t="s">
        <v>1417</v>
      </c>
      <c r="C12" s="355"/>
      <c r="D12" s="355" t="b">
        <v>0</v>
      </c>
      <c r="E12" s="355"/>
      <c r="F12" s="355"/>
      <c r="G12" s="355"/>
      <c r="H12" s="355"/>
      <c r="I12" s="356" t="s">
        <v>1416</v>
      </c>
    </row>
    <row r="13" spans="2:9" s="348" customFormat="1" x14ac:dyDescent="0.25">
      <c r="B13" s="357" t="s">
        <v>1418</v>
      </c>
      <c r="C13" s="358"/>
      <c r="D13" s="358" t="b">
        <v>1</v>
      </c>
      <c r="E13" s="358"/>
      <c r="F13" s="358"/>
      <c r="G13" s="358"/>
      <c r="H13" s="358"/>
      <c r="I13" s="359" t="s">
        <v>1416</v>
      </c>
    </row>
    <row r="14" spans="2:9" s="348" customFormat="1" ht="15.75" thickBot="1" x14ac:dyDescent="0.3">
      <c r="B14" s="360" t="s">
        <v>425</v>
      </c>
      <c r="C14" s="361"/>
      <c r="D14" s="361" t="b">
        <v>1</v>
      </c>
      <c r="E14" s="361"/>
      <c r="F14" s="361"/>
      <c r="G14" s="361"/>
      <c r="H14" s="361"/>
      <c r="I14" s="362" t="s">
        <v>1416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F22" sqref="F22"/>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45" customFormat="1" ht="44.25" customHeight="1" thickBot="1" x14ac:dyDescent="0.3"/>
    <row r="2" spans="2:7" ht="16.5" customHeight="1" thickBot="1" x14ac:dyDescent="0.3">
      <c r="B2" s="4"/>
      <c r="C2" s="62"/>
      <c r="D2" s="61"/>
      <c r="E2" s="4"/>
      <c r="F2" s="4"/>
      <c r="G2" s="4"/>
    </row>
    <row r="3" spans="2:7" ht="13.5" customHeight="1" thickBot="1" x14ac:dyDescent="0.3">
      <c r="B3" s="64"/>
      <c r="C3" s="65" t="s">
        <v>1</v>
      </c>
      <c r="D3" s="65" t="s">
        <v>4</v>
      </c>
      <c r="E3" s="67" t="s">
        <v>2</v>
      </c>
      <c r="F3" s="68" t="s">
        <v>114</v>
      </c>
      <c r="G3" s="66" t="s">
        <v>115</v>
      </c>
    </row>
    <row r="4" spans="2:7" ht="20.25" customHeight="1" x14ac:dyDescent="0.25">
      <c r="B4" s="40"/>
      <c r="C4" s="40"/>
      <c r="D4" s="39"/>
      <c r="E4" s="41"/>
      <c r="F4" s="42"/>
      <c r="G4" s="42"/>
    </row>
  </sheetData>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5" sqref="J15"/>
    </sheetView>
  </sheetViews>
  <sheetFormatPr defaultColWidth="9.140625" defaultRowHeight="15" x14ac:dyDescent="0.25"/>
  <cols>
    <col min="1" max="1" width="9.140625" style="8"/>
    <col min="2" max="7" width="16.42578125" style="8" customWidth="1"/>
    <col min="8" max="73" width="9.140625" style="8"/>
  </cols>
  <sheetData>
    <row r="1" spans="2:7" ht="15.75" thickBot="1" x14ac:dyDescent="0.3"/>
    <row r="2" spans="2:7" x14ac:dyDescent="0.25">
      <c r="B2" s="9"/>
      <c r="C2" s="10"/>
      <c r="D2" s="10"/>
      <c r="E2" s="10"/>
      <c r="F2" s="10"/>
      <c r="G2" s="11"/>
    </row>
    <row r="3" spans="2:7" x14ac:dyDescent="0.25">
      <c r="B3" s="558" t="s">
        <v>107</v>
      </c>
      <c r="C3" s="559"/>
      <c r="D3" s="559"/>
      <c r="E3" s="559"/>
      <c r="F3" s="559"/>
      <c r="G3" s="560"/>
    </row>
    <row r="4" spans="2:7" x14ac:dyDescent="0.25">
      <c r="B4" s="558"/>
      <c r="C4" s="559"/>
      <c r="D4" s="559"/>
      <c r="E4" s="559"/>
      <c r="F4" s="559"/>
      <c r="G4" s="560"/>
    </row>
    <row r="5" spans="2:7" x14ac:dyDescent="0.25">
      <c r="B5" s="558"/>
      <c r="C5" s="559"/>
      <c r="D5" s="559"/>
      <c r="E5" s="559"/>
      <c r="F5" s="559"/>
      <c r="G5" s="560"/>
    </row>
    <row r="6" spans="2:7" x14ac:dyDescent="0.25">
      <c r="B6" s="558"/>
      <c r="C6" s="559"/>
      <c r="D6" s="559"/>
      <c r="E6" s="559"/>
      <c r="F6" s="559"/>
      <c r="G6" s="560"/>
    </row>
    <row r="7" spans="2:7" x14ac:dyDescent="0.25">
      <c r="B7" s="558"/>
      <c r="C7" s="559"/>
      <c r="D7" s="559"/>
      <c r="E7" s="559"/>
      <c r="F7" s="559"/>
      <c r="G7" s="560"/>
    </row>
    <row r="8" spans="2:7" ht="15.75" thickBot="1" x14ac:dyDescent="0.3">
      <c r="B8" s="561"/>
      <c r="C8" s="562"/>
      <c r="D8" s="562"/>
      <c r="E8" s="562"/>
      <c r="F8" s="562"/>
      <c r="G8" s="563"/>
    </row>
    <row r="10" spans="2:7" x14ac:dyDescent="0.25">
      <c r="B10" s="564"/>
      <c r="C10" s="564"/>
      <c r="D10" s="564"/>
      <c r="E10" s="564"/>
      <c r="F10" s="564"/>
      <c r="G10" s="564"/>
    </row>
    <row r="11" spans="2:7" x14ac:dyDescent="0.25">
      <c r="B11" s="564"/>
      <c r="C11" s="564"/>
      <c r="D11" s="564"/>
      <c r="E11" s="564"/>
      <c r="F11" s="564"/>
      <c r="G11" s="564"/>
    </row>
    <row r="12" spans="2:7" x14ac:dyDescent="0.25">
      <c r="B12" s="564"/>
      <c r="C12" s="564"/>
      <c r="D12" s="564"/>
      <c r="E12" s="564"/>
      <c r="F12" s="564"/>
      <c r="G12" s="564"/>
    </row>
    <row r="13" spans="2:7" x14ac:dyDescent="0.25">
      <c r="B13" s="564"/>
      <c r="C13" s="564"/>
      <c r="D13" s="564"/>
      <c r="E13" s="564"/>
      <c r="F13" s="564"/>
      <c r="G13" s="564"/>
    </row>
    <row r="14" spans="2:7" x14ac:dyDescent="0.25">
      <c r="B14" s="564"/>
      <c r="C14" s="564"/>
      <c r="D14" s="564"/>
      <c r="E14" s="564"/>
      <c r="F14" s="564"/>
      <c r="G14" s="564"/>
    </row>
    <row r="15" spans="2:7" x14ac:dyDescent="0.25">
      <c r="B15" s="564"/>
      <c r="C15" s="564"/>
      <c r="D15" s="564"/>
      <c r="E15" s="564"/>
      <c r="F15" s="564"/>
      <c r="G15" s="564"/>
    </row>
    <row r="16" spans="2:7" x14ac:dyDescent="0.25">
      <c r="B16" s="564"/>
      <c r="C16" s="564"/>
      <c r="D16" s="564"/>
      <c r="E16" s="564"/>
      <c r="F16" s="564"/>
      <c r="G16" s="564"/>
    </row>
    <row r="17" spans="2:7" x14ac:dyDescent="0.25">
      <c r="B17" s="564"/>
      <c r="C17" s="564"/>
      <c r="D17" s="564"/>
      <c r="E17" s="564"/>
      <c r="F17" s="564"/>
      <c r="G17" s="564"/>
    </row>
    <row r="18" spans="2:7" x14ac:dyDescent="0.25">
      <c r="B18" s="564"/>
      <c r="C18" s="564"/>
      <c r="D18" s="564"/>
      <c r="E18" s="564"/>
      <c r="F18" s="564"/>
      <c r="G18" s="564"/>
    </row>
  </sheetData>
  <sheetProtection selectLockedCells="1" selectUnlockedCells="1"/>
  <mergeCells count="2">
    <mergeCell ref="B3:G8"/>
    <mergeCell ref="B10:G1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105</v>
      </c>
      <c r="B1" s="7">
        <v>387</v>
      </c>
    </row>
    <row r="2" spans="1:3" x14ac:dyDescent="0.25">
      <c r="A2" t="s">
        <v>106</v>
      </c>
      <c r="B2" s="7">
        <v>441</v>
      </c>
    </row>
    <row r="3" spans="1:3" x14ac:dyDescent="0.25">
      <c r="A3" t="s">
        <v>108</v>
      </c>
      <c r="B3">
        <v>517</v>
      </c>
    </row>
    <row r="4" spans="1:3" x14ac:dyDescent="0.25">
      <c r="A4" t="s">
        <v>111</v>
      </c>
      <c r="B4">
        <v>444</v>
      </c>
    </row>
    <row r="5" spans="1:3" x14ac:dyDescent="0.25">
      <c r="A5" t="s">
        <v>118</v>
      </c>
      <c r="B5">
        <v>364</v>
      </c>
    </row>
    <row r="6" spans="1:3" x14ac:dyDescent="0.25">
      <c r="A6" t="s">
        <v>124</v>
      </c>
      <c r="B6">
        <v>418</v>
      </c>
    </row>
    <row r="7" spans="1:3" x14ac:dyDescent="0.25">
      <c r="A7" t="s">
        <v>125</v>
      </c>
      <c r="B7">
        <v>510</v>
      </c>
    </row>
    <row r="8" spans="1:3" x14ac:dyDescent="0.25">
      <c r="A8" t="s">
        <v>127</v>
      </c>
      <c r="B8">
        <v>452</v>
      </c>
      <c r="C8" t="s">
        <v>128</v>
      </c>
    </row>
    <row r="9" spans="1:3" x14ac:dyDescent="0.25">
      <c r="A9" t="s">
        <v>129</v>
      </c>
      <c r="B9">
        <v>611</v>
      </c>
      <c r="C9" t="s">
        <v>130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D1" sqref="D1"/>
    </sheetView>
  </sheetViews>
  <sheetFormatPr defaultColWidth="9.140625" defaultRowHeight="15" x14ac:dyDescent="0.25"/>
  <cols>
    <col min="3" max="3" width="25.28515625" customWidth="1"/>
    <col min="6" max="6" width="9.5703125" customWidth="1"/>
    <col min="8" max="8" width="28.140625" customWidth="1"/>
  </cols>
  <sheetData>
    <row r="1" spans="2:8" s="45" customFormat="1" ht="54" customHeight="1" thickBot="1" x14ac:dyDescent="0.3"/>
    <row r="2" spans="2:8" ht="15.75" thickBot="1" x14ac:dyDescent="0.3">
      <c r="B2" s="142"/>
      <c r="C2" s="143" t="s">
        <v>7</v>
      </c>
      <c r="D2" s="142"/>
      <c r="E2" s="142"/>
      <c r="F2" s="142"/>
      <c r="G2" s="144"/>
      <c r="H2" s="144"/>
    </row>
    <row r="3" spans="2:8" ht="15.75" thickBot="1" x14ac:dyDescent="0.3">
      <c r="B3" s="112" t="s">
        <v>0</v>
      </c>
      <c r="C3" s="113" t="s">
        <v>1</v>
      </c>
      <c r="D3" s="114" t="s">
        <v>150</v>
      </c>
      <c r="E3" s="113" t="s">
        <v>2</v>
      </c>
      <c r="F3" s="113" t="s">
        <v>430</v>
      </c>
      <c r="G3" s="113" t="s">
        <v>114</v>
      </c>
      <c r="H3" s="115" t="s">
        <v>115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1045</vt:i4>
      </vt:variant>
    </vt:vector>
  </HeadingPairs>
  <TitlesOfParts>
    <vt:vector size="1060" baseType="lpstr">
      <vt:lpstr>Help</vt:lpstr>
      <vt:lpstr>Parameters</vt:lpstr>
      <vt:lpstr>Model</vt:lpstr>
      <vt:lpstr>pH</vt:lpstr>
      <vt:lpstr>Tableau</vt:lpstr>
      <vt:lpstr>Components</vt:lpstr>
      <vt:lpstr>Algebraic model</vt:lpstr>
      <vt:lpstr>Expert knowledge</vt:lpstr>
      <vt:lpstr>Functions</vt:lpstr>
      <vt:lpstr>Calculated variables</vt:lpstr>
      <vt:lpstr>systemcode_functions</vt:lpstr>
      <vt:lpstr>systemcode_constants</vt:lpstr>
      <vt:lpstr>other parameters</vt:lpstr>
      <vt:lpstr>Code</vt:lpstr>
      <vt:lpstr>Species</vt:lpstr>
      <vt:lpstr>µ_PAO1</vt:lpstr>
      <vt:lpstr>µ_PAO2</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A_UR</vt:lpstr>
      <vt:lpstr>b_H</vt:lpstr>
      <vt:lpstr>B_H2O</vt:lpstr>
      <vt:lpstr>b_NIT</vt:lpstr>
      <vt:lpstr>b_PAO</vt:lpstr>
      <vt:lpstr>b_PP</vt:lpstr>
      <vt:lpstr>c_cm2_m2</vt:lpstr>
      <vt:lpstr>c_g_kg</vt:lpstr>
      <vt:lpstr>C_H2O</vt:lpstr>
      <vt:lpstr>c_L_m3</vt:lpstr>
      <vt:lpstr>c_mg_g</vt:lpstr>
      <vt:lpstr>c_ms_h</vt:lpstr>
      <vt:lpstr>c_p_water</vt:lpstr>
      <vt:lpstr>c_Pa_bar</vt:lpstr>
      <vt:lpstr>c_Pa_Hgmm</vt:lpstr>
      <vt:lpstr>c_percent_fraction</vt:lpstr>
      <vt:lpstr>c_percent_Vconc</vt:lpstr>
      <vt:lpstr>c_ppm_Vconc</vt:lpstr>
      <vt:lpstr>c_s_d</vt:lpstr>
      <vt:lpstr>conc_Hp_Ieq</vt:lpstr>
      <vt:lpstr>D_CH4_25</vt:lpstr>
      <vt:lpstr>D_CO2_25</vt:lpstr>
      <vt:lpstr>D_H2_25</vt:lpstr>
      <vt:lpstr>D_N2_25</vt:lpstr>
      <vt:lpstr>D_N2O_25</vt:lpstr>
      <vt:lpstr>D_NH3_25</vt:lpstr>
      <vt:lpstr>D_NO_25</vt:lpstr>
      <vt:lpstr>D_O2_25</vt:lpstr>
      <vt:lpstr>E_EQH2S_H2SO4</vt:lpstr>
      <vt:lpstr>E_EQN2</vt:lpstr>
      <vt:lpstr>E_EQN2_N2O</vt:lpstr>
      <vt:lpstr>E_EQN2_NO2</vt:lpstr>
      <vt:lpstr>E_EQN2_NO3</vt:lpstr>
      <vt:lpstr>E_EQN2O</vt:lpstr>
      <vt:lpstr>E_EQN2O_NO</vt:lpstr>
      <vt:lpstr>E_EQNO</vt:lpstr>
      <vt:lpstr>E_EQNO_NO2</vt:lpstr>
      <vt:lpstr>E_EQNO2</vt:lpstr>
      <vt:lpstr>E_EQNO2_NO3</vt:lpstr>
      <vt:lpstr>E_EQNO3</vt:lpstr>
      <vt:lpstr>F__</vt:lpstr>
      <vt:lpstr>f_Ar_air</vt:lpstr>
      <vt:lpstr>f_BOD5_BODult</vt:lpstr>
      <vt:lpstr>f_CO2_air</vt:lpstr>
      <vt:lpstr>f_di_IS_an</vt:lpstr>
      <vt:lpstr>f_di_IS_cat</vt:lpstr>
      <vt:lpstr>f_MA</vt:lpstr>
      <vt:lpstr>f_mono_IS_an</vt:lpstr>
      <vt:lpstr>f_mono_IS_cat</vt:lpstr>
      <vt:lpstr>f_N2_air</vt:lpstr>
      <vt:lpstr>f_O2_air</vt:lpstr>
      <vt:lpstr>f_SI_PAO</vt:lpstr>
      <vt:lpstr>f_tri_IS_an</vt:lpstr>
      <vt:lpstr>f_tri_IS_cat</vt:lpstr>
      <vt:lpstr>f_XE_H</vt:lpstr>
      <vt:lpstr>f_XE_NIT</vt:lpstr>
      <vt:lpstr>f_XE_PAO</vt:lpstr>
      <vt:lpstr>g_grav</vt:lpstr>
      <vt:lpstr>H_Acm</vt:lpstr>
      <vt:lpstr>H_CO32m</vt:lpstr>
      <vt:lpstr>H_enryGCH4_25</vt:lpstr>
      <vt:lpstr>H_enryGCH4_dt</vt:lpstr>
      <vt:lpstr>H_enryGCO2_25</vt:lpstr>
      <vt:lpstr>H_enryGCO2_dt</vt:lpstr>
      <vt:lpstr>H_enryGH2_25</vt:lpstr>
      <vt:lpstr>H_enryGH2_dt</vt:lpstr>
      <vt:lpstr>H_enryGN2_25</vt:lpstr>
      <vt:lpstr>H_enryGN2_dt</vt:lpstr>
      <vt:lpstr>H_enryGN2O_25</vt:lpstr>
      <vt:lpstr>H_enryGN2O_dt</vt:lpstr>
      <vt:lpstr>H_enryGNO_25</vt:lpstr>
      <vt:lpstr>H_enryGNO_dt</vt:lpstr>
      <vt:lpstr>H_enryGO2_25</vt:lpstr>
      <vt:lpstr>H_enryGO2_dt</vt:lpstr>
      <vt:lpstr>H_H2CO3</vt:lpstr>
      <vt:lpstr>H_H2O</vt:lpstr>
      <vt:lpstr>H_H2PO4m</vt:lpstr>
      <vt:lpstr>H_H3Op</vt:lpstr>
      <vt:lpstr>H_H3PO4</vt:lpstr>
      <vt:lpstr>H_HAc</vt:lpstr>
      <vt:lpstr>H_HCO3m</vt:lpstr>
      <vt:lpstr>H_HNO2</vt:lpstr>
      <vt:lpstr>H_Hp</vt:lpstr>
      <vt:lpstr>H_HPO42m</vt:lpstr>
      <vt:lpstr>H_NH3</vt:lpstr>
      <vt:lpstr>H_NH4p</vt:lpstr>
      <vt:lpstr>H_NO2m</vt:lpstr>
      <vt:lpstr>H_NO3m</vt:lpstr>
      <vt:lpstr>H_null</vt:lpstr>
      <vt:lpstr>H_OHm</vt:lpstr>
      <vt:lpstr>H_PO43m</vt:lpstr>
      <vt:lpstr>i_COD_N2</vt:lpstr>
      <vt:lpstr>i_COD_NO3</vt:lpstr>
      <vt:lpstr>i_CV</vt:lpstr>
      <vt:lpstr>i_CV_SA</vt:lpstr>
      <vt:lpstr>i_CV_SF</vt:lpstr>
      <vt:lpstr>i_CV_SI</vt:lpstr>
      <vt:lpstr>i_NBM</vt:lpstr>
      <vt:lpstr>i_NENM</vt:lpstr>
      <vt:lpstr>i_NO3_N2</vt:lpstr>
      <vt:lpstr>i_NSF</vt:lpstr>
      <vt:lpstr>i_NSI</vt:lpstr>
      <vt:lpstr>i_NXE</vt:lpstr>
      <vt:lpstr>i_NXI</vt:lpstr>
      <vt:lpstr>i_PBM</vt:lpstr>
      <vt:lpstr>i_PENM</vt:lpstr>
      <vt:lpstr>i_PSF</vt:lpstr>
      <vt:lpstr>i_PSI</vt:lpstr>
      <vt:lpstr>i_PXE</vt:lpstr>
      <vt:lpstr>i_PXI</vt:lpstr>
      <vt:lpstr>K_A</vt:lpstr>
      <vt:lpstr>K_AC</vt:lpstr>
      <vt:lpstr>K_ADS</vt:lpstr>
      <vt:lpstr>K_C1_param</vt:lpstr>
      <vt:lpstr>K_C2_param</vt:lpstr>
      <vt:lpstr>K_F</vt:lpstr>
      <vt:lpstr>K_FE</vt:lpstr>
      <vt:lpstr>K_iAc_param</vt:lpstr>
      <vt:lpstr>K_iH2S_param</vt:lpstr>
      <vt:lpstr>K_iNH3_param</vt:lpstr>
      <vt:lpstr>K_iNO2_param</vt:lpstr>
      <vt:lpstr>K_MP</vt:lpstr>
      <vt:lpstr>K_NH4</vt:lpstr>
      <vt:lpstr>K_NH4_NIT</vt:lpstr>
      <vt:lpstr>K_NO3</vt:lpstr>
      <vt:lpstr>K_OH</vt:lpstr>
      <vt:lpstr>K_ON</vt:lpstr>
      <vt:lpstr>K_P1_param</vt:lpstr>
      <vt:lpstr>K_P2_param</vt:lpstr>
      <vt:lpstr>K_P3_param</vt:lpstr>
      <vt:lpstr>K_PHA1</vt:lpstr>
      <vt:lpstr>K_PHA2</vt:lpstr>
      <vt:lpstr>K_PO4_gro</vt:lpstr>
      <vt:lpstr>K_PO4_lys</vt:lpstr>
      <vt:lpstr>K_PO4_up</vt:lpstr>
      <vt:lpstr>K_PP</vt:lpstr>
      <vt:lpstr>K_SP</vt:lpstr>
      <vt:lpstr>K_sp_CaCO3</vt:lpstr>
      <vt:lpstr>K_sp_STR</vt:lpstr>
      <vt:lpstr>K_W_param</vt:lpstr>
      <vt:lpstr>M_inhSNH4_KNH4</vt:lpstr>
      <vt:lpstr>M_inhSNO3_KNO3</vt:lpstr>
      <vt:lpstr>M_inhSO2_KOH</vt:lpstr>
      <vt:lpstr>M_inhSPO4_KPO4_up</vt:lpstr>
      <vt:lpstr>M_MACP</vt:lpstr>
      <vt:lpstr>M_MCaCO3</vt:lpstr>
      <vt:lpstr>M_MCH3COOH</vt:lpstr>
      <vt:lpstr>M_MCH3OH</vt:lpstr>
      <vt:lpstr>M_MCO2</vt:lpstr>
      <vt:lpstr>M_MCO3</vt:lpstr>
      <vt:lpstr>M_MEQ_GCH4</vt:lpstr>
      <vt:lpstr>M_MEQ_GCO2</vt:lpstr>
      <vt:lpstr>M_MEQ_GH2</vt:lpstr>
      <vt:lpstr>M_MEQ_GN2</vt:lpstr>
      <vt:lpstr>M_MEQ_GN2O</vt:lpstr>
      <vt:lpstr>M_MEQ_GNH3</vt:lpstr>
      <vt:lpstr>M_MEQ_GNO</vt:lpstr>
      <vt:lpstr>M_MEQ_GO2</vt:lpstr>
      <vt:lpstr>M_MFe2O3</vt:lpstr>
      <vt:lpstr>M_MFeS</vt:lpstr>
      <vt:lpstr>M_MGCH4</vt:lpstr>
      <vt:lpstr>M_MGCO2</vt:lpstr>
      <vt:lpstr>M_MGH2</vt:lpstr>
      <vt:lpstr>M_MGN2</vt:lpstr>
      <vt:lpstr>M_MGN2O</vt:lpstr>
      <vt:lpstr>M_MGNH3</vt:lpstr>
      <vt:lpstr>M_MGNO</vt:lpstr>
      <vt:lpstr>M_MGO2</vt:lpstr>
      <vt:lpstr>M_MH2CO3</vt:lpstr>
      <vt:lpstr>M_MH2O</vt:lpstr>
      <vt:lpstr>M_MH2S</vt:lpstr>
      <vt:lpstr>M_MH2SO4</vt:lpstr>
      <vt:lpstr>M_MHCl</vt:lpstr>
      <vt:lpstr>M_MHCO3</vt:lpstr>
      <vt:lpstr>M_MHSO4</vt:lpstr>
      <vt:lpstr>M_MN2</vt:lpstr>
      <vt:lpstr>M_MNH3</vt:lpstr>
      <vt:lpstr>M_MNH4</vt:lpstr>
      <vt:lpstr>M_MNO2</vt:lpstr>
      <vt:lpstr>M_MNO3</vt:lpstr>
      <vt:lpstr>M_MO2</vt:lpstr>
      <vt:lpstr>M_MPO4</vt:lpstr>
      <vt:lpstr>M_MSiO2</vt:lpstr>
      <vt:lpstr>M_MSO4</vt:lpstr>
      <vt:lpstr>M_MSTR</vt:lpstr>
      <vt:lpstr>M_MVivi</vt:lpstr>
      <vt:lpstr>M_RsatSA_SF_XADS</vt:lpstr>
      <vt:lpstr>M_RsatSF_SA_XADS</vt:lpstr>
      <vt:lpstr>M_RsatXADS_SA_SF</vt:lpstr>
      <vt:lpstr>M_RsatXADS_XH_KSP</vt:lpstr>
      <vt:lpstr>M_RsatXPHA_XPAO_KPHA1</vt:lpstr>
      <vt:lpstr>M_RsatXPHA_XPAO_KPHA2</vt:lpstr>
      <vt:lpstr>M_satSA_KA</vt:lpstr>
      <vt:lpstr>M_satSA_KAC</vt:lpstr>
      <vt:lpstr>M_satSF_KF</vt:lpstr>
      <vt:lpstr>M_satSNH4_KNH4</vt:lpstr>
      <vt:lpstr>M_satSNH4_KNH4_NIT</vt:lpstr>
      <vt:lpstr>M_satSNO3_KNO3</vt:lpstr>
      <vt:lpstr>M_satSO2_KOH</vt:lpstr>
      <vt:lpstr>M_satSO2_KON</vt:lpstr>
      <vt:lpstr>M_satSPO4_KPO4_gro</vt:lpstr>
      <vt:lpstr>M_satSPO4_KPO4_lys</vt:lpstr>
      <vt:lpstr>M_satSPO4_KPO4_up</vt:lpstr>
      <vt:lpstr>M_satXPP_KPP</vt:lpstr>
      <vt:lpstr>N_UR</vt:lpstr>
      <vt:lpstr>O_UR</vt:lpstr>
      <vt:lpstr>p_i</vt:lpstr>
      <vt:lpstr>p_St</vt:lpstr>
      <vt:lpstr>q_PHA</vt:lpstr>
      <vt:lpstr>R__</vt:lpstr>
      <vt:lpstr>r_1</vt:lpstr>
      <vt:lpstr>r_10</vt:lpstr>
      <vt:lpstr>r_11</vt:lpstr>
      <vt:lpstr>r_12</vt:lpstr>
      <vt:lpstr>r_13</vt:lpstr>
      <vt:lpstr>r_14</vt:lpstr>
      <vt:lpstr>r_15</vt:lpstr>
      <vt:lpstr>r_16</vt:lpstr>
      <vt:lpstr>r_17</vt:lpstr>
      <vt:lpstr>r_18</vt:lpstr>
      <vt:lpstr>r_19</vt:lpstr>
      <vt:lpstr>r_2</vt:lpstr>
      <vt:lpstr>r_20</vt:lpstr>
      <vt:lpstr>r_21</vt:lpstr>
      <vt:lpstr>r_22</vt:lpstr>
      <vt:lpstr>r_23</vt:lpstr>
      <vt:lpstr>r_24</vt:lpstr>
      <vt:lpstr>r_25</vt:lpstr>
      <vt:lpstr>r_26</vt:lpstr>
      <vt:lpstr>r_27</vt:lpstr>
      <vt:lpstr>r_28</vt:lpstr>
      <vt:lpstr>r_29</vt:lpstr>
      <vt:lpstr>r_3</vt:lpstr>
      <vt:lpstr>r_30</vt:lpstr>
      <vt:lpstr>r_31</vt:lpstr>
      <vt:lpstr>r_32</vt:lpstr>
      <vt:lpstr>r_33</vt:lpstr>
      <vt:lpstr>r_34</vt:lpstr>
      <vt:lpstr>r_35</vt:lpstr>
      <vt:lpstr>r_4</vt:lpstr>
      <vt:lpstr>r_5</vt:lpstr>
      <vt:lpstr>r_6</vt:lpstr>
      <vt:lpstr>r_7</vt:lpstr>
      <vt:lpstr>r_8</vt:lpstr>
      <vt:lpstr>r_9</vt:lpstr>
      <vt:lpstr>S_A</vt:lpstr>
      <vt:lpstr>S_BOD_5</vt:lpstr>
      <vt:lpstr>S_BOD_ult</vt:lpstr>
      <vt:lpstr>S_COD</vt:lpstr>
      <vt:lpstr>S_F</vt:lpstr>
      <vt:lpstr>S_I</vt:lpstr>
      <vt:lpstr>S_N2</vt:lpstr>
      <vt:lpstr>S_NH4</vt:lpstr>
      <vt:lpstr>S_NO3</vt:lpstr>
      <vt:lpstr>S_O2</vt:lpstr>
      <vt:lpstr>S_PO4</vt:lpstr>
      <vt:lpstr>S_umo__pHEffects</vt:lpstr>
      <vt:lpstr>T_BOD_5</vt:lpstr>
      <vt:lpstr>T_BOD_ult</vt:lpstr>
      <vt:lpstr>T_COD</vt:lpstr>
      <vt:lpstr>T_KN</vt:lpstr>
      <vt:lpstr>T_N</vt:lpstr>
      <vt:lpstr>T_null</vt:lpstr>
      <vt:lpstr>T_std</vt:lpstr>
      <vt:lpstr>v_1_SA</vt:lpstr>
      <vt:lpstr>v_1_SF</vt:lpstr>
      <vt:lpstr>v_1_SI</vt:lpstr>
      <vt:lpstr>v_1_SN2</vt:lpstr>
      <vt:lpstr>v_1_SNH4</vt:lpstr>
      <vt:lpstr>v_1_SNO3</vt:lpstr>
      <vt:lpstr>v_1_SO2</vt:lpstr>
      <vt:lpstr>v_1_SPO4</vt:lpstr>
      <vt:lpstr>v_1_XADS</vt:lpstr>
      <vt:lpstr>v_1_XE</vt:lpstr>
      <vt:lpstr>v_1_XENM</vt:lpstr>
      <vt:lpstr>v_1_XH</vt:lpstr>
      <vt:lpstr>v_1_XI</vt:lpstr>
      <vt:lpstr>v_1_XINORG</vt:lpstr>
      <vt:lpstr>v_1_XNIT</vt:lpstr>
      <vt:lpstr>v_1_XPAO</vt:lpstr>
      <vt:lpstr>v_1_XPHA</vt:lpstr>
      <vt:lpstr>v_1_XPP</vt:lpstr>
      <vt:lpstr>v_10_SA</vt:lpstr>
      <vt:lpstr>v_10_SF</vt:lpstr>
      <vt:lpstr>v_10_SI</vt:lpstr>
      <vt:lpstr>v_10_SN2</vt:lpstr>
      <vt:lpstr>v_10_SNH4</vt:lpstr>
      <vt:lpstr>v_10_SNO3</vt:lpstr>
      <vt:lpstr>v_10_SO2</vt:lpstr>
      <vt:lpstr>v_10_SPO4</vt:lpstr>
      <vt:lpstr>v_10_XADS</vt:lpstr>
      <vt:lpstr>v_10_XE</vt:lpstr>
      <vt:lpstr>v_10_XENM</vt:lpstr>
      <vt:lpstr>v_10_XH</vt:lpstr>
      <vt:lpstr>v_10_XI</vt:lpstr>
      <vt:lpstr>v_10_XINORG</vt:lpstr>
      <vt:lpstr>v_10_XNIT</vt:lpstr>
      <vt:lpstr>v_10_XPAO</vt:lpstr>
      <vt:lpstr>v_10_XPHA</vt:lpstr>
      <vt:lpstr>v_10_XPP</vt:lpstr>
      <vt:lpstr>v_11_SA</vt:lpstr>
      <vt:lpstr>v_11_SF</vt:lpstr>
      <vt:lpstr>v_11_SI</vt:lpstr>
      <vt:lpstr>v_11_SN2</vt:lpstr>
      <vt:lpstr>v_11_SNH4</vt:lpstr>
      <vt:lpstr>v_11_SNO3</vt:lpstr>
      <vt:lpstr>v_11_SO2</vt:lpstr>
      <vt:lpstr>v_11_SPO4</vt:lpstr>
      <vt:lpstr>v_11_XADS</vt:lpstr>
      <vt:lpstr>v_11_XE</vt:lpstr>
      <vt:lpstr>v_11_XENM</vt:lpstr>
      <vt:lpstr>v_11_XH</vt:lpstr>
      <vt:lpstr>v_11_XI</vt:lpstr>
      <vt:lpstr>v_11_XINORG</vt:lpstr>
      <vt:lpstr>v_11_XNIT</vt:lpstr>
      <vt:lpstr>v_11_XPAO</vt:lpstr>
      <vt:lpstr>v_11_XPHA</vt:lpstr>
      <vt:lpstr>v_11_XPP</vt:lpstr>
      <vt:lpstr>v_12_SA</vt:lpstr>
      <vt:lpstr>v_12_SF</vt:lpstr>
      <vt:lpstr>v_12_SI</vt:lpstr>
      <vt:lpstr>v_12_SN2</vt:lpstr>
      <vt:lpstr>v_12_SNH4</vt:lpstr>
      <vt:lpstr>v_12_SNO3</vt:lpstr>
      <vt:lpstr>v_12_SO2</vt:lpstr>
      <vt:lpstr>v_12_SPO4</vt:lpstr>
      <vt:lpstr>v_12_XADS</vt:lpstr>
      <vt:lpstr>v_12_XE</vt:lpstr>
      <vt:lpstr>v_12_XENM</vt:lpstr>
      <vt:lpstr>v_12_XH</vt:lpstr>
      <vt:lpstr>v_12_XI</vt:lpstr>
      <vt:lpstr>v_12_XINORG</vt:lpstr>
      <vt:lpstr>v_12_XNIT</vt:lpstr>
      <vt:lpstr>v_12_XPAO</vt:lpstr>
      <vt:lpstr>v_12_XPHA</vt:lpstr>
      <vt:lpstr>v_12_XPP</vt:lpstr>
      <vt:lpstr>v_13_SA</vt:lpstr>
      <vt:lpstr>v_13_SF</vt:lpstr>
      <vt:lpstr>v_13_SI</vt:lpstr>
      <vt:lpstr>v_13_SN2</vt:lpstr>
      <vt:lpstr>v_13_SNH4</vt:lpstr>
      <vt:lpstr>v_13_SNO3</vt:lpstr>
      <vt:lpstr>v_13_SO2</vt:lpstr>
      <vt:lpstr>v_13_SPO4</vt:lpstr>
      <vt:lpstr>v_13_XADS</vt:lpstr>
      <vt:lpstr>v_13_XE</vt:lpstr>
      <vt:lpstr>v_13_XENM</vt:lpstr>
      <vt:lpstr>v_13_XH</vt:lpstr>
      <vt:lpstr>v_13_XI</vt:lpstr>
      <vt:lpstr>v_13_XINORG</vt:lpstr>
      <vt:lpstr>v_13_XNIT</vt:lpstr>
      <vt:lpstr>v_13_XPAO</vt:lpstr>
      <vt:lpstr>v_13_XPHA</vt:lpstr>
      <vt:lpstr>v_13_XPP</vt:lpstr>
      <vt:lpstr>v_14_SA</vt:lpstr>
      <vt:lpstr>v_14_SF</vt:lpstr>
      <vt:lpstr>v_14_SI</vt:lpstr>
      <vt:lpstr>v_14_SN2</vt:lpstr>
      <vt:lpstr>v_14_SNH4</vt:lpstr>
      <vt:lpstr>v_14_SNO3</vt:lpstr>
      <vt:lpstr>v_14_SO2</vt:lpstr>
      <vt:lpstr>v_14_SPO4</vt:lpstr>
      <vt:lpstr>v_14_XADS</vt:lpstr>
      <vt:lpstr>v_14_XE</vt:lpstr>
      <vt:lpstr>v_14_XENM</vt:lpstr>
      <vt:lpstr>v_14_XH</vt:lpstr>
      <vt:lpstr>v_14_XI</vt:lpstr>
      <vt:lpstr>v_14_XINORG</vt:lpstr>
      <vt:lpstr>v_14_XNIT</vt:lpstr>
      <vt:lpstr>v_14_XPAO</vt:lpstr>
      <vt:lpstr>v_14_XPHA</vt:lpstr>
      <vt:lpstr>v_14_XPP</vt:lpstr>
      <vt:lpstr>v_15_SA</vt:lpstr>
      <vt:lpstr>v_15_SF</vt:lpstr>
      <vt:lpstr>v_15_SI</vt:lpstr>
      <vt:lpstr>v_15_SN2</vt:lpstr>
      <vt:lpstr>v_15_SNH4</vt:lpstr>
      <vt:lpstr>v_15_SNO3</vt:lpstr>
      <vt:lpstr>v_15_SO2</vt:lpstr>
      <vt:lpstr>v_15_SPO4</vt:lpstr>
      <vt:lpstr>v_15_XADS</vt:lpstr>
      <vt:lpstr>v_15_XE</vt:lpstr>
      <vt:lpstr>v_15_XENM</vt:lpstr>
      <vt:lpstr>v_15_XH</vt:lpstr>
      <vt:lpstr>v_15_XI</vt:lpstr>
      <vt:lpstr>v_15_XINORG</vt:lpstr>
      <vt:lpstr>v_15_XNIT</vt:lpstr>
      <vt:lpstr>v_15_XPAO</vt:lpstr>
      <vt:lpstr>v_15_XPHA</vt:lpstr>
      <vt:lpstr>v_15_XPP</vt:lpstr>
      <vt:lpstr>v_16_SA</vt:lpstr>
      <vt:lpstr>v_16_SF</vt:lpstr>
      <vt:lpstr>v_16_SI</vt:lpstr>
      <vt:lpstr>v_16_SN2</vt:lpstr>
      <vt:lpstr>v_16_SNH4</vt:lpstr>
      <vt:lpstr>v_16_SNO3</vt:lpstr>
      <vt:lpstr>v_16_SO2</vt:lpstr>
      <vt:lpstr>v_16_SPO4</vt:lpstr>
      <vt:lpstr>v_16_XADS</vt:lpstr>
      <vt:lpstr>v_16_XE</vt:lpstr>
      <vt:lpstr>v_16_XENM</vt:lpstr>
      <vt:lpstr>v_16_XH</vt:lpstr>
      <vt:lpstr>v_16_XI</vt:lpstr>
      <vt:lpstr>v_16_XINORG</vt:lpstr>
      <vt:lpstr>v_16_XNIT</vt:lpstr>
      <vt:lpstr>v_16_XPAO</vt:lpstr>
      <vt:lpstr>v_16_XPHA</vt:lpstr>
      <vt:lpstr>v_16_XPP</vt:lpstr>
      <vt:lpstr>v_17_SA</vt:lpstr>
      <vt:lpstr>v_17_SF</vt:lpstr>
      <vt:lpstr>v_17_SI</vt:lpstr>
      <vt:lpstr>v_17_SN2</vt:lpstr>
      <vt:lpstr>v_17_SNH4</vt:lpstr>
      <vt:lpstr>v_17_SNO3</vt:lpstr>
      <vt:lpstr>v_17_SO2</vt:lpstr>
      <vt:lpstr>v_17_SPO4</vt:lpstr>
      <vt:lpstr>v_17_XADS</vt:lpstr>
      <vt:lpstr>v_17_XE</vt:lpstr>
      <vt:lpstr>v_17_XENM</vt:lpstr>
      <vt:lpstr>v_17_XH</vt:lpstr>
      <vt:lpstr>v_17_XI</vt:lpstr>
      <vt:lpstr>v_17_XINORG</vt:lpstr>
      <vt:lpstr>v_17_XNIT</vt:lpstr>
      <vt:lpstr>v_17_XPAO</vt:lpstr>
      <vt:lpstr>v_17_XPHA</vt:lpstr>
      <vt:lpstr>v_17_XPP</vt:lpstr>
      <vt:lpstr>v_18_SA</vt:lpstr>
      <vt:lpstr>v_18_SF</vt:lpstr>
      <vt:lpstr>v_18_SI</vt:lpstr>
      <vt:lpstr>v_18_SN2</vt:lpstr>
      <vt:lpstr>v_18_SNH4</vt:lpstr>
      <vt:lpstr>v_18_SNO3</vt:lpstr>
      <vt:lpstr>v_18_SO2</vt:lpstr>
      <vt:lpstr>v_18_SPO4</vt:lpstr>
      <vt:lpstr>v_18_XADS</vt:lpstr>
      <vt:lpstr>v_18_XE</vt:lpstr>
      <vt:lpstr>v_18_XENM</vt:lpstr>
      <vt:lpstr>v_18_XH</vt:lpstr>
      <vt:lpstr>v_18_XI</vt:lpstr>
      <vt:lpstr>v_18_XINORG</vt:lpstr>
      <vt:lpstr>v_18_XNIT</vt:lpstr>
      <vt:lpstr>v_18_XPAO</vt:lpstr>
      <vt:lpstr>v_18_XPHA</vt:lpstr>
      <vt:lpstr>v_18_XPP</vt:lpstr>
      <vt:lpstr>v_19_SA</vt:lpstr>
      <vt:lpstr>v_19_SF</vt:lpstr>
      <vt:lpstr>v_19_SI</vt:lpstr>
      <vt:lpstr>v_19_SN2</vt:lpstr>
      <vt:lpstr>v_19_SNH4</vt:lpstr>
      <vt:lpstr>v_19_SNO3</vt:lpstr>
      <vt:lpstr>v_19_SO2</vt:lpstr>
      <vt:lpstr>v_19_SPO4</vt:lpstr>
      <vt:lpstr>v_19_XADS</vt:lpstr>
      <vt:lpstr>v_19_XE</vt:lpstr>
      <vt:lpstr>v_19_XENM</vt:lpstr>
      <vt:lpstr>v_19_XH</vt:lpstr>
      <vt:lpstr>v_19_XI</vt:lpstr>
      <vt:lpstr>v_19_XINORG</vt:lpstr>
      <vt:lpstr>v_19_XNIT</vt:lpstr>
      <vt:lpstr>v_19_XPAO</vt:lpstr>
      <vt:lpstr>v_19_XPHA</vt:lpstr>
      <vt:lpstr>v_19_XPP</vt:lpstr>
      <vt:lpstr>v_2_SA</vt:lpstr>
      <vt:lpstr>v_2_SF</vt:lpstr>
      <vt:lpstr>v_2_SI</vt:lpstr>
      <vt:lpstr>v_2_SN2</vt:lpstr>
      <vt:lpstr>v_2_SNH4</vt:lpstr>
      <vt:lpstr>v_2_SNO3</vt:lpstr>
      <vt:lpstr>v_2_SO2</vt:lpstr>
      <vt:lpstr>v_2_SPO4</vt:lpstr>
      <vt:lpstr>v_2_XADS</vt:lpstr>
      <vt:lpstr>v_2_XE</vt:lpstr>
      <vt:lpstr>v_2_XENM</vt:lpstr>
      <vt:lpstr>v_2_XH</vt:lpstr>
      <vt:lpstr>v_2_XI</vt:lpstr>
      <vt:lpstr>v_2_XINORG</vt:lpstr>
      <vt:lpstr>v_2_XNIT</vt:lpstr>
      <vt:lpstr>v_2_XPAO</vt:lpstr>
      <vt:lpstr>v_2_XPHA</vt:lpstr>
      <vt:lpstr>v_2_XPP</vt:lpstr>
      <vt:lpstr>v_20_SA</vt:lpstr>
      <vt:lpstr>v_20_SF</vt:lpstr>
      <vt:lpstr>v_20_SI</vt:lpstr>
      <vt:lpstr>v_20_SN2</vt:lpstr>
      <vt:lpstr>v_20_SNH4</vt:lpstr>
      <vt:lpstr>v_20_SNO3</vt:lpstr>
      <vt:lpstr>v_20_SO2</vt:lpstr>
      <vt:lpstr>v_20_SPO4</vt:lpstr>
      <vt:lpstr>v_20_XADS</vt:lpstr>
      <vt:lpstr>v_20_XE</vt:lpstr>
      <vt:lpstr>v_20_XENM</vt:lpstr>
      <vt:lpstr>v_20_XH</vt:lpstr>
      <vt:lpstr>v_20_XI</vt:lpstr>
      <vt:lpstr>v_20_XINORG</vt:lpstr>
      <vt:lpstr>v_20_XNIT</vt:lpstr>
      <vt:lpstr>v_20_XPAO</vt:lpstr>
      <vt:lpstr>v_20_XPHA</vt:lpstr>
      <vt:lpstr>v_20_XPP</vt:lpstr>
      <vt:lpstr>v_21_SA</vt:lpstr>
      <vt:lpstr>v_21_SF</vt:lpstr>
      <vt:lpstr>v_21_SI</vt:lpstr>
      <vt:lpstr>v_21_SN2</vt:lpstr>
      <vt:lpstr>v_21_SNH4</vt:lpstr>
      <vt:lpstr>v_21_SNO3</vt:lpstr>
      <vt:lpstr>v_21_SO2</vt:lpstr>
      <vt:lpstr>v_21_SPO4</vt:lpstr>
      <vt:lpstr>v_21_XADS</vt:lpstr>
      <vt:lpstr>v_21_XE</vt:lpstr>
      <vt:lpstr>v_21_XENM</vt:lpstr>
      <vt:lpstr>v_21_XH</vt:lpstr>
      <vt:lpstr>v_21_XI</vt:lpstr>
      <vt:lpstr>v_21_XINORG</vt:lpstr>
      <vt:lpstr>v_21_XNIT</vt:lpstr>
      <vt:lpstr>v_21_XPAO</vt:lpstr>
      <vt:lpstr>v_21_XPHA</vt:lpstr>
      <vt:lpstr>v_21_XPP</vt:lpstr>
      <vt:lpstr>v_22_SA</vt:lpstr>
      <vt:lpstr>v_22_SF</vt:lpstr>
      <vt:lpstr>v_22_SI</vt:lpstr>
      <vt:lpstr>v_22_SN2</vt:lpstr>
      <vt:lpstr>v_22_SNH4</vt:lpstr>
      <vt:lpstr>v_22_SNO3</vt:lpstr>
      <vt:lpstr>v_22_SO2</vt:lpstr>
      <vt:lpstr>v_22_SPO4</vt:lpstr>
      <vt:lpstr>v_22_XADS</vt:lpstr>
      <vt:lpstr>v_22_XE</vt:lpstr>
      <vt:lpstr>v_22_XENM</vt:lpstr>
      <vt:lpstr>v_22_XH</vt:lpstr>
      <vt:lpstr>v_22_XI</vt:lpstr>
      <vt:lpstr>v_22_XINORG</vt:lpstr>
      <vt:lpstr>v_22_XNIT</vt:lpstr>
      <vt:lpstr>v_22_XPAO</vt:lpstr>
      <vt:lpstr>v_22_XPHA</vt:lpstr>
      <vt:lpstr>v_22_XPP</vt:lpstr>
      <vt:lpstr>v_23_SA</vt:lpstr>
      <vt:lpstr>v_23_SF</vt:lpstr>
      <vt:lpstr>v_23_SI</vt:lpstr>
      <vt:lpstr>v_23_SN2</vt:lpstr>
      <vt:lpstr>v_23_SNH4</vt:lpstr>
      <vt:lpstr>v_23_SNO3</vt:lpstr>
      <vt:lpstr>v_23_SO2</vt:lpstr>
      <vt:lpstr>v_23_SPO4</vt:lpstr>
      <vt:lpstr>v_23_XADS</vt:lpstr>
      <vt:lpstr>v_23_XE</vt:lpstr>
      <vt:lpstr>v_23_XENM</vt:lpstr>
      <vt:lpstr>v_23_XH</vt:lpstr>
      <vt:lpstr>v_23_XI</vt:lpstr>
      <vt:lpstr>v_23_XINORG</vt:lpstr>
      <vt:lpstr>v_23_XNIT</vt:lpstr>
      <vt:lpstr>v_23_XPAO</vt:lpstr>
      <vt:lpstr>v_23_XPHA</vt:lpstr>
      <vt:lpstr>v_23_XPP</vt:lpstr>
      <vt:lpstr>v_24_SA</vt:lpstr>
      <vt:lpstr>v_24_SF</vt:lpstr>
      <vt:lpstr>v_24_SI</vt:lpstr>
      <vt:lpstr>v_24_SN2</vt:lpstr>
      <vt:lpstr>v_24_SNH4</vt:lpstr>
      <vt:lpstr>v_24_SNO3</vt:lpstr>
      <vt:lpstr>v_24_SO2</vt:lpstr>
      <vt:lpstr>v_24_SPO4</vt:lpstr>
      <vt:lpstr>v_24_XADS</vt:lpstr>
      <vt:lpstr>v_24_XE</vt:lpstr>
      <vt:lpstr>v_24_XENM</vt:lpstr>
      <vt:lpstr>v_24_XH</vt:lpstr>
      <vt:lpstr>v_24_XI</vt:lpstr>
      <vt:lpstr>v_24_XINORG</vt:lpstr>
      <vt:lpstr>v_24_XNIT</vt:lpstr>
      <vt:lpstr>v_24_XPAO</vt:lpstr>
      <vt:lpstr>v_24_XPHA</vt:lpstr>
      <vt:lpstr>v_24_XPP</vt:lpstr>
      <vt:lpstr>v_25_SA</vt:lpstr>
      <vt:lpstr>v_25_SF</vt:lpstr>
      <vt:lpstr>v_25_SI</vt:lpstr>
      <vt:lpstr>v_25_SN2</vt:lpstr>
      <vt:lpstr>v_25_SNH4</vt:lpstr>
      <vt:lpstr>v_25_SNO3</vt:lpstr>
      <vt:lpstr>v_25_SO2</vt:lpstr>
      <vt:lpstr>v_25_SPO4</vt:lpstr>
      <vt:lpstr>v_25_XADS</vt:lpstr>
      <vt:lpstr>v_25_XE</vt:lpstr>
      <vt:lpstr>v_25_XENM</vt:lpstr>
      <vt:lpstr>v_25_XH</vt:lpstr>
      <vt:lpstr>v_25_XI</vt:lpstr>
      <vt:lpstr>v_25_XINORG</vt:lpstr>
      <vt:lpstr>v_25_XNIT</vt:lpstr>
      <vt:lpstr>v_25_XPAO</vt:lpstr>
      <vt:lpstr>v_25_XPHA</vt:lpstr>
      <vt:lpstr>v_25_XPP</vt:lpstr>
      <vt:lpstr>v_26_SA</vt:lpstr>
      <vt:lpstr>v_26_SF</vt:lpstr>
      <vt:lpstr>v_26_SI</vt:lpstr>
      <vt:lpstr>v_26_SN2</vt:lpstr>
      <vt:lpstr>v_26_SNH4</vt:lpstr>
      <vt:lpstr>v_26_SNO3</vt:lpstr>
      <vt:lpstr>v_26_SO2</vt:lpstr>
      <vt:lpstr>v_26_SPO4</vt:lpstr>
      <vt:lpstr>v_26_XADS</vt:lpstr>
      <vt:lpstr>v_26_XE</vt:lpstr>
      <vt:lpstr>v_26_XENM</vt:lpstr>
      <vt:lpstr>v_26_XH</vt:lpstr>
      <vt:lpstr>v_26_XI</vt:lpstr>
      <vt:lpstr>v_26_XINORG</vt:lpstr>
      <vt:lpstr>v_26_XNIT</vt:lpstr>
      <vt:lpstr>v_26_XPAO</vt:lpstr>
      <vt:lpstr>v_26_XPHA</vt:lpstr>
      <vt:lpstr>v_26_XPP</vt:lpstr>
      <vt:lpstr>v_27_SA</vt:lpstr>
      <vt:lpstr>v_27_SF</vt:lpstr>
      <vt:lpstr>v_27_SI</vt:lpstr>
      <vt:lpstr>v_27_SN2</vt:lpstr>
      <vt:lpstr>v_27_SNH4</vt:lpstr>
      <vt:lpstr>v_27_SNO3</vt:lpstr>
      <vt:lpstr>v_27_SO2</vt:lpstr>
      <vt:lpstr>v_27_SPO4</vt:lpstr>
      <vt:lpstr>v_27_XADS</vt:lpstr>
      <vt:lpstr>v_27_XE</vt:lpstr>
      <vt:lpstr>v_27_XENM</vt:lpstr>
      <vt:lpstr>v_27_XH</vt:lpstr>
      <vt:lpstr>v_27_XI</vt:lpstr>
      <vt:lpstr>v_27_XINORG</vt:lpstr>
      <vt:lpstr>v_27_XNIT</vt:lpstr>
      <vt:lpstr>v_27_XPAO</vt:lpstr>
      <vt:lpstr>v_27_XPHA</vt:lpstr>
      <vt:lpstr>v_27_XPP</vt:lpstr>
      <vt:lpstr>v_28_SA</vt:lpstr>
      <vt:lpstr>v_28_SF</vt:lpstr>
      <vt:lpstr>v_28_SI</vt:lpstr>
      <vt:lpstr>v_28_SN2</vt:lpstr>
      <vt:lpstr>v_28_SNH4</vt:lpstr>
      <vt:lpstr>v_28_SNO3</vt:lpstr>
      <vt:lpstr>v_28_SO2</vt:lpstr>
      <vt:lpstr>v_28_SPO4</vt:lpstr>
      <vt:lpstr>v_28_XADS</vt:lpstr>
      <vt:lpstr>v_28_XE</vt:lpstr>
      <vt:lpstr>v_28_XENM</vt:lpstr>
      <vt:lpstr>v_28_XH</vt:lpstr>
      <vt:lpstr>v_28_XI</vt:lpstr>
      <vt:lpstr>v_28_XINORG</vt:lpstr>
      <vt:lpstr>v_28_XNIT</vt:lpstr>
      <vt:lpstr>v_28_XPAO</vt:lpstr>
      <vt:lpstr>v_28_XPHA</vt:lpstr>
      <vt:lpstr>v_28_XPP</vt:lpstr>
      <vt:lpstr>v_29_SA</vt:lpstr>
      <vt:lpstr>v_29_SF</vt:lpstr>
      <vt:lpstr>v_29_SI</vt:lpstr>
      <vt:lpstr>v_29_SN2</vt:lpstr>
      <vt:lpstr>v_29_SNH4</vt:lpstr>
      <vt:lpstr>v_29_SNO3</vt:lpstr>
      <vt:lpstr>v_29_SO2</vt:lpstr>
      <vt:lpstr>v_29_SPO4</vt:lpstr>
      <vt:lpstr>v_29_XADS</vt:lpstr>
      <vt:lpstr>v_29_XE</vt:lpstr>
      <vt:lpstr>v_29_XENM</vt:lpstr>
      <vt:lpstr>v_29_XH</vt:lpstr>
      <vt:lpstr>v_29_XI</vt:lpstr>
      <vt:lpstr>v_29_XINORG</vt:lpstr>
      <vt:lpstr>v_29_XNIT</vt:lpstr>
      <vt:lpstr>v_29_XPAO</vt:lpstr>
      <vt:lpstr>v_29_XPHA</vt:lpstr>
      <vt:lpstr>v_29_XPP</vt:lpstr>
      <vt:lpstr>v_3_SA</vt:lpstr>
      <vt:lpstr>v_3_SF</vt:lpstr>
      <vt:lpstr>v_3_SI</vt:lpstr>
      <vt:lpstr>v_3_SN2</vt:lpstr>
      <vt:lpstr>v_3_SNH4</vt:lpstr>
      <vt:lpstr>v_3_SNO3</vt:lpstr>
      <vt:lpstr>v_3_SO2</vt:lpstr>
      <vt:lpstr>v_3_SPO4</vt:lpstr>
      <vt:lpstr>v_3_XADS</vt:lpstr>
      <vt:lpstr>v_3_XE</vt:lpstr>
      <vt:lpstr>v_3_XENM</vt:lpstr>
      <vt:lpstr>v_3_XH</vt:lpstr>
      <vt:lpstr>v_3_XI</vt:lpstr>
      <vt:lpstr>v_3_XINORG</vt:lpstr>
      <vt:lpstr>v_3_XNIT</vt:lpstr>
      <vt:lpstr>v_3_XPAO</vt:lpstr>
      <vt:lpstr>v_3_XPHA</vt:lpstr>
      <vt:lpstr>v_3_XPP</vt:lpstr>
      <vt:lpstr>v_30_SA</vt:lpstr>
      <vt:lpstr>v_30_SF</vt:lpstr>
      <vt:lpstr>v_30_SI</vt:lpstr>
      <vt:lpstr>v_30_SN2</vt:lpstr>
      <vt:lpstr>v_30_SNH4</vt:lpstr>
      <vt:lpstr>v_30_SNO3</vt:lpstr>
      <vt:lpstr>v_30_SO2</vt:lpstr>
      <vt:lpstr>v_30_SPO4</vt:lpstr>
      <vt:lpstr>v_30_XADS</vt:lpstr>
      <vt:lpstr>v_30_XE</vt:lpstr>
      <vt:lpstr>v_30_XENM</vt:lpstr>
      <vt:lpstr>v_30_XH</vt:lpstr>
      <vt:lpstr>v_30_XI</vt:lpstr>
      <vt:lpstr>v_30_XINORG</vt:lpstr>
      <vt:lpstr>v_30_XNIT</vt:lpstr>
      <vt:lpstr>v_30_XPAO</vt:lpstr>
      <vt:lpstr>v_30_XPHA</vt:lpstr>
      <vt:lpstr>v_30_XPP</vt:lpstr>
      <vt:lpstr>v_31_SA</vt:lpstr>
      <vt:lpstr>v_31_SF</vt:lpstr>
      <vt:lpstr>v_31_SI</vt:lpstr>
      <vt:lpstr>v_31_SN2</vt:lpstr>
      <vt:lpstr>v_31_SNH4</vt:lpstr>
      <vt:lpstr>v_31_SNO3</vt:lpstr>
      <vt:lpstr>v_31_SO2</vt:lpstr>
      <vt:lpstr>v_31_SPO4</vt:lpstr>
      <vt:lpstr>v_31_XADS</vt:lpstr>
      <vt:lpstr>v_31_XE</vt:lpstr>
      <vt:lpstr>v_31_XENM</vt:lpstr>
      <vt:lpstr>v_31_XH</vt:lpstr>
      <vt:lpstr>v_31_XI</vt:lpstr>
      <vt:lpstr>v_31_XINORG</vt:lpstr>
      <vt:lpstr>v_31_XNIT</vt:lpstr>
      <vt:lpstr>v_31_XPAO</vt:lpstr>
      <vt:lpstr>v_31_XPHA</vt:lpstr>
      <vt:lpstr>v_31_XPP</vt:lpstr>
      <vt:lpstr>v_32_SA</vt:lpstr>
      <vt:lpstr>v_32_SF</vt:lpstr>
      <vt:lpstr>v_32_SI</vt:lpstr>
      <vt:lpstr>v_32_SN2</vt:lpstr>
      <vt:lpstr>v_32_SNH4</vt:lpstr>
      <vt:lpstr>v_32_SNO3</vt:lpstr>
      <vt:lpstr>v_32_SO2</vt:lpstr>
      <vt:lpstr>v_32_SPO4</vt:lpstr>
      <vt:lpstr>v_32_XADS</vt:lpstr>
      <vt:lpstr>v_32_XE</vt:lpstr>
      <vt:lpstr>v_32_XENM</vt:lpstr>
      <vt:lpstr>v_32_XH</vt:lpstr>
      <vt:lpstr>v_32_XI</vt:lpstr>
      <vt:lpstr>v_32_XINORG</vt:lpstr>
      <vt:lpstr>v_32_XNIT</vt:lpstr>
      <vt:lpstr>v_32_XPAO</vt:lpstr>
      <vt:lpstr>v_32_XPHA</vt:lpstr>
      <vt:lpstr>v_32_XPP</vt:lpstr>
      <vt:lpstr>v_33_SA</vt:lpstr>
      <vt:lpstr>v_33_SF</vt:lpstr>
      <vt:lpstr>v_33_SI</vt:lpstr>
      <vt:lpstr>v_33_SN2</vt:lpstr>
      <vt:lpstr>v_33_SNH4</vt:lpstr>
      <vt:lpstr>v_33_SNO3</vt:lpstr>
      <vt:lpstr>v_33_SO2</vt:lpstr>
      <vt:lpstr>v_33_SPO4</vt:lpstr>
      <vt:lpstr>v_33_XADS</vt:lpstr>
      <vt:lpstr>v_33_XE</vt:lpstr>
      <vt:lpstr>v_33_XENM</vt:lpstr>
      <vt:lpstr>v_33_XH</vt:lpstr>
      <vt:lpstr>v_33_XI</vt:lpstr>
      <vt:lpstr>v_33_XINORG</vt:lpstr>
      <vt:lpstr>v_33_XNIT</vt:lpstr>
      <vt:lpstr>v_33_XPAO</vt:lpstr>
      <vt:lpstr>v_33_XPHA</vt:lpstr>
      <vt:lpstr>v_33_XPP</vt:lpstr>
      <vt:lpstr>v_34_SA</vt:lpstr>
      <vt:lpstr>v_34_SF</vt:lpstr>
      <vt:lpstr>v_34_SI</vt:lpstr>
      <vt:lpstr>v_34_SN2</vt:lpstr>
      <vt:lpstr>v_34_SNH4</vt:lpstr>
      <vt:lpstr>v_34_SNO3</vt:lpstr>
      <vt:lpstr>v_34_SO2</vt:lpstr>
      <vt:lpstr>v_34_SPO4</vt:lpstr>
      <vt:lpstr>v_34_XADS</vt:lpstr>
      <vt:lpstr>v_34_XE</vt:lpstr>
      <vt:lpstr>v_34_XENM</vt:lpstr>
      <vt:lpstr>v_34_XH</vt:lpstr>
      <vt:lpstr>v_34_XI</vt:lpstr>
      <vt:lpstr>v_34_XINORG</vt:lpstr>
      <vt:lpstr>v_34_XNIT</vt:lpstr>
      <vt:lpstr>v_34_XPAO</vt:lpstr>
      <vt:lpstr>v_34_XPHA</vt:lpstr>
      <vt:lpstr>v_34_XPP</vt:lpstr>
      <vt:lpstr>v_35_SA</vt:lpstr>
      <vt:lpstr>v_35_SF</vt:lpstr>
      <vt:lpstr>v_35_SI</vt:lpstr>
      <vt:lpstr>v_35_SN2</vt:lpstr>
      <vt:lpstr>v_35_SNH4</vt:lpstr>
      <vt:lpstr>v_35_SNO3</vt:lpstr>
      <vt:lpstr>v_35_SO2</vt:lpstr>
      <vt:lpstr>v_35_SPO4</vt:lpstr>
      <vt:lpstr>v_35_XADS</vt:lpstr>
      <vt:lpstr>v_35_XE</vt:lpstr>
      <vt:lpstr>v_35_XENM</vt:lpstr>
      <vt:lpstr>v_35_XH</vt:lpstr>
      <vt:lpstr>v_35_XI</vt:lpstr>
      <vt:lpstr>v_35_XINORG</vt:lpstr>
      <vt:lpstr>v_35_XNIT</vt:lpstr>
      <vt:lpstr>v_35_XPAO</vt:lpstr>
      <vt:lpstr>v_35_XPHA</vt:lpstr>
      <vt:lpstr>v_35_XPP</vt:lpstr>
      <vt:lpstr>v_4_SA</vt:lpstr>
      <vt:lpstr>v_4_SF</vt:lpstr>
      <vt:lpstr>v_4_SI</vt:lpstr>
      <vt:lpstr>v_4_SN2</vt:lpstr>
      <vt:lpstr>v_4_SNH4</vt:lpstr>
      <vt:lpstr>v_4_SNO3</vt:lpstr>
      <vt:lpstr>v_4_SO2</vt:lpstr>
      <vt:lpstr>v_4_SPO4</vt:lpstr>
      <vt:lpstr>v_4_XADS</vt:lpstr>
      <vt:lpstr>v_4_XE</vt:lpstr>
      <vt:lpstr>v_4_XENM</vt:lpstr>
      <vt:lpstr>v_4_XH</vt:lpstr>
      <vt:lpstr>v_4_XI</vt:lpstr>
      <vt:lpstr>v_4_XINORG</vt:lpstr>
      <vt:lpstr>v_4_XNIT</vt:lpstr>
      <vt:lpstr>v_4_XPAO</vt:lpstr>
      <vt:lpstr>v_4_XPHA</vt:lpstr>
      <vt:lpstr>v_4_XPP</vt:lpstr>
      <vt:lpstr>v_5_SA</vt:lpstr>
      <vt:lpstr>v_5_SF</vt:lpstr>
      <vt:lpstr>v_5_SI</vt:lpstr>
      <vt:lpstr>v_5_SN2</vt:lpstr>
      <vt:lpstr>v_5_SNH4</vt:lpstr>
      <vt:lpstr>v_5_SNO3</vt:lpstr>
      <vt:lpstr>v_5_SO2</vt:lpstr>
      <vt:lpstr>v_5_SPO4</vt:lpstr>
      <vt:lpstr>v_5_XADS</vt:lpstr>
      <vt:lpstr>v_5_XE</vt:lpstr>
      <vt:lpstr>v_5_XENM</vt:lpstr>
      <vt:lpstr>v_5_XH</vt:lpstr>
      <vt:lpstr>v_5_XI</vt:lpstr>
      <vt:lpstr>v_5_XINORG</vt:lpstr>
      <vt:lpstr>v_5_XNIT</vt:lpstr>
      <vt:lpstr>v_5_XPAO</vt:lpstr>
      <vt:lpstr>v_5_XPHA</vt:lpstr>
      <vt:lpstr>v_5_XPP</vt:lpstr>
      <vt:lpstr>v_6_SA</vt:lpstr>
      <vt:lpstr>v_6_SF</vt:lpstr>
      <vt:lpstr>v_6_SI</vt:lpstr>
      <vt:lpstr>v_6_SN2</vt:lpstr>
      <vt:lpstr>v_6_SNH4</vt:lpstr>
      <vt:lpstr>v_6_SNO3</vt:lpstr>
      <vt:lpstr>v_6_SO2</vt:lpstr>
      <vt:lpstr>v_6_SPO4</vt:lpstr>
      <vt:lpstr>v_6_XADS</vt:lpstr>
      <vt:lpstr>v_6_XE</vt:lpstr>
      <vt:lpstr>v_6_XENM</vt:lpstr>
      <vt:lpstr>v_6_XH</vt:lpstr>
      <vt:lpstr>v_6_XI</vt:lpstr>
      <vt:lpstr>v_6_XINORG</vt:lpstr>
      <vt:lpstr>v_6_XNIT</vt:lpstr>
      <vt:lpstr>v_6_XPAO</vt:lpstr>
      <vt:lpstr>v_6_XPHA</vt:lpstr>
      <vt:lpstr>v_6_XPP</vt:lpstr>
      <vt:lpstr>v_7_SA</vt:lpstr>
      <vt:lpstr>v_7_SF</vt:lpstr>
      <vt:lpstr>v_7_SI</vt:lpstr>
      <vt:lpstr>v_7_SN2</vt:lpstr>
      <vt:lpstr>v_7_SNH4</vt:lpstr>
      <vt:lpstr>v_7_SNO3</vt:lpstr>
      <vt:lpstr>v_7_SO2</vt:lpstr>
      <vt:lpstr>v_7_SPO4</vt:lpstr>
      <vt:lpstr>v_7_XADS</vt:lpstr>
      <vt:lpstr>v_7_XE</vt:lpstr>
      <vt:lpstr>v_7_XENM</vt:lpstr>
      <vt:lpstr>v_7_XH</vt:lpstr>
      <vt:lpstr>v_7_XI</vt:lpstr>
      <vt:lpstr>v_7_XINORG</vt:lpstr>
      <vt:lpstr>v_7_XNIT</vt:lpstr>
      <vt:lpstr>v_7_XPAO</vt:lpstr>
      <vt:lpstr>v_7_XPHA</vt:lpstr>
      <vt:lpstr>v_7_XPP</vt:lpstr>
      <vt:lpstr>v_8_SA</vt:lpstr>
      <vt:lpstr>v_8_SF</vt:lpstr>
      <vt:lpstr>v_8_SI</vt:lpstr>
      <vt:lpstr>v_8_SN2</vt:lpstr>
      <vt:lpstr>v_8_SNH4</vt:lpstr>
      <vt:lpstr>v_8_SNO3</vt:lpstr>
      <vt:lpstr>v_8_SO2</vt:lpstr>
      <vt:lpstr>v_8_SPO4</vt:lpstr>
      <vt:lpstr>v_8_XADS</vt:lpstr>
      <vt:lpstr>v_8_XE</vt:lpstr>
      <vt:lpstr>v_8_XENM</vt:lpstr>
      <vt:lpstr>v_8_XH</vt:lpstr>
      <vt:lpstr>v_8_XI</vt:lpstr>
      <vt:lpstr>v_8_XINORG</vt:lpstr>
      <vt:lpstr>v_8_XNIT</vt:lpstr>
      <vt:lpstr>v_8_XPAO</vt:lpstr>
      <vt:lpstr>v_8_XPHA</vt:lpstr>
      <vt:lpstr>v_8_XPP</vt:lpstr>
      <vt:lpstr>v_9_SA</vt:lpstr>
      <vt:lpstr>v_9_SF</vt:lpstr>
      <vt:lpstr>v_9_SI</vt:lpstr>
      <vt:lpstr>v_9_SN2</vt:lpstr>
      <vt:lpstr>v_9_SNH4</vt:lpstr>
      <vt:lpstr>v_9_SNO3</vt:lpstr>
      <vt:lpstr>v_9_SO2</vt:lpstr>
      <vt:lpstr>v_9_SPO4</vt:lpstr>
      <vt:lpstr>v_9_XADS</vt:lpstr>
      <vt:lpstr>v_9_XE</vt:lpstr>
      <vt:lpstr>v_9_XENM</vt:lpstr>
      <vt:lpstr>v_9_XH</vt:lpstr>
      <vt:lpstr>v_9_XI</vt:lpstr>
      <vt:lpstr>v_9_XINORG</vt:lpstr>
      <vt:lpstr>v_9_XNIT</vt:lpstr>
      <vt:lpstr>v_9_XPAO</vt:lpstr>
      <vt:lpstr>v_9_XPHA</vt:lpstr>
      <vt:lpstr>v_9_XPP</vt:lpstr>
      <vt:lpstr>X_ADS</vt:lpstr>
      <vt:lpstr>X_BOD_5</vt:lpstr>
      <vt:lpstr>X_BOD_ult</vt:lpstr>
      <vt:lpstr>X_COD</vt:lpstr>
      <vt:lpstr>X_DM</vt:lpstr>
      <vt:lpstr>X_E</vt:lpstr>
      <vt:lpstr>X_ENM</vt:lpstr>
      <vt:lpstr>X_H</vt:lpstr>
      <vt:lpstr>X_I</vt:lpstr>
      <vt:lpstr>X_INORG</vt:lpstr>
      <vt:lpstr>X_ISS</vt:lpstr>
      <vt:lpstr>X_NIT</vt:lpstr>
      <vt:lpstr>X_PAO</vt:lpstr>
      <vt:lpstr>X_PHA</vt:lpstr>
      <vt:lpstr>X_PP</vt:lpstr>
      <vt:lpstr>X_TSS</vt:lpstr>
      <vt:lpstr>X_VSS</vt:lpstr>
      <vt:lpstr>Y_H1</vt:lpstr>
      <vt:lpstr>Y_H2</vt:lpstr>
      <vt:lpstr>Y_NIT</vt:lpstr>
      <vt:lpstr>Y_PAO1</vt:lpstr>
      <vt:lpstr>Y_PAO2</vt:lpstr>
      <vt:lpstr>Y_PO4</vt:lpstr>
      <vt:lpstr>Y_PP1</vt:lpstr>
      <vt:lpstr>Y_PP2</vt:lpstr>
      <vt:lpstr>η_H</vt:lpstr>
      <vt:lpstr>η_PAO</vt:lpstr>
      <vt:lpstr>μ_H</vt:lpstr>
      <vt:lpstr>μ_NIT</vt:lpstr>
      <vt:lpstr>ρ_H2O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2023-09-05T13:45:10Z</dcterms:modified>
</cp:coreProperties>
</file>